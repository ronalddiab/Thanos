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403F53FB-3F2C-46EF-9B04-BAD00392CF76}" xr6:coauthVersionLast="47" xr6:coauthVersionMax="47" xr10:uidLastSave="{00000000-0000-0000-0000-000000000000}"/>
  <bookViews>
    <workbookView xWindow="-120" yWindow="-120" windowWidth="20730" windowHeight="11160" tabRatio="91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0" l="1"/>
  <c r="F148" i="33"/>
  <c r="J159" i="33"/>
  <c r="G157" i="33"/>
  <c r="E156" i="33"/>
  <c r="E157" i="33"/>
  <c r="E158" i="33"/>
  <c r="G158" i="33" s="1"/>
  <c r="G158" i="5"/>
  <c r="H158" i="5" s="1"/>
  <c r="J158" i="5" s="1"/>
  <c r="E157" i="5"/>
  <c r="G157" i="5" s="1"/>
  <c r="H157" i="5" s="1"/>
  <c r="J157" i="5" s="1"/>
  <c r="E158" i="5"/>
  <c r="G156" i="4"/>
  <c r="E156" i="4"/>
  <c r="E157" i="4"/>
  <c r="G157" i="4" s="1"/>
  <c r="E158" i="4"/>
  <c r="G158" i="4" s="1"/>
  <c r="G157" i="3"/>
  <c r="G158" i="3"/>
  <c r="E156" i="3"/>
  <c r="E157" i="3"/>
  <c r="E161" i="3"/>
  <c r="G164" i="2"/>
  <c r="G158" i="2"/>
  <c r="G157" i="2"/>
  <c r="H158" i="33" l="1"/>
  <c r="J158" i="33" s="1"/>
  <c r="H157" i="33"/>
  <c r="J157" i="33" s="1"/>
  <c r="F15" i="15"/>
  <c r="F10" i="14"/>
  <c r="F8" i="40"/>
  <c r="F8" i="27"/>
  <c r="F7" i="28"/>
  <c r="E156" i="31"/>
  <c r="G156" i="31" s="1"/>
  <c r="E157" i="31"/>
  <c r="G157" i="31" s="1"/>
  <c r="H157" i="31" s="1"/>
  <c r="E158" i="31"/>
  <c r="G158" i="31" s="1"/>
  <c r="H158" i="31" s="1"/>
  <c r="K8" i="48"/>
  <c r="L8" i="48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F156" i="30" l="1"/>
  <c r="E157" i="30"/>
  <c r="G157" i="30" s="1"/>
  <c r="E158" i="30"/>
  <c r="G158" i="30" s="1"/>
  <c r="G157" i="29"/>
  <c r="E158" i="29"/>
  <c r="G158" i="29" s="1"/>
  <c r="G157" i="24"/>
  <c r="H157" i="24" s="1"/>
  <c r="G158" i="24"/>
  <c r="H158" i="24" s="1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E156" i="25"/>
  <c r="G156" i="25" s="1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H157" i="18" s="1"/>
  <c r="E158" i="18"/>
  <c r="E156" i="17"/>
  <c r="E157" i="17"/>
  <c r="G157" i="17" s="1"/>
  <c r="E158" i="17"/>
  <c r="G158" i="17" s="1"/>
  <c r="H158" i="25" l="1"/>
  <c r="H158" i="40" s="1"/>
  <c r="H158" i="27" s="1"/>
  <c r="H158" i="28" s="1"/>
  <c r="H157" i="25"/>
  <c r="H157" i="40" s="1"/>
  <c r="H157" i="27" s="1"/>
  <c r="H157" i="28" s="1"/>
  <c r="H158" i="22"/>
  <c r="J158" i="22" s="1"/>
  <c r="H157" i="22"/>
  <c r="J157" i="22" s="1"/>
  <c r="G158" i="16"/>
  <c r="H158" i="16" s="1"/>
  <c r="J158" i="16" s="1"/>
  <c r="G157" i="16"/>
  <c r="H157" i="16" s="1"/>
  <c r="J157" i="16" s="1"/>
  <c r="G15" i="15"/>
  <c r="E139" i="13" l="1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E50" i="11" l="1"/>
  <c r="E51" i="11"/>
  <c r="E52" i="11"/>
  <c r="E53" i="11"/>
  <c r="E54" i="11"/>
  <c r="E55" i="11"/>
  <c r="E56" i="11"/>
  <c r="E57" i="11"/>
  <c r="E58" i="11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H190" i="20" l="1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6" i="20"/>
  <c r="E167" i="20"/>
  <c r="E168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E156" i="40"/>
  <c r="G156" i="40" s="1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2" i="27"/>
  <c r="E11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2" i="40"/>
  <c r="E11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2" i="19"/>
  <c r="E11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8" i="18"/>
  <c r="E167" i="18"/>
  <c r="E166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5" i="12"/>
  <c r="E54" i="12"/>
  <c r="E53" i="12"/>
  <c r="E52" i="12"/>
  <c r="E51" i="12"/>
  <c r="E49" i="12"/>
  <c r="E46" i="12"/>
  <c r="E45" i="12"/>
  <c r="E44" i="12"/>
  <c r="E42" i="12"/>
  <c r="E40" i="12"/>
  <c r="E39" i="12"/>
  <c r="E38" i="12"/>
  <c r="E37" i="12"/>
  <c r="E35" i="12"/>
  <c r="E24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3" i="10"/>
  <c r="E52" i="10"/>
  <c r="E51" i="10"/>
  <c r="E46" i="10"/>
  <c r="E45" i="10"/>
  <c r="E44" i="10"/>
  <c r="E43" i="10"/>
  <c r="E42" i="10"/>
  <c r="E41" i="10"/>
  <c r="E40" i="10"/>
  <c r="E36" i="10"/>
  <c r="E24" i="10"/>
  <c r="E23" i="10"/>
  <c r="E22" i="10"/>
  <c r="E12" i="10"/>
  <c r="E11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F18" i="11" s="1"/>
  <c r="E18" i="12" s="1"/>
  <c r="F18" i="12" s="1"/>
  <c r="E18" i="13" s="1"/>
  <c r="F18" i="13" s="1"/>
  <c r="E18" i="14" s="1"/>
  <c r="F18" i="14" s="1"/>
  <c r="E18" i="15" s="1"/>
  <c r="F18" i="15" s="1"/>
  <c r="E18" i="16" s="1"/>
  <c r="F18" i="16" s="1"/>
  <c r="E18" i="17" s="1"/>
  <c r="F18" i="17" s="1"/>
  <c r="E18" i="18" s="1"/>
  <c r="F18" i="18" s="1"/>
  <c r="E18" i="19" s="1"/>
  <c r="F18" i="19" s="1"/>
  <c r="E18" i="20" s="1"/>
  <c r="F18" i="20" s="1"/>
  <c r="E18" i="21" s="1"/>
  <c r="F18" i="21" s="1"/>
  <c r="E18" i="22" s="1"/>
  <c r="F18" i="22" s="1"/>
  <c r="E18" i="23" s="1"/>
  <c r="F18" i="23" s="1"/>
  <c r="E18" i="24" s="1"/>
  <c r="F18" i="24" s="1"/>
  <c r="E18" i="25" s="1"/>
  <c r="F18" i="25" s="1"/>
  <c r="E18" i="40" s="1"/>
  <c r="F18" i="40" s="1"/>
  <c r="E18" i="27" s="1"/>
  <c r="F18" i="27" s="1"/>
  <c r="E18" i="28" s="1"/>
  <c r="F18" i="28" s="1"/>
  <c r="E18" i="29" s="1"/>
  <c r="F18" i="29" s="1"/>
  <c r="E18" i="30" s="1"/>
  <c r="F18" i="30" s="1"/>
  <c r="E18" i="43" s="1"/>
  <c r="F18" i="43" s="1"/>
  <c r="E18" i="31" s="1"/>
  <c r="F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27" i="2" s="1"/>
  <c r="G7" i="2"/>
  <c r="I18" i="3"/>
  <c r="I7" i="3"/>
  <c r="G8" i="3" l="1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F10" i="11" s="1"/>
  <c r="E10" i="12" s="1"/>
  <c r="F10" i="12" s="1"/>
  <c r="E10" i="13" s="1"/>
  <c r="F10" i="13" s="1"/>
  <c r="G9" i="3"/>
  <c r="P17" i="3" s="1"/>
  <c r="E9" i="4"/>
  <c r="E9" i="5" s="1"/>
  <c r="E9" i="33" s="1"/>
  <c r="G19" i="3"/>
  <c r="E19" i="4"/>
  <c r="E19" i="5" s="1"/>
  <c r="G18" i="3"/>
  <c r="F10" i="15"/>
  <c r="E10" i="16" s="1"/>
  <c r="E15" i="16"/>
  <c r="F15" i="16" s="1"/>
  <c r="E15" i="17" s="1"/>
  <c r="F15" i="17" s="1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F10" i="16"/>
  <c r="E10" i="17" s="1"/>
  <c r="E7" i="7"/>
  <c r="E15" i="18"/>
  <c r="O15" i="16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G10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3" i="3" l="1"/>
  <c r="H13" i="3" s="1"/>
  <c r="J13" i="3" s="1"/>
  <c r="E19" i="7"/>
  <c r="E15" i="8"/>
  <c r="F15" i="18"/>
  <c r="G15" i="18" s="1"/>
  <c r="G79" i="18" s="1"/>
  <c r="G80" i="18" s="1"/>
  <c r="E7" i="8"/>
  <c r="F10" i="17"/>
  <c r="G10" i="17" s="1"/>
  <c r="E8" i="8"/>
  <c r="E9" i="8"/>
  <c r="AD13" i="44"/>
  <c r="G47" i="29"/>
  <c r="AD29" i="44"/>
  <c r="G153" i="19"/>
  <c r="I153" i="19" s="1"/>
  <c r="G47" i="17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I125" i="13" s="1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G188" i="29"/>
  <c r="O7" i="45"/>
  <c r="G188" i="10"/>
  <c r="G188" i="19"/>
  <c r="G188" i="18"/>
  <c r="G188" i="15"/>
  <c r="G188" i="13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79" i="16"/>
  <c r="G80" i="16" s="1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G188" i="4" l="1"/>
  <c r="G60" i="19"/>
  <c r="N49" i="4"/>
  <c r="H49" i="2"/>
  <c r="G59" i="2"/>
  <c r="I13" i="3"/>
  <c r="G19" i="7"/>
  <c r="E30" i="7" s="1"/>
  <c r="G30" i="7" s="1"/>
  <c r="G15" i="8"/>
  <c r="G9" i="8"/>
  <c r="G8" i="8"/>
  <c r="E27" i="8" s="1"/>
  <c r="G27" i="8" s="1"/>
  <c r="G9" i="7"/>
  <c r="E10" i="18"/>
  <c r="G7" i="8"/>
  <c r="G60" i="18"/>
  <c r="G60" i="29"/>
  <c r="G60" i="17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2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H15" i="8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H19" i="7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79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5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8" i="8"/>
  <c r="G28" i="8" s="1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H59" i="2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G18" i="50"/>
  <c r="E18" i="50"/>
  <c r="G15" i="50"/>
  <c r="K9" i="50"/>
  <c r="G9" i="50"/>
  <c r="M8" i="50"/>
  <c r="G60" i="4" l="1"/>
  <c r="H47" i="2"/>
  <c r="G60" i="2"/>
  <c r="H9" i="7"/>
  <c r="H9" i="8" s="1"/>
  <c r="E15" i="9"/>
  <c r="G15" i="9" s="1"/>
  <c r="H15" i="9" s="1"/>
  <c r="H8" i="8"/>
  <c r="G187" i="7"/>
  <c r="G20" i="7"/>
  <c r="E19" i="8"/>
  <c r="F15" i="19"/>
  <c r="E15" i="20" s="1"/>
  <c r="G99" i="8"/>
  <c r="G97" i="8"/>
  <c r="G101" i="8"/>
  <c r="E7" i="9"/>
  <c r="H7" i="8"/>
  <c r="G95" i="8"/>
  <c r="E8" i="9"/>
  <c r="F10" i="18"/>
  <c r="G10" i="18" s="1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65" i="43"/>
  <c r="J70" i="43"/>
  <c r="J78" i="43"/>
  <c r="J68" i="31"/>
  <c r="H141" i="3"/>
  <c r="J141" i="3" s="1"/>
  <c r="H179" i="3"/>
  <c r="H179" i="4" s="1"/>
  <c r="H180" i="3"/>
  <c r="J180" i="3" s="1"/>
  <c r="J66" i="43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H60" i="2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G71" i="50"/>
  <c r="G121" i="50"/>
  <c r="I88" i="50"/>
  <c r="G119" i="50"/>
  <c r="G123" i="50"/>
  <c r="G59" i="50"/>
  <c r="G64" i="50"/>
  <c r="E28" i="50"/>
  <c r="G28" i="50" s="1"/>
  <c r="I90" i="50"/>
  <c r="G47" i="50"/>
  <c r="E10" i="19" l="1"/>
  <c r="F10" i="19" s="1"/>
  <c r="G15" i="19"/>
  <c r="H20" i="7"/>
  <c r="G19" i="8"/>
  <c r="F15" i="20"/>
  <c r="E15" i="21" s="1"/>
  <c r="F15" i="21" s="1"/>
  <c r="G79" i="9"/>
  <c r="G80" i="9" s="1"/>
  <c r="E28" i="9"/>
  <c r="G28" i="9" s="1"/>
  <c r="H28" i="9" s="1"/>
  <c r="E15" i="10"/>
  <c r="G7" i="9"/>
  <c r="G10" i="19"/>
  <c r="H10" i="19" s="1"/>
  <c r="E10" i="20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G79" i="19" l="1"/>
  <c r="G80" i="19" s="1"/>
  <c r="H80" i="19" s="1"/>
  <c r="E28" i="19"/>
  <c r="G28" i="19" s="1"/>
  <c r="E19" i="9"/>
  <c r="G19" i="9" s="1"/>
  <c r="E8" i="10"/>
  <c r="G187" i="8"/>
  <c r="E30" i="8"/>
  <c r="G30" i="8" s="1"/>
  <c r="G20" i="8"/>
  <c r="H20" i="8" s="1"/>
  <c r="H19" i="8"/>
  <c r="G15" i="10"/>
  <c r="E15" i="22"/>
  <c r="F15" i="22" s="1"/>
  <c r="G15" i="21"/>
  <c r="G15" i="20"/>
  <c r="H79" i="9"/>
  <c r="F10" i="20"/>
  <c r="G10" i="20" s="1"/>
  <c r="H10" i="20" s="1"/>
  <c r="G95" i="9"/>
  <c r="H95" i="9" s="1"/>
  <c r="G97" i="9"/>
  <c r="H97" i="9" s="1"/>
  <c r="G105" i="9"/>
  <c r="G103" i="9"/>
  <c r="H103" i="9" s="1"/>
  <c r="G101" i="9"/>
  <c r="H101" i="9" s="1"/>
  <c r="G99" i="9"/>
  <c r="H99" i="9" s="1"/>
  <c r="I59" i="9"/>
  <c r="E27" i="9"/>
  <c r="G27" i="9" s="1"/>
  <c r="H8" i="9"/>
  <c r="E7" i="10"/>
  <c r="G8" i="10"/>
  <c r="E27" i="10" s="1"/>
  <c r="G27" i="10" s="1"/>
  <c r="H7" i="9"/>
  <c r="H105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8" i="10" l="1"/>
  <c r="G20" i="9"/>
  <c r="G187" i="9"/>
  <c r="E30" i="9"/>
  <c r="G30" i="9" s="1"/>
  <c r="G32" i="9" s="1"/>
  <c r="E19" i="10"/>
  <c r="G32" i="8"/>
  <c r="H32" i="8" s="1"/>
  <c r="H30" i="8"/>
  <c r="H30" i="9" s="1"/>
  <c r="H19" i="9"/>
  <c r="H20" i="9"/>
  <c r="G79" i="20"/>
  <c r="G80" i="20" s="1"/>
  <c r="E28" i="20"/>
  <c r="G28" i="20" s="1"/>
  <c r="E28" i="21"/>
  <c r="G28" i="21" s="1"/>
  <c r="G79" i="21"/>
  <c r="G80" i="21" s="1"/>
  <c r="E15" i="23"/>
  <c r="F15" i="23" s="1"/>
  <c r="G15" i="22"/>
  <c r="E28" i="10"/>
  <c r="G28" i="10" s="1"/>
  <c r="H28" i="10" s="1"/>
  <c r="G79" i="10"/>
  <c r="G80" i="10" s="1"/>
  <c r="H15" i="10"/>
  <c r="E15" i="11"/>
  <c r="F15" i="11" s="1"/>
  <c r="E8" i="11"/>
  <c r="F8" i="11" s="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E7" i="11" l="1"/>
  <c r="F7" i="11" s="1"/>
  <c r="G7" i="11" s="1"/>
  <c r="H7" i="11" s="1"/>
  <c r="H32" i="9"/>
  <c r="G19" i="10"/>
  <c r="H19" i="10" s="1"/>
  <c r="E15" i="24"/>
  <c r="F15" i="24" s="1"/>
  <c r="G15" i="23"/>
  <c r="E15" i="12"/>
  <c r="F15" i="12" s="1"/>
  <c r="G15" i="11"/>
  <c r="H15" i="11" s="1"/>
  <c r="H79" i="10"/>
  <c r="E28" i="22"/>
  <c r="G28" i="22" s="1"/>
  <c r="G79" i="22"/>
  <c r="G80" i="22" s="1"/>
  <c r="E9" i="11"/>
  <c r="F9" i="11" s="1"/>
  <c r="E8" i="12"/>
  <c r="G8" i="11"/>
  <c r="F10" i="21"/>
  <c r="G10" i="21" s="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F7" i="12" s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F15" i="13" s="1"/>
  <c r="G15" i="12"/>
  <c r="G79" i="23"/>
  <c r="G80" i="23" s="1"/>
  <c r="E28" i="23"/>
  <c r="G28" i="23" s="1"/>
  <c r="G15" i="24"/>
  <c r="E15" i="25"/>
  <c r="F15" i="25" s="1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F8" i="12"/>
  <c r="E9" i="12"/>
  <c r="F9" i="12" s="1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F19" i="11" l="1"/>
  <c r="G19" i="11" s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F15" i="40" s="1"/>
  <c r="H15" i="12"/>
  <c r="G79" i="24"/>
  <c r="G80" i="24" s="1"/>
  <c r="E28" i="24"/>
  <c r="G28" i="24" s="1"/>
  <c r="H79" i="11"/>
  <c r="H79" i="12" s="1"/>
  <c r="H27" i="11"/>
  <c r="E9" i="13"/>
  <c r="F9" i="13" s="1"/>
  <c r="G9" i="12"/>
  <c r="H9" i="12" s="1"/>
  <c r="F10" i="22"/>
  <c r="G10" i="22" s="1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F8" i="13" s="1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H168" i="18"/>
  <c r="J168" i="17"/>
  <c r="J177" i="14"/>
  <c r="H177" i="15"/>
  <c r="H132" i="10"/>
  <c r="J132" i="9"/>
  <c r="H166" i="18"/>
  <c r="J166" i="17"/>
  <c r="H167" i="18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8" i="12" l="1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F15" i="27" s="1"/>
  <c r="G79" i="25"/>
  <c r="E28" i="25"/>
  <c r="G28" i="25" s="1"/>
  <c r="F15" i="14"/>
  <c r="G15" i="14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F8" i="14" s="1"/>
  <c r="F7" i="13"/>
  <c r="G7" i="13" s="1"/>
  <c r="H7" i="13" s="1"/>
  <c r="G9" i="13"/>
  <c r="H9" i="13" s="1"/>
  <c r="E9" i="14"/>
  <c r="F9" i="14" s="1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67" i="18"/>
  <c r="J128" i="10"/>
  <c r="H128" i="11"/>
  <c r="H166" i="19"/>
  <c r="J166" i="18"/>
  <c r="H168" i="19"/>
  <c r="J168" i="18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F7" i="14" s="1"/>
  <c r="G7" i="14" s="1"/>
  <c r="H30" i="11"/>
  <c r="F19" i="12"/>
  <c r="G19" i="12" s="1"/>
  <c r="H19" i="12" s="1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F15" i="28" s="1"/>
  <c r="H79" i="13"/>
  <c r="J79" i="13" s="1"/>
  <c r="G79" i="40"/>
  <c r="E28" i="40"/>
  <c r="G28" i="40" s="1"/>
  <c r="H27" i="13"/>
  <c r="E9" i="15"/>
  <c r="F9" i="15" s="1"/>
  <c r="G9" i="14"/>
  <c r="H9" i="14" s="1"/>
  <c r="E8" i="15"/>
  <c r="F8" i="15" s="1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E10" i="24"/>
  <c r="F10" i="23"/>
  <c r="G10" i="23" s="1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H168" i="20"/>
  <c r="J168" i="19"/>
  <c r="H177" i="17"/>
  <c r="J177" i="16"/>
  <c r="J166" i="19"/>
  <c r="H166" i="20"/>
  <c r="H167" i="20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E7" i="15" l="1"/>
  <c r="F7" i="15" s="1"/>
  <c r="E7" i="16" s="1"/>
  <c r="E30" i="12"/>
  <c r="G30" i="12" s="1"/>
  <c r="G20" i="12"/>
  <c r="H20" i="12" s="1"/>
  <c r="G187" i="12"/>
  <c r="E19" i="13"/>
  <c r="G15" i="28"/>
  <c r="E15" i="29"/>
  <c r="F15" i="29" s="1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F10" i="24"/>
  <c r="G10" i="24" s="1"/>
  <c r="H10" i="24" s="1"/>
  <c r="H7" i="14"/>
  <c r="G8" i="15"/>
  <c r="E27" i="15" s="1"/>
  <c r="G27" i="15" s="1"/>
  <c r="E8" i="16"/>
  <c r="E9" i="16"/>
  <c r="F9" i="16" s="1"/>
  <c r="G9" i="15"/>
  <c r="H9" i="15" s="1"/>
  <c r="H27" i="14"/>
  <c r="E28" i="29"/>
  <c r="G28" i="29" s="1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J167" i="20"/>
  <c r="H167" i="21"/>
  <c r="J168" i="20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J166" i="20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E15" i="30" l="1"/>
  <c r="F15" i="30" s="1"/>
  <c r="G7" i="15"/>
  <c r="G105" i="15" s="1"/>
  <c r="H105" i="15" s="1"/>
  <c r="H27" i="15"/>
  <c r="F19" i="13"/>
  <c r="G19" i="13" s="1"/>
  <c r="G32" i="12"/>
  <c r="H32" i="12" s="1"/>
  <c r="H30" i="12"/>
  <c r="H79" i="40"/>
  <c r="H79" i="27" s="1"/>
  <c r="G80" i="27"/>
  <c r="H28" i="27"/>
  <c r="H15" i="28"/>
  <c r="H15" i="29" s="1"/>
  <c r="E28" i="28"/>
  <c r="G28" i="28" s="1"/>
  <c r="G79" i="28"/>
  <c r="E9" i="17"/>
  <c r="F9" i="17" s="1"/>
  <c r="G9" i="16"/>
  <c r="H9" i="16" s="1"/>
  <c r="F7" i="16"/>
  <c r="N7" i="16"/>
  <c r="F8" i="16"/>
  <c r="N8" i="16"/>
  <c r="E10" i="25"/>
  <c r="G15" i="30"/>
  <c r="H135" i="43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G103" i="15" l="1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G187" i="13"/>
  <c r="E30" i="13"/>
  <c r="G30" i="13" s="1"/>
  <c r="G32" i="13" s="1"/>
  <c r="H32" i="13" s="1"/>
  <c r="H19" i="13"/>
  <c r="E19" i="14"/>
  <c r="G80" i="28"/>
  <c r="H79" i="28"/>
  <c r="H79" i="29" s="1"/>
  <c r="G9" i="17"/>
  <c r="H9" i="17" s="1"/>
  <c r="E9" i="18"/>
  <c r="E7" i="17"/>
  <c r="F7" i="17" s="1"/>
  <c r="G7" i="16"/>
  <c r="F10" i="25"/>
  <c r="G10" i="25" s="1"/>
  <c r="H10" i="25" s="1"/>
  <c r="E8" i="17"/>
  <c r="F8" i="17" s="1"/>
  <c r="G8" i="16"/>
  <c r="E27" i="16" s="1"/>
  <c r="G27" i="16" s="1"/>
  <c r="G79" i="30"/>
  <c r="G80" i="30" s="1"/>
  <c r="E28" i="30"/>
  <c r="G28" i="30" s="1"/>
  <c r="E15" i="43"/>
  <c r="F15" i="43" s="1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2" i="50"/>
  <c r="J132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30" i="13" l="1"/>
  <c r="H28" i="30"/>
  <c r="F19" i="14"/>
  <c r="G19" i="14" s="1"/>
  <c r="H19" i="14" s="1"/>
  <c r="H27" i="16"/>
  <c r="G8" i="17"/>
  <c r="E27" i="17" s="1"/>
  <c r="G27" i="17" s="1"/>
  <c r="E8" i="18"/>
  <c r="F8" i="18" s="1"/>
  <c r="F9" i="18"/>
  <c r="E9" i="19" s="1"/>
  <c r="E10" i="40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F7" i="18" s="1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F10" i="40"/>
  <c r="G10" i="40" s="1"/>
  <c r="H10" i="40" s="1"/>
  <c r="F9" i="19"/>
  <c r="G9" i="19" s="1"/>
  <c r="G9" i="18"/>
  <c r="H9" i="18" s="1"/>
  <c r="G8" i="18"/>
  <c r="E27" i="18" s="1"/>
  <c r="G27" i="18" s="1"/>
  <c r="E8" i="19"/>
  <c r="F8" i="19" s="1"/>
  <c r="G7" i="18"/>
  <c r="E7" i="19"/>
  <c r="F7" i="19" s="1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F19" i="15" l="1"/>
  <c r="G19" i="15" s="1"/>
  <c r="G32" i="14"/>
  <c r="H32" i="14" s="1"/>
  <c r="H30" i="14"/>
  <c r="F15" i="31"/>
  <c r="G15" i="31" s="1"/>
  <c r="E8" i="20"/>
  <c r="F8" i="20" s="1"/>
  <c r="G8" i="19"/>
  <c r="E27" i="19" s="1"/>
  <c r="G27" i="19" s="1"/>
  <c r="H27" i="18"/>
  <c r="H9" i="19"/>
  <c r="E9" i="20"/>
  <c r="F9" i="20" s="1"/>
  <c r="E7" i="20"/>
  <c r="F7" i="20" s="1"/>
  <c r="G7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E10" i="27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19" i="16" l="1"/>
  <c r="E30" i="15"/>
  <c r="G30" i="15" s="1"/>
  <c r="G32" i="15" s="1"/>
  <c r="H32" i="15" s="1"/>
  <c r="G187" i="15"/>
  <c r="H187" i="15" s="1"/>
  <c r="J187" i="15" s="1"/>
  <c r="G20" i="15"/>
  <c r="H20" i="15" s="1"/>
  <c r="H19" i="15"/>
  <c r="F19" i="16"/>
  <c r="G19" i="16" s="1"/>
  <c r="H15" i="31"/>
  <c r="G79" i="31"/>
  <c r="G80" i="31" s="1"/>
  <c r="E28" i="31"/>
  <c r="G28" i="31" s="1"/>
  <c r="H28" i="31" s="1"/>
  <c r="G7" i="20"/>
  <c r="E7" i="21"/>
  <c r="F7" i="21" s="1"/>
  <c r="G9" i="20"/>
  <c r="H9" i="20" s="1"/>
  <c r="E9" i="21"/>
  <c r="F9" i="21" s="1"/>
  <c r="G105" i="19"/>
  <c r="H105" i="19" s="1"/>
  <c r="G95" i="19"/>
  <c r="H95" i="19" s="1"/>
  <c r="G97" i="19"/>
  <c r="H97" i="19" s="1"/>
  <c r="I59" i="19"/>
  <c r="G99" i="19"/>
  <c r="H99" i="19" s="1"/>
  <c r="G101" i="19"/>
  <c r="H101" i="19" s="1"/>
  <c r="G103" i="19"/>
  <c r="H103" i="19" s="1"/>
  <c r="H7" i="19"/>
  <c r="F10" i="27"/>
  <c r="G10" i="27" s="1"/>
  <c r="H10" i="27" s="1"/>
  <c r="H27" i="19"/>
  <c r="E8" i="21"/>
  <c r="G8" i="20"/>
  <c r="E27" i="20" s="1"/>
  <c r="G27" i="20" s="1"/>
  <c r="H79" i="3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10" i="28" l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F10" i="28"/>
  <c r="G10" i="28" s="1"/>
  <c r="H10" i="28" s="1"/>
  <c r="G9" i="21"/>
  <c r="H9" i="21" s="1"/>
  <c r="E9" i="22"/>
  <c r="F8" i="21"/>
  <c r="E8" i="22" s="1"/>
  <c r="F8" i="22" s="1"/>
  <c r="G7" i="21"/>
  <c r="E7" i="22"/>
  <c r="F7" i="22" s="1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F8" i="28" s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F19" i="17"/>
  <c r="G19" i="17" s="1"/>
  <c r="F9" i="22"/>
  <c r="E9" i="23" s="1"/>
  <c r="F9" i="23" s="1"/>
  <c r="G7" i="22"/>
  <c r="E7" i="23"/>
  <c r="F7" i="23" s="1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F8" i="23" s="1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F7" i="24" s="1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F8" i="29"/>
  <c r="G8" i="29" s="1"/>
  <c r="G9" i="23"/>
  <c r="E9" i="24"/>
  <c r="F9" i="24" s="1"/>
  <c r="F10" i="29"/>
  <c r="G10" i="29" s="1"/>
  <c r="H10" i="29" s="1"/>
  <c r="G8" i="23"/>
  <c r="E27" i="23" s="1"/>
  <c r="G27" i="23" s="1"/>
  <c r="E8" i="24"/>
  <c r="F8" i="24" s="1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F19" i="18"/>
  <c r="G19" i="18" s="1"/>
  <c r="G32" i="17"/>
  <c r="H32" i="17" s="1"/>
  <c r="H30" i="17"/>
  <c r="E27" i="29"/>
  <c r="G27" i="29" s="1"/>
  <c r="O8" i="29"/>
  <c r="O15" i="29"/>
  <c r="E10" i="30"/>
  <c r="G9" i="24"/>
  <c r="H9" i="24" s="1"/>
  <c r="E9" i="25"/>
  <c r="F9" i="25" s="1"/>
  <c r="G8" i="24"/>
  <c r="E27" i="24" s="1"/>
  <c r="G27" i="24" s="1"/>
  <c r="E8" i="25"/>
  <c r="F8" i="25" s="1"/>
  <c r="G8" i="25" s="1"/>
  <c r="E27" i="25" s="1"/>
  <c r="G27" i="25" s="1"/>
  <c r="G7" i="24"/>
  <c r="E7" i="25"/>
  <c r="F7" i="25" s="1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20" i="18" l="1"/>
  <c r="H20" i="18" s="1"/>
  <c r="G187" i="18"/>
  <c r="H187" i="18" s="1"/>
  <c r="J187" i="18" s="1"/>
  <c r="E30" i="18"/>
  <c r="G30" i="18" s="1"/>
  <c r="G32" i="18" s="1"/>
  <c r="H32" i="18" s="1"/>
  <c r="E19" i="19"/>
  <c r="F19" i="19" s="1"/>
  <c r="H19" i="18"/>
  <c r="G9" i="25"/>
  <c r="H9" i="25" s="1"/>
  <c r="E9" i="40"/>
  <c r="F9" i="40" s="1"/>
  <c r="G7" i="25"/>
  <c r="E7" i="40"/>
  <c r="F7" i="40" s="1"/>
  <c r="F10" i="30"/>
  <c r="G10" i="30" s="1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F8" i="30"/>
  <c r="G8" i="30" s="1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E8" i="43" l="1"/>
  <c r="F8" i="43" s="1"/>
  <c r="E19" i="20"/>
  <c r="F19" i="20" s="1"/>
  <c r="G19" i="19"/>
  <c r="H30" i="18"/>
  <c r="E10" i="43"/>
  <c r="G7" i="40"/>
  <c r="E7" i="27"/>
  <c r="F7" i="27" s="1"/>
  <c r="G7" i="27" s="1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9" i="40" s="1"/>
  <c r="E9" i="27"/>
  <c r="F9" i="27" s="1"/>
  <c r="H27" i="30"/>
  <c r="E8" i="31"/>
  <c r="F8" i="31" s="1"/>
  <c r="G105" i="28"/>
  <c r="G103" i="28"/>
  <c r="G101" i="28"/>
  <c r="G97" i="28"/>
  <c r="G95" i="28"/>
  <c r="G99" i="28"/>
  <c r="I59" i="28"/>
  <c r="E7" i="29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30" i="19" l="1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H9" i="27" s="1"/>
  <c r="E9" i="28"/>
  <c r="F9" i="28" s="1"/>
  <c r="G95" i="27"/>
  <c r="I59" i="27"/>
  <c r="G97" i="27"/>
  <c r="G101" i="27"/>
  <c r="G105" i="27"/>
  <c r="G103" i="27"/>
  <c r="G99" i="27"/>
  <c r="F7" i="29"/>
  <c r="O10" i="29" s="1"/>
  <c r="H7" i="40"/>
  <c r="H7" i="27" s="1"/>
  <c r="H7" i="28" s="1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F10" i="43"/>
  <c r="G8" i="43"/>
  <c r="E27" i="43" s="1"/>
  <c r="G27" i="43" s="1"/>
  <c r="E8" i="50"/>
  <c r="G8" i="50" s="1"/>
  <c r="E27" i="50" s="1"/>
  <c r="G27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30" i="19" l="1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32" i="20" s="1"/>
  <c r="H32" i="20" s="1"/>
  <c r="F19" i="21"/>
  <c r="G19" i="21" s="1"/>
  <c r="G7" i="29"/>
  <c r="H95" i="27"/>
  <c r="H95" i="28" s="1"/>
  <c r="H103" i="27"/>
  <c r="H103" i="28" s="1"/>
  <c r="E9" i="29"/>
  <c r="F9" i="29" s="1"/>
  <c r="G9" i="28"/>
  <c r="H9" i="28" s="1"/>
  <c r="G10" i="43"/>
  <c r="H10" i="43" s="1"/>
  <c r="E10" i="50"/>
  <c r="G10" i="50" s="1"/>
  <c r="E10" i="31"/>
  <c r="F10" i="31" s="1"/>
  <c r="G10" i="31" s="1"/>
  <c r="H101" i="27"/>
  <c r="H101" i="28" s="1"/>
  <c r="H97" i="27"/>
  <c r="H97" i="28" s="1"/>
  <c r="H27" i="43"/>
  <c r="H27" i="31" s="1"/>
  <c r="G99" i="29"/>
  <c r="G95" i="29"/>
  <c r="G97" i="29"/>
  <c r="G101" i="29"/>
  <c r="G105" i="29"/>
  <c r="G103" i="29"/>
  <c r="I59" i="29"/>
  <c r="E7" i="30"/>
  <c r="F7" i="30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H103" i="29" l="1"/>
  <c r="E19" i="22"/>
  <c r="F19" i="22" s="1"/>
  <c r="G19" i="22" s="1"/>
  <c r="H99" i="29"/>
  <c r="H97" i="29"/>
  <c r="H101" i="29"/>
  <c r="H105" i="29"/>
  <c r="H95" i="29"/>
  <c r="H30" i="20"/>
  <c r="G187" i="21"/>
  <c r="H187" i="21" s="1"/>
  <c r="J187" i="21" s="1"/>
  <c r="E30" i="21"/>
  <c r="G30" i="21" s="1"/>
  <c r="G32" i="21" s="1"/>
  <c r="H32" i="21" s="1"/>
  <c r="G20" i="21"/>
  <c r="H20" i="21" s="1"/>
  <c r="H19" i="21"/>
  <c r="H10" i="31"/>
  <c r="G9" i="29"/>
  <c r="H9" i="29" s="1"/>
  <c r="E9" i="30"/>
  <c r="F9" i="30" s="1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19" i="23" l="1"/>
  <c r="F19" i="23" s="1"/>
  <c r="G19" i="23" s="1"/>
  <c r="H19" i="22"/>
  <c r="E9" i="43"/>
  <c r="F9" i="43" s="1"/>
  <c r="G9" i="43" s="1"/>
  <c r="H9" i="30"/>
  <c r="H30" i="21"/>
  <c r="E30" i="22"/>
  <c r="G30" i="22" s="1"/>
  <c r="G32" i="22" s="1"/>
  <c r="H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9" i="43" l="1"/>
  <c r="E19" i="24"/>
  <c r="H30" i="22"/>
  <c r="G20" i="23"/>
  <c r="H20" i="23" s="1"/>
  <c r="G187" i="23"/>
  <c r="H187" i="23" s="1"/>
  <c r="J187" i="23" s="1"/>
  <c r="E30" i="23"/>
  <c r="G30" i="23" s="1"/>
  <c r="G32" i="23" s="1"/>
  <c r="H32" i="23" s="1"/>
  <c r="H19" i="23"/>
  <c r="E9" i="31"/>
  <c r="F9" i="31" s="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9" i="31" l="1"/>
  <c r="H30" i="23"/>
  <c r="F19" i="24"/>
  <c r="G19" i="24" s="1"/>
  <c r="AB25" i="49"/>
  <c r="N7" i="3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E30" i="24"/>
  <c r="G30" i="24" s="1"/>
  <c r="G32" i="24" s="1"/>
  <c r="H32" i="24" s="1"/>
  <c r="G187" i="24"/>
  <c r="H187" i="24" s="1"/>
  <c r="J187" i="24" s="1"/>
  <c r="G20" i="24"/>
  <c r="H20" i="24" s="1"/>
  <c r="F19" i="25"/>
  <c r="G19" i="25" s="1"/>
  <c r="H30" i="24"/>
  <c r="H19" i="24"/>
  <c r="AC36" i="44"/>
  <c r="AC37" i="44"/>
  <c r="G103" i="50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8" i="50"/>
  <c r="J128" i="50" s="1"/>
  <c r="H178" i="31"/>
  <c r="J178" i="31" s="1"/>
  <c r="J178" i="43"/>
  <c r="H121" i="50"/>
  <c r="J121" i="50" s="1"/>
  <c r="H181" i="43"/>
  <c r="J181" i="30"/>
  <c r="H173" i="31"/>
  <c r="J173" i="31" s="1"/>
  <c r="J173" i="43"/>
  <c r="H116" i="50"/>
  <c r="J116" i="50" s="1"/>
  <c r="H186" i="43"/>
  <c r="J186" i="30"/>
  <c r="J180" i="43"/>
  <c r="H180" i="31"/>
  <c r="J180" i="31" s="1"/>
  <c r="H123" i="50"/>
  <c r="J123" i="50" s="1"/>
  <c r="H176" i="30"/>
  <c r="J176" i="29"/>
  <c r="J183" i="43"/>
  <c r="H183" i="31"/>
  <c r="J183" i="31" s="1"/>
  <c r="J174" i="43"/>
  <c r="H174" i="31"/>
  <c r="J174" i="31" s="1"/>
  <c r="H117" i="50"/>
  <c r="J117" i="50" s="1"/>
  <c r="J179" i="43"/>
  <c r="H179" i="31"/>
  <c r="J179" i="31" s="1"/>
  <c r="H122" i="50"/>
  <c r="J122" i="50" s="1"/>
  <c r="J184" i="43"/>
  <c r="H184" i="31"/>
  <c r="J184" i="31" s="1"/>
  <c r="H127" i="50"/>
  <c r="J127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H165" i="31"/>
  <c r="J165" i="31" s="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9" i="25" l="1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8" i="50"/>
  <c r="J118" i="50" s="1"/>
  <c r="H181" i="31"/>
  <c r="J181" i="31" s="1"/>
  <c r="J181" i="43"/>
  <c r="J186" i="43"/>
  <c r="H186" i="31"/>
  <c r="J186" i="31" s="1"/>
  <c r="H129" i="50"/>
  <c r="J129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F19" i="40" l="1"/>
  <c r="G19" i="40" s="1"/>
  <c r="H30" i="25"/>
  <c r="AD36" i="44"/>
  <c r="AD37" i="44"/>
  <c r="AU36" i="44"/>
  <c r="AU37" i="44"/>
  <c r="AC32" i="49"/>
  <c r="H176" i="31"/>
  <c r="J176" i="31" s="1"/>
  <c r="J176" i="43"/>
  <c r="H119" i="50"/>
  <c r="J119" i="50" s="1"/>
  <c r="H188" i="31"/>
  <c r="J188" i="31" s="1"/>
  <c r="J188" i="43"/>
  <c r="H131" i="50"/>
  <c r="J131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F19" i="27"/>
  <c r="G19" i="27" s="1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F19" i="28" l="1"/>
  <c r="G19" i="28" s="1"/>
  <c r="G32" i="27"/>
  <c r="H32" i="27" s="1"/>
  <c r="H30" i="27"/>
  <c r="N34" i="1"/>
  <c r="G32" i="47"/>
  <c r="AT35" i="44"/>
  <c r="AT32" i="49"/>
  <c r="BB32" i="49"/>
  <c r="AS32" i="49"/>
  <c r="BA32" i="49"/>
  <c r="E19" i="29" l="1"/>
  <c r="F19" i="29" s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F19" i="30" s="1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F19" i="43"/>
  <c r="H30" i="29"/>
  <c r="H30" i="30" s="1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G19" i="43" l="1"/>
  <c r="E19" i="50"/>
  <c r="G19" i="50" s="1"/>
  <c r="E19" i="31"/>
  <c r="F19" i="31" s="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0" i="50"/>
  <c r="E30" i="50"/>
  <c r="G30" i="50" s="1"/>
  <c r="G32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0" i="50"/>
  <c r="J130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AZ11" i="44"/>
  <c r="BH7" i="49"/>
  <c r="AZ10" i="44"/>
  <c r="E2" i="49"/>
  <c r="F3" i="49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AY37" i="44" l="1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BC12" i="44" l="1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G11" i="47"/>
  <c r="AN15" i="44"/>
  <c r="AT15" i="44" s="1"/>
  <c r="BM12" i="49" s="1"/>
  <c r="L14" i="1"/>
  <c r="G12" i="47" s="1"/>
  <c r="E19" i="47"/>
  <c r="BM21" i="1"/>
  <c r="K21" i="1"/>
  <c r="BL21" i="1"/>
  <c r="BK21" i="1"/>
  <c r="BM11" i="49" l="1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G19" i="1"/>
  <c r="B20" i="44"/>
  <c r="BC20" i="44" s="1"/>
  <c r="G14" i="47"/>
  <c r="N16" i="1"/>
  <c r="BG14" i="49"/>
  <c r="AT17" i="44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A30" i="44"/>
  <c r="BM27" i="49"/>
  <c r="AT31" i="44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D36" i="44" s="1"/>
  <c r="L33" i="1"/>
  <c r="AN34" i="44"/>
  <c r="AN37" i="44" s="1"/>
  <c r="N32" i="1"/>
  <c r="G30" i="47"/>
  <c r="BG30" i="49"/>
  <c r="AT33" i="44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AT36" i="44" s="1"/>
  <c r="BG31" i="49"/>
  <c r="BG35" i="1"/>
  <c r="BO35" i="1" s="1"/>
  <c r="BP35" i="1" s="1"/>
  <c r="AT37" i="44" l="1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H6" i="45"/>
  <c r="AH24" i="45" s="1"/>
  <c r="BD32" i="49" s="1"/>
  <c r="R33" i="1"/>
  <c r="Q33" i="1"/>
  <c r="BA34" i="44"/>
  <c r="BA36" i="44" s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3" i="20" s="1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<sst xmlns="http://schemas.openxmlformats.org/spreadsheetml/2006/main" count="10766" uniqueCount="371">
  <si>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</si>
  <si>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</si>
  <si>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</si>
  <si>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</si>
  <si>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</si>
  <si>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</si>
  <si>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</si>
  <si>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</si>
  <si>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</si>
  <si>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</si>
  <si>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</si>
  <si>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</si>
  <si>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</si>
  <si>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</si>
  <si>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</si>
  <si>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</si>
  <si>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</si>
  <si>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</si>
  <si>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</si>
  <si>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</si>
  <si>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</si>
  <si>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</si>
  <si>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</si>
  <si>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</si>
  <si>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</si>
  <si>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</si>
  <si>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</si>
  <si>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</si>
  <si>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</si>
  <si>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</si>
  <si>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</si>
  <si>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</si>
  <si>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</si>
  <si>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</si>
  <si>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</si>
  <si>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</si>
  <si>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</si>
  <si>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</si>
  <si>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</si>
  <si>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</si>
  <si>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</si>
  <si>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</si>
  <si>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</si>
  <si>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</si>
  <si>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</si>
  <si>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</si>
  <si>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</si>
  <si>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</si>
  <si>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</si>
  <si>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</si>
  <si>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</si>
  <si>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</si>
  <si>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</si>
  <si>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</si>
  <si>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</si>
  <si>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</si>
  <si>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</si>
  <si>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</si>
  <si>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</si>
  <si>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</si>
  <si>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</si>
  <si>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</si>
  <si>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</si>
  <si>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</si>
  <si>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</si>
  <si>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</si>
  <si>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</si>
  <si>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</si>
  <si>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</si>
  <si>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</si>
  <si>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</si>
  <si>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</si>
  <si>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</si>
  <si>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</si>
  <si>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</si>
  <si>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</si>
  <si>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</si>
  <si>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</si>
  <si>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</si>
  <si>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</si>
  <si>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</si>
  <si>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</si>
  <si>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</si>
  <si>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</si>
  <si>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</si>
  <si>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</si>
  <si>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</si>
  <si>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</si>
  <si>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</si>
  <si>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</si>
  <si>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</si>
  <si>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</si>
  <si>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</si>
  <si>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</si>
  <si>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</si>
  <si>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</si>
  <si>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</si>
  <si>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</si>
  <si>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</si>
  <si>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</si>
  <si>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</si>
  <si>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</si>
  <si>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</si>
  <si>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</si>
  <si>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</si>
  <si>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</si>
  <si>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</si>
  <si>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</si>
  <si>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</si>
  <si>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</si>
  <si>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</si>
  <si>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</si>
  <si>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</si>
  <si>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</si>
  <si>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</si>
  <si>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</si>
  <si>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</si>
  <si>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</si>
  <si>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</si>
  <si>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</si>
  <si>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</si>
  <si>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</si>
  <si>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</si>
  <si>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</si>
  <si>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</si>
  <si>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</si>
  <si>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</si>
  <si>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</si>
  <si>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</si>
  <si>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</si>
  <si>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</si>
  <si>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</si>
  <si>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</si>
  <si>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</si>
  <si>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</si>
  <si>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</si>
  <si>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</si>
  <si>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</si>
  <si>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</si>
  <si>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</si>
  <si>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</si>
  <si>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</si>
  <si>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</si>
  <si>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</si>
  <si>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</si>
  <si>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</si>
  <si>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</si>
  <si>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</si>
  <si>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</si>
  <si>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</si>
  <si>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</si>
  <si>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</si>
  <si>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</si>
  <si>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</si>
  <si>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</si>
  <si>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</si>
  <si>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</si>
  <si>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</si>
  <si>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</si>
  <si>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</si>
  <si>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</si>
  <si>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</si>
  <si>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</si>
  <si>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</si>
  <si>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</si>
  <si>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</si>
  <si>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</si>
  <si>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</si>
  <si>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</si>
  <si>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</si>
  <si>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</si>
  <si>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</si>
  <si>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</si>
  <si>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</si>
  <si>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</si>
  <si>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</si>
  <si>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</si>
  <si>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</si>
  <si>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</si>
  <si>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</si>
  <si>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</si>
  <si>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</si>
  <si>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</si>
  <si>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</si>
  <si>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</si>
  <si>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</si>
  <si>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</si>
  <si>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</si>
  <si>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</si>
  <si>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</si>
  <si>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</si>
  <si>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</si>
  <si>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</si>
  <si>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</si>
  <si>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</si>
  <si>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</si>
  <si>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</si>
  <si>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</si>
  <si>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</si>
  <si>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</si>
  <si>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</si>
  <si>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</si>
  <si>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</si>
  <si>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</si>
  <si>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</si>
  <si>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</si>
  <si>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</si>
  <si>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</si>
  <si>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</si>
  <si>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</si>
  <si>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</si>
  <si>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</si>
  <si>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</si>
  <si>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</si>
  <si>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</si>
  <si>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</si>
  <si>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</si>
  <si>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</si>
  <si>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</si>
  <si>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</si>
  <si>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</si>
  <si>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</si>
  <si>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</si>
  <si>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</si>
  <si>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</si>
  <si>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</si>
  <si>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</si>
  <si>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</si>
  <si>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</si>
  <si>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</si>
  <si>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</si>
  <si>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</si>
  <si>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</si>
  <si>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</si>
  <si>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</si>
  <si>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</si>
  <si>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</si>
  <si>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</si>
  <si>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</si>
  <si>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</si>
  <si>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</si>
  <si>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</si>
  <si>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</si>
  <si>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</si>
  <si>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</si>
  <si>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</si>
  <si>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</si>
  <si>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</si>
  <si>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</si>
  <si>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</si>
  <si>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</si>
  <si>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</si>
  <si>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</si>
  <si>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</si>
  <si>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</si>
  <si>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</si>
  <si>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</si>
  <si>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</si>
  <si>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</si>
  <si>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</si>
  <si>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</si>
  <si>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</si>
  <si>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</si>
  <si>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</si>
  <si>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</si>
  <si>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</si>
  <si>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</si>
  <si>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</si>
  <si>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</si>
  <si>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</si>
  <si>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</si>
  <si>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</si>
  <si>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</si>
  <si>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</si>
  <si>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</si>
  <si>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</si>
  <si>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</si>
  <si>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</si>
  <si>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</si>
  <si>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</si>
  <si>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</si>
  <si>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</si>
  <si>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</si>
  <si>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</si>
  <si>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</si>
  <si>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</si>
  <si>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</si>
  <si>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</si>
  <si>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</si>
  <si>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</si>
  <si>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</si>
  <si>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</si>
  <si>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</si>
  <si>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</si>
  <si>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</si>
  <si>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</si>
  <si>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</si>
  <si>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</si>
  <si>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</si>
  <si>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</si>
  <si>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</si>
  <si>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</si>
  <si>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</si>
  <si>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</si>
  <si>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</si>
  <si>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</si>
  <si>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</si>
  <si>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</si>
  <si>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</si>
  <si>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</si>
  <si>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</si>
  <si>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</si>
  <si>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</si>
  <si>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</si>
  <si>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</si>
  <si>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</si>
  <si>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</si>
  <si>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</si>
  <si>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</si>
  <si>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</si>
  <si>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</si>
  <si>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</si>
  <si>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</si>
  <si>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</si>
  <si>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</si>
  <si>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</si>
  <si>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</si>
  <si>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</si>
  <si>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</si>
  <si>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</si>
  <si>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</si>
  <si>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</si>
  <si>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</si>
  <si>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</si>
  <si>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</si>
  <si>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</si>
  <si>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</si>
  <si>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</si>
  <si>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</si>
  <si>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</si>
  <si>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</si>
  <si>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</si>
  <si>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</si>
  <si>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</si>
  <si>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</si>
  <si>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</si>
  <si>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</si>
  <si>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</si>
  <si>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</si>
  <si>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</si>
  <si>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</si>
  <si>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</si>
  <si>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</si>
  <si>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</si>
  <si>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</si>
  <si>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</si>
  <si>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</si>
  <si>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</si>
  <si>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</si>
  <si>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</si>
  <si>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</si>
  <si>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</si>
  <si>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</si>
  <si>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</si>
  <si>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</si>
  <si>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</si>
  <si>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</si>
  <si>
    <t>Prepaired by--- Devendra</t>
  </si>
  <si>
    <t>Need to check</t>
  </si>
  <si>
    <t>meter need to check</t>
  </si>
  <si>
    <t>Yesterday.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</si>
</sst>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7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i/>
      <sz val="16"/>
      <name val="Arial"/>
      <family val="2"/>
    </font>
    <font>
      <b/>
      <i/>
      <sz val="16"/>
      <name val="Arial Unicode MS"/>
      <family val="2"/>
    </font>
    <font>
      <sz val="18"/>
      <color indexed="8"/>
      <name val="Arial Unicode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3" fillId="0" borderId="0" applyFont="0" applyFill="0" applyBorder="0" applyAlignment="0" applyProtection="0"/>
  </cellStyleXfs>
  <cellXfs count="930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165" fontId="70" fillId="8" borderId="12" xfId="3" applyNumberFormat="1" applyFont="1" applyFill="1" applyBorder="1" applyAlignment="1">
      <alignment horizontal="center" wrapText="1" shrinkToFit="1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165" fontId="78" fillId="2" borderId="0" xfId="3" applyNumberFormat="1" applyFont="1" applyFill="1" applyBorder="1" applyAlignment="1">
      <alignment horizontal="center"/>
    </xf>
    <xf numFmtId="165" fontId="79" fillId="2" borderId="0" xfId="3" applyNumberFormat="1" applyFont="1" applyFill="1" applyBorder="1" applyAlignment="1">
      <alignment horizontal="center" vertical="center" wrapText="1" shrinkToFit="1"/>
    </xf>
    <xf numFmtId="0" fontId="79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9" fillId="2" borderId="0" xfId="5" applyNumberFormat="1" applyFont="1" applyFill="1" applyBorder="1" applyAlignment="1" applyProtection="1">
      <alignment horizontal="center"/>
    </xf>
    <xf numFmtId="0" fontId="79" fillId="2" borderId="0" xfId="3" applyFont="1" applyFill="1" applyBorder="1" applyAlignment="1">
      <alignment horizontal="center"/>
    </xf>
    <xf numFmtId="0" fontId="79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9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9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" fontId="38" fillId="10" borderId="6" xfId="5" applyNumberFormat="1" applyFont="1" applyFill="1" applyBorder="1" applyAlignment="1">
      <alignment horizontal="center" vertic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1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46" fillId="10" borderId="1" xfId="3" applyNumberFormat="1" applyFont="1" applyFill="1" applyBorder="1" applyAlignment="1">
      <alignment horizontal="center"/>
    </xf>
    <xf numFmtId="0" fontId="46" fillId="10" borderId="1" xfId="4" applyFont="1" applyFill="1" applyBorder="1" applyAlignment="1">
      <alignment horizontal="center" vertical="center"/>
    </xf>
    <xf numFmtId="38" fontId="46" fillId="10" borderId="1" xfId="5" applyNumberFormat="1" applyFont="1" applyFill="1" applyBorder="1" applyAlignment="1">
      <alignment horizontal="center" vertical="center"/>
    </xf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38" fillId="10" borderId="1" xfId="3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/>
    </xf>
    <xf numFmtId="1" fontId="40" fillId="2" borderId="1" xfId="0" applyNumberFormat="1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2" fillId="0" borderId="16" xfId="1" applyFont="1" applyFill="1" applyBorder="1" applyAlignment="1">
      <alignment vertical="top" wrapText="1"/>
    </xf>
    <xf numFmtId="0" fontId="82" fillId="0" borderId="1" xfId="1" applyFont="1" applyFill="1" applyBorder="1" applyAlignment="1">
      <alignment horizontal="center" vertical="top" wrapText="1"/>
    </xf>
    <xf numFmtId="0" fontId="8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38" fontId="43" fillId="12" borderId="1" xfId="0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84" fillId="17" borderId="3" xfId="3" applyNumberFormat="1" applyFont="1" applyFill="1" applyBorder="1" applyAlignment="1">
      <alignment horizontal="center"/>
    </xf>
    <xf numFmtId="1" fontId="79" fillId="17" borderId="3" xfId="3" applyNumberFormat="1" applyFont="1" applyFill="1" applyBorder="1" applyAlignment="1">
      <alignment horizontal="center"/>
    </xf>
    <xf numFmtId="1" fontId="79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38" fontId="38" fillId="9" borderId="1" xfId="3" applyNumberFormat="1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/>
    </xf>
    <xf numFmtId="1" fontId="46" fillId="2" borderId="1" xfId="5" applyNumberFormat="1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/>
    </xf>
    <xf numFmtId="1" fontId="43" fillId="8" borderId="1" xfId="3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/>
    </xf>
    <xf numFmtId="1" fontId="85" fillId="17" borderId="3" xfId="3" applyNumberFormat="1" applyFont="1" applyFill="1" applyBorder="1" applyAlignment="1">
      <alignment horizontal="center"/>
    </xf>
    <xf numFmtId="38" fontId="38" fillId="2" borderId="1" xfId="5" applyNumberFormat="1" applyFont="1" applyFill="1" applyBorder="1" applyAlignment="1">
      <alignment horizontal="center"/>
    </xf>
    <xf numFmtId="38" fontId="43" fillId="0" borderId="0" xfId="0" applyNumberFormat="1" applyFont="1" applyBorder="1" applyAlignment="1">
      <alignment horizontal="center"/>
    </xf>
    <xf numFmtId="38" fontId="43" fillId="0" borderId="0" xfId="0" applyNumberFormat="1" applyFont="1" applyAlignment="1">
      <alignment horizontal="center"/>
    </xf>
    <xf numFmtId="38" fontId="38" fillId="0" borderId="1" xfId="5" applyNumberFormat="1" applyFont="1" applyFill="1" applyBorder="1" applyAlignment="1">
      <alignment horizontal="center"/>
    </xf>
    <xf numFmtId="38" fontId="38" fillId="0" borderId="0" xfId="5" applyNumberFormat="1" applyFont="1" applyFill="1" applyBorder="1" applyAlignment="1">
      <alignment horizontal="center"/>
    </xf>
    <xf numFmtId="164" fontId="45" fillId="8" borderId="1" xfId="19" applyFont="1" applyFill="1" applyBorder="1" applyAlignment="1" applyProtection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80" fillId="17" borderId="13" xfId="3" applyFont="1" applyFill="1" applyBorder="1" applyAlignment="1">
      <alignment horizontal="center" vertical="center"/>
    </xf>
    <xf numFmtId="0" fontId="80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</c:v>
                </c:pt>
                <c:pt idx="1">
                  <c:v>24.110000000000582</c:v>
                </c:pt>
                <c:pt idx="2">
                  <c:v>24.040000000000873</c:v>
                </c:pt>
                <c:pt idx="3">
                  <c:v>24.680000000000291</c:v>
                </c:pt>
                <c:pt idx="4">
                  <c:v>23.489999999997963</c:v>
                </c:pt>
                <c:pt idx="5">
                  <c:v>24.160000000003492</c:v>
                </c:pt>
                <c:pt idx="6">
                  <c:v>24.439999999995052</c:v>
                </c:pt>
                <c:pt idx="7">
                  <c:v>24.080000000001746</c:v>
                </c:pt>
                <c:pt idx="8">
                  <c:v>24</c:v>
                </c:pt>
                <c:pt idx="9">
                  <c:v>-769.87999999999965</c:v>
                </c:pt>
                <c:pt idx="10">
                  <c:v>32.519999999996799</c:v>
                </c:pt>
                <c:pt idx="11">
                  <c:v>34.930000000000291</c:v>
                </c:pt>
                <c:pt idx="12">
                  <c:v>26.810000000004948</c:v>
                </c:pt>
                <c:pt idx="13">
                  <c:v>26.739999999997963</c:v>
                </c:pt>
                <c:pt idx="14">
                  <c:v>31</c:v>
                </c:pt>
                <c:pt idx="15">
                  <c:v>26.669999999998481</c:v>
                </c:pt>
                <c:pt idx="16">
                  <c:v>32.160000000002583</c:v>
                </c:pt>
                <c:pt idx="17">
                  <c:v>27.009999999995443</c:v>
                </c:pt>
                <c:pt idx="18">
                  <c:v>26.350000000005821</c:v>
                </c:pt>
                <c:pt idx="19">
                  <c:v>24</c:v>
                </c:pt>
                <c:pt idx="20">
                  <c:v>24.369999999999891</c:v>
                </c:pt>
                <c:pt idx="21">
                  <c:v>24</c:v>
                </c:pt>
                <c:pt idx="22">
                  <c:v>23.630000000000109</c:v>
                </c:pt>
                <c:pt idx="23">
                  <c:v>24</c:v>
                </c:pt>
                <c:pt idx="24">
                  <c:v>24</c:v>
                </c:pt>
                <c:pt idx="25">
                  <c:v>24.319999999999936</c:v>
                </c:pt>
                <c:pt idx="26">
                  <c:v>23.680000000000064</c:v>
                </c:pt>
                <c:pt idx="27">
                  <c:v>23.449999999997544</c:v>
                </c:pt>
                <c:pt idx="28">
                  <c:v>23.600000000001728</c:v>
                </c:pt>
                <c:pt idx="29">
                  <c:v>25.900000000000091</c:v>
                </c:pt>
                <c:pt idx="30">
                  <c:v>23.739999999997963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92470656"/>
        <c:axId val="91759744"/>
      </c:lineChart>
      <c:catAx>
        <c:axId val="9247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59744"/>
        <c:crosses val="autoZero"/>
        <c:auto val="1"/>
        <c:lblAlgn val="ctr"/>
        <c:lblOffset val="100"/>
        <c:noMultiLvlLbl val="0"/>
      </c:catAx>
      <c:valAx>
        <c:axId val="91759744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924706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16.080000000001746</c:v>
                </c:pt>
                <c:pt idx="1">
                  <c:v>12.309999999994034</c:v>
                </c:pt>
                <c:pt idx="2">
                  <c:v>3.2400000000052387</c:v>
                </c:pt>
                <c:pt idx="3">
                  <c:v>14.849999999998545</c:v>
                </c:pt>
                <c:pt idx="4">
                  <c:v>13.659999999996217</c:v>
                </c:pt>
                <c:pt idx="5">
                  <c:v>11.86000000000422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-466</c:v>
                </c:pt>
                <c:pt idx="10">
                  <c:v>18</c:v>
                </c:pt>
                <c:pt idx="11">
                  <c:v>19.169999999998254</c:v>
                </c:pt>
                <c:pt idx="12">
                  <c:v>18.559999999997672</c:v>
                </c:pt>
                <c:pt idx="13">
                  <c:v>17.889999999999418</c:v>
                </c:pt>
                <c:pt idx="14">
                  <c:v>19.980000000003201</c:v>
                </c:pt>
                <c:pt idx="15">
                  <c:v>16.520000000004075</c:v>
                </c:pt>
                <c:pt idx="16">
                  <c:v>17.959999999991851</c:v>
                </c:pt>
                <c:pt idx="17">
                  <c:v>18.880000000008295</c:v>
                </c:pt>
                <c:pt idx="18">
                  <c:v>16.469999999993888</c:v>
                </c:pt>
                <c:pt idx="19">
                  <c:v>17.840000000003783</c:v>
                </c:pt>
                <c:pt idx="20">
                  <c:v>16.939999999995052</c:v>
                </c:pt>
                <c:pt idx="21">
                  <c:v>15.67000000000553</c:v>
                </c:pt>
                <c:pt idx="22">
                  <c:v>15.959999999991851</c:v>
                </c:pt>
                <c:pt idx="23">
                  <c:v>14.930000000011205</c:v>
                </c:pt>
                <c:pt idx="24">
                  <c:v>16.879999999990105</c:v>
                </c:pt>
                <c:pt idx="25">
                  <c:v>16.889999999999418</c:v>
                </c:pt>
                <c:pt idx="26">
                  <c:v>16.460000000006403</c:v>
                </c:pt>
                <c:pt idx="27">
                  <c:v>15.739999999990687</c:v>
                </c:pt>
                <c:pt idx="28">
                  <c:v>14.610000000007858</c:v>
                </c:pt>
                <c:pt idx="29">
                  <c:v>14.650000000001455</c:v>
                </c:pt>
                <c:pt idx="30">
                  <c:v>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1796992"/>
        <c:axId val="91798528"/>
      </c:lineChart>
      <c:catAx>
        <c:axId val="9179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98528"/>
        <c:crosses val="autoZero"/>
        <c:auto val="1"/>
        <c:lblAlgn val="ctr"/>
        <c:lblOffset val="100"/>
        <c:noMultiLvlLbl val="0"/>
      </c:catAx>
      <c:valAx>
        <c:axId val="9179852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9699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337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54</c:v>
                </c:pt>
                <c:pt idx="1">
                  <c:v>56</c:v>
                </c:pt>
                <c:pt idx="2">
                  <c:v>356</c:v>
                </c:pt>
                <c:pt idx="3">
                  <c:v>219</c:v>
                </c:pt>
                <c:pt idx="4">
                  <c:v>171</c:v>
                </c:pt>
                <c:pt idx="5">
                  <c:v>204</c:v>
                </c:pt>
                <c:pt idx="6">
                  <c:v>214</c:v>
                </c:pt>
                <c:pt idx="7">
                  <c:v>211</c:v>
                </c:pt>
                <c:pt idx="8">
                  <c:v>205</c:v>
                </c:pt>
                <c:pt idx="9">
                  <c:v>325</c:v>
                </c:pt>
                <c:pt idx="10">
                  <c:v>445</c:v>
                </c:pt>
                <c:pt idx="11">
                  <c:v>565</c:v>
                </c:pt>
                <c:pt idx="12">
                  <c:v>685</c:v>
                </c:pt>
                <c:pt idx="13">
                  <c:v>805</c:v>
                </c:pt>
                <c:pt idx="14">
                  <c:v>925</c:v>
                </c:pt>
                <c:pt idx="15">
                  <c:v>1045</c:v>
                </c:pt>
                <c:pt idx="16">
                  <c:v>1165</c:v>
                </c:pt>
                <c:pt idx="17">
                  <c:v>1285</c:v>
                </c:pt>
                <c:pt idx="18">
                  <c:v>1405</c:v>
                </c:pt>
                <c:pt idx="19">
                  <c:v>1525</c:v>
                </c:pt>
                <c:pt idx="20">
                  <c:v>1645</c:v>
                </c:pt>
                <c:pt idx="21">
                  <c:v>1765</c:v>
                </c:pt>
                <c:pt idx="22">
                  <c:v>1885</c:v>
                </c:pt>
                <c:pt idx="23">
                  <c:v>2005</c:v>
                </c:pt>
                <c:pt idx="24">
                  <c:v>2125</c:v>
                </c:pt>
                <c:pt idx="25">
                  <c:v>2245</c:v>
                </c:pt>
                <c:pt idx="26">
                  <c:v>2365</c:v>
                </c:pt>
                <c:pt idx="27">
                  <c:v>2485</c:v>
                </c:pt>
                <c:pt idx="28">
                  <c:v>2605</c:v>
                </c:pt>
                <c:pt idx="29">
                  <c:v>2725</c:v>
                </c:pt>
                <c:pt idx="30">
                  <c:v>2845</c:v>
                </c:pt>
                <c:pt idx="31">
                  <c:v>36560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93278208"/>
        <c:axId val="93279744"/>
      </c:lineChart>
      <c:catAx>
        <c:axId val="9327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79744"/>
        <c:crosses val="autoZero"/>
        <c:auto val="1"/>
        <c:lblAlgn val="ctr"/>
        <c:lblOffset val="100"/>
        <c:noMultiLvlLbl val="0"/>
      </c:catAx>
      <c:valAx>
        <c:axId val="9327974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7820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0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1070.0859999998938</c:v>
                </c:pt>
                <c:pt idx="1">
                  <c:v>808.52700000000186</c:v>
                </c:pt>
                <c:pt idx="2">
                  <c:v>524.78700000001118</c:v>
                </c:pt>
                <c:pt idx="3">
                  <c:v>1035.25</c:v>
                </c:pt>
                <c:pt idx="4">
                  <c:v>1002.0500000000466</c:v>
                </c:pt>
                <c:pt idx="5">
                  <c:v>933.30000000004657</c:v>
                </c:pt>
                <c:pt idx="6">
                  <c:v>963</c:v>
                </c:pt>
                <c:pt idx="7">
                  <c:v>925</c:v>
                </c:pt>
                <c:pt idx="8">
                  <c:v>907</c:v>
                </c:pt>
                <c:pt idx="9">
                  <c:v>1100</c:v>
                </c:pt>
                <c:pt idx="10">
                  <c:v>1100</c:v>
                </c:pt>
                <c:pt idx="11">
                  <c:v>1100</c:v>
                </c:pt>
                <c:pt idx="12">
                  <c:v>1100</c:v>
                </c:pt>
                <c:pt idx="13">
                  <c:v>1100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32369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95296"/>
        <c:axId val="91896832"/>
      </c:lineChart>
      <c:catAx>
        <c:axId val="9189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6832"/>
        <c:crosses val="autoZero"/>
        <c:auto val="1"/>
        <c:lblAlgn val="ctr"/>
        <c:lblOffset val="100"/>
        <c:noMultiLvlLbl val="0"/>
      </c:catAx>
      <c:valAx>
        <c:axId val="9189683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529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352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2724.390000000014</c:v>
                </c:pt>
                <c:pt idx="1">
                  <c:v>2721.7999999999884</c:v>
                </c:pt>
                <c:pt idx="2">
                  <c:v>2758.7999999999884</c:v>
                </c:pt>
                <c:pt idx="3">
                  <c:v>2740.5200000000186</c:v>
                </c:pt>
                <c:pt idx="4">
                  <c:v>2669.0800000000163</c:v>
                </c:pt>
                <c:pt idx="5">
                  <c:v>2707.4099999999744</c:v>
                </c:pt>
                <c:pt idx="6">
                  <c:v>2675</c:v>
                </c:pt>
                <c:pt idx="7">
                  <c:v>2685</c:v>
                </c:pt>
                <c:pt idx="8">
                  <c:v>2610</c:v>
                </c:pt>
                <c:pt idx="9">
                  <c:v>348084</c:v>
                </c:pt>
                <c:pt idx="10">
                  <c:v>2960</c:v>
                </c:pt>
                <c:pt idx="11">
                  <c:v>3054</c:v>
                </c:pt>
                <c:pt idx="12">
                  <c:v>3101</c:v>
                </c:pt>
                <c:pt idx="13">
                  <c:v>3022</c:v>
                </c:pt>
                <c:pt idx="14">
                  <c:v>2939</c:v>
                </c:pt>
                <c:pt idx="15">
                  <c:v>2949.8699999999953</c:v>
                </c:pt>
                <c:pt idx="16">
                  <c:v>3084.4799999999814</c:v>
                </c:pt>
                <c:pt idx="17">
                  <c:v>2894.0400000000373</c:v>
                </c:pt>
                <c:pt idx="18">
                  <c:v>3077.5599999999977</c:v>
                </c:pt>
                <c:pt idx="19">
                  <c:v>2849.679999999993</c:v>
                </c:pt>
                <c:pt idx="20">
                  <c:v>2810.5999999999767</c:v>
                </c:pt>
                <c:pt idx="21">
                  <c:v>2775.9200000000419</c:v>
                </c:pt>
                <c:pt idx="22">
                  <c:v>2743.8499999999767</c:v>
                </c:pt>
                <c:pt idx="23">
                  <c:v>2746</c:v>
                </c:pt>
                <c:pt idx="24">
                  <c:v>2850</c:v>
                </c:pt>
                <c:pt idx="25">
                  <c:v>2728</c:v>
                </c:pt>
                <c:pt idx="26">
                  <c:v>2857</c:v>
                </c:pt>
                <c:pt idx="27">
                  <c:v>2740.429999999993</c:v>
                </c:pt>
                <c:pt idx="28">
                  <c:v>2727.320000000007</c:v>
                </c:pt>
                <c:pt idx="29">
                  <c:v>2712.25</c:v>
                </c:pt>
                <c:pt idx="30">
                  <c:v>2762</c:v>
                </c:pt>
                <c:pt idx="31">
                  <c:v>432761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93393280"/>
        <c:axId val="93394816"/>
      </c:lineChart>
      <c:catAx>
        <c:axId val="9339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94816"/>
        <c:crosses val="autoZero"/>
        <c:auto val="1"/>
        <c:lblAlgn val="ctr"/>
        <c:lblOffset val="100"/>
        <c:noMultiLvlLbl val="0"/>
      </c:catAx>
      <c:valAx>
        <c:axId val="9339481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93280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2052.1199999999953</c:v>
                </c:pt>
                <c:pt idx="1">
                  <c:v>2014.5200000000186</c:v>
                </c:pt>
                <c:pt idx="2">
                  <c:v>1878.3099999999977</c:v>
                </c:pt>
                <c:pt idx="3">
                  <c:v>1887.8299999999872</c:v>
                </c:pt>
                <c:pt idx="4">
                  <c:v>1878.8500000000058</c:v>
                </c:pt>
                <c:pt idx="5">
                  <c:v>1804.3699999999953</c:v>
                </c:pt>
                <c:pt idx="6">
                  <c:v>1888</c:v>
                </c:pt>
                <c:pt idx="7">
                  <c:v>1796</c:v>
                </c:pt>
                <c:pt idx="8">
                  <c:v>1783</c:v>
                </c:pt>
                <c:pt idx="9">
                  <c:v>112804</c:v>
                </c:pt>
                <c:pt idx="10">
                  <c:v>2136</c:v>
                </c:pt>
                <c:pt idx="11">
                  <c:v>2138</c:v>
                </c:pt>
                <c:pt idx="12">
                  <c:v>2004</c:v>
                </c:pt>
                <c:pt idx="13">
                  <c:v>2110</c:v>
                </c:pt>
                <c:pt idx="14">
                  <c:v>2025</c:v>
                </c:pt>
                <c:pt idx="15">
                  <c:v>1939.7899999999936</c:v>
                </c:pt>
                <c:pt idx="16">
                  <c:v>1791.2700000000041</c:v>
                </c:pt>
                <c:pt idx="17">
                  <c:v>1585.0299999999988</c:v>
                </c:pt>
                <c:pt idx="18">
                  <c:v>1656.7399999999907</c:v>
                </c:pt>
                <c:pt idx="19">
                  <c:v>1742.8000000000175</c:v>
                </c:pt>
                <c:pt idx="20">
                  <c:v>1616.5499999999884</c:v>
                </c:pt>
                <c:pt idx="21">
                  <c:v>1523.0299999999988</c:v>
                </c:pt>
                <c:pt idx="22">
                  <c:v>1488.7900000000081</c:v>
                </c:pt>
                <c:pt idx="23">
                  <c:v>1535</c:v>
                </c:pt>
                <c:pt idx="24">
                  <c:v>1650</c:v>
                </c:pt>
                <c:pt idx="25">
                  <c:v>1816</c:v>
                </c:pt>
                <c:pt idx="26">
                  <c:v>1834</c:v>
                </c:pt>
                <c:pt idx="27">
                  <c:v>1836.2699999999895</c:v>
                </c:pt>
                <c:pt idx="28">
                  <c:v>1871.7200000000012</c:v>
                </c:pt>
                <c:pt idx="29">
                  <c:v>2062.0100000000093</c:v>
                </c:pt>
                <c:pt idx="30">
                  <c:v>1893</c:v>
                </c:pt>
                <c:pt idx="31">
                  <c:v>168042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27968"/>
        <c:axId val="93442048"/>
      </c:lineChart>
      <c:catAx>
        <c:axId val="934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42048"/>
        <c:crosses val="autoZero"/>
        <c:auto val="1"/>
        <c:lblAlgn val="ctr"/>
        <c:lblOffset val="100"/>
        <c:noMultiLvlLbl val="0"/>
      </c:catAx>
      <c:valAx>
        <c:axId val="9344204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279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0.96</c:v>
                </c:pt>
                <c:pt idx="1">
                  <c:v>0.43559999999999999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0.55940000000000001</c:v>
                </c:pt>
                <c:pt idx="5">
                  <c:v>0.78</c:v>
                </c:pt>
                <c:pt idx="6">
                  <c:v>0.71</c:v>
                </c:pt>
                <c:pt idx="7">
                  <c:v>0.71</c:v>
                </c:pt>
                <c:pt idx="8">
                  <c:v>0.7</c:v>
                </c:pt>
                <c:pt idx="9">
                  <c:v>0.91</c:v>
                </c:pt>
                <c:pt idx="10">
                  <c:v>0.76</c:v>
                </c:pt>
                <c:pt idx="11">
                  <c:v>0.75</c:v>
                </c:pt>
                <c:pt idx="12">
                  <c:v>0.5</c:v>
                </c:pt>
                <c:pt idx="13">
                  <c:v>0.54</c:v>
                </c:pt>
                <c:pt idx="14">
                  <c:v>0.5</c:v>
                </c:pt>
                <c:pt idx="15">
                  <c:v>0.57420000000000004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0.85</c:v>
                </c:pt>
                <c:pt idx="23">
                  <c:v>0.9</c:v>
                </c:pt>
                <c:pt idx="24">
                  <c:v>0.9</c:v>
                </c:pt>
                <c:pt idx="25">
                  <c:v>0.83</c:v>
                </c:pt>
                <c:pt idx="26">
                  <c:v>0.76</c:v>
                </c:pt>
                <c:pt idx="27">
                  <c:v>0.92</c:v>
                </c:pt>
                <c:pt idx="28">
                  <c:v>0.45</c:v>
                </c:pt>
                <c:pt idx="29">
                  <c:v>0.61</c:v>
                </c:pt>
                <c:pt idx="30">
                  <c:v>25</c:v>
                </c:pt>
                <c:pt idx="31">
                  <c:v>1.507583870967742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39648"/>
        <c:axId val="93341184"/>
      </c:lineChart>
      <c:catAx>
        <c:axId val="9333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41184"/>
        <c:crosses val="autoZero"/>
        <c:auto val="1"/>
        <c:lblAlgn val="ctr"/>
        <c:lblOffset val="100"/>
        <c:noMultiLvlLbl val="0"/>
      </c:catAx>
      <c:valAx>
        <c:axId val="93341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3339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20449</c:v>
                </c:pt>
                <c:pt idx="1">
                  <c:v>19893</c:v>
                </c:pt>
                <c:pt idx="2">
                  <c:v>19529</c:v>
                </c:pt>
                <c:pt idx="3">
                  <c:v>20218.950000000012</c:v>
                </c:pt>
                <c:pt idx="4">
                  <c:v>20335.049999999988</c:v>
                </c:pt>
                <c:pt idx="5">
                  <c:v>20708</c:v>
                </c:pt>
                <c:pt idx="6">
                  <c:v>20261</c:v>
                </c:pt>
                <c:pt idx="7">
                  <c:v>19647</c:v>
                </c:pt>
                <c:pt idx="8">
                  <c:v>18011</c:v>
                </c:pt>
                <c:pt idx="9">
                  <c:v>23500</c:v>
                </c:pt>
                <c:pt idx="10">
                  <c:v>23500</c:v>
                </c:pt>
                <c:pt idx="11">
                  <c:v>23500</c:v>
                </c:pt>
                <c:pt idx="12">
                  <c:v>23500</c:v>
                </c:pt>
                <c:pt idx="13">
                  <c:v>23500</c:v>
                </c:pt>
                <c:pt idx="14">
                  <c:v>23500</c:v>
                </c:pt>
                <c:pt idx="15">
                  <c:v>23500</c:v>
                </c:pt>
                <c:pt idx="16">
                  <c:v>23500</c:v>
                </c:pt>
                <c:pt idx="17">
                  <c:v>23500</c:v>
                </c:pt>
                <c:pt idx="18">
                  <c:v>23500</c:v>
                </c:pt>
                <c:pt idx="19">
                  <c:v>23500</c:v>
                </c:pt>
                <c:pt idx="20">
                  <c:v>23500</c:v>
                </c:pt>
                <c:pt idx="21">
                  <c:v>23500</c:v>
                </c:pt>
                <c:pt idx="22">
                  <c:v>23500</c:v>
                </c:pt>
                <c:pt idx="23">
                  <c:v>23500</c:v>
                </c:pt>
                <c:pt idx="24">
                  <c:v>23500</c:v>
                </c:pt>
                <c:pt idx="25">
                  <c:v>23500</c:v>
                </c:pt>
                <c:pt idx="26">
                  <c:v>23500</c:v>
                </c:pt>
                <c:pt idx="27">
                  <c:v>23500</c:v>
                </c:pt>
                <c:pt idx="28">
                  <c:v>23500</c:v>
                </c:pt>
                <c:pt idx="29">
                  <c:v>23500</c:v>
                </c:pt>
                <c:pt idx="30">
                  <c:v>23500</c:v>
                </c:pt>
                <c:pt idx="31">
                  <c:v>696052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3529984"/>
        <c:axId val="93531520"/>
      </c:lineChart>
      <c:catAx>
        <c:axId val="9352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31520"/>
        <c:crosses val="autoZero"/>
        <c:auto val="1"/>
        <c:lblAlgn val="ctr"/>
        <c:lblOffset val="100"/>
        <c:noMultiLvlLbl val="0"/>
      </c:catAx>
      <c:valAx>
        <c:axId val="9353152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2998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9.6599999999998545</c:v>
                </c:pt>
                <c:pt idx="1">
                  <c:v>9.0100000000002183</c:v>
                </c:pt>
                <c:pt idx="2">
                  <c:v>8.5399999999999636</c:v>
                </c:pt>
                <c:pt idx="3">
                  <c:v>11.090000000000146</c:v>
                </c:pt>
                <c:pt idx="4">
                  <c:v>9.8599999999996726</c:v>
                </c:pt>
                <c:pt idx="5">
                  <c:v>10.650000000000546</c:v>
                </c:pt>
                <c:pt idx="6">
                  <c:v>10.529999999999745</c:v>
                </c:pt>
                <c:pt idx="7">
                  <c:v>10.659999999999854</c:v>
                </c:pt>
                <c:pt idx="8">
                  <c:v>11</c:v>
                </c:pt>
                <c:pt idx="9">
                  <c:v>-322.5</c:v>
                </c:pt>
                <c:pt idx="10">
                  <c:v>10.5</c:v>
                </c:pt>
                <c:pt idx="11">
                  <c:v>10.75</c:v>
                </c:pt>
                <c:pt idx="12">
                  <c:v>11.529999999999745</c:v>
                </c:pt>
                <c:pt idx="13">
                  <c:v>11.230000000000473</c:v>
                </c:pt>
                <c:pt idx="14">
                  <c:v>11.260000000000218</c:v>
                </c:pt>
                <c:pt idx="15">
                  <c:v>11.819999999999709</c:v>
                </c:pt>
                <c:pt idx="16">
                  <c:v>10.970000000000255</c:v>
                </c:pt>
                <c:pt idx="17">
                  <c:v>10.710000000000036</c:v>
                </c:pt>
                <c:pt idx="18">
                  <c:v>10.989999999999782</c:v>
                </c:pt>
                <c:pt idx="19">
                  <c:v>11.139999999999418</c:v>
                </c:pt>
                <c:pt idx="20">
                  <c:v>11.170000000000073</c:v>
                </c:pt>
                <c:pt idx="21">
                  <c:v>11.440000000000509</c:v>
                </c:pt>
                <c:pt idx="22">
                  <c:v>10.729999999999563</c:v>
                </c:pt>
                <c:pt idx="23">
                  <c:v>10.260000000000218</c:v>
                </c:pt>
                <c:pt idx="24">
                  <c:v>11.679999999999836</c:v>
                </c:pt>
                <c:pt idx="25">
                  <c:v>11</c:v>
                </c:pt>
                <c:pt idx="26">
                  <c:v>11</c:v>
                </c:pt>
                <c:pt idx="27">
                  <c:v>11.680000000000291</c:v>
                </c:pt>
                <c:pt idx="28">
                  <c:v>11.449999999999818</c:v>
                </c:pt>
                <c:pt idx="29">
                  <c:v>10.869999999999891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84384"/>
        <c:axId val="93463296"/>
      </c:lineChart>
      <c:catAx>
        <c:axId val="9358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3296"/>
        <c:crosses val="autoZero"/>
        <c:auto val="1"/>
        <c:lblAlgn val="ctr"/>
        <c:lblOffset val="100"/>
        <c:noMultiLvlLbl val="0"/>
      </c:catAx>
      <c:valAx>
        <c:axId val="9346329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843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9181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317.86999999999534</c:v>
                </c:pt>
                <c:pt idx="1">
                  <c:v>282.26000000000931</c:v>
                </c:pt>
                <c:pt idx="2">
                  <c:v>304.51000000000931</c:v>
                </c:pt>
                <c:pt idx="3">
                  <c:v>301</c:v>
                </c:pt>
                <c:pt idx="4">
                  <c:v>306</c:v>
                </c:pt>
                <c:pt idx="5">
                  <c:v>305</c:v>
                </c:pt>
                <c:pt idx="6">
                  <c:v>-9207</c:v>
                </c:pt>
                <c:pt idx="7">
                  <c:v>309</c:v>
                </c:pt>
                <c:pt idx="8">
                  <c:v>300</c:v>
                </c:pt>
                <c:pt idx="9">
                  <c:v>329</c:v>
                </c:pt>
                <c:pt idx="10">
                  <c:v>321</c:v>
                </c:pt>
                <c:pt idx="11">
                  <c:v>322</c:v>
                </c:pt>
                <c:pt idx="12">
                  <c:v>330.4100000000326</c:v>
                </c:pt>
                <c:pt idx="13">
                  <c:v>317.41999999992549</c:v>
                </c:pt>
                <c:pt idx="14">
                  <c:v>305.65000000002328</c:v>
                </c:pt>
                <c:pt idx="15">
                  <c:v>312.83000000007451</c:v>
                </c:pt>
                <c:pt idx="16">
                  <c:v>318.68999999994412</c:v>
                </c:pt>
                <c:pt idx="17">
                  <c:v>321.20999999996275</c:v>
                </c:pt>
                <c:pt idx="18">
                  <c:v>332.31000000005588</c:v>
                </c:pt>
                <c:pt idx="19">
                  <c:v>301.47999999998137</c:v>
                </c:pt>
                <c:pt idx="20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599.45999999999549</c:v>
                </c:pt>
                <c:pt idx="1">
                  <c:v>570.81000000004133</c:v>
                </c:pt>
                <c:pt idx="2">
                  <c:v>510.09000000004016</c:v>
                </c:pt>
                <c:pt idx="3">
                  <c:v>550</c:v>
                </c:pt>
                <c:pt idx="4">
                  <c:v>508</c:v>
                </c:pt>
                <c:pt idx="5">
                  <c:v>501.80000000000291</c:v>
                </c:pt>
                <c:pt idx="6">
                  <c:v>14778.309999999998</c:v>
                </c:pt>
                <c:pt idx="7">
                  <c:v>603</c:v>
                </c:pt>
                <c:pt idx="8">
                  <c:v>597</c:v>
                </c:pt>
                <c:pt idx="9">
                  <c:v>566</c:v>
                </c:pt>
                <c:pt idx="10">
                  <c:v>630</c:v>
                </c:pt>
                <c:pt idx="11">
                  <c:v>597.09999999999491</c:v>
                </c:pt>
                <c:pt idx="12">
                  <c:v>585.16999999996187</c:v>
                </c:pt>
                <c:pt idx="13">
                  <c:v>604.40000000008513</c:v>
                </c:pt>
                <c:pt idx="14">
                  <c:v>602.64999999997417</c:v>
                </c:pt>
                <c:pt idx="15">
                  <c:v>566.16999999991276</c:v>
                </c:pt>
                <c:pt idx="16">
                  <c:v>606.26000000007116</c:v>
                </c:pt>
                <c:pt idx="17">
                  <c:v>611.31000000002678</c:v>
                </c:pt>
                <c:pt idx="18">
                  <c:v>626.01999999996406</c:v>
                </c:pt>
                <c:pt idx="19">
                  <c:v>635.92000000000917</c:v>
                </c:pt>
                <c:pt idx="20">
                  <c:v>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94.320000000006985</c:v>
                </c:pt>
                <c:pt idx="1">
                  <c:v>95.679999999993015</c:v>
                </c:pt>
                <c:pt idx="2">
                  <c:v>80</c:v>
                </c:pt>
                <c:pt idx="3">
                  <c:v>72</c:v>
                </c:pt>
                <c:pt idx="4">
                  <c:v>87</c:v>
                </c:pt>
                <c:pt idx="5">
                  <c:v>76</c:v>
                </c:pt>
                <c:pt idx="6">
                  <c:v>-3334</c:v>
                </c:pt>
                <c:pt idx="7">
                  <c:v>141</c:v>
                </c:pt>
                <c:pt idx="8">
                  <c:v>152</c:v>
                </c:pt>
                <c:pt idx="9">
                  <c:v>139</c:v>
                </c:pt>
                <c:pt idx="10">
                  <c:v>110</c:v>
                </c:pt>
                <c:pt idx="11">
                  <c:v>130.60000000000582</c:v>
                </c:pt>
                <c:pt idx="12">
                  <c:v>136.82000000000698</c:v>
                </c:pt>
                <c:pt idx="13">
                  <c:v>123.57999999998719</c:v>
                </c:pt>
                <c:pt idx="14">
                  <c:v>134.60000000000582</c:v>
                </c:pt>
                <c:pt idx="15">
                  <c:v>149.60000000000582</c:v>
                </c:pt>
                <c:pt idx="16">
                  <c:v>127.04999999998836</c:v>
                </c:pt>
                <c:pt idx="17">
                  <c:v>111.48000000001048</c:v>
                </c:pt>
                <c:pt idx="18">
                  <c:v>92.069999999977881</c:v>
                </c:pt>
                <c:pt idx="19">
                  <c:v>120.20000000001164</c:v>
                </c:pt>
                <c:pt idx="20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35872"/>
        <c:axId val="93945856"/>
      </c:lineChart>
      <c:catAx>
        <c:axId val="939358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3945856"/>
        <c:crosses val="autoZero"/>
        <c:auto val="1"/>
        <c:lblAlgn val="ctr"/>
        <c:lblOffset val="100"/>
        <c:noMultiLvlLbl val="0"/>
      </c:catAx>
      <c:valAx>
        <c:axId val="93945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39358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05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0.12153132002401244</c:v>
                </c:pt>
                <c:pt idx="1">
                  <c:v>3100</c:v>
                </c:pt>
                <c:pt idx="2">
                  <c:v>3094.6399999999994</c:v>
                </c:pt>
                <c:pt idx="3">
                  <c:v>3146.7900000000009</c:v>
                </c:pt>
                <c:pt idx="4">
                  <c:v>0</c:v>
                </c:pt>
                <c:pt idx="5">
                  <c:v>3311.0800000000017</c:v>
                </c:pt>
                <c:pt idx="6">
                  <c:v>3369</c:v>
                </c:pt>
                <c:pt idx="7">
                  <c:v>3190</c:v>
                </c:pt>
                <c:pt idx="8">
                  <c:v>2762.4599999999991</c:v>
                </c:pt>
                <c:pt idx="9">
                  <c:v>1043261.4</c:v>
                </c:pt>
                <c:pt idx="10">
                  <c:v>5467</c:v>
                </c:pt>
                <c:pt idx="11">
                  <c:v>5511</c:v>
                </c:pt>
                <c:pt idx="12">
                  <c:v>5072</c:v>
                </c:pt>
                <c:pt idx="13">
                  <c:v>3919</c:v>
                </c:pt>
                <c:pt idx="14">
                  <c:v>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6860032"/>
        <c:axId val="9686156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343437</c:v>
                </c:pt>
                <c:pt idx="10">
                  <c:v>366937</c:v>
                </c:pt>
                <c:pt idx="11">
                  <c:v>390437</c:v>
                </c:pt>
                <c:pt idx="12">
                  <c:v>413937</c:v>
                </c:pt>
                <c:pt idx="13">
                  <c:v>437437</c:v>
                </c:pt>
                <c:pt idx="14">
                  <c:v>460937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82976"/>
        <c:axId val="98384512"/>
      </c:lineChart>
      <c:catAx>
        <c:axId val="9686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1568"/>
        <c:crosses val="autoZero"/>
        <c:auto val="1"/>
        <c:lblAlgn val="ctr"/>
        <c:lblOffset val="100"/>
        <c:noMultiLvlLbl val="0"/>
      </c:catAx>
      <c:valAx>
        <c:axId val="9686156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0032"/>
        <c:crosses val="autoZero"/>
        <c:crossBetween val="between"/>
        <c:minorUnit val="50"/>
      </c:valAx>
      <c:catAx>
        <c:axId val="98382976"/>
        <c:scaling>
          <c:orientation val="minMax"/>
        </c:scaling>
        <c:delete val="1"/>
        <c:axPos val="b"/>
        <c:majorTickMark val="out"/>
        <c:minorTickMark val="none"/>
        <c:tickLblPos val="none"/>
        <c:crossAx val="98384512"/>
        <c:crosses val="autoZero"/>
        <c:auto val="1"/>
        <c:lblAlgn val="ctr"/>
        <c:lblOffset val="100"/>
        <c:noMultiLvlLbl val="0"/>
      </c:catAx>
      <c:valAx>
        <c:axId val="983845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297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33664"/>
        <c:axId val="97337728"/>
      </c:lineChart>
      <c:catAx>
        <c:axId val="9843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37728"/>
        <c:crosses val="autoZero"/>
        <c:auto val="1"/>
        <c:lblAlgn val="ctr"/>
        <c:lblOffset val="100"/>
        <c:noMultiLvlLbl val="0"/>
      </c:catAx>
      <c:valAx>
        <c:axId val="9733772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336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343437</c:v>
                </c:pt>
                <c:pt idx="10">
                  <c:v>366937</c:v>
                </c:pt>
                <c:pt idx="11">
                  <c:v>390437</c:v>
                </c:pt>
                <c:pt idx="12">
                  <c:v>413937</c:v>
                </c:pt>
                <c:pt idx="13">
                  <c:v>437437</c:v>
                </c:pt>
                <c:pt idx="14">
                  <c:v>460937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7366784"/>
        <c:axId val="97368320"/>
      </c:lineChart>
      <c:catAx>
        <c:axId val="973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8320"/>
        <c:crosses val="autoZero"/>
        <c:auto val="1"/>
        <c:lblAlgn val="ctr"/>
        <c:lblOffset val="100"/>
        <c:noMultiLvlLbl val="0"/>
      </c:catAx>
      <c:valAx>
        <c:axId val="97368320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67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0694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218</c:v>
                </c:pt>
                <c:pt idx="1">
                  <c:v>159</c:v>
                </c:pt>
                <c:pt idx="2">
                  <c:v>169</c:v>
                </c:pt>
                <c:pt idx="3">
                  <c:v>116</c:v>
                </c:pt>
                <c:pt idx="4">
                  <c:v>0</c:v>
                </c:pt>
                <c:pt idx="5">
                  <c:v>166</c:v>
                </c:pt>
                <c:pt idx="6">
                  <c:v>177</c:v>
                </c:pt>
                <c:pt idx="7">
                  <c:v>177</c:v>
                </c:pt>
                <c:pt idx="8">
                  <c:v>167</c:v>
                </c:pt>
                <c:pt idx="9">
                  <c:v>-6008</c:v>
                </c:pt>
                <c:pt idx="10">
                  <c:v>216</c:v>
                </c:pt>
                <c:pt idx="11">
                  <c:v>219</c:v>
                </c:pt>
                <c:pt idx="12">
                  <c:v>277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45952"/>
        <c:axId val="98047488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343437</c:v>
                </c:pt>
                <c:pt idx="10">
                  <c:v>366937</c:v>
                </c:pt>
                <c:pt idx="11">
                  <c:v>390437</c:v>
                </c:pt>
                <c:pt idx="12">
                  <c:v>413937</c:v>
                </c:pt>
                <c:pt idx="13">
                  <c:v>437437</c:v>
                </c:pt>
                <c:pt idx="14">
                  <c:v>460937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49024"/>
        <c:axId val="98054912"/>
      </c:lineChart>
      <c:catAx>
        <c:axId val="980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7488"/>
        <c:crosses val="autoZero"/>
        <c:auto val="1"/>
        <c:lblAlgn val="ctr"/>
        <c:lblOffset val="100"/>
        <c:noMultiLvlLbl val="0"/>
      </c:catAx>
      <c:valAx>
        <c:axId val="98047488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5952"/>
        <c:crosses val="autoZero"/>
        <c:crossBetween val="between"/>
      </c:valAx>
      <c:catAx>
        <c:axId val="98049024"/>
        <c:scaling>
          <c:orientation val="minMax"/>
        </c:scaling>
        <c:delete val="1"/>
        <c:axPos val="b"/>
        <c:majorTickMark val="out"/>
        <c:minorTickMark val="none"/>
        <c:tickLblPos val="none"/>
        <c:crossAx val="98054912"/>
        <c:crosses val="autoZero"/>
        <c:auto val="1"/>
        <c:lblAlgn val="ctr"/>
        <c:lblOffset val="100"/>
        <c:noMultiLvlLbl val="0"/>
      </c:catAx>
      <c:valAx>
        <c:axId val="980549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9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39</c:v>
                </c:pt>
                <c:pt idx="1">
                  <c:v>21</c:v>
                </c:pt>
                <c:pt idx="2">
                  <c:v>34</c:v>
                </c:pt>
                <c:pt idx="3">
                  <c:v>31</c:v>
                </c:pt>
                <c:pt idx="4">
                  <c:v>0</c:v>
                </c:pt>
                <c:pt idx="5">
                  <c:v>55</c:v>
                </c:pt>
                <c:pt idx="6">
                  <c:v>49</c:v>
                </c:pt>
                <c:pt idx="7">
                  <c:v>36</c:v>
                </c:pt>
                <c:pt idx="8">
                  <c:v>34</c:v>
                </c:pt>
                <c:pt idx="9">
                  <c:v>-1363</c:v>
                </c:pt>
                <c:pt idx="10">
                  <c:v>47</c:v>
                </c:pt>
                <c:pt idx="11">
                  <c:v>51</c:v>
                </c:pt>
                <c:pt idx="12">
                  <c:v>62</c:v>
                </c:pt>
                <c:pt idx="13">
                  <c:v>49</c:v>
                </c:pt>
                <c:pt idx="1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13</c:v>
                </c:pt>
                <c:pt idx="1">
                  <c:v>12</c:v>
                </c:pt>
                <c:pt idx="2">
                  <c:v>6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14</c:v>
                </c:pt>
                <c:pt idx="9">
                  <c:v>-295</c:v>
                </c:pt>
                <c:pt idx="10">
                  <c:v>11</c:v>
                </c:pt>
                <c:pt idx="11">
                  <c:v>9</c:v>
                </c:pt>
                <c:pt idx="12">
                  <c:v>14</c:v>
                </c:pt>
                <c:pt idx="13">
                  <c:v>213</c:v>
                </c:pt>
                <c:pt idx="14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9216"/>
        <c:axId val="9857510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343437</c:v>
                </c:pt>
                <c:pt idx="10">
                  <c:v>366937</c:v>
                </c:pt>
                <c:pt idx="11">
                  <c:v>390437</c:v>
                </c:pt>
                <c:pt idx="12">
                  <c:v>413937</c:v>
                </c:pt>
                <c:pt idx="13">
                  <c:v>437437</c:v>
                </c:pt>
                <c:pt idx="14">
                  <c:v>460937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76640"/>
        <c:axId val="98590720"/>
      </c:lineChart>
      <c:catAx>
        <c:axId val="9856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5104"/>
        <c:crosses val="autoZero"/>
        <c:auto val="1"/>
        <c:lblAlgn val="ctr"/>
        <c:lblOffset val="100"/>
        <c:noMultiLvlLbl val="0"/>
      </c:catAx>
      <c:valAx>
        <c:axId val="9857510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69216"/>
        <c:crosses val="autoZero"/>
        <c:crossBetween val="between"/>
        <c:majorUnit val="2"/>
      </c:valAx>
      <c:catAx>
        <c:axId val="98576640"/>
        <c:scaling>
          <c:orientation val="minMax"/>
        </c:scaling>
        <c:delete val="1"/>
        <c:axPos val="b"/>
        <c:majorTickMark val="out"/>
        <c:minorTickMark val="none"/>
        <c:tickLblPos val="none"/>
        <c:crossAx val="98590720"/>
        <c:crosses val="autoZero"/>
        <c:auto val="1"/>
        <c:lblAlgn val="ctr"/>
        <c:lblOffset val="100"/>
        <c:noMultiLvlLbl val="0"/>
      </c:catAx>
      <c:valAx>
        <c:axId val="985907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664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AppData/Local/Microsoft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tabSelected="1" workbookViewId="0">
      <selection activeCell="E6" sqref="E6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1</v>
      </c>
      <c r="D2" s="274">
        <v>2022</v>
      </c>
      <c r="E2" s="275">
        <f>(IF('Daily HLP'!H4&gt;0,'Daily HLP'!H4,0))</f>
        <v>20449</v>
      </c>
      <c r="F2" s="276">
        <v>9</v>
      </c>
      <c r="G2" s="276">
        <f>(IF('Daily HLP'!L4&gt;0,'Daily HLP'!L4,0))</f>
        <v>1070.0859999998938</v>
      </c>
      <c r="H2" s="276">
        <v>75</v>
      </c>
      <c r="I2" s="276">
        <f>(IF('Daily HLP'!O4&gt;0,'Daily HLP'!O4,0))</f>
        <v>54</v>
      </c>
      <c r="J2" s="276">
        <v>99</v>
      </c>
      <c r="K2" s="281">
        <f>Occupancy!G2</f>
        <v>161</v>
      </c>
      <c r="L2" s="275">
        <f>Occupancy!F2</f>
        <v>614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1</v>
      </c>
      <c r="D3" s="274">
        <v>2022</v>
      </c>
      <c r="E3" s="275">
        <f>(IF('Daily HLP'!H5&gt;0,'Daily HLP'!H5,0))</f>
        <v>19893</v>
      </c>
      <c r="F3" s="276">
        <v>9</v>
      </c>
      <c r="G3" s="276">
        <f>(IF('Daily HLP'!L5&gt;0,'Daily HLP'!L5,0))</f>
        <v>808.52700000000186</v>
      </c>
      <c r="H3" s="276">
        <v>75</v>
      </c>
      <c r="I3" s="276">
        <f>(IF('Daily HLP'!O5&gt;0,'Daily HLP'!O5,0))</f>
        <v>56</v>
      </c>
      <c r="J3" s="276">
        <v>99</v>
      </c>
      <c r="K3" s="281">
        <f>Occupancy!G3</f>
        <v>113</v>
      </c>
      <c r="L3" s="275">
        <f>Occupancy!F3</f>
        <v>516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1</v>
      </c>
      <c r="D4" s="274">
        <v>2022</v>
      </c>
      <c r="E4" s="275">
        <f>(IF('Daily HLP'!H6&gt;0,'Daily HLP'!H6,0))</f>
        <v>19529</v>
      </c>
      <c r="F4" s="276">
        <v>9</v>
      </c>
      <c r="G4" s="276">
        <f>(IF('Daily HLP'!L6&gt;0,'Daily HLP'!L6,0))</f>
        <v>524.78700000001118</v>
      </c>
      <c r="H4" s="276">
        <v>75</v>
      </c>
      <c r="I4" s="276">
        <f>(IF('Daily HLP'!O6&gt;0,'Daily HLP'!O6,0))</f>
        <v>356</v>
      </c>
      <c r="J4" s="276">
        <v>99</v>
      </c>
      <c r="K4" s="281">
        <f>Occupancy!G4</f>
        <v>115</v>
      </c>
      <c r="L4" s="275">
        <f>Occupancy!F4</f>
        <v>306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1</v>
      </c>
      <c r="D5" s="274">
        <v>2022</v>
      </c>
      <c r="E5" s="275">
        <f>(IF('Daily HLP'!H7&gt;0,'Daily HLP'!H7,0))</f>
        <v>20218.950000000012</v>
      </c>
      <c r="F5" s="276">
        <v>9</v>
      </c>
      <c r="G5" s="276">
        <f>(IF('Daily HLP'!L7&gt;0,'Daily HLP'!L7,0))</f>
        <v>1035.25</v>
      </c>
      <c r="H5" s="276">
        <v>75</v>
      </c>
      <c r="I5" s="276">
        <f>(IF('Daily HLP'!O7&gt;0,'Daily HLP'!O7,0))</f>
        <v>219</v>
      </c>
      <c r="J5" s="276">
        <v>99</v>
      </c>
      <c r="K5" s="281">
        <f>Occupancy!G5</f>
        <v>132</v>
      </c>
      <c r="L5" s="275">
        <f>Occupancy!F5</f>
        <v>385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1</v>
      </c>
      <c r="D6" s="274">
        <v>2022</v>
      </c>
      <c r="E6" s="275">
        <f>(IF('Daily HLP'!H8&gt;0,'Daily HLP'!H8,0))</f>
        <v>20335.049999999988</v>
      </c>
      <c r="F6" s="276">
        <v>9</v>
      </c>
      <c r="G6" s="276">
        <f>(IF('Daily HLP'!L8&gt;0,'Daily HLP'!L8,0))</f>
        <v>1002.0500000000466</v>
      </c>
      <c r="H6" s="276">
        <v>75</v>
      </c>
      <c r="I6" s="276">
        <f>(IF('Daily HLP'!O8&gt;0,'Daily HLP'!O8,0))</f>
        <v>171</v>
      </c>
      <c r="J6" s="276">
        <v>99</v>
      </c>
      <c r="K6" s="281">
        <f>Occupancy!G6</f>
        <v>127</v>
      </c>
      <c r="L6" s="275">
        <f>Occupancy!F6</f>
        <v>417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1</v>
      </c>
      <c r="D7" s="274">
        <v>2022</v>
      </c>
      <c r="E7" s="275">
        <f>(IF('Daily HLP'!H9&gt;0,'Daily HLP'!H9,0))</f>
        <v>20708</v>
      </c>
      <c r="F7" s="276">
        <v>9</v>
      </c>
      <c r="G7" s="276">
        <f>(IF('Daily HLP'!L9&gt;0,'Daily HLP'!L9,0))</f>
        <v>933.30000000004657</v>
      </c>
      <c r="H7" s="276">
        <v>75</v>
      </c>
      <c r="I7" s="276">
        <f>(IF('Daily HLP'!O9&gt;0,'Daily HLP'!O9,0))</f>
        <v>204</v>
      </c>
      <c r="J7" s="276">
        <v>99</v>
      </c>
      <c r="K7" s="281">
        <f>Occupancy!G7</f>
        <v>128</v>
      </c>
      <c r="L7" s="275">
        <f>Occupancy!F7</f>
        <v>477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1</v>
      </c>
      <c r="D8" s="274">
        <v>2022</v>
      </c>
      <c r="E8" s="275">
        <f>(IF('Daily HLP'!H10&gt;0,'Daily HLP'!H10,0))</f>
        <v>20261</v>
      </c>
      <c r="F8" s="276">
        <v>9</v>
      </c>
      <c r="G8" s="276">
        <f>(IF('Daily HLP'!L10&gt;0,'Daily HLP'!L10,0))</f>
        <v>963</v>
      </c>
      <c r="H8" s="276">
        <v>75</v>
      </c>
      <c r="I8" s="276">
        <f>(IF('Daily HLP'!O10&gt;0,'Daily HLP'!O10,0))</f>
        <v>214</v>
      </c>
      <c r="J8" s="276">
        <v>99</v>
      </c>
      <c r="K8" s="281">
        <f>Occupancy!G8</f>
        <v>115</v>
      </c>
      <c r="L8" s="275">
        <f>Occupancy!F8</f>
        <v>355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1</v>
      </c>
      <c r="D9" s="274">
        <v>2022</v>
      </c>
      <c r="E9" s="275">
        <f>(IF('Daily HLP'!H11&gt;0,'Daily HLP'!H11,0))</f>
        <v>19647</v>
      </c>
      <c r="F9" s="276">
        <v>9</v>
      </c>
      <c r="G9" s="276">
        <f>(IF('Daily HLP'!L11&gt;0,'Daily HLP'!L11,0))</f>
        <v>925</v>
      </c>
      <c r="H9" s="276">
        <v>75</v>
      </c>
      <c r="I9" s="276">
        <f>(IF('Daily HLP'!O11&gt;0,'Daily HLP'!O11,0))</f>
        <v>211</v>
      </c>
      <c r="J9" s="276">
        <v>99</v>
      </c>
      <c r="K9" s="281">
        <f>Occupancy!G9</f>
        <v>112</v>
      </c>
      <c r="L9" s="275">
        <f>Occupancy!F9</f>
        <v>301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1</v>
      </c>
      <c r="D10" s="274">
        <v>2022</v>
      </c>
      <c r="E10" s="275">
        <f>(IF('Daily HLP'!H12&gt;0,'Daily HLP'!H12,0))</f>
        <v>18011</v>
      </c>
      <c r="F10" s="276">
        <v>9</v>
      </c>
      <c r="G10" s="276">
        <f>(IF('Daily HLP'!L12&gt;0,'Daily HLP'!L12,0))</f>
        <v>907</v>
      </c>
      <c r="H10" s="276">
        <v>75</v>
      </c>
      <c r="I10" s="276">
        <f>(IF('Daily HLP'!O12&gt;0,'Daily HLP'!O12,0))</f>
        <v>205</v>
      </c>
      <c r="J10" s="276">
        <v>99</v>
      </c>
      <c r="K10" s="281">
        <f>Occupancy!G10</f>
        <v>110</v>
      </c>
      <c r="L10" s="275">
        <f>Occupancy!F10</f>
        <v>349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1</v>
      </c>
      <c r="D11" s="274">
        <v>2022</v>
      </c>
      <c r="E11" s="275">
        <f>(IF('Daily HLP'!H13&gt;0,'Daily HLP'!H13,0))</f>
        <v>23500</v>
      </c>
      <c r="F11" s="276">
        <v>9</v>
      </c>
      <c r="G11" s="276">
        <f>(IF('Daily HLP'!L13&gt;0,'Daily HLP'!L13,0))</f>
        <v>1100</v>
      </c>
      <c r="H11" s="276">
        <v>75</v>
      </c>
      <c r="I11" s="276">
        <f>(IF('Daily HLP'!O13&gt;0,'Daily HLP'!O13,0))</f>
        <v>325</v>
      </c>
      <c r="J11" s="276">
        <v>99</v>
      </c>
      <c r="K11" s="281">
        <f>Occupancy!G11</f>
        <v>0</v>
      </c>
      <c r="L11" s="275">
        <f>Occupancy!F11</f>
        <v>0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1</v>
      </c>
      <c r="D12" s="274">
        <v>2022</v>
      </c>
      <c r="E12" s="275">
        <f>(IF('Daily HLP'!H14&gt;0,'Daily HLP'!H14,0))</f>
        <v>23500</v>
      </c>
      <c r="F12" s="276">
        <v>9</v>
      </c>
      <c r="G12" s="276">
        <f>(IF('Daily HLP'!L14&gt;0,'Daily HLP'!L14,0))</f>
        <v>1100</v>
      </c>
      <c r="H12" s="276">
        <v>75</v>
      </c>
      <c r="I12" s="276">
        <f>(IF('Daily HLP'!O14&gt;0,'Daily HLP'!O14,0))</f>
        <v>445</v>
      </c>
      <c r="J12" s="276">
        <v>99</v>
      </c>
      <c r="K12" s="281">
        <f>Occupancy!G12</f>
        <v>0</v>
      </c>
      <c r="L12" s="275">
        <f>Occupancy!F12</f>
        <v>0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1</v>
      </c>
      <c r="D13" s="274">
        <v>2022</v>
      </c>
      <c r="E13" s="275">
        <f>(IF('Daily HLP'!H15&gt;0,'Daily HLP'!H15,0))</f>
        <v>23500</v>
      </c>
      <c r="F13" s="276">
        <v>9</v>
      </c>
      <c r="G13" s="276">
        <f>(IF('Daily HLP'!L15&gt;0,'Daily HLP'!L15,0))</f>
        <v>1100</v>
      </c>
      <c r="H13" s="276">
        <v>75</v>
      </c>
      <c r="I13" s="276">
        <f>(IF('Daily HLP'!O15&gt;0,'Daily HLP'!O15,0))</f>
        <v>565</v>
      </c>
      <c r="J13" s="276">
        <v>99</v>
      </c>
      <c r="K13" s="281">
        <f>Occupancy!G13</f>
        <v>0</v>
      </c>
      <c r="L13" s="275">
        <f>Occupancy!F13</f>
        <v>0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1</v>
      </c>
      <c r="D14" s="274">
        <v>2022</v>
      </c>
      <c r="E14" s="275">
        <f>(IF('Daily HLP'!H16&gt;0,'Daily HLP'!H16,0))</f>
        <v>23500</v>
      </c>
      <c r="F14" s="276">
        <v>9</v>
      </c>
      <c r="G14" s="276">
        <f>(IF('Daily HLP'!L16&gt;0,'Daily HLP'!L16,0))</f>
        <v>1100</v>
      </c>
      <c r="H14" s="276">
        <v>75</v>
      </c>
      <c r="I14" s="276">
        <f>(IF('Daily HLP'!O16&gt;0,'Daily HLP'!O16,0))</f>
        <v>685</v>
      </c>
      <c r="J14" s="276">
        <v>99</v>
      </c>
      <c r="K14" s="281">
        <f>Occupancy!G14</f>
        <v>0</v>
      </c>
      <c r="L14" s="275">
        <f>Occupancy!F14</f>
        <v>0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1</v>
      </c>
      <c r="D15" s="274">
        <v>2022</v>
      </c>
      <c r="E15" s="275">
        <f>(IF('Daily HLP'!H17&gt;0,'Daily HLP'!H17,0))</f>
        <v>23500</v>
      </c>
      <c r="F15" s="276">
        <v>9</v>
      </c>
      <c r="G15" s="276">
        <f>(IF('Daily HLP'!L17&gt;0,'Daily HLP'!L17,0))</f>
        <v>1100</v>
      </c>
      <c r="H15" s="276">
        <v>75</v>
      </c>
      <c r="I15" s="276">
        <f>(IF('Daily HLP'!O17&gt;0,'Daily HLP'!O17,0))</f>
        <v>805</v>
      </c>
      <c r="J15" s="276">
        <v>99</v>
      </c>
      <c r="K15" s="281">
        <f>Occupancy!G15</f>
        <v>0</v>
      </c>
      <c r="L15" s="275">
        <f>Occupancy!F15</f>
        <v>0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1</v>
      </c>
      <c r="D16" s="274">
        <v>2022</v>
      </c>
      <c r="E16" s="275">
        <f>(IF('Daily HLP'!H18&gt;0,'Daily HLP'!H18,0))</f>
        <v>23500</v>
      </c>
      <c r="F16" s="276">
        <v>9</v>
      </c>
      <c r="G16" s="276">
        <f>(IF('Daily HLP'!L18&gt;0,'Daily HLP'!L18,0))</f>
        <v>1100</v>
      </c>
      <c r="H16" s="276">
        <v>75</v>
      </c>
      <c r="I16" s="276">
        <f>(IF('Daily HLP'!O18&gt;0,'Daily HLP'!O18,0))</f>
        <v>925</v>
      </c>
      <c r="J16" s="276">
        <v>99</v>
      </c>
      <c r="K16" s="281">
        <f>Occupancy!G16</f>
        <v>0</v>
      </c>
      <c r="L16" s="275">
        <f>Occupancy!F16</f>
        <v>0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1</v>
      </c>
      <c r="D17" s="274">
        <v>2022</v>
      </c>
      <c r="E17" s="275">
        <f>(IF('Daily HLP'!H19&gt;0,'Daily HLP'!H19,0))</f>
        <v>23500</v>
      </c>
      <c r="F17" s="276">
        <v>9</v>
      </c>
      <c r="G17" s="276">
        <f>(IF('Daily HLP'!L19&gt;0,'Daily HLP'!L19,0))</f>
        <v>1100</v>
      </c>
      <c r="H17" s="276">
        <v>75</v>
      </c>
      <c r="I17" s="276">
        <f>(IF('Daily HLP'!O19&gt;0,'Daily HLP'!O19,0))</f>
        <v>1045</v>
      </c>
      <c r="J17" s="276">
        <v>99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1</v>
      </c>
      <c r="D18" s="274">
        <v>2022</v>
      </c>
      <c r="E18" s="275">
        <f>(IF('Daily HLP'!H20&gt;0,'Daily HLP'!H20,0))</f>
        <v>23500</v>
      </c>
      <c r="F18" s="276">
        <v>9</v>
      </c>
      <c r="G18" s="276">
        <f>(IF('Daily HLP'!L20&gt;0,'Daily HLP'!L20,0))</f>
        <v>1100</v>
      </c>
      <c r="H18" s="276">
        <v>75</v>
      </c>
      <c r="I18" s="276">
        <f>(IF('Daily HLP'!O20&gt;0,'Daily HLP'!O20,0))</f>
        <v>1165</v>
      </c>
      <c r="J18" s="276">
        <v>99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1</v>
      </c>
      <c r="D19" s="274">
        <v>2022</v>
      </c>
      <c r="E19" s="275">
        <f>(IF('Daily HLP'!H21&gt;0,'Daily HLP'!H21,0))</f>
        <v>23500</v>
      </c>
      <c r="F19" s="276">
        <v>9</v>
      </c>
      <c r="G19" s="276">
        <f>(IF('Daily HLP'!L21&gt;0,'Daily HLP'!L21,0))</f>
        <v>1100</v>
      </c>
      <c r="H19" s="276">
        <v>75</v>
      </c>
      <c r="I19" s="276">
        <f>(IF('Daily HLP'!O21&gt;0,'Daily HLP'!O21,0))</f>
        <v>1285</v>
      </c>
      <c r="J19" s="276">
        <v>99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1</v>
      </c>
      <c r="D20" s="274">
        <v>2022</v>
      </c>
      <c r="E20" s="275">
        <f>(IF('Daily HLP'!H22&gt;0,'Daily HLP'!H22,0))</f>
        <v>23500</v>
      </c>
      <c r="F20" s="276">
        <v>9</v>
      </c>
      <c r="G20" s="276">
        <f>(IF('Daily HLP'!L22&gt;0,'Daily HLP'!L22,0))</f>
        <v>1100</v>
      </c>
      <c r="H20" s="276">
        <v>75</v>
      </c>
      <c r="I20" s="276">
        <f>(IF('Daily HLP'!O22&gt;0,'Daily HLP'!O22,0))</f>
        <v>1405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1</v>
      </c>
      <c r="D21" s="274">
        <v>2022</v>
      </c>
      <c r="E21" s="275">
        <f>(IF('Daily HLP'!H23&gt;0,'Daily HLP'!H23,0))</f>
        <v>23500</v>
      </c>
      <c r="F21" s="276">
        <v>9</v>
      </c>
      <c r="G21" s="276">
        <f>(IF('Daily HLP'!L23&gt;0,'Daily HLP'!L23,0))</f>
        <v>1100</v>
      </c>
      <c r="H21" s="276">
        <v>75</v>
      </c>
      <c r="I21" s="276">
        <f>(IF('Daily HLP'!O23&gt;0,'Daily HLP'!O23,0))</f>
        <v>1525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1</v>
      </c>
      <c r="D22" s="274">
        <v>2022</v>
      </c>
      <c r="E22" s="275">
        <f>(IF('Daily HLP'!H24&gt;0,'Daily HLP'!H24,0))</f>
        <v>23500</v>
      </c>
      <c r="F22" s="276">
        <v>9</v>
      </c>
      <c r="G22" s="276">
        <f>(IF('Daily HLP'!L24&gt;0,'Daily HLP'!L24,0))</f>
        <v>1100</v>
      </c>
      <c r="H22" s="276">
        <v>75</v>
      </c>
      <c r="I22" s="276">
        <f>(IF('Daily HLP'!O24&gt;0,'Daily HLP'!O24,0))</f>
        <v>1645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1</v>
      </c>
      <c r="D23" s="274">
        <v>2022</v>
      </c>
      <c r="E23" s="275">
        <f>(IF('Daily HLP'!H25&gt;0,'Daily HLP'!H25,0))</f>
        <v>23500</v>
      </c>
      <c r="F23" s="276">
        <v>9</v>
      </c>
      <c r="G23" s="276">
        <f>(IF('Daily HLP'!L25&gt;0,'Daily HLP'!L25,0))</f>
        <v>1100</v>
      </c>
      <c r="H23" s="276">
        <v>75</v>
      </c>
      <c r="I23" s="276">
        <f>(IF('Daily HLP'!O25&gt;0,'Daily HLP'!O25,0))</f>
        <v>1765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1</v>
      </c>
      <c r="D24" s="274">
        <v>2022</v>
      </c>
      <c r="E24" s="275">
        <f>(IF('Daily HLP'!H26&gt;0,'Daily HLP'!H26,0))</f>
        <v>23500</v>
      </c>
      <c r="F24" s="276">
        <v>9</v>
      </c>
      <c r="G24" s="276">
        <f>(IF('Daily HLP'!L26&gt;0,'Daily HLP'!L26,0))</f>
        <v>1100</v>
      </c>
      <c r="H24" s="276">
        <v>75</v>
      </c>
      <c r="I24" s="276">
        <f>(IF('Daily HLP'!O26&gt;0,'Daily HLP'!O26,0))</f>
        <v>1885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1</v>
      </c>
      <c r="D25" s="274">
        <v>2022</v>
      </c>
      <c r="E25" s="275">
        <f>(IF('Daily HLP'!H27&gt;0,'Daily HLP'!H27,0))</f>
        <v>23500</v>
      </c>
      <c r="F25" s="276">
        <v>9</v>
      </c>
      <c r="G25" s="276">
        <f>(IF('Daily HLP'!L27&gt;0,'Daily HLP'!L27,0))</f>
        <v>1100</v>
      </c>
      <c r="H25" s="276">
        <v>75</v>
      </c>
      <c r="I25" s="276">
        <f>(IF('Daily HLP'!O27&gt;0,'Daily HLP'!O27,0))</f>
        <v>2005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1</v>
      </c>
      <c r="D26" s="274">
        <v>2022</v>
      </c>
      <c r="E26" s="275">
        <f>(IF('Daily HLP'!H28&gt;0,'Daily HLP'!H28,0))</f>
        <v>23500</v>
      </c>
      <c r="F26" s="276">
        <v>9</v>
      </c>
      <c r="G26" s="276">
        <f>(IF('Daily HLP'!L28&gt;0,'Daily HLP'!L28,0))</f>
        <v>1100</v>
      </c>
      <c r="H26" s="276">
        <v>75</v>
      </c>
      <c r="I26" s="276">
        <f>(IF('Daily HLP'!O28&gt;0,'Daily HLP'!O28,0))</f>
        <v>2125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1</v>
      </c>
      <c r="D27" s="274">
        <v>2022</v>
      </c>
      <c r="E27" s="275">
        <f>(IF('Daily HLP'!H29&gt;0,'Daily HLP'!H29,0))</f>
        <v>23500</v>
      </c>
      <c r="F27" s="276">
        <v>9</v>
      </c>
      <c r="G27" s="276">
        <f>(IF('Daily HLP'!L29&gt;0,'Daily HLP'!L29,0))</f>
        <v>1100</v>
      </c>
      <c r="H27" s="276">
        <v>75</v>
      </c>
      <c r="I27" s="276">
        <f>(IF('Daily HLP'!O29&gt;0,'Daily HLP'!O29,0))</f>
        <v>2245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1</v>
      </c>
      <c r="D28" s="274">
        <v>2022</v>
      </c>
      <c r="E28" s="275">
        <f>(IF('Daily HLP'!H30&gt;0,'Daily HLP'!H30,0))</f>
        <v>23500</v>
      </c>
      <c r="F28" s="276">
        <v>9</v>
      </c>
      <c r="G28" s="276">
        <f>(IF('Daily HLP'!L30&gt;0,'Daily HLP'!L30,0))</f>
        <v>1100</v>
      </c>
      <c r="H28" s="276">
        <v>75</v>
      </c>
      <c r="I28" s="276">
        <f>(IF('Daily HLP'!O30&gt;0,'Daily HLP'!O30,0))</f>
        <v>2365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1</v>
      </c>
      <c r="D29" s="274">
        <v>2022</v>
      </c>
      <c r="E29" s="275">
        <f>(IF('Daily HLP'!H31&gt;0,'Daily HLP'!H31,0))</f>
        <v>23500</v>
      </c>
      <c r="F29" s="276">
        <v>9</v>
      </c>
      <c r="G29" s="276">
        <f>(IF('Daily HLP'!L31&gt;0,'Daily HLP'!L31,0))</f>
        <v>1100</v>
      </c>
      <c r="H29" s="276">
        <v>75</v>
      </c>
      <c r="I29" s="276">
        <f>(IF('Daily HLP'!O31&gt;0,'Daily HLP'!O31,0))</f>
        <v>2485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1</v>
      </c>
      <c r="D30" s="274">
        <v>2022</v>
      </c>
      <c r="E30" s="275">
        <f>(IF('Daily HLP'!H32&gt;0,'Daily HLP'!H32,0))</f>
        <v>23500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2605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1</v>
      </c>
      <c r="D31" s="274">
        <v>2022</v>
      </c>
      <c r="E31" s="275">
        <f>(IF('Daily HLP'!H33&gt;0,'Daily HLP'!H33,0))</f>
        <v>23500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2725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1</v>
      </c>
      <c r="D32" s="274">
        <v>2022</v>
      </c>
      <c r="E32" s="275">
        <f>(IF('Daily HLP'!H34&gt;0,'Daily HLP'!H34,0))</f>
        <v>23500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2845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M35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D8" sqref="D8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1</v>
      </c>
      <c r="D2" s="288">
        <v>2022</v>
      </c>
      <c r="E2" s="294">
        <f>(IF('Section Load'!F5&gt;0,'Section Load'!F5,0))</f>
        <v>3670.9500000000116</v>
      </c>
      <c r="F2" s="294">
        <f>(IF('Section Load'!G5&gt;0,'Section Load'!G5,0))</f>
        <v>1573.5100000000093</v>
      </c>
      <c r="G2" s="294">
        <f>(IF('Section Load'!H5&gt;0,'Section Load'!H5,0))</f>
        <v>1665.429999999993</v>
      </c>
      <c r="H2" s="294">
        <f>(IF('Section Load'!I5&gt;0,'Section Load'!I5,0))</f>
        <v>2724.390000000014</v>
      </c>
      <c r="I2" s="294">
        <f>(IF('Section Load'!J5&gt;0,'Section Load'!J5,0))</f>
        <v>2431.4200000000055</v>
      </c>
      <c r="J2" s="294">
        <f>(IF('Section Load'!K5&gt;0,'Section Load'!K5,0))</f>
        <v>2561.2300000000032</v>
      </c>
      <c r="K2" s="294">
        <f>(IF('Section Load'!L5&gt;0,'Section Load'!L5,0))</f>
        <v>1236.0200000000004</v>
      </c>
      <c r="L2" s="294">
        <f>(IF('Section Load'!M5&gt;0,'Section Load'!M5,0))</f>
        <v>885.33000000000175</v>
      </c>
      <c r="M2" s="294">
        <f>(IF('Section Load'!N5&gt;0,'Section Load'!N5,0))</f>
        <v>49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193.59999999999854</v>
      </c>
      <c r="Q2" s="294">
        <f>(IF('Section Load'!R5&gt;0,'Section Load'!R5,0))</f>
        <v>73</v>
      </c>
      <c r="R2" s="294">
        <f>(IF('Section Load'!S5&gt;0,'Section Load'!S5,0))</f>
        <v>15.25</v>
      </c>
      <c r="S2" s="294">
        <f>(IF('Section Load'!T5&gt;0,'Section Load'!T5,0))</f>
        <v>474</v>
      </c>
      <c r="T2" s="294">
        <f>(IF('Section Load'!U5&gt;0,'Section Load'!U5,0))</f>
        <v>229</v>
      </c>
      <c r="U2" s="294">
        <f>(IF('Section Load'!V5&gt;0,'Section Load'!V5,0))</f>
        <v>437.31999999994878</v>
      </c>
      <c r="V2" s="294">
        <f>(IF('Section Load'!W5&gt;0,'Section Load'!W5,0))</f>
        <v>375.11999999999534</v>
      </c>
      <c r="W2" s="294">
        <f>(IF('Section Load'!X5&gt;0,'Section Load'!X5,0))</f>
        <v>27.239999999999782</v>
      </c>
      <c r="X2" s="294">
        <f>(IF('Section Load'!Y5&gt;0,'Section Load'!Y5,0))</f>
        <v>225.94000000000233</v>
      </c>
      <c r="Y2" s="294">
        <f>(IF('Section Load'!Z5&gt;0,'Section Load'!Z5,0))</f>
        <v>293</v>
      </c>
      <c r="Z2" s="294">
        <f>(IF('Section Load'!AA5&gt;0,'Section Load'!AA5,0))</f>
        <v>0</v>
      </c>
      <c r="AA2" s="294">
        <f>(IF('Section Load'!AB5&gt;0,'Section Load'!AB5,0))</f>
        <v>22</v>
      </c>
      <c r="AB2" s="294">
        <f>(IF('Section Load'!AC5&gt;0,'Section Load'!AC5,0))</f>
        <v>0</v>
      </c>
      <c r="AC2" s="294">
        <f>(IF('Section Load'!AD5&gt;0,'Section Load'!AD5,0))</f>
        <v>34</v>
      </c>
      <c r="AD2" s="294">
        <f>(IF('Section Load'!AE5&gt;0,'Section Load'!AE5,0))</f>
        <v>0</v>
      </c>
      <c r="AE2" s="294">
        <f>(IF('Section Load'!AF5&gt;0,'Section Load'!AF5,0))</f>
        <v>21.400000000000091</v>
      </c>
      <c r="AF2" s="294">
        <f>(IF('Section Load'!AG5&gt;0,'Section Load'!AG5,0))</f>
        <v>362.5</v>
      </c>
      <c r="AG2" s="294">
        <f>(IF('Section Load'!AH5&gt;0,'Section Load'!AH5,0))</f>
        <v>431.91000000000349</v>
      </c>
      <c r="AH2" s="294">
        <f>(IF('Section Load'!AI5&gt;0,'Section Load'!AI5,0))</f>
        <v>433.7400000000016</v>
      </c>
      <c r="AI2" s="294">
        <f>(IF('Section Load'!AJ5&gt;0,'Section Load'!AJ5,0))</f>
        <v>784.71000000002095</v>
      </c>
      <c r="AJ2" s="294">
        <f>(IF('Section Load'!AK5&gt;0,'Section Load'!AK5,0))</f>
        <v>213.74000000000524</v>
      </c>
      <c r="AK2" s="294">
        <f>(IF('Section Load'!AL5&gt;0,'Section Load'!AL5,0))</f>
        <v>346.69000000000233</v>
      </c>
      <c r="AL2" s="294">
        <f>(IF('Section Load'!AM5&gt;0,'Section Load'!AM5,0))</f>
        <v>833.86000000000058</v>
      </c>
      <c r="AM2" s="295">
        <f>(IF('Water Report'!$D$7&gt;0,'Water Report'!$D$7,0))</f>
        <v>0</v>
      </c>
      <c r="AN2" s="295">
        <f>(IF('Water Report'!$D$8&gt;0,'Water Report'!$D$8,0))</f>
        <v>133</v>
      </c>
      <c r="AO2" s="295">
        <f>(IF('Water Report'!$D$9&gt;0,'Water Report'!$D$9,0))</f>
        <v>98</v>
      </c>
      <c r="AP2" s="295">
        <f>(IF('Water Report'!$D$10&gt;0,'Water Report'!$D$10,0))</f>
        <v>28</v>
      </c>
      <c r="AQ2" s="295">
        <f>(IF('Water Report'!$D$11&gt;0,'Water Report'!$D$11,0))</f>
        <v>40</v>
      </c>
      <c r="AR2" s="295">
        <f>(IF('Water Report'!$D$13&gt;0,'Water Report'!$D$13,0))</f>
        <v>14</v>
      </c>
      <c r="AS2" s="295">
        <f>(IF('Water Report'!$D$14&gt;0,'Water Report'!$D$14,0))</f>
        <v>25</v>
      </c>
      <c r="AT2" s="295">
        <f>(IF('Water Report'!$D$15&gt;0,'Water Report'!$D$15,0))</f>
        <v>13</v>
      </c>
      <c r="AU2" s="295">
        <f>(IF('Water Report'!$D$17&gt;0,'Water Report'!$D$17,0))</f>
        <v>0</v>
      </c>
      <c r="AV2" s="295">
        <f>(IF('Water Report'!$D$18&gt;0,'Water Report'!$D$18,0))</f>
        <v>15</v>
      </c>
      <c r="AW2" s="295">
        <f>(IF('Water Report'!$D$19&gt;0,'Water Report'!$D$19,0))</f>
        <v>12</v>
      </c>
      <c r="AX2" s="301">
        <f>(IF('Water Report'!$D$21&gt;0,'Water Report'!$D$21,0))</f>
        <v>62</v>
      </c>
      <c r="AY2" s="301">
        <f>(IF('Water Report'!$D$22&gt;0,'Water Report'!$D$22,0))</f>
        <v>42</v>
      </c>
      <c r="AZ2" s="301">
        <f>(IF('Water Report'!$D$23&gt;0,'Water Report'!$D$23,0))</f>
        <v>4</v>
      </c>
      <c r="BA2" s="301">
        <f>(IF('Water Report'!$D$14&gt;0,'Water Report'!$D$14,0))</f>
        <v>25</v>
      </c>
      <c r="BB2" s="301">
        <f>(IF('Water Report'!$D$15&gt;0,'Water Report'!$D$15,0))</f>
        <v>13</v>
      </c>
      <c r="BC2" s="301">
        <f>(IF('Water Report'!$D$13&gt;0,'Water Report'!$D$13,0))</f>
        <v>14</v>
      </c>
      <c r="BD2" s="301">
        <f>(IF('Water Report'!$D$24&gt;0,'Water Report'!$D$24,0))</f>
        <v>54</v>
      </c>
      <c r="BE2" s="301">
        <f>(IF('Water Report'!$D$25&gt;0,'Water Report'!$D$25,0))</f>
        <v>204</v>
      </c>
      <c r="BF2" s="301">
        <f>(IF('Water Report'!$D$27&gt;0,'Water Report'!$D$27,0))</f>
        <v>80</v>
      </c>
      <c r="BG2" s="296">
        <f>(IF('Section Load'!AN5&gt;0,'Section Load'!AN5,0))</f>
        <v>1070.0859999998938</v>
      </c>
      <c r="BH2" s="296">
        <f>(IF('Section Load'!AO5&gt;0,'Section Load'!AO5,0))</f>
        <v>267.77000000001863</v>
      </c>
      <c r="BI2" s="296">
        <f>(IF('Section Load'!AP5&gt;0,'Section Load'!AP5,0))</f>
        <v>0</v>
      </c>
      <c r="BJ2" s="296">
        <f>(IF('Section Load'!AQ5&gt;0,'Section Load'!AQ5,0))</f>
        <v>102.91000000000349</v>
      </c>
      <c r="BK2" s="296">
        <f>(IF('Section Load'!AR5&gt;0,'Section Load'!AR5,0))</f>
        <v>27.400000000001455</v>
      </c>
      <c r="BL2" s="296">
        <f>(IF('Section Load'!AS5&gt;0,'Section Load'!AS5,0))</f>
        <v>1.8999999999996362</v>
      </c>
      <c r="BM2" s="296">
        <f>(IF('Section Load'!AT5&gt;0,'Section Load'!AT5,0))</f>
        <v>670.10599999987062</v>
      </c>
    </row>
    <row r="3" spans="1:65" x14ac:dyDescent="0.25">
      <c r="A3" s="287" t="s">
        <v>268</v>
      </c>
      <c r="B3" s="288">
        <f>B2+1</f>
        <v>2</v>
      </c>
      <c r="C3" s="288">
        <v>1</v>
      </c>
      <c r="D3" s="288">
        <v>2022</v>
      </c>
      <c r="E3" s="294">
        <f>(IF('Section Load'!F6&gt;0,'Section Load'!F6,0))</f>
        <v>3641.6900000000023</v>
      </c>
      <c r="F3" s="294">
        <f>(IF('Section Load'!G6&gt;0,'Section Load'!G6,0))</f>
        <v>1509.2399999999907</v>
      </c>
      <c r="G3" s="294">
        <f>(IF('Section Load'!H6&gt;0,'Section Load'!H6,0))</f>
        <v>1563.0599999999977</v>
      </c>
      <c r="H3" s="294">
        <f>(IF('Section Load'!I6&gt;0,'Section Load'!I6,0))</f>
        <v>2721.7999999999884</v>
      </c>
      <c r="I3" s="294">
        <f>(IF('Section Load'!J6&gt;0,'Section Load'!J6,0))</f>
        <v>3100</v>
      </c>
      <c r="J3" s="294">
        <f>(IF('Section Load'!K6&gt;0,'Section Load'!K6,0))</f>
        <v>2437.1699999999983</v>
      </c>
      <c r="K3" s="294">
        <f>(IF('Section Load'!L6&gt;0,'Section Load'!L6,0))</f>
        <v>1150.7200000000012</v>
      </c>
      <c r="L3" s="294">
        <f>(IF('Section Load'!M6&gt;0,'Section Load'!M6,0))</f>
        <v>756.53999999999724</v>
      </c>
      <c r="M3" s="294">
        <f>(IF('Section Load'!N6&gt;0,'Section Load'!N6,0))</f>
        <v>103</v>
      </c>
      <c r="N3" s="294">
        <f>(IF('Section Load'!O6&gt;0,'Section Load'!O6,0))</f>
        <v>0</v>
      </c>
      <c r="O3" s="294">
        <f>(IF('Section Load'!P6&gt;0,'Section Load'!P6,0))</f>
        <v>13.899999999994179</v>
      </c>
      <c r="P3" s="294">
        <f>(IF('Section Load'!Q6&gt;0,'Section Load'!Q6,0))</f>
        <v>171.09999999999854</v>
      </c>
      <c r="Q3" s="294">
        <f>(IF('Section Load'!R6&gt;0,'Section Load'!R6,0))</f>
        <v>72.119999999998981</v>
      </c>
      <c r="R3" s="294">
        <f>(IF('Section Load'!S6&gt;0,'Section Load'!S6,0))</f>
        <v>16.75</v>
      </c>
      <c r="S3" s="294">
        <f>(IF('Section Load'!T6&gt;0,'Section Load'!T6,0))</f>
        <v>508</v>
      </c>
      <c r="T3" s="294">
        <f>(IF('Section Load'!U6&gt;0,'Section Load'!U6,0))</f>
        <v>224</v>
      </c>
      <c r="U3" s="294">
        <f>(IF('Section Load'!V6&gt;0,'Section Load'!V6,0))</f>
        <v>448.68000000005122</v>
      </c>
      <c r="V3" s="294">
        <f>(IF('Section Load'!W6&gt;0,'Section Load'!W6,0))</f>
        <v>258.23999999999069</v>
      </c>
      <c r="W3" s="294">
        <f>(IF('Section Load'!X6&gt;0,'Section Load'!X6,0))</f>
        <v>25.0600000000004</v>
      </c>
      <c r="X3" s="294">
        <f>(IF('Section Load'!Y6&gt;0,'Section Load'!Y6,0))</f>
        <v>92.020000000004075</v>
      </c>
      <c r="Y3" s="294">
        <f>(IF('Section Load'!Z6&gt;0,'Section Load'!Z6,0))</f>
        <v>264</v>
      </c>
      <c r="Z3" s="294">
        <f>(IF('Section Load'!AA6&gt;0,'Section Load'!AA6,0))</f>
        <v>0</v>
      </c>
      <c r="AA3" s="294">
        <f>(IF('Section Load'!AB6&gt;0,'Section Load'!AB6,0))</f>
        <v>14</v>
      </c>
      <c r="AB3" s="294">
        <f>(IF('Section Load'!AC6&gt;0,'Section Load'!AC6,0))</f>
        <v>0</v>
      </c>
      <c r="AC3" s="294">
        <f>(IF('Section Load'!AD6&gt;0,'Section Load'!AD6,0))</f>
        <v>36.399999999999636</v>
      </c>
      <c r="AD3" s="294">
        <f>(IF('Section Load'!AE6&gt;0,'Section Load'!AE6,0))</f>
        <v>0</v>
      </c>
      <c r="AE3" s="294">
        <f>(IF('Section Load'!AF6&gt;0,'Section Load'!AF6,0))</f>
        <v>20.809999999999945</v>
      </c>
      <c r="AF3" s="294">
        <f>(IF('Section Load'!AG6&gt;0,'Section Load'!AG6,0))</f>
        <v>364.48999999999069</v>
      </c>
      <c r="AG3" s="294">
        <f>(IF('Section Load'!AH6&gt;0,'Section Load'!AH6,0))</f>
        <v>423.11999999999534</v>
      </c>
      <c r="AH3" s="294">
        <f>(IF('Section Load'!AI6&gt;0,'Section Load'!AI6,0))</f>
        <v>421.32999999999811</v>
      </c>
      <c r="AI3" s="294">
        <f>(IF('Section Load'!AJ6&gt;0,'Section Load'!AJ6,0))</f>
        <v>753.75999999995111</v>
      </c>
      <c r="AJ3" s="294">
        <f>(IF('Section Load'!AK6&gt;0,'Section Load'!AK6,0))</f>
        <v>213.86000000000058</v>
      </c>
      <c r="AK3" s="294">
        <f>(IF('Section Load'!AL6&gt;0,'Section Load'!AL6,0))</f>
        <v>347.07999999998719</v>
      </c>
      <c r="AL3" s="294">
        <f>(IF('Section Load'!AM6&gt;0,'Section Load'!AM6,0))</f>
        <v>832.02000000000407</v>
      </c>
      <c r="AM3" s="295">
        <f>(IF('Water Report'!$E$7&gt;0,'Water Report'!$E$7,0))</f>
        <v>0</v>
      </c>
      <c r="AN3" s="295">
        <f>(IF('Water Report'!$E$8&gt;0,'Water Report'!$E$8,0))</f>
        <v>114</v>
      </c>
      <c r="AO3" s="295">
        <f>(IF('Water Report'!$E$9&gt;0,'Water Report'!$E$9,0))</f>
        <v>60</v>
      </c>
      <c r="AP3" s="295">
        <f>(IF('Water Report'!$E$10&gt;0,'Water Report'!$E$10,0))</f>
        <v>27</v>
      </c>
      <c r="AQ3" s="295">
        <f>(IF('Water Report'!$E$11&gt;0,'Water Report'!$E$11,0))</f>
        <v>39</v>
      </c>
      <c r="AR3" s="295">
        <f>(IF('Water Report'!$E$13&gt;0,'Water Report'!$E$13,0))</f>
        <v>10</v>
      </c>
      <c r="AS3" s="295">
        <f>(IF('Water Report'!$E$14&gt;0,'Water Report'!$E$14,0))</f>
        <v>11</v>
      </c>
      <c r="AT3" s="295">
        <f>(IF('Water Report'!$E$15&gt;0,'Water Report'!$E$15,0))</f>
        <v>12</v>
      </c>
      <c r="AU3" s="295">
        <f>(IF('Water Report'!$E$17&gt;0,'Water Report'!$E$17,0))</f>
        <v>0</v>
      </c>
      <c r="AV3" s="295">
        <f>(IF('Water Report'!$E$18&gt;0,'Water Report'!$E$18,0))</f>
        <v>0</v>
      </c>
      <c r="AW3" s="295">
        <f>(IF('Water Report'!$E$19&gt;0,'Water Report'!$E$19,0))</f>
        <v>7</v>
      </c>
      <c r="AX3" s="301">
        <f>(IF('Water Report'!$E$21&gt;0,'Water Report'!$E$21,0))</f>
        <v>64</v>
      </c>
      <c r="AY3" s="301">
        <f>(IF('Water Report'!$E$22&gt;0,'Water Report'!$E$22,0))</f>
        <v>1</v>
      </c>
      <c r="AZ3" s="301">
        <f>(IF('Water Report'!$E$23&gt;0,'Water Report'!$E$23,0))</f>
        <v>3</v>
      </c>
      <c r="BA3" s="301">
        <f>(IF('Water Report'!$E$14&gt;0,'Water Report'!$E$14,0))</f>
        <v>11</v>
      </c>
      <c r="BB3" s="301">
        <f>(IF('Water Report'!$E$15&gt;0,'Water Report'!$E$15,0))</f>
        <v>12</v>
      </c>
      <c r="BC3" s="301">
        <f>(IF('Water Report'!$E$13&gt;0,'Water Report'!$E$13,0))</f>
        <v>10</v>
      </c>
      <c r="BD3" s="301">
        <f>(IF('Water Report'!$E$24&gt;0,'Water Report'!$E$24,0))</f>
        <v>56</v>
      </c>
      <c r="BE3" s="301">
        <f>(IF('Water Report'!$E$25&gt;0,'Water Report'!$E$25,0))</f>
        <v>149</v>
      </c>
      <c r="BF3" s="301">
        <f>(IF('Water Report'!$E$27&gt;0,'Water Report'!$E$27,0))</f>
        <v>77</v>
      </c>
      <c r="BG3" s="296">
        <f>(IF('Section Load'!AN6&gt;0,'Section Load'!AN6,0))</f>
        <v>808.52700000000186</v>
      </c>
      <c r="BH3" s="296">
        <f>(IF('Section Load'!AO6&gt;0,'Section Load'!AO6,0))</f>
        <v>258.03000000002794</v>
      </c>
      <c r="BI3" s="296">
        <f>(IF('Section Load'!AP6&gt;0,'Section Load'!AP6,0))</f>
        <v>0</v>
      </c>
      <c r="BJ3" s="296">
        <f>(IF('Section Load'!AQ6&gt;0,'Section Load'!AQ6,0))</f>
        <v>98.589999999996508</v>
      </c>
      <c r="BK3" s="296">
        <f>(IF('Section Load'!AR6&gt;0,'Section Load'!AR6,0))</f>
        <v>40</v>
      </c>
      <c r="BL3" s="296">
        <f>(IF('Section Load'!AS6&gt;0,'Section Load'!AS6,0))</f>
        <v>0.6000000000003638</v>
      </c>
      <c r="BM3" s="296">
        <f>(IF('Section Load'!AT6&gt;0,'Section Load'!AT6,0))</f>
        <v>411.30699999997705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1</v>
      </c>
      <c r="D4" s="288">
        <v>2022</v>
      </c>
      <c r="E4" s="294">
        <f>(IF('Section Load'!F7&gt;0,'Section Load'!F7,0))</f>
        <v>3773.3099999999977</v>
      </c>
      <c r="F4" s="294">
        <f>(IF('Section Load'!G7&gt;0,'Section Load'!G7,0))</f>
        <v>1514.2000000000116</v>
      </c>
      <c r="G4" s="294">
        <f>(IF('Section Load'!H7&gt;0,'Section Load'!H7,0))</f>
        <v>1476.640000000014</v>
      </c>
      <c r="H4" s="294">
        <f>(IF('Section Load'!I7&gt;0,'Section Load'!I7,0))</f>
        <v>2758.7999999999884</v>
      </c>
      <c r="I4" s="294">
        <f>(IF('Section Load'!J7&gt;0,'Section Load'!J7,0))</f>
        <v>3094.6399999999994</v>
      </c>
      <c r="J4" s="294">
        <f>(IF('Section Load'!K7&gt;0,'Section Load'!K7,0))</f>
        <v>2419.6699999999983</v>
      </c>
      <c r="K4" s="294">
        <f>(IF('Section Load'!L7&gt;0,'Section Load'!L7,0))</f>
        <v>965.46999999999753</v>
      </c>
      <c r="L4" s="294">
        <f>(IF('Section Load'!M7&gt;0,'Section Load'!M7,0))</f>
        <v>783.35000000000218</v>
      </c>
      <c r="M4" s="294">
        <f>(IF('Section Load'!N7&gt;0,'Section Load'!N7,0))</f>
        <v>84</v>
      </c>
      <c r="N4" s="294">
        <f>(IF('Section Load'!O7&gt;0,'Section Load'!O7,0))</f>
        <v>0</v>
      </c>
      <c r="O4" s="294">
        <f>(IF('Section Load'!P7&gt;0,'Section Load'!P7,0))</f>
        <v>0</v>
      </c>
      <c r="P4" s="294">
        <f>(IF('Section Load'!Q7&gt;0,'Section Load'!Q7,0))</f>
        <v>184.10000000000582</v>
      </c>
      <c r="Q4" s="294">
        <f>(IF('Section Load'!R7&gt;0,'Section Load'!R7,0))</f>
        <v>69.680000000000291</v>
      </c>
      <c r="R4" s="294">
        <f>(IF('Section Load'!S7&gt;0,'Section Load'!S7,0))</f>
        <v>16.960000000000036</v>
      </c>
      <c r="S4" s="294">
        <f>(IF('Section Load'!T7&gt;0,'Section Load'!T7,0))</f>
        <v>426</v>
      </c>
      <c r="T4" s="294">
        <f>(IF('Section Load'!U7&gt;0,'Section Load'!U7,0))</f>
        <v>221</v>
      </c>
      <c r="U4" s="294">
        <f>(IF('Section Load'!V7&gt;0,'Section Load'!V7,0))</f>
        <v>395.80000000004657</v>
      </c>
      <c r="V4" s="294">
        <f>(IF('Section Load'!W7&gt;0,'Section Load'!W7,0))</f>
        <v>249.04000000003725</v>
      </c>
      <c r="W4" s="294">
        <f>(IF('Section Load'!X7&gt;0,'Section Load'!X7,0))</f>
        <v>8.3899999999998727</v>
      </c>
      <c r="X4" s="294">
        <f>(IF('Section Load'!Y7&gt;0,'Section Load'!Y7,0))</f>
        <v>22.669999999998254</v>
      </c>
      <c r="Y4" s="294">
        <f>(IF('Section Load'!Z7&gt;0,'Section Load'!Z7,0))</f>
        <v>215</v>
      </c>
      <c r="Z4" s="294">
        <f>(IF('Section Load'!AA7&gt;0,'Section Load'!AA7,0))</f>
        <v>0.55999999999767169</v>
      </c>
      <c r="AA4" s="294">
        <f>(IF('Section Load'!AB7&gt;0,'Section Load'!AB7,0))</f>
        <v>29.600000000005821</v>
      </c>
      <c r="AB4" s="294">
        <f>(IF('Section Load'!AC7&gt;0,'Section Load'!AC7,0))</f>
        <v>0</v>
      </c>
      <c r="AC4" s="294">
        <f>(IF('Section Load'!AD7&gt;0,'Section Load'!AD7,0))</f>
        <v>55</v>
      </c>
      <c r="AD4" s="294">
        <f>(IF('Section Load'!AE7&gt;0,'Section Load'!AE7,0))</f>
        <v>0</v>
      </c>
      <c r="AE4" s="294">
        <f>(IF('Section Load'!AF7&gt;0,'Section Load'!AF7,0))</f>
        <v>20.75</v>
      </c>
      <c r="AF4" s="294">
        <f>(IF('Section Load'!AG7&gt;0,'Section Load'!AG7,0))</f>
        <v>392.5</v>
      </c>
      <c r="AG4" s="294">
        <f>(IF('Section Load'!AH7&gt;0,'Section Load'!AH7,0))</f>
        <v>449.51999999998952</v>
      </c>
      <c r="AH4" s="294">
        <f>(IF('Section Load'!AI7&gt;0,'Section Load'!AI7,0))</f>
        <v>429.38000000000102</v>
      </c>
      <c r="AI4" s="294">
        <f>(IF('Section Load'!AJ7&gt;0,'Section Load'!AJ7,0))</f>
        <v>774.68000000005122</v>
      </c>
      <c r="AJ4" s="294">
        <f>(IF('Section Load'!AK7&gt;0,'Section Load'!AK7,0))</f>
        <v>238.93999999998778</v>
      </c>
      <c r="AK4" s="294">
        <f>(IF('Section Load'!AL7&gt;0,'Section Load'!AL7,0))</f>
        <v>338.12000000002445</v>
      </c>
      <c r="AL4" s="294">
        <f>(IF('Section Load'!AM7&gt;0,'Section Load'!AM7,0))</f>
        <v>837.55999999999767</v>
      </c>
      <c r="AM4" s="295">
        <f>(IF('Water Report'!$F$7&gt;0,'Water Report'!$F$7,0))</f>
        <v>30</v>
      </c>
      <c r="AN4" s="295">
        <f>(IF('Water Report'!$F$8&gt;0,'Water Report'!$F$8,0))</f>
        <v>61</v>
      </c>
      <c r="AO4" s="295">
        <f>(IF('Water Report'!$F$9&gt;0,'Water Report'!$G$9,0))</f>
        <v>81</v>
      </c>
      <c r="AP4" s="295">
        <f>(IF('Water Report'!$F$10&gt;0,'Water Report'!$F$10,0))</f>
        <v>18</v>
      </c>
      <c r="AQ4" s="295">
        <f>(IF('Water Report'!$F$11&gt;0,'Water Report'!$F$11,0))</f>
        <v>20</v>
      </c>
      <c r="AR4" s="295">
        <f>(IF('Water Report'!$F$13&gt;0,'Water Report'!$F$13,0))</f>
        <v>9</v>
      </c>
      <c r="AS4" s="295">
        <f>(IF('Water Report'!$F$14&gt;0,'Water Report'!$F$14,0))</f>
        <v>22</v>
      </c>
      <c r="AT4" s="295">
        <f>(IF('Water Report'!$F$15&gt;0,'Water Report'!$F$15,0))</f>
        <v>7</v>
      </c>
      <c r="AU4" s="295">
        <f>(IF('Water Report'!$F$17&gt;0,'Water Report'!$F$17,0))</f>
        <v>0</v>
      </c>
      <c r="AV4" s="295">
        <f>(IF('Water Report'!$F$18&gt;0,'Water Report'!$F$18,0))</f>
        <v>0</v>
      </c>
      <c r="AW4" s="295">
        <f>(IF('Water Report'!$F$19&gt;0,'Water Report'!$F$19,0))</f>
        <v>2</v>
      </c>
      <c r="AX4" s="301">
        <f>(IF('Water Report'!$F$21&gt;0,'Water Report'!$F$21,0))</f>
        <v>58</v>
      </c>
      <c r="AY4" s="301">
        <f>(IF('Water Report'!$F$22&gt;0,'Water Report'!$F$22,0))</f>
        <v>15</v>
      </c>
      <c r="AZ4" s="301">
        <f>(IF('Water Report'!$F$23&gt;0,'Water Report'!$F$23,0))</f>
        <v>4</v>
      </c>
      <c r="BA4" s="301">
        <f>(IF('Water Report'!$F$14&gt;0,'Water Report'!$F$14,0))</f>
        <v>22</v>
      </c>
      <c r="BB4" s="301">
        <f>(IF('Water Report'!$F$15&gt;0,'Water Report'!$F$15,0))</f>
        <v>7</v>
      </c>
      <c r="BC4" s="301">
        <f>(IF('Water Report'!$F$13&gt;0,'Water Report'!$F$13,0))</f>
        <v>9</v>
      </c>
      <c r="BD4" s="301">
        <f>(IF('Water Report'!$F$24&gt;0,'Water Report'!$F$24,0))</f>
        <v>356</v>
      </c>
      <c r="BE4" s="301">
        <f>(IF('Water Report'!$F$25&gt;0,'Water Report'!$F$25,0))</f>
        <v>107</v>
      </c>
      <c r="BF4" s="301">
        <f>(IF('Water Report'!$F$27&gt;0,'Water Report'!$F$27,0))</f>
        <v>71</v>
      </c>
      <c r="BG4" s="296">
        <f>(IF('Section Load'!AN7&gt;0,'Section Load'!AN7,0))</f>
        <v>524.78700000001118</v>
      </c>
      <c r="BH4" s="296">
        <f>(IF('Section Load'!AO7&gt;0,'Section Load'!AO7,0))</f>
        <v>240.55999999993946</v>
      </c>
      <c r="BI4" s="296">
        <f>(IF('Section Load'!AP7&gt;0,'Section Load'!AP7,0))</f>
        <v>0</v>
      </c>
      <c r="BJ4" s="296">
        <f>(IF('Section Load'!AQ7&gt;0,'Section Load'!AQ7,0))</f>
        <v>90.5</v>
      </c>
      <c r="BK4" s="296">
        <f>(IF('Section Load'!AR7&gt;0,'Section Load'!AR7,0))</f>
        <v>34.69999999999709</v>
      </c>
      <c r="BL4" s="296">
        <f>(IF('Section Load'!AS7&gt;0,'Section Load'!AS7,0))</f>
        <v>0.7999999999992724</v>
      </c>
      <c r="BM4" s="296">
        <f>(IF('Section Load'!AT7&gt;0,'Section Load'!AT7,0))</f>
        <v>158.22700000007535</v>
      </c>
    </row>
    <row r="5" spans="1:65" x14ac:dyDescent="0.25">
      <c r="A5" s="287" t="s">
        <v>268</v>
      </c>
      <c r="B5" s="288">
        <f t="shared" si="0"/>
        <v>4</v>
      </c>
      <c r="C5" s="288">
        <v>1</v>
      </c>
      <c r="D5" s="288">
        <v>2022</v>
      </c>
      <c r="E5" s="294">
        <f>(IF('Section Load'!F8&gt;0,'Section Load'!F8,0))</f>
        <v>3322.8600000000151</v>
      </c>
      <c r="F5" s="294">
        <f>(IF('Section Load'!G8&gt;0,'Section Load'!G8,0))</f>
        <v>1526.8799999999756</v>
      </c>
      <c r="G5" s="294">
        <f>(IF('Section Load'!H8&gt;0,'Section Load'!H8,0))</f>
        <v>1752.359999999986</v>
      </c>
      <c r="H5" s="294">
        <f>(IF('Section Load'!I8&gt;0,'Section Load'!I8,0))</f>
        <v>2740.5200000000186</v>
      </c>
      <c r="I5" s="294">
        <f>(IF('Section Load'!J8&gt;0,'Section Load'!J8,0))</f>
        <v>3146.7900000000009</v>
      </c>
      <c r="J5" s="294">
        <f>(IF('Section Load'!K8&gt;0,'Section Load'!K8,0))</f>
        <v>2444.6500000000015</v>
      </c>
      <c r="K5" s="294">
        <f>(IF('Section Load'!L8&gt;0,'Section Load'!L8,0))</f>
        <v>1036.4099999999999</v>
      </c>
      <c r="L5" s="294">
        <f>(IF('Section Load'!M8&gt;0,'Section Load'!M8,0))</f>
        <v>727.02999999999884</v>
      </c>
      <c r="M5" s="294">
        <f>(IF('Section Load'!N8&gt;0,'Section Load'!N8,0))</f>
        <v>70</v>
      </c>
      <c r="N5" s="294">
        <f>(IF('Section Load'!O8&gt;0,'Section Load'!O8,0))</f>
        <v>0</v>
      </c>
      <c r="O5" s="294">
        <f>(IF('Section Load'!P8&gt;0,'Section Load'!P8,0))</f>
        <v>2.4000000000087311</v>
      </c>
      <c r="P5" s="294">
        <f>(IF('Section Load'!Q8&gt;0,'Section Load'!Q8,0))</f>
        <v>180.23999999999796</v>
      </c>
      <c r="Q5" s="294">
        <f>(IF('Section Load'!R8&gt;0,'Section Load'!R8,0))</f>
        <v>67.950000000000728</v>
      </c>
      <c r="R5" s="294">
        <f>(IF('Section Load'!S8&gt;0,'Section Load'!S8,0))</f>
        <v>17.269999999999527</v>
      </c>
      <c r="S5" s="294">
        <f>(IF('Section Load'!T8&gt;0,'Section Load'!T8,0))</f>
        <v>462</v>
      </c>
      <c r="T5" s="294">
        <f>(IF('Section Load'!U8&gt;0,'Section Load'!U8,0))</f>
        <v>225</v>
      </c>
      <c r="U5" s="294">
        <f>(IF('Section Load'!V8&gt;0,'Section Load'!V8,0))</f>
        <v>396.03999999992084</v>
      </c>
      <c r="V5" s="294">
        <f>(IF('Section Load'!W8&gt;0,'Section Load'!W8,0))</f>
        <v>255.28000000002794</v>
      </c>
      <c r="W5" s="294">
        <f>(IF('Section Load'!X8&gt;0,'Section Load'!X8,0))</f>
        <v>30.670000000000073</v>
      </c>
      <c r="X5" s="294">
        <f>(IF('Section Load'!Y8&gt;0,'Section Load'!Y8,0))</f>
        <v>173.66</v>
      </c>
      <c r="Y5" s="294">
        <f>(IF('Section Load'!Z8&gt;0,'Section Load'!Z8,0))</f>
        <v>268</v>
      </c>
      <c r="Z5" s="294">
        <f>(IF('Section Load'!AA8&gt;0,'Section Load'!AA8,0))</f>
        <v>0</v>
      </c>
      <c r="AA5" s="294">
        <f>(IF('Section Load'!AB8&gt;0,'Section Load'!AB8,0))</f>
        <v>25.599999999991269</v>
      </c>
      <c r="AB5" s="294">
        <f>(IF('Section Load'!AC8&gt;0,'Section Load'!AC8,0))</f>
        <v>0</v>
      </c>
      <c r="AC5" s="294">
        <f>(IF('Section Load'!AD8&gt;0,'Section Load'!AD8,0))</f>
        <v>50.000000000006366</v>
      </c>
      <c r="AD5" s="294">
        <f>(IF('Section Load'!AE8&gt;0,'Section Load'!AE8,0))</f>
        <v>0</v>
      </c>
      <c r="AE5" s="294">
        <f>(IF('Section Load'!AF8&gt;0,'Section Load'!AF8,0))</f>
        <v>31.4699999999998</v>
      </c>
      <c r="AF5" s="294">
        <f>(IF('Section Load'!AG8&gt;0,'Section Load'!AG8,0))</f>
        <v>384.05999999999767</v>
      </c>
      <c r="AG5" s="294">
        <f>(IF('Section Load'!AH8&gt;0,'Section Load'!AH8,0))</f>
        <v>438.76000000000931</v>
      </c>
      <c r="AH5" s="294">
        <f>(IF('Section Load'!AI8&gt;0,'Section Load'!AI8,0))</f>
        <v>413</v>
      </c>
      <c r="AI5" s="294">
        <f>(IF('Section Load'!AJ8&gt;0,'Section Load'!AJ8,0))</f>
        <v>784.44000000000233</v>
      </c>
      <c r="AJ5" s="294">
        <f>(IF('Section Load'!AK8&gt;0,'Section Load'!AK8,0))</f>
        <v>245.56000000001222</v>
      </c>
      <c r="AK5" s="294">
        <f>(IF('Section Load'!AL8&gt;0,'Section Load'!AL8,0))</f>
        <v>321.77999999999884</v>
      </c>
      <c r="AL5" s="294">
        <f>(IF('Section Load'!AM8&gt;0,'Section Load'!AM8,0))</f>
        <v>840.17999999999302</v>
      </c>
      <c r="AM5" s="295">
        <f>(IF('Water Report'!$G$7&gt;0,'Water Report'!$F$7,0))</f>
        <v>30</v>
      </c>
      <c r="AN5" s="295">
        <f>(IF('Water Report'!$G$8&gt;0,'Water Report'!$F$8,0))</f>
        <v>61</v>
      </c>
      <c r="AO5" s="295">
        <f>(IF('Water Report'!$G$9&gt;0,'Water Report'!$H$9,0))</f>
        <v>74</v>
      </c>
      <c r="AP5" s="295">
        <f>(IF('Water Report'!$G$10&gt;0,'Water Report'!$G$10,0))</f>
        <v>21</v>
      </c>
      <c r="AQ5" s="295">
        <f>(IF('Water Report'!$G$11&gt;0,'Water Report'!$G$11,0))</f>
        <v>27</v>
      </c>
      <c r="AR5" s="295">
        <f>(IF('Water Report'!$G$13&gt;0,'Water Report'!$G$13,0))</f>
        <v>27</v>
      </c>
      <c r="AS5" s="295">
        <f>(IF('Water Report'!$G$14&gt;0,'Water Report'!$G$14,0))</f>
        <v>7</v>
      </c>
      <c r="AT5" s="295">
        <f>(IF('Water Report'!$G$15&gt;0,'Water Report'!$G$15,0))</f>
        <v>6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17</v>
      </c>
      <c r="AX5" s="301">
        <f>(IF('Water Report'!$G$21&gt;0,'Water Report'!$G$21,0))</f>
        <v>79</v>
      </c>
      <c r="AY5" s="301">
        <f>(IF('Water Report'!$G$22&gt;0,'Water Report'!$G$22,0))</f>
        <v>35</v>
      </c>
      <c r="AZ5" s="301">
        <f>(IF('Water Report'!$G$23&gt;0,'Water Report'!$G$23,0))</f>
        <v>16</v>
      </c>
      <c r="BA5" s="301">
        <f>(IF('Water Report'!$G$14&gt;0,'Water Report'!$G$14,0))</f>
        <v>7</v>
      </c>
      <c r="BB5" s="301">
        <f>(IF('Water Report'!$G$15&gt;0,'Water Report'!$G$15,0))</f>
        <v>6</v>
      </c>
      <c r="BC5" s="301">
        <f>(IF('Water Report'!$G$13&gt;0,'Water Report'!$G$13,0))</f>
        <v>27</v>
      </c>
      <c r="BD5" s="301">
        <f>(IF('Water Report'!$G$24&gt;0,'Water Report'!$G$24,0))</f>
        <v>219</v>
      </c>
      <c r="BE5" s="301">
        <f>(IF('Water Report'!$G$25&gt;0,'Water Report'!$G$25,0))</f>
        <v>142</v>
      </c>
      <c r="BF5" s="301">
        <f>(IF('Water Report'!$G$27&gt;0,'Water Report'!$G$27,0))</f>
        <v>122</v>
      </c>
      <c r="BG5" s="296">
        <f>(IF('Section Load'!AN8&gt;0,'Section Load'!AN8,0))</f>
        <v>1035.25</v>
      </c>
      <c r="BH5" s="296">
        <f>(IF('Section Load'!AO8&gt;0,'Section Load'!AO8,0))</f>
        <v>317.86999999999534</v>
      </c>
      <c r="BI5" s="296">
        <f>(IF('Section Load'!AP8&gt;0,'Section Load'!AP8,0))</f>
        <v>0</v>
      </c>
      <c r="BJ5" s="296">
        <f>(IF('Section Load'!AQ8&gt;0,'Section Load'!AQ8,0))</f>
        <v>94.320000000006985</v>
      </c>
      <c r="BK5" s="296">
        <f>(IF('Section Load'!AR8&gt;0,'Section Load'!AR8,0))</f>
        <v>22.900000000001455</v>
      </c>
      <c r="BL5" s="296">
        <f>(IF('Section Load'!AS8&gt;0,'Section Load'!AS8,0))</f>
        <v>0.7000000000007276</v>
      </c>
      <c r="BM5" s="296">
        <f>(IF('Section Load'!AT8&gt;0,'Section Load'!AT8,0))</f>
        <v>599.45999999999549</v>
      </c>
    </row>
    <row r="6" spans="1:65" x14ac:dyDescent="0.25">
      <c r="A6" s="287" t="s">
        <v>268</v>
      </c>
      <c r="B6" s="288">
        <f t="shared" si="0"/>
        <v>5</v>
      </c>
      <c r="C6" s="288">
        <v>1</v>
      </c>
      <c r="D6" s="288">
        <v>2022</v>
      </c>
      <c r="E6" s="294">
        <f>(IF('Section Load'!F9&gt;0,'Section Load'!F9,0))</f>
        <v>3487.7099999999919</v>
      </c>
      <c r="F6" s="294">
        <f>(IF('Section Load'!G9&gt;0,'Section Load'!G9,0))</f>
        <v>1513.0600000000268</v>
      </c>
      <c r="G6" s="294">
        <f>(IF('Section Load'!H9&gt;0,'Section Load'!H9,0))</f>
        <v>1672.4000000000233</v>
      </c>
      <c r="H6" s="294">
        <f>(IF('Section Load'!I9&gt;0,'Section Load'!I9,0))</f>
        <v>2669.0800000000163</v>
      </c>
      <c r="I6" s="294">
        <f>(IF('Section Load'!J9&gt;0,'Section Load'!J9,0))</f>
        <v>3314.6699999999983</v>
      </c>
      <c r="J6" s="294">
        <f>(IF('Section Load'!K9&gt;0,'Section Load'!K9,0))</f>
        <v>2407.4700000000012</v>
      </c>
      <c r="K6" s="294">
        <f>(IF('Section Load'!L9&gt;0,'Section Load'!L9,0))</f>
        <v>989.63999999999942</v>
      </c>
      <c r="L6" s="294">
        <f>(IF('Section Load'!M9&gt;0,'Section Load'!M9,0))</f>
        <v>802.54000000000087</v>
      </c>
      <c r="M6" s="294">
        <f>(IF('Section Load'!N9&gt;0,'Section Load'!N9,0))</f>
        <v>59</v>
      </c>
      <c r="N6" s="294">
        <f>(IF('Section Load'!O9&gt;0,'Section Load'!O9,0))</f>
        <v>0</v>
      </c>
      <c r="O6" s="294">
        <f>(IF('Section Load'!P9&gt;0,'Section Load'!P9,0))</f>
        <v>0</v>
      </c>
      <c r="P6" s="294">
        <f>(IF('Section Load'!Q9&gt;0,'Section Load'!Q9,0))</f>
        <v>171.05999999999767</v>
      </c>
      <c r="Q6" s="294">
        <f>(IF('Section Load'!R9&gt;0,'Section Load'!R9,0))</f>
        <v>77</v>
      </c>
      <c r="R6" s="294">
        <f>(IF('Section Load'!S9&gt;0,'Section Load'!S9,0))</f>
        <v>16.770000000000437</v>
      </c>
      <c r="S6" s="294">
        <f>(IF('Section Load'!T9&gt;0,'Section Load'!T9,0))</f>
        <v>450</v>
      </c>
      <c r="T6" s="294">
        <f>(IF('Section Load'!U9&gt;0,'Section Load'!U9,0))</f>
        <v>225</v>
      </c>
      <c r="U6" s="294">
        <f>(IF('Section Load'!V9&gt;0,'Section Load'!V9,0))</f>
        <v>381.1600000000326</v>
      </c>
      <c r="V6" s="294">
        <f>(IF('Section Load'!W9&gt;0,'Section Load'!W9,0))</f>
        <v>231.19999999995343</v>
      </c>
      <c r="W6" s="294">
        <f>(IF('Section Load'!X9&gt;0,'Section Load'!X9,0))</f>
        <v>20.339999999999691</v>
      </c>
      <c r="X6" s="294">
        <f>(IF('Section Load'!Y9&gt;0,'Section Load'!Y9,0))</f>
        <v>76.81</v>
      </c>
      <c r="Y6" s="294">
        <f>(IF('Section Load'!Z9&gt;0,'Section Load'!Z9,0))</f>
        <v>246</v>
      </c>
      <c r="Z6" s="294">
        <f>(IF('Section Load'!AA9&gt;0,'Section Load'!AA9,0))</f>
        <v>0</v>
      </c>
      <c r="AA6" s="294">
        <f>(IF('Section Load'!AB9&gt;0,'Section Load'!AB9,0))</f>
        <v>25.80000000000291</v>
      </c>
      <c r="AB6" s="294">
        <f>(IF('Section Load'!AC9&gt;0,'Section Load'!AC9,0))</f>
        <v>0</v>
      </c>
      <c r="AC6" s="294">
        <f>(IF('Section Load'!AD9&gt;0,'Section Load'!AD9,0))</f>
        <v>54.399999999991451</v>
      </c>
      <c r="AD6" s="294">
        <f>(IF('Section Load'!AE9&gt;0,'Section Load'!AE9,0))</f>
        <v>0</v>
      </c>
      <c r="AE6" s="294">
        <f>(IF('Section Load'!AF9&gt;0,'Section Load'!AF9,0))</f>
        <v>34.360000000000127</v>
      </c>
      <c r="AF6" s="294">
        <f>(IF('Section Load'!AG9&gt;0,'Section Load'!AG9,0))</f>
        <v>378.98000000001048</v>
      </c>
      <c r="AG6" s="294">
        <f>(IF('Section Load'!AH9&gt;0,'Section Load'!AH9,0))</f>
        <v>421.61999999999534</v>
      </c>
      <c r="AH6" s="294">
        <f>(IF('Section Load'!AI9&gt;0,'Section Load'!AI9,0))</f>
        <v>411.54999999999927</v>
      </c>
      <c r="AI6" s="294">
        <f>(IF('Section Load'!AJ9&gt;0,'Section Load'!AJ9,0))</f>
        <v>726.40999999997439</v>
      </c>
      <c r="AJ6" s="294">
        <f>(IF('Section Load'!AK9&gt;0,'Section Load'!AK9,0))</f>
        <v>241.27999999999884</v>
      </c>
      <c r="AK6" s="294">
        <f>(IF('Section Load'!AL9&gt;0,'Section Load'!AL9,0))</f>
        <v>314.07999999998719</v>
      </c>
      <c r="AL6" s="294">
        <f>(IF('Section Load'!AM9&gt;0,'Section Load'!AM9,0))</f>
        <v>846.25</v>
      </c>
      <c r="AM6" s="295">
        <f>(IF('Water Report'!$H$7&gt;0,'Water Report'!$H$7,0))</f>
        <v>86</v>
      </c>
      <c r="AN6" s="295">
        <f>(IF('Water Report'!$H$8&gt;0,'Water Report'!$H$8,0))</f>
        <v>119</v>
      </c>
      <c r="AO6" s="295">
        <f>(IF('Water Report'!$H$9&gt;0,'Water Report'!$H$9,0))</f>
        <v>74</v>
      </c>
      <c r="AP6" s="295">
        <f>(IF('Water Report'!$H$10&gt;0,'Water Report'!$H$10,0))</f>
        <v>19</v>
      </c>
      <c r="AQ6" s="295">
        <f>(IF('Water Report'!$H$11&gt;0,'Water Report'!$H$11,0))</f>
        <v>22</v>
      </c>
      <c r="AR6" s="295">
        <f>(IF('Water Report'!$H$13&gt;0,'Water Report'!$H$13,0))</f>
        <v>27</v>
      </c>
      <c r="AS6" s="295">
        <f>(IF('Water Report'!$H$14&gt;0,'Water Report'!$H$14,0))</f>
        <v>11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97</v>
      </c>
      <c r="AY6" s="301">
        <f>(IF('Water Report'!$H$22&gt;0,'Water Report'!$H$22,0))</f>
        <v>16</v>
      </c>
      <c r="AZ6" s="301">
        <f>(IF('Water Report'!$H$23&gt;0,'Water Report'!$H$23,0))</f>
        <v>1</v>
      </c>
      <c r="BA6" s="301">
        <f>(IF('Water Report'!$H$14&gt;0,'Water Report'!$H$14,0))</f>
        <v>11</v>
      </c>
      <c r="BB6" s="301">
        <f>(IF('Water Report'!$H$15&gt;0,'Water Report'!$H$15,0))</f>
        <v>6</v>
      </c>
      <c r="BC6" s="301">
        <f>(IF('Water Report'!$H$13&gt;0,'Water Report'!$H$13,0))</f>
        <v>27</v>
      </c>
      <c r="BD6" s="301">
        <f>(IF('Water Report'!$H$24&gt;0,'Water Report'!$H$24,0))</f>
        <v>171</v>
      </c>
      <c r="BE6" s="301">
        <f>(IF('Water Report'!$H$25&gt;0,'Water Report'!$H$25,0))</f>
        <v>132</v>
      </c>
      <c r="BF6" s="301">
        <f>(IF('Water Report'!$H$27&gt;0,'Water Report'!$H$27,0))</f>
        <v>125</v>
      </c>
      <c r="BG6" s="296">
        <f>(IF('Section Load'!AN9&gt;0,'Section Load'!AN9,0))</f>
        <v>1002.0500000000466</v>
      </c>
      <c r="BH6" s="296">
        <f>(IF('Section Load'!AO9&gt;0,'Section Load'!AO9,0))</f>
        <v>282.26000000000931</v>
      </c>
      <c r="BI6" s="296">
        <f>(IF('Section Load'!AP9&gt;0,'Section Load'!AP9,0))</f>
        <v>0</v>
      </c>
      <c r="BJ6" s="296">
        <f>(IF('Section Load'!AQ9&gt;0,'Section Load'!AQ9,0))</f>
        <v>95.679999999993015</v>
      </c>
      <c r="BK6" s="296">
        <f>(IF('Section Load'!AR9&gt;0,'Section Load'!AR9,0))</f>
        <v>52.30000000000291</v>
      </c>
      <c r="BL6" s="296">
        <f>(IF('Section Load'!AS9&gt;0,'Section Load'!AS9,0))</f>
        <v>1</v>
      </c>
      <c r="BM6" s="296">
        <f>(IF('Section Load'!AT9&gt;0,'Section Load'!AT9,0))</f>
        <v>570.81000000004133</v>
      </c>
    </row>
    <row r="7" spans="1:65" x14ac:dyDescent="0.25">
      <c r="A7" s="287" t="s">
        <v>268</v>
      </c>
      <c r="B7" s="288">
        <f t="shared" si="0"/>
        <v>6</v>
      </c>
      <c r="C7" s="288">
        <v>1</v>
      </c>
      <c r="D7" s="288">
        <v>2022</v>
      </c>
      <c r="E7" s="294">
        <f>(IF('Section Load'!F10&gt;0,'Section Load'!F10,0))</f>
        <v>3481.4799999999814</v>
      </c>
      <c r="F7" s="294">
        <f>(IF('Section Load'!G10&gt;0,'Section Load'!G10,0))</f>
        <v>1517.109999999986</v>
      </c>
      <c r="G7" s="294">
        <f>(IF('Section Load'!H10&gt;0,'Section Load'!H10,0))</f>
        <v>1687.109999999986</v>
      </c>
      <c r="H7" s="294">
        <f>(IF('Section Load'!I10&gt;0,'Section Load'!I10,0))</f>
        <v>2707.4099999999744</v>
      </c>
      <c r="I7" s="294">
        <f>(IF('Section Load'!J10&gt;0,'Section Load'!J10,0))</f>
        <v>3311.0800000000017</v>
      </c>
      <c r="J7" s="294">
        <f>(IF('Section Load'!K10&gt;0,'Section Load'!K10,0))</f>
        <v>2434.8099999999977</v>
      </c>
      <c r="K7" s="294">
        <f>(IF('Section Load'!L10&gt;0,'Section Load'!L10,0))</f>
        <v>1030.7400000000016</v>
      </c>
      <c r="L7" s="294">
        <f>(IF('Section Load'!M10&gt;0,'Section Load'!M10,0))</f>
        <v>1049.2099999999991</v>
      </c>
      <c r="M7" s="294">
        <f>(IF('Section Load'!N10&gt;0,'Section Load'!N10,0))</f>
        <v>63</v>
      </c>
      <c r="N7" s="294">
        <f>(IF('Section Load'!O10&gt;0,'Section Load'!O10,0))</f>
        <v>2</v>
      </c>
      <c r="O7" s="294">
        <f>(IF('Section Load'!P10&gt;0,'Section Load'!P10,0))</f>
        <v>0</v>
      </c>
      <c r="P7" s="294">
        <f>(IF('Section Load'!Q10&gt;0,'Section Load'!Q10,0))</f>
        <v>163.90000000000146</v>
      </c>
      <c r="Q7" s="294">
        <f>(IF('Section Load'!R10&gt;0,'Section Load'!R10,0))</f>
        <v>68.25</v>
      </c>
      <c r="R7" s="294">
        <f>(IF('Section Load'!S10&gt;0,'Section Load'!S10,0))</f>
        <v>18</v>
      </c>
      <c r="S7" s="294">
        <f>(IF('Section Load'!T10&gt;0,'Section Load'!T10,0))</f>
        <v>438</v>
      </c>
      <c r="T7" s="294">
        <f>(IF('Section Load'!U10&gt;0,'Section Load'!U10,0))</f>
        <v>220</v>
      </c>
      <c r="U7" s="294">
        <f>(IF('Section Load'!V10&gt;0,'Section Load'!V10,0))</f>
        <v>377</v>
      </c>
      <c r="V7" s="294">
        <f>(IF('Section Load'!W10&gt;0,'Section Load'!W10,0))</f>
        <v>288</v>
      </c>
      <c r="W7" s="294">
        <f>(IF('Section Load'!X10&gt;0,'Section Load'!X10,0))</f>
        <v>22.300000000000182</v>
      </c>
      <c r="X7" s="294">
        <f>(IF('Section Load'!Y10&gt;0,'Section Load'!Y10,0))</f>
        <v>203.53</v>
      </c>
      <c r="Y7" s="294">
        <f>(IF('Section Load'!Z10&gt;0,'Section Load'!Z10,0))</f>
        <v>243</v>
      </c>
      <c r="Z7" s="294">
        <f>(IF('Section Load'!AA10&gt;0,'Section Load'!AA10,0))</f>
        <v>0</v>
      </c>
      <c r="AA7" s="294">
        <f>(IF('Section Load'!AB10&gt;0,'Section Load'!AB10,0))</f>
        <v>31</v>
      </c>
      <c r="AB7" s="294">
        <f>(IF('Section Load'!AC10&gt;0,'Section Load'!AC10,0))</f>
        <v>0</v>
      </c>
      <c r="AC7" s="294">
        <f>(IF('Section Load'!AD10&gt;0,'Section Load'!AD10,0))</f>
        <v>37.200000000002547</v>
      </c>
      <c r="AD7" s="294">
        <f>(IF('Section Load'!AE10&gt;0,'Section Load'!AE10,0))</f>
        <v>0</v>
      </c>
      <c r="AE7" s="294">
        <f>(IF('Section Load'!AF10&gt;0,'Section Load'!AF10,0))</f>
        <v>30.210000000000036</v>
      </c>
      <c r="AF7" s="294">
        <f>(IF('Section Load'!AG10&gt;0,'Section Load'!AG10,0))</f>
        <v>356.47000000000116</v>
      </c>
      <c r="AG7" s="294">
        <f>(IF('Section Load'!AH10&gt;0,'Section Load'!AH10,0))</f>
        <v>425.07000000000698</v>
      </c>
      <c r="AH7" s="294">
        <f>(IF('Section Load'!AI10&gt;0,'Section Load'!AI10,0))</f>
        <v>416</v>
      </c>
      <c r="AI7" s="294">
        <f>(IF('Section Load'!AJ10&gt;0,'Section Load'!AJ10,0))</f>
        <v>745</v>
      </c>
      <c r="AJ7" s="294">
        <f>(IF('Section Load'!AK10&gt;0,'Section Load'!AK10,0))</f>
        <v>238.61999999999534</v>
      </c>
      <c r="AK7" s="294">
        <f>(IF('Section Load'!AL10&gt;0,'Section Load'!AL10,0))</f>
        <v>307.25</v>
      </c>
      <c r="AL7" s="294">
        <f>(IF('Section Load'!AM10&gt;0,'Section Load'!AM10,0))</f>
        <v>813.13000000000466</v>
      </c>
      <c r="AM7" s="295">
        <f>(IF('Water Report'!$I$7&gt;0,'Water Report'!$I$7,0))</f>
        <v>81</v>
      </c>
      <c r="AN7" s="295">
        <f>(IF('Water Report'!$I$8&gt;0,'Water Report'!$I$8,0))</f>
        <v>119</v>
      </c>
      <c r="AO7" s="295">
        <f>(IF('Water Report'!$I$9&gt;0,'Water Report'!$I$9,0))</f>
        <v>69</v>
      </c>
      <c r="AP7" s="295">
        <f>(IF('Water Report'!$I$10&gt;0,'Water Report'!$I$10,0))</f>
        <v>15</v>
      </c>
      <c r="AQ7" s="295">
        <f>(IF('Water Report'!$I$11&gt;0,'Water Report'!$I$11,0))</f>
        <v>21</v>
      </c>
      <c r="AR7" s="295">
        <f>(IF('Water Report'!$I$13&gt;0,'Water Report'!$I$13,0))</f>
        <v>47</v>
      </c>
      <c r="AS7" s="295">
        <f>(IF('Water Report'!$I$14&gt;0,'Water Report'!$I$14,0))</f>
        <v>8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11</v>
      </c>
      <c r="AW7" s="295">
        <f>(IF('Water Report'!$I$19&gt;0,'Water Report'!$I$19,0))</f>
        <v>9</v>
      </c>
      <c r="AX7" s="301">
        <f>(IF('Water Report'!$I$21&gt;0,'Water Report'!$I$21,0))</f>
        <v>72</v>
      </c>
      <c r="AY7" s="301">
        <f>(IF('Water Report'!$I$22&gt;0,'Water Report'!$I$22,0))</f>
        <v>5</v>
      </c>
      <c r="AZ7" s="301">
        <f>(IF('Water Report'!$I$23&gt;0,'Water Report'!$I$23,0))</f>
        <v>20</v>
      </c>
      <c r="BA7" s="301">
        <f>(IF('Water Report'!$I$14&gt;0,'Water Report'!$I$14,0))</f>
        <v>8</v>
      </c>
      <c r="BB7" s="301">
        <f>(IF('Water Report'!$I$15&gt;0,'Water Report'!$I$15,0))</f>
        <v>6</v>
      </c>
      <c r="BC7" s="301">
        <f>(IF('Water Report'!$I$13&gt;0,'Water Report'!$I$13,0))</f>
        <v>47</v>
      </c>
      <c r="BD7" s="301">
        <f>(IF('Water Report'!$I$24&gt;0,'Water Report'!$I$24,0))</f>
        <v>204</v>
      </c>
      <c r="BE7" s="301">
        <f>(IF('Water Report'!$I$25&gt;0,'Water Report'!$I$25,0))</f>
        <v>119</v>
      </c>
      <c r="BF7" s="301">
        <f>(IF('Water Report'!$I$27&gt;0,'Water Report'!$I$27,0))</f>
        <v>139</v>
      </c>
      <c r="BG7" s="296">
        <f>(IF('Section Load'!AN10&gt;0,'Section Load'!AN10,0))</f>
        <v>933.30000000004657</v>
      </c>
      <c r="BH7" s="296">
        <f>(IF('Section Load'!AO10&gt;0,'Section Load'!AO10,0))</f>
        <v>304.51000000000931</v>
      </c>
      <c r="BI7" s="296">
        <f>(IF('Section Load'!AP10&gt;0,'Section Load'!AP10,0))</f>
        <v>0</v>
      </c>
      <c r="BJ7" s="296">
        <f>(IF('Section Load'!AQ10&gt;0,'Section Load'!AQ10,0))</f>
        <v>80</v>
      </c>
      <c r="BK7" s="296">
        <f>(IF('Section Load'!AR10&gt;0,'Section Load'!AR10,0))</f>
        <v>37.69999999999709</v>
      </c>
      <c r="BL7" s="296">
        <f>(IF('Section Load'!AS10&gt;0,'Section Load'!AS10,0))</f>
        <v>1</v>
      </c>
      <c r="BM7" s="296">
        <f>(IF('Section Load'!AT10&gt;0,'Section Load'!AT10,0))</f>
        <v>510.09000000004016</v>
      </c>
    </row>
    <row r="8" spans="1:65" x14ac:dyDescent="0.25">
      <c r="A8" s="287" t="s">
        <v>268</v>
      </c>
      <c r="B8" s="288">
        <f t="shared" si="0"/>
        <v>7</v>
      </c>
      <c r="C8" s="288">
        <v>1</v>
      </c>
      <c r="D8" s="288">
        <v>2022</v>
      </c>
      <c r="E8" s="294">
        <f>(IF('Section Load'!F11&gt;0,'Section Load'!F11,0))</f>
        <v>3527</v>
      </c>
      <c r="F8" s="294">
        <f>(IF('Section Load'!G11&gt;0,'Section Load'!G11,0))</f>
        <v>1524</v>
      </c>
      <c r="G8" s="294">
        <f>(IF('Section Load'!H11&gt;0,'Section Load'!H11,0))</f>
        <v>1668</v>
      </c>
      <c r="H8" s="294">
        <f>(IF('Section Load'!I11&gt;0,'Section Load'!I11,0))</f>
        <v>2675</v>
      </c>
      <c r="I8" s="294">
        <f>(IF('Section Load'!J11&gt;0,'Section Load'!J11,0))</f>
        <v>3369</v>
      </c>
      <c r="J8" s="294">
        <f>(IF('Section Load'!K11&gt;0,'Section Load'!K11,0))</f>
        <v>2246</v>
      </c>
      <c r="K8" s="294">
        <f>(IF('Section Load'!L11&gt;0,'Section Load'!L11,0))</f>
        <v>1043</v>
      </c>
      <c r="L8" s="294">
        <f>(IF('Section Load'!M11&gt;0,'Section Load'!M11,0))</f>
        <v>698</v>
      </c>
      <c r="M8" s="294">
        <f>(IF('Section Load'!N11&gt;0,'Section Load'!N11,0))</f>
        <v>74</v>
      </c>
      <c r="N8" s="294">
        <f>(IF('Section Load'!O11&gt;0,'Section Load'!O11,0))</f>
        <v>0</v>
      </c>
      <c r="O8" s="294">
        <f>(IF('Section Load'!P11&gt;0,'Section Load'!P11,0))</f>
        <v>0</v>
      </c>
      <c r="P8" s="294">
        <f>(IF('Section Load'!Q11&gt;0,'Section Load'!Q11,0))</f>
        <v>172</v>
      </c>
      <c r="Q8" s="294">
        <f>(IF('Section Load'!R11&gt;0,'Section Load'!R11,0))</f>
        <v>66</v>
      </c>
      <c r="R8" s="294">
        <f>(IF('Section Load'!S11&gt;0,'Section Load'!S11,0))</f>
        <v>17</v>
      </c>
      <c r="S8" s="294">
        <f>(IF('Section Load'!T11&gt;0,'Section Load'!T11,0))</f>
        <v>410</v>
      </c>
      <c r="T8" s="294">
        <f>(IF('Section Load'!U11&gt;0,'Section Load'!U11,0))</f>
        <v>230</v>
      </c>
      <c r="U8" s="294">
        <f>(IF('Section Load'!V11&gt;0,'Section Load'!V11,0))</f>
        <v>368</v>
      </c>
      <c r="V8" s="294">
        <f>(IF('Section Load'!W11&gt;0,'Section Load'!W11,0))</f>
        <v>247</v>
      </c>
      <c r="W8" s="294">
        <f>(IF('Section Load'!X11&gt;0,'Section Load'!X11,0))</f>
        <v>25</v>
      </c>
      <c r="X8" s="294">
        <f>(IF('Section Load'!Y11&gt;0,'Section Load'!Y11,0))</f>
        <v>199</v>
      </c>
      <c r="Y8" s="294">
        <f>(IF('Section Load'!Z11&gt;0,'Section Load'!Z11,0))</f>
        <v>215</v>
      </c>
      <c r="Z8" s="294">
        <f>(IF('Section Load'!AA11&gt;0,'Section Load'!AA11,0))</f>
        <v>65.440000000002328</v>
      </c>
      <c r="AA8" s="294">
        <f>(IF('Section Load'!AB11&gt;0,'Section Load'!AB11,0))</f>
        <v>34</v>
      </c>
      <c r="AB8" s="294">
        <f>(IF('Section Load'!AC11&gt;0,'Section Load'!AC11,0))</f>
        <v>0</v>
      </c>
      <c r="AC8" s="294">
        <f>(IF('Section Load'!AD11&gt;0,'Section Load'!AD11,0))</f>
        <v>48</v>
      </c>
      <c r="AD8" s="294">
        <f>(IF('Section Load'!AE11&gt;0,'Section Load'!AE11,0))</f>
        <v>0</v>
      </c>
      <c r="AE8" s="294">
        <f>(IF('Section Load'!AF11&gt;0,'Section Load'!AF11,0))</f>
        <v>29</v>
      </c>
      <c r="AF8" s="294">
        <f>(IF('Section Load'!AG11&gt;0,'Section Load'!AG11,0))</f>
        <v>639</v>
      </c>
      <c r="AG8" s="294">
        <f>(IF('Section Load'!AH11&gt;0,'Section Load'!AH11,0))</f>
        <v>437</v>
      </c>
      <c r="AH8" s="294">
        <f>(IF('Section Load'!AI11&gt;0,'Section Load'!AI11,0))</f>
        <v>428</v>
      </c>
      <c r="AI8" s="294">
        <f>(IF('Section Load'!AJ11&gt;0,'Section Load'!AJ11,0))</f>
        <v>720</v>
      </c>
      <c r="AJ8" s="294">
        <f>(IF('Section Load'!AK11&gt;0,'Section Load'!AK11,0))</f>
        <v>240</v>
      </c>
      <c r="AK8" s="294">
        <f>(IF('Section Load'!AL11&gt;0,'Section Load'!AL11,0))</f>
        <v>318</v>
      </c>
      <c r="AL8" s="294">
        <f>(IF('Section Load'!AM11&gt;0,'Section Load'!AM11,0))</f>
        <v>756</v>
      </c>
      <c r="AM8" s="295">
        <f>(IF('Water Report'!$J$7&gt;0,'Water Report'!$J$7,0))</f>
        <v>57</v>
      </c>
      <c r="AN8" s="295">
        <f>(IF('Water Report'!$J$8&gt;0,'Water Report'!$J$8,0))</f>
        <v>95</v>
      </c>
      <c r="AO8" s="295">
        <f>(IF('Water Report'!$J$9&gt;0,'Water Report'!$J$9,0))</f>
        <v>79</v>
      </c>
      <c r="AP8" s="295">
        <f>(IF('Water Report'!$J$10&gt;0,'Water Report'!$J$10,0))</f>
        <v>17</v>
      </c>
      <c r="AQ8" s="295">
        <f>(IF('Water Report'!$J$11&gt;0,'Water Report'!$J$11,0))</f>
        <v>23</v>
      </c>
      <c r="AR8" s="295">
        <f>(IF('Water Report'!$J$13&gt;0,'Water Report'!$J$13,0))</f>
        <v>42</v>
      </c>
      <c r="AS8" s="295">
        <f>(IF('Water Report'!$J$14&gt;0,'Water Report'!$J$14,0))</f>
        <v>7</v>
      </c>
      <c r="AT8" s="295">
        <f>(IF('Water Report'!$J$15&gt;0,'Water Report'!$J$15,0))</f>
        <v>9</v>
      </c>
      <c r="AU8" s="295">
        <f>(IF('Water Report'!$J$17&gt;0,'Water Report'!$J$17,0))</f>
        <v>0</v>
      </c>
      <c r="AV8" s="295">
        <f>(IF('Water Report'!$J$18&gt;0,'Water Report'!$J$18,0))</f>
        <v>11</v>
      </c>
      <c r="AW8" s="295">
        <f>(IF('Water Report'!$J$19&gt;0,'Water Report'!$J$19,0))</f>
        <v>11</v>
      </c>
      <c r="AX8" s="301">
        <f>(IF('Water Report'!$J$21&gt;0,'Water Report'!$J$21,0))</f>
        <v>62</v>
      </c>
      <c r="AY8" s="301">
        <f>(IF('Water Report'!$J$22&gt;0,'Water Report'!$J$22,0))</f>
        <v>9</v>
      </c>
      <c r="AZ8" s="301">
        <f>(IF('Water Report'!$J$23&gt;0,'Water Report'!$J$23,0))</f>
        <v>3</v>
      </c>
      <c r="BA8" s="301">
        <f>(IF('Water Report'!$J$14&gt;0,'Water Report'!$J$14,0))</f>
        <v>7</v>
      </c>
      <c r="BB8" s="301">
        <f>(IF('Water Report'!$J$15&gt;0,'Water Report'!$J$15,0))</f>
        <v>9</v>
      </c>
      <c r="BC8" s="301">
        <f>(IF('Water Report'!$J$13&gt;0,'Water Report'!$J$13,0))</f>
        <v>42</v>
      </c>
      <c r="BD8" s="301">
        <f>(IF('Water Report'!$J$24&gt;0,'Water Report'!$J$24,0))</f>
        <v>214</v>
      </c>
      <c r="BE8" s="301">
        <f>(IF('Water Report'!$J$25&gt;0,'Water Report'!$J$25,0))</f>
        <v>135</v>
      </c>
      <c r="BF8" s="301">
        <f>(IF('Water Report'!$J$27&gt;0,'Water Report'!$J$27,0))</f>
        <v>107</v>
      </c>
      <c r="BG8" s="296">
        <f>(IF('Section Load'!AN11&gt;0,'Section Load'!AN11,0))</f>
        <v>963</v>
      </c>
      <c r="BH8" s="296">
        <f>(IF('Section Load'!AO11&gt;0,'Section Load'!AO11,0))</f>
        <v>301</v>
      </c>
      <c r="BI8" s="296">
        <f>(IF('Section Load'!AP11&gt;0,'Section Load'!AP11,0))</f>
        <v>0</v>
      </c>
      <c r="BJ8" s="296">
        <f>(IF('Section Load'!AQ11&gt;0,'Section Load'!AQ11,0))</f>
        <v>72</v>
      </c>
      <c r="BK8" s="296">
        <f>(IF('Section Load'!AR11&gt;0,'Section Load'!AR11,0))</f>
        <v>39</v>
      </c>
      <c r="BL8" s="296">
        <f>(IF('Section Load'!AS11&gt;0,'Section Load'!AS11,0))</f>
        <v>1</v>
      </c>
      <c r="BM8" s="296">
        <f>(IF('Section Load'!AT11&gt;0,'Section Load'!AT11,0))</f>
        <v>550</v>
      </c>
    </row>
    <row r="9" spans="1:65" x14ac:dyDescent="0.25">
      <c r="A9" s="287" t="s">
        <v>268</v>
      </c>
      <c r="B9" s="288">
        <f t="shared" si="0"/>
        <v>8</v>
      </c>
      <c r="C9" s="288">
        <v>1</v>
      </c>
      <c r="D9" s="288">
        <v>2022</v>
      </c>
      <c r="E9" s="294">
        <f>(IF('Section Load'!F12&gt;0,'Section Load'!F12,0))</f>
        <v>3416</v>
      </c>
      <c r="F9" s="294">
        <f>(IF('Section Load'!G12&gt;0,'Section Load'!G12,0))</f>
        <v>1534</v>
      </c>
      <c r="G9" s="294">
        <f>(IF('Section Load'!H12&gt;0,'Section Load'!H12,0))</f>
        <v>1715</v>
      </c>
      <c r="H9" s="294">
        <f>(IF('Section Load'!I12&gt;0,'Section Load'!I12,0))</f>
        <v>2685</v>
      </c>
      <c r="I9" s="294">
        <f>(IF('Section Load'!J12&gt;0,'Section Load'!J12,0))</f>
        <v>3190</v>
      </c>
      <c r="J9" s="294">
        <f>(IF('Section Load'!K12&gt;0,'Section Load'!K12,0))</f>
        <v>2170</v>
      </c>
      <c r="K9" s="294">
        <f>(IF('Section Load'!L12&gt;0,'Section Load'!L12,0))</f>
        <v>974</v>
      </c>
      <c r="L9" s="294">
        <f>(IF('Section Load'!M12&gt;0,'Section Load'!M12,0))</f>
        <v>742</v>
      </c>
      <c r="M9" s="294">
        <f>(IF('Section Load'!N12&gt;0,'Section Load'!N12,0))</f>
        <v>64</v>
      </c>
      <c r="N9" s="294">
        <f>(IF('Section Load'!O12&gt;0,'Section Load'!O12,0))</f>
        <v>0</v>
      </c>
      <c r="O9" s="294">
        <f>(IF('Section Load'!P12&gt;0,'Section Load'!P12,0))</f>
        <v>0</v>
      </c>
      <c r="P9" s="294">
        <f>(IF('Section Load'!Q12&gt;0,'Section Load'!Q12,0))</f>
        <v>172</v>
      </c>
      <c r="Q9" s="294">
        <f>(IF('Section Load'!R12&gt;0,'Section Load'!R12,0))</f>
        <v>64</v>
      </c>
      <c r="R9" s="294">
        <f>(IF('Section Load'!S12&gt;0,'Section Load'!S12,0))</f>
        <v>18</v>
      </c>
      <c r="S9" s="294">
        <f>(IF('Section Load'!T12&gt;0,'Section Load'!T12,0))</f>
        <v>408</v>
      </c>
      <c r="T9" s="294">
        <f>(IF('Section Load'!U12&gt;0,'Section Load'!U12,0))</f>
        <v>240</v>
      </c>
      <c r="U9" s="294">
        <f>(IF('Section Load'!V12&gt;0,'Section Load'!V12,0))</f>
        <v>358</v>
      </c>
      <c r="V9" s="294">
        <f>(IF('Section Load'!W12&gt;0,'Section Load'!W12,0))</f>
        <v>265</v>
      </c>
      <c r="W9" s="294">
        <f>(IF('Section Load'!X12&gt;0,'Section Load'!X12,0))</f>
        <v>28</v>
      </c>
      <c r="X9" s="294">
        <f>(IF('Section Load'!Y12&gt;0,'Section Load'!Y12,0))</f>
        <v>181</v>
      </c>
      <c r="Y9" s="294">
        <f>(IF('Section Load'!Z12&gt;0,'Section Load'!Z12,0))</f>
        <v>231</v>
      </c>
      <c r="Z9" s="294">
        <f>(IF('Section Load'!AA12&gt;0,'Section Load'!AA12,0))</f>
        <v>6</v>
      </c>
      <c r="AA9" s="294">
        <f>(IF('Section Load'!AB12&gt;0,'Section Load'!AB12,0))</f>
        <v>21</v>
      </c>
      <c r="AB9" s="294">
        <f>(IF('Section Load'!AC12&gt;0,'Section Load'!AC12,0))</f>
        <v>0</v>
      </c>
      <c r="AC9" s="294">
        <f>(IF('Section Load'!AD12&gt;0,'Section Load'!AD12,0))</f>
        <v>28</v>
      </c>
      <c r="AD9" s="294">
        <f>(IF('Section Load'!AE12&gt;0,'Section Load'!AE12,0))</f>
        <v>0</v>
      </c>
      <c r="AE9" s="294">
        <f>(IF('Section Load'!AF12&gt;0,'Section Load'!AF12,0))</f>
        <v>22</v>
      </c>
      <c r="AF9" s="294">
        <f>(IF('Section Load'!AG12&gt;0,'Section Load'!AG12,0))</f>
        <v>85</v>
      </c>
      <c r="AG9" s="294">
        <f>(IF('Section Load'!AH12&gt;0,'Section Load'!AH12,0))</f>
        <v>453</v>
      </c>
      <c r="AH9" s="294">
        <f>(IF('Section Load'!AI12&gt;0,'Section Load'!AI12,0))</f>
        <v>414</v>
      </c>
      <c r="AI9" s="294">
        <f>(IF('Section Load'!AJ12&gt;0,'Section Load'!AJ12,0))</f>
        <v>709</v>
      </c>
      <c r="AJ9" s="294">
        <f>(IF('Section Load'!AK12&gt;0,'Section Load'!AK12,0))</f>
        <v>216</v>
      </c>
      <c r="AK9" s="294">
        <f>(IF('Section Load'!AL12&gt;0,'Section Load'!AL12,0))</f>
        <v>319</v>
      </c>
      <c r="AL9" s="294">
        <f>(IF('Section Load'!AM12&gt;0,'Section Load'!AM12,0))</f>
        <v>767</v>
      </c>
      <c r="AM9" s="295">
        <f>(IF('Water Report'!$K$7&gt;0,'Water Report'!$K$7,0))</f>
        <v>103</v>
      </c>
      <c r="AN9" s="295">
        <f>(IF('Water Report'!$K$8&gt;0,'Water Report'!$K$8,0))</f>
        <v>112</v>
      </c>
      <c r="AO9" s="295">
        <f>(IF('Water Report'!$K$9&gt;0,'Water Report'!$K$9,0))</f>
        <v>92</v>
      </c>
      <c r="AP9" s="295">
        <f>(IF('Water Report'!$K$10&gt;0,'Water Report'!$K$10,0))</f>
        <v>20</v>
      </c>
      <c r="AQ9" s="295">
        <f>(IF('Water Report'!$K$11&gt;0,'Water Report'!$K$11,0))</f>
        <v>21</v>
      </c>
      <c r="AR9" s="295">
        <f>(IF('Water Report'!$K$13&gt;0,'Water Report'!$K$13,0))</f>
        <v>30</v>
      </c>
      <c r="AS9" s="295">
        <f>(IF('Water Report'!$K$14&gt;0,'Water Report'!$K$14,0))</f>
        <v>6</v>
      </c>
      <c r="AT9" s="295">
        <f>(IF('Water Report'!$K$15&gt;0,'Water Report'!$K$15,0))</f>
        <v>8</v>
      </c>
      <c r="AU9" s="295">
        <f>(IF('Water Report'!$K$17&gt;0,'Water Report'!$K$17,0))</f>
        <v>0</v>
      </c>
      <c r="AV9" s="295">
        <f>(IF('Water Report'!$K$18&gt;0,'Water Report'!$K$18,0))</f>
        <v>12</v>
      </c>
      <c r="AW9" s="295">
        <f>(IF('Water Report'!$K$19&gt;0,'Water Report'!$K$19,0))</f>
        <v>9</v>
      </c>
      <c r="AX9" s="301">
        <f>(IF('Water Report'!$K$21&gt;0,'Water Report'!$K$21,0))</f>
        <v>60</v>
      </c>
      <c r="AY9" s="301">
        <f>(IF('Water Report'!$K$22&gt;0,'Water Report'!$K$22,0))</f>
        <v>14</v>
      </c>
      <c r="AZ9" s="301">
        <f>(IF('Water Report'!$K$23&gt;0,'Water Report'!$K$23,0))</f>
        <v>15</v>
      </c>
      <c r="BA9" s="301">
        <f>(IF('Water Report'!$K$14&gt;0,'Water Report'!$K$14,0))</f>
        <v>6</v>
      </c>
      <c r="BB9" s="301">
        <f>(IF('Water Report'!$K$15&gt;0,'Water Report'!$K$15,0))</f>
        <v>8</v>
      </c>
      <c r="BC9" s="301">
        <f>(IF('Water Report'!$K$13&gt;0,'Water Report'!$K$13,0))</f>
        <v>30</v>
      </c>
      <c r="BD9" s="301">
        <f>(IF('Water Report'!$K$24&gt;0,'Water Report'!$K$24,0))</f>
        <v>211</v>
      </c>
      <c r="BE9" s="301">
        <f>(IF('Water Report'!$K$25&gt;0,'Water Report'!$K$25,0))</f>
        <v>147</v>
      </c>
      <c r="BF9" s="301">
        <f>(IF('Water Report'!$K$27&gt;0,'Water Report'!$K$27,0))</f>
        <v>105</v>
      </c>
      <c r="BG9" s="296">
        <f>(IF('Section Load'!AN12&gt;0,'Section Load'!AN12,0))</f>
        <v>925</v>
      </c>
      <c r="BH9" s="296">
        <f>(IF('Section Load'!AO12&gt;0,'Section Load'!AO12,0))</f>
        <v>306</v>
      </c>
      <c r="BI9" s="296">
        <f>(IF('Section Load'!AP12&gt;0,'Section Load'!AP12,0))</f>
        <v>0</v>
      </c>
      <c r="BJ9" s="296">
        <f>(IF('Section Load'!AQ12&gt;0,'Section Load'!AQ12,0))</f>
        <v>87</v>
      </c>
      <c r="BK9" s="296">
        <f>(IF('Section Load'!AR12&gt;0,'Section Load'!AR12,0))</f>
        <v>24</v>
      </c>
      <c r="BL9" s="296">
        <f>(IF('Section Load'!AS12&gt;0,'Section Load'!AS12,0))</f>
        <v>0</v>
      </c>
      <c r="BM9" s="296">
        <f>(IF('Section Load'!AT12&gt;0,'Section Load'!AT12,0))</f>
        <v>508</v>
      </c>
    </row>
    <row r="10" spans="1:65" x14ac:dyDescent="0.25">
      <c r="A10" s="287" t="s">
        <v>268</v>
      </c>
      <c r="B10" s="288">
        <f t="shared" si="0"/>
        <v>9</v>
      </c>
      <c r="C10" s="288">
        <v>1</v>
      </c>
      <c r="D10" s="288">
        <v>2022</v>
      </c>
      <c r="E10" s="294">
        <f>(IF('Section Load'!F13&gt;0,'Section Load'!F13,0))</f>
        <v>3089</v>
      </c>
      <c r="F10" s="294">
        <f>(IF('Section Load'!G13&gt;0,'Section Load'!G13,0))</f>
        <v>1472</v>
      </c>
      <c r="G10" s="294">
        <f>(IF('Section Load'!H13&gt;0,'Section Load'!H13,0))</f>
        <v>1658</v>
      </c>
      <c r="H10" s="294">
        <f>(IF('Section Load'!I13&gt;0,'Section Load'!I13,0))</f>
        <v>2610</v>
      </c>
      <c r="I10" s="294">
        <f>(IF('Section Load'!J13&gt;0,'Section Load'!J13,0))</f>
        <v>2762.4599999999991</v>
      </c>
      <c r="J10" s="294">
        <f>(IF('Section Load'!K13&gt;0,'Section Load'!K13,0))</f>
        <v>2151</v>
      </c>
      <c r="K10" s="294">
        <f>(IF('Section Load'!L13&gt;0,'Section Load'!L13,0))</f>
        <v>969</v>
      </c>
      <c r="L10" s="294">
        <f>(IF('Section Load'!M13&gt;0,'Section Load'!M13,0))</f>
        <v>704</v>
      </c>
      <c r="M10" s="294">
        <f>(IF('Section Load'!N13&gt;0,'Section Load'!N13,0))</f>
        <v>54</v>
      </c>
      <c r="N10" s="294">
        <f>(IF('Section Load'!O13&gt;0,'Section Load'!O13,0))</f>
        <v>0</v>
      </c>
      <c r="O10" s="294">
        <f>(IF('Section Load'!P13&gt;0,'Section Load'!P13,0))</f>
        <v>0</v>
      </c>
      <c r="P10" s="294">
        <f>(IF('Section Load'!Q13&gt;0,'Section Load'!Q13,0))</f>
        <v>176</v>
      </c>
      <c r="Q10" s="294">
        <f>(IF('Section Load'!R13&gt;0,'Section Load'!R13,0))</f>
        <v>72</v>
      </c>
      <c r="R10" s="294">
        <f>(IF('Section Load'!S13&gt;0,'Section Load'!S13,0))</f>
        <v>18</v>
      </c>
      <c r="S10" s="294">
        <f>(IF('Section Load'!T13&gt;0,'Section Load'!T13,0))</f>
        <v>382</v>
      </c>
      <c r="T10" s="294">
        <f>(IF('Section Load'!U13&gt;0,'Section Load'!U13,0))</f>
        <v>220</v>
      </c>
      <c r="U10" s="294">
        <f>(IF('Section Load'!V13&gt;0,'Section Load'!V13,0))</f>
        <v>358</v>
      </c>
      <c r="V10" s="294">
        <f>(IF('Section Load'!W13&gt;0,'Section Load'!W13,0))</f>
        <v>228</v>
      </c>
      <c r="W10" s="294">
        <f>(IF('Section Load'!X13&gt;0,'Section Load'!X13,0))</f>
        <v>25</v>
      </c>
      <c r="X10" s="294">
        <f>(IF('Section Load'!Y13&gt;0,'Section Load'!Y13,0))</f>
        <v>184</v>
      </c>
      <c r="Y10" s="294">
        <f>(IF('Section Load'!Z13&gt;0,'Section Load'!Z13,0))</f>
        <v>216</v>
      </c>
      <c r="Z10" s="294">
        <f>(IF('Section Load'!AA13&gt;0,'Section Load'!AA13,0))</f>
        <v>6</v>
      </c>
      <c r="AA10" s="294">
        <f>(IF('Section Load'!AB13&gt;0,'Section Load'!AB13,0))</f>
        <v>23</v>
      </c>
      <c r="AB10" s="294">
        <f>(IF('Section Load'!AC13&gt;0,'Section Load'!AC13,0))</f>
        <v>0</v>
      </c>
      <c r="AC10" s="294">
        <f>(IF('Section Load'!AD13&gt;0,'Section Load'!AD13,0))</f>
        <v>33</v>
      </c>
      <c r="AD10" s="294">
        <f>(IF('Section Load'!AE13&gt;0,'Section Load'!AE13,0))</f>
        <v>0</v>
      </c>
      <c r="AE10" s="294">
        <f>(IF('Section Load'!AF13&gt;0,'Section Load'!AF13,0))</f>
        <v>23</v>
      </c>
      <c r="AF10" s="294">
        <f>(IF('Section Load'!AG13&gt;0,'Section Load'!AG13,0))</f>
        <v>346</v>
      </c>
      <c r="AG10" s="294">
        <f>(IF('Section Load'!AH13&gt;0,'Section Load'!AH13,0))</f>
        <v>442</v>
      </c>
      <c r="AH10" s="294">
        <f>(IF('Section Load'!AI13&gt;0,'Section Load'!AI13,0))</f>
        <v>422</v>
      </c>
      <c r="AI10" s="294">
        <f>(IF('Section Load'!AJ13&gt;0,'Section Load'!AJ13,0))</f>
        <v>702</v>
      </c>
      <c r="AJ10" s="294">
        <f>(IF('Section Load'!AK13&gt;0,'Section Load'!AK13,0))</f>
        <v>185</v>
      </c>
      <c r="AK10" s="294">
        <f>(IF('Section Load'!AL13&gt;0,'Section Load'!AL13,0))</f>
        <v>306</v>
      </c>
      <c r="AL10" s="294">
        <f>(IF('Section Load'!AM13&gt;0,'Section Load'!AM13,0))</f>
        <v>524</v>
      </c>
      <c r="AM10" s="295">
        <f>(IF('Water Report'!$L$7&gt;0,'Water Report'!$L$7,0))</f>
        <v>80</v>
      </c>
      <c r="AN10" s="295">
        <f>(IF('Water Report'!$L$8&gt;0,'Water Report'!$L$8,0))</f>
        <v>67</v>
      </c>
      <c r="AO10" s="295">
        <f>(IF('Water Report'!$L$9&gt;0,'Water Report'!$L$9,0))</f>
        <v>78</v>
      </c>
      <c r="AP10" s="295">
        <f>(IF('Water Report'!$L$10&gt;0,'Water Report'!$L$10,0))</f>
        <v>17</v>
      </c>
      <c r="AQ10" s="295">
        <f>(IF('Water Report'!$L$11&gt;0,'Water Report'!$L$11,0))</f>
        <v>24</v>
      </c>
      <c r="AR10" s="295">
        <f>(IF('Water Report'!$L$13&gt;0,'Water Report'!$L$13,0))</f>
        <v>27</v>
      </c>
      <c r="AS10" s="295">
        <f>(IF('Water Report'!$L$14&gt;0,'Water Report'!$L$14,0))</f>
        <v>7</v>
      </c>
      <c r="AT10" s="295">
        <f>(IF('Water Report'!$L$15&gt;0,'Water Report'!$L$15,0))</f>
        <v>14</v>
      </c>
      <c r="AU10" s="295">
        <f>(IF('Water Report'!$L$17&gt;0,'Water Report'!$L$17,0))</f>
        <v>0</v>
      </c>
      <c r="AV10" s="295">
        <f>(IF('Water Report'!$L$18&gt;0,'Water Report'!$L$18,0))</f>
        <v>18</v>
      </c>
      <c r="AW10" s="295">
        <f>(IF('Water Report'!$L$19&gt;0,'Water Report'!$L$19,0))</f>
        <v>10</v>
      </c>
      <c r="AX10" s="301">
        <f>(IF('Water Report'!$L$21&gt;0,'Water Report'!$L$21,0))</f>
        <v>61</v>
      </c>
      <c r="AY10" s="301">
        <f>(IF('Water Report'!$L$22&gt;0,'Water Report'!$L$22,0))</f>
        <v>18</v>
      </c>
      <c r="AZ10" s="301">
        <f>(IF('Water Report'!$L$23&gt;0,'Water Report'!$L$23,0))</f>
        <v>1</v>
      </c>
      <c r="BA10" s="301">
        <f>(IF('Water Report'!$L$14&gt;0,'Water Report'!$L$14,0))</f>
        <v>7</v>
      </c>
      <c r="BB10" s="301">
        <f>(IF('Water Report'!$L$15&gt;0,'Water Report'!$L$15,0))</f>
        <v>14</v>
      </c>
      <c r="BC10" s="301">
        <f>(IF('Water Report'!$L$13&gt;0,'Water Report'!$L$13,0))</f>
        <v>27</v>
      </c>
      <c r="BD10" s="301">
        <f>(IF('Water Report'!$L$24&gt;0,'Water Report'!$L$24,0))</f>
        <v>205</v>
      </c>
      <c r="BE10" s="301">
        <f>(IF('Water Report'!$L$25&gt;0,'Water Report'!$L$25,0))</f>
        <v>140</v>
      </c>
      <c r="BF10" s="301">
        <f>(IF('Water Report'!$L$27&gt;0,'Water Report'!$L$27,0))</f>
        <v>89</v>
      </c>
      <c r="BG10" s="296">
        <f>(IF('Section Load'!AN13&gt;0,'Section Load'!AN13,0))</f>
        <v>907</v>
      </c>
      <c r="BH10" s="296">
        <f>(IF('Section Load'!AO13&gt;0,'Section Load'!AO13,0))</f>
        <v>305</v>
      </c>
      <c r="BI10" s="296">
        <f>(IF('Section Load'!AP13&gt;0,'Section Load'!AP13,0))</f>
        <v>0.19999999999708962</v>
      </c>
      <c r="BJ10" s="296">
        <f>(IF('Section Load'!AQ13&gt;0,'Section Load'!AQ13,0))</f>
        <v>76</v>
      </c>
      <c r="BK10" s="296">
        <f>(IF('Section Load'!AR13&gt;0,'Section Load'!AR13,0))</f>
        <v>24</v>
      </c>
      <c r="BL10" s="296">
        <f>(IF('Section Load'!AS13&gt;0,'Section Load'!AS13,0))</f>
        <v>0</v>
      </c>
      <c r="BM10" s="296">
        <f>(IF('Section Load'!AT13&gt;0,'Section Load'!AT13,0))</f>
        <v>501.80000000000291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1</v>
      </c>
      <c r="D11" s="288">
        <v>2022</v>
      </c>
      <c r="E11" s="294">
        <f>(IF('Section Load'!F14&gt;0,'Section Load'!F14,0))</f>
        <v>349453</v>
      </c>
      <c r="F11" s="294">
        <f>(IF('Section Load'!G14&gt;0,'Section Load'!G14,0))</f>
        <v>160616</v>
      </c>
      <c r="G11" s="294">
        <f>(IF('Section Load'!H14&gt;0,'Section Load'!H14,0))</f>
        <v>189042</v>
      </c>
      <c r="H11" s="294">
        <f>(IF('Section Load'!I14&gt;0,'Section Load'!I14,0))</f>
        <v>348084</v>
      </c>
      <c r="I11" s="294">
        <f>(IF('Section Load'!J14&gt;0,'Section Load'!J14,0))</f>
        <v>1043261.4</v>
      </c>
      <c r="J11" s="294">
        <f>(IF('Section Load'!K14&gt;0,'Section Load'!K14,0))</f>
        <v>1487030</v>
      </c>
      <c r="K11" s="294">
        <f>(IF('Section Load'!L14&gt;0,'Section Load'!L14,0))</f>
        <v>703513</v>
      </c>
      <c r="L11" s="294">
        <f>(IF('Section Load'!M14&gt;0,'Section Load'!M14,0))</f>
        <v>61055</v>
      </c>
      <c r="M11" s="294">
        <f>(IF('Section Load'!N14&gt;0,'Section Load'!N14,0))</f>
        <v>0</v>
      </c>
      <c r="N11" s="294">
        <f>(IF('Section Load'!O14&gt;0,'Section Load'!O14,0))</f>
        <v>0</v>
      </c>
      <c r="O11" s="294">
        <f>(IF('Section Load'!P14&gt;0,'Section Load'!P14,0))</f>
        <v>0</v>
      </c>
      <c r="P11" s="294">
        <f>(IF('Section Load'!Q14&gt;0,'Section Load'!Q14,0))</f>
        <v>0</v>
      </c>
      <c r="Q11" s="294">
        <f>(IF('Section Load'!R14&gt;0,'Section Load'!R14,0))</f>
        <v>0</v>
      </c>
      <c r="R11" s="294">
        <f>(IF('Section Load'!S14&gt;0,'Section Load'!S14,0))</f>
        <v>0</v>
      </c>
      <c r="S11" s="294">
        <f>(IF('Section Load'!T14&gt;0,'Section Load'!T14,0))</f>
        <v>0</v>
      </c>
      <c r="T11" s="294">
        <f>(IF('Section Load'!U14&gt;0,'Section Load'!U14,0))</f>
        <v>0</v>
      </c>
      <c r="U11" s="294">
        <f>(IF('Section Load'!V14&gt;0,'Section Load'!V14,0))</f>
        <v>0</v>
      </c>
      <c r="V11" s="294">
        <f>(IF('Section Load'!W14&gt;0,'Section Load'!W14,0))</f>
        <v>0</v>
      </c>
      <c r="W11" s="294">
        <f>(IF('Section Load'!X14&gt;0,'Section Load'!X14,0))</f>
        <v>0</v>
      </c>
      <c r="X11" s="294">
        <f>(IF('Section Load'!Y14&gt;0,'Section Load'!Y14,0))</f>
        <v>86596</v>
      </c>
      <c r="Y11" s="294">
        <f>(IF('Section Load'!Z14&gt;0,'Section Load'!Z14,0))</f>
        <v>0</v>
      </c>
      <c r="Z11" s="294">
        <f>(IF('Section Load'!AA14&gt;0,'Section Load'!AA14,0))</f>
        <v>0</v>
      </c>
      <c r="AA11" s="294">
        <f>(IF('Section Load'!AB14&gt;0,'Section Load'!AB14,0))</f>
        <v>0</v>
      </c>
      <c r="AB11" s="294">
        <f>(IF('Section Load'!AC14&gt;0,'Section Load'!AC14,0))</f>
        <v>0</v>
      </c>
      <c r="AC11" s="294">
        <f>(IF('Section Load'!AD14&gt;0,'Section Load'!AD14,0))</f>
        <v>0</v>
      </c>
      <c r="AD11" s="294">
        <f>(IF('Section Load'!AE14&gt;0,'Section Load'!AE14,0))</f>
        <v>0</v>
      </c>
      <c r="AE11" s="294">
        <f>(IF('Section Load'!AF14&gt;0,'Section Load'!AF14,0))</f>
        <v>0</v>
      </c>
      <c r="AF11" s="294">
        <f>(IF('Section Load'!AG14&gt;0,'Section Load'!AG14,0))</f>
        <v>0</v>
      </c>
      <c r="AG11" s="294">
        <f>(IF('Section Load'!AH14&gt;0,'Section Load'!AH14,0))</f>
        <v>0</v>
      </c>
      <c r="AH11" s="294">
        <f>(IF('Section Load'!AI14&gt;0,'Section Load'!AI14,0))</f>
        <v>0</v>
      </c>
      <c r="AI11" s="294">
        <f>(IF('Section Load'!AJ14&gt;0,'Section Load'!AJ14,0))</f>
        <v>0</v>
      </c>
      <c r="AJ11" s="294">
        <f>(IF('Section Load'!AK14&gt;0,'Section Load'!AK14,0))</f>
        <v>0</v>
      </c>
      <c r="AK11" s="294">
        <f>(IF('Section Load'!AL14&gt;0,'Section Load'!AL14,0))</f>
        <v>0</v>
      </c>
      <c r="AL11" s="294">
        <f>(IF('Section Load'!AM14&gt;0,'Section Load'!AM14,0))</f>
        <v>0</v>
      </c>
      <c r="AM11" s="295">
        <f>(IF('Water Report'!$M$7&gt;0,'Water Report'!$M$7,0))</f>
        <v>0</v>
      </c>
      <c r="AN11" s="295">
        <f>(IF('Water Report'!$M$8&gt;0,'Water Report'!$M$8,0))</f>
        <v>0</v>
      </c>
      <c r="AO11" s="295">
        <f>(IF('Water Report'!$M$9&gt;0,'Water Report'!$M$9,0))</f>
        <v>0</v>
      </c>
      <c r="AP11" s="295">
        <f>(IF('Water Report'!$M$10&gt;0,'Water Report'!$M$10,0))</f>
        <v>0</v>
      </c>
      <c r="AQ11" s="295">
        <f>(IF('Water Report'!$M$11&gt;0,'Water Report'!$M$11,0))</f>
        <v>0</v>
      </c>
      <c r="AR11" s="295">
        <f>(IF('Water Report'!$M$13&gt;0,'Water Report'!$M$13,0))</f>
        <v>0</v>
      </c>
      <c r="AS11" s="295">
        <f>(IF('Water Report'!$M$14&gt;0,'Water Report'!$M$14,0))</f>
        <v>0</v>
      </c>
      <c r="AT11" s="295">
        <f>(IF('Water Report'!$M$15&gt;0,'Water Report'!$M$15,0))</f>
        <v>0</v>
      </c>
      <c r="AU11" s="295">
        <f>(IF('Water Report'!$M$17&gt;0,'Water Report'!$M$17,0))</f>
        <v>0</v>
      </c>
      <c r="AV11" s="295">
        <f>(IF('Water Report'!$M$18&gt;0,'Water Report'!$M$18,0))</f>
        <v>0</v>
      </c>
      <c r="AW11" s="295">
        <f>(IF('Water Report'!$M$19&gt;0,'Water Report'!$M$19,0))</f>
        <v>0</v>
      </c>
      <c r="AX11" s="301">
        <f>(IF('Water Report'!$M$21&gt;0,'Water Report'!$M$21,0))</f>
        <v>0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0</v>
      </c>
      <c r="BB11" s="301">
        <f>(IF('Water Report'!$M$15&gt;0,'Water Report'!$M$15,0))</f>
        <v>0</v>
      </c>
      <c r="BC11" s="301">
        <f>(IF('Water Report'!$M$13&gt;0,'Water Report'!$M$13,0))</f>
        <v>0</v>
      </c>
      <c r="BD11" s="301">
        <f>(IF('Water Report'!$M$24&gt;0,'Water Report'!$M$24,0))</f>
        <v>325</v>
      </c>
      <c r="BE11" s="301">
        <f>(IF('Water Report'!$M$25&gt;0,'Water Report'!$M$25,0))</f>
        <v>0</v>
      </c>
      <c r="BF11" s="301">
        <f>(IF('Water Report'!$M$27&gt;0,'Water Report'!$M$27,0))</f>
        <v>0</v>
      </c>
      <c r="BG11" s="296">
        <f>(IF('Section Load'!AN14&gt;0,'Section Load'!AN14,0))</f>
        <v>1100</v>
      </c>
      <c r="BH11" s="296">
        <f>(IF('Section Load'!AO14&gt;0,'Section Load'!AO14,0))</f>
        <v>0</v>
      </c>
      <c r="BI11" s="296">
        <f>(IF('Section Load'!AP14&gt;0,'Section Load'!AP14,0))</f>
        <v>243.69000000000233</v>
      </c>
      <c r="BJ11" s="296">
        <f>(IF('Section Load'!AQ14&gt;0,'Section Load'!AQ14,0))</f>
        <v>0</v>
      </c>
      <c r="BK11" s="296">
        <f>(IF('Section Load'!AR14&gt;0,'Section Load'!AR14,0))</f>
        <v>0</v>
      </c>
      <c r="BL11" s="296">
        <f>(IF('Section Load'!AS14&gt;0,'Section Load'!AS14,0))</f>
        <v>0</v>
      </c>
      <c r="BM11" s="296">
        <f>(IF('Section Load'!AT14&gt;0,'Section Load'!AT14,0))</f>
        <v>14778.309999999998</v>
      </c>
    </row>
    <row r="12" spans="1:65" x14ac:dyDescent="0.25">
      <c r="A12" s="287" t="s">
        <v>268</v>
      </c>
      <c r="B12" s="288">
        <f t="shared" si="0"/>
        <v>11</v>
      </c>
      <c r="C12" s="288">
        <v>1</v>
      </c>
      <c r="D12" s="288">
        <v>2022</v>
      </c>
      <c r="E12" s="294">
        <f>(IF('Section Load'!F15&gt;0,'Section Load'!F15,0))</f>
        <v>3866</v>
      </c>
      <c r="F12" s="294">
        <f>(IF('Section Load'!G15&gt;0,'Section Load'!G15,0))</f>
        <v>1605</v>
      </c>
      <c r="G12" s="294">
        <f>(IF('Section Load'!H15&gt;0,'Section Load'!H15,0))</f>
        <v>2162</v>
      </c>
      <c r="H12" s="294">
        <f>(IF('Section Load'!I15&gt;0,'Section Load'!I15,0))</f>
        <v>2960</v>
      </c>
      <c r="I12" s="294">
        <f>(IF('Section Load'!J15&gt;0,'Section Load'!J15,0))</f>
        <v>5467</v>
      </c>
      <c r="J12" s="294">
        <f>(IF('Section Load'!K15&gt;0,'Section Load'!K15,0))</f>
        <v>2753</v>
      </c>
      <c r="K12" s="294">
        <f>(IF('Section Load'!L15&gt;0,'Section Load'!L15,0))</f>
        <v>1517</v>
      </c>
      <c r="L12" s="294">
        <f>(IF('Section Load'!M15&gt;0,'Section Load'!M15,0))</f>
        <v>806</v>
      </c>
      <c r="M12" s="294">
        <f>(IF('Section Load'!N15&gt;0,'Section Load'!N15,0))</f>
        <v>127</v>
      </c>
      <c r="N12" s="294">
        <f>(IF('Section Load'!O15&gt;0,'Section Load'!O15,0))</f>
        <v>43</v>
      </c>
      <c r="O12" s="294">
        <f>(IF('Section Load'!P15&gt;0,'Section Load'!P15,0))</f>
        <v>0</v>
      </c>
      <c r="P12" s="294">
        <f>(IF('Section Load'!Q15&gt;0,'Section Load'!Q15,0))</f>
        <v>199</v>
      </c>
      <c r="Q12" s="294">
        <f>(IF('Section Load'!R15&gt;0,'Section Load'!R15,0))</f>
        <v>18</v>
      </c>
      <c r="R12" s="294">
        <f>(IF('Section Load'!S15&gt;0,'Section Load'!S15,0))</f>
        <v>57</v>
      </c>
      <c r="S12" s="294">
        <f>(IF('Section Load'!T15&gt;0,'Section Load'!T15,0))</f>
        <v>476</v>
      </c>
      <c r="T12" s="294">
        <f>(IF('Section Load'!U15&gt;0,'Section Load'!U15,0))</f>
        <v>234</v>
      </c>
      <c r="U12" s="294">
        <f>(IF('Section Load'!V15&gt;0,'Section Load'!V15,0))</f>
        <v>465</v>
      </c>
      <c r="V12" s="294">
        <f>(IF('Section Load'!W15&gt;0,'Section Load'!W15,0))</f>
        <v>317</v>
      </c>
      <c r="W12" s="294">
        <f>(IF('Section Load'!X15&gt;0,'Section Load'!X15,0))</f>
        <v>25</v>
      </c>
      <c r="X12" s="294">
        <f>(IF('Section Load'!Y15&gt;0,'Section Load'!Y15,0))</f>
        <v>260</v>
      </c>
      <c r="Y12" s="294">
        <f>(IF('Section Load'!Z15&gt;0,'Section Load'!Z15,0))</f>
        <v>245</v>
      </c>
      <c r="Z12" s="294">
        <f>(IF('Section Load'!AA15&gt;0,'Section Load'!AA15,0))</f>
        <v>1</v>
      </c>
      <c r="AA12" s="294">
        <f>(IF('Section Load'!AB15&gt;0,'Section Load'!AB15,0))</f>
        <v>17</v>
      </c>
      <c r="AB12" s="294">
        <f>(IF('Section Load'!AC15&gt;0,'Section Load'!AC15,0))</f>
        <v>0</v>
      </c>
      <c r="AC12" s="294">
        <f>(IF('Section Load'!AD15&gt;0,'Section Load'!AD15,0))</f>
        <v>48</v>
      </c>
      <c r="AD12" s="294">
        <f>(IF('Section Load'!AE15&gt;0,'Section Load'!AE15,0))</f>
        <v>0</v>
      </c>
      <c r="AE12" s="294">
        <f>(IF('Section Load'!AF15&gt;0,'Section Load'!AF15,0))</f>
        <v>21</v>
      </c>
      <c r="AF12" s="294">
        <f>(IF('Section Load'!AG15&gt;0,'Section Load'!AG15,0))</f>
        <v>312</v>
      </c>
      <c r="AG12" s="294">
        <f>(IF('Section Load'!AH15&gt;0,'Section Load'!AH15,0))</f>
        <v>437</v>
      </c>
      <c r="AH12" s="294">
        <f>(IF('Section Load'!AI15&gt;0,'Section Load'!AI15,0))</f>
        <v>420</v>
      </c>
      <c r="AI12" s="294">
        <f>(IF('Section Load'!AJ15&gt;0,'Section Load'!AJ15,0))</f>
        <v>768</v>
      </c>
      <c r="AJ12" s="294">
        <f>(IF('Section Load'!AK15&gt;0,'Section Load'!AK15,0))</f>
        <v>298</v>
      </c>
      <c r="AK12" s="294">
        <f>(IF('Section Load'!AL15&gt;0,'Section Load'!AL15,0))</f>
        <v>339</v>
      </c>
      <c r="AL12" s="294">
        <f>(IF('Section Load'!AM15&gt;0,'Section Load'!AM15,0))</f>
        <v>857</v>
      </c>
      <c r="AM12" s="295">
        <f>(IF('Water Report'!$N$7&gt;0,'Water Report'!$N$7,0))</f>
        <v>116</v>
      </c>
      <c r="AN12" s="295">
        <f>(IF('Water Report'!$N$8&gt;0,'Water Report'!$N$8,0))</f>
        <v>126</v>
      </c>
      <c r="AO12" s="295">
        <f>(IF('Water Report'!$N$9&gt;0,'Water Report'!$N$9,0))</f>
        <v>104</v>
      </c>
      <c r="AP12" s="295">
        <f>(IF('Water Report'!$N$10&gt;0,'Water Report'!$N$10,0))</f>
        <v>20</v>
      </c>
      <c r="AQ12" s="295">
        <f>(IF('Water Report'!$N$11&gt;0,'Water Report'!$N$11,0))</f>
        <v>34</v>
      </c>
      <c r="AR12" s="295">
        <f>(IF('Water Report'!$N$13&gt;0,'Water Report'!$N$13,0))</f>
        <v>39</v>
      </c>
      <c r="AS12" s="295">
        <f>(IF('Water Report'!$N$14&gt;0,'Water Report'!$N$14,0))</f>
        <v>8</v>
      </c>
      <c r="AT12" s="295">
        <f>(IF('Water Report'!$N$15&gt;0,'Water Report'!$N$15,0))</f>
        <v>11</v>
      </c>
      <c r="AU12" s="295">
        <f>(IF('Water Report'!$N$17&gt;0,'Water Report'!$N$17,0))</f>
        <v>0</v>
      </c>
      <c r="AV12" s="295">
        <f>(IF('Water Report'!$N$18&gt;0,'Water Report'!$N$18,0))</f>
        <v>20</v>
      </c>
      <c r="AW12" s="295">
        <f>(IF('Water Report'!$N$19&gt;0,'Water Report'!$N$19,0))</f>
        <v>14</v>
      </c>
      <c r="AX12" s="301">
        <f>(IF('Water Report'!$N$21&gt;0,'Water Report'!$N$21,0))</f>
        <v>83</v>
      </c>
      <c r="AY12" s="301">
        <f>(IF('Water Report'!$N$22&gt;0,'Water Report'!$N$22,0))</f>
        <v>0</v>
      </c>
      <c r="AZ12" s="301">
        <f>(IF('Water Report'!$N$23&gt;0,'Water Report'!$N$23,0))</f>
        <v>12</v>
      </c>
      <c r="BA12" s="301">
        <f>(IF('Water Report'!$N$14&gt;0,'Water Report'!$N$14,0))</f>
        <v>8</v>
      </c>
      <c r="BB12" s="301">
        <f>(IF('Water Report'!$N$15&gt;0,'Water Report'!$N$15,0))</f>
        <v>11</v>
      </c>
      <c r="BC12" s="301">
        <f>(IF('Water Report'!$N$13&gt;0,'Water Report'!$N$13,0))</f>
        <v>39</v>
      </c>
      <c r="BD12" s="301">
        <f>(IF('Water Report'!$N$24&gt;0,'Water Report'!$N$24,0))</f>
        <v>445</v>
      </c>
      <c r="BE12" s="301">
        <f>(IF('Water Report'!$N$25&gt;0,'Water Report'!$N$25,0))</f>
        <v>177</v>
      </c>
      <c r="BF12" s="301">
        <f>(IF('Water Report'!$N$27&gt;0,'Water Report'!$N$27,0))</f>
        <v>134</v>
      </c>
      <c r="BG12" s="296">
        <f>(IF('Section Load'!AN15&gt;0,'Section Load'!AN15,0))</f>
        <v>1100</v>
      </c>
      <c r="BH12" s="296">
        <f>(IF('Section Load'!AO15&gt;0,'Section Load'!AO15,0))</f>
        <v>309</v>
      </c>
      <c r="BI12" s="296">
        <f>(IF('Section Load'!AP15&gt;0,'Section Load'!AP15,0))</f>
        <v>0</v>
      </c>
      <c r="BJ12" s="296">
        <f>(IF('Section Load'!AQ15&gt;0,'Section Load'!AQ15,0))</f>
        <v>141</v>
      </c>
      <c r="BK12" s="296">
        <f>(IF('Section Load'!AR15&gt;0,'Section Load'!AR15,0))</f>
        <v>44</v>
      </c>
      <c r="BL12" s="296">
        <f>(IF('Section Load'!AS15&gt;0,'Section Load'!AS15,0))</f>
        <v>3</v>
      </c>
      <c r="BM12" s="296">
        <f>(IF('Section Load'!AT15&gt;0,'Section Load'!AT15,0))</f>
        <v>603</v>
      </c>
    </row>
    <row r="13" spans="1:65" x14ac:dyDescent="0.25">
      <c r="A13" s="287" t="s">
        <v>268</v>
      </c>
      <c r="B13" s="288">
        <f t="shared" si="0"/>
        <v>12</v>
      </c>
      <c r="C13" s="288">
        <v>1</v>
      </c>
      <c r="D13" s="288">
        <v>2022</v>
      </c>
      <c r="E13" s="294">
        <f>(IF('Section Load'!F16&gt;0,'Section Load'!F16,0))</f>
        <v>3898</v>
      </c>
      <c r="F13" s="294">
        <f>(IF('Section Load'!G16&gt;0,'Section Load'!G16,0))</f>
        <v>1688</v>
      </c>
      <c r="G13" s="294">
        <f>(IF('Section Load'!H16&gt;0,'Section Load'!H16,0))</f>
        <v>2175</v>
      </c>
      <c r="H13" s="294">
        <f>(IF('Section Load'!I16&gt;0,'Section Load'!I16,0))</f>
        <v>3054</v>
      </c>
      <c r="I13" s="294">
        <f>(IF('Section Load'!J16&gt;0,'Section Load'!J16,0))</f>
        <v>5511</v>
      </c>
      <c r="J13" s="294">
        <f>(IF('Section Load'!K16&gt;0,'Section Load'!K16,0))</f>
        <v>2634</v>
      </c>
      <c r="K13" s="294">
        <f>(IF('Section Load'!L16&gt;0,'Section Load'!L16,0))</f>
        <v>1046</v>
      </c>
      <c r="L13" s="294">
        <f>(IF('Section Load'!M16&gt;0,'Section Load'!M16,0))</f>
        <v>1141</v>
      </c>
      <c r="M13" s="294">
        <f>(IF('Section Load'!N16&gt;0,'Section Load'!N16,0))</f>
        <v>106</v>
      </c>
      <c r="N13" s="294">
        <f>(IF('Section Load'!O16&gt;0,'Section Load'!O16,0))</f>
        <v>7</v>
      </c>
      <c r="O13" s="294">
        <f>(IF('Section Load'!P16&gt;0,'Section Load'!P16,0))</f>
        <v>0</v>
      </c>
      <c r="P13" s="294">
        <f>(IF('Section Load'!Q16&gt;0,'Section Load'!Q16,0))</f>
        <v>194</v>
      </c>
      <c r="Q13" s="294">
        <f>(IF('Section Load'!R16&gt;0,'Section Load'!R16,0))</f>
        <v>18</v>
      </c>
      <c r="R13" s="294">
        <f>(IF('Section Load'!S16&gt;0,'Section Load'!S16,0))</f>
        <v>76</v>
      </c>
      <c r="S13" s="294">
        <f>(IF('Section Load'!T16&gt;0,'Section Load'!T16,0))</f>
        <v>480</v>
      </c>
      <c r="T13" s="294">
        <f>(IF('Section Load'!U16&gt;0,'Section Load'!U16,0))</f>
        <v>230</v>
      </c>
      <c r="U13" s="294">
        <f>(IF('Section Load'!V16&gt;0,'Section Load'!V16,0))</f>
        <v>461</v>
      </c>
      <c r="V13" s="294">
        <f>(IF('Section Load'!W16&gt;0,'Section Load'!W16,0))</f>
        <v>358</v>
      </c>
      <c r="W13" s="294">
        <f>(IF('Section Load'!X16&gt;0,'Section Load'!X16,0))</f>
        <v>31</v>
      </c>
      <c r="X13" s="294">
        <f>(IF('Section Load'!Y16&gt;0,'Section Load'!Y16,0))</f>
        <v>237</v>
      </c>
      <c r="Y13" s="294">
        <f>(IF('Section Load'!Z16&gt;0,'Section Load'!Z16,0))</f>
        <v>100</v>
      </c>
      <c r="Z13" s="294">
        <f>(IF('Section Load'!AA16&gt;0,'Section Load'!AA16,0))</f>
        <v>1</v>
      </c>
      <c r="AA13" s="294">
        <f>(IF('Section Load'!AB16&gt;0,'Section Load'!AB16,0))</f>
        <v>15</v>
      </c>
      <c r="AB13" s="294">
        <f>(IF('Section Load'!AC16&gt;0,'Section Load'!AC16,0))</f>
        <v>11.529999999998836</v>
      </c>
      <c r="AC13" s="294">
        <f>(IF('Section Load'!AD16&gt;0,'Section Load'!AD16,0))</f>
        <v>51</v>
      </c>
      <c r="AD13" s="294">
        <f>(IF('Section Load'!AE16&gt;0,'Section Load'!AE16,0))</f>
        <v>0</v>
      </c>
      <c r="AE13" s="294">
        <f>(IF('Section Load'!AF16&gt;0,'Section Load'!AF16,0))</f>
        <v>24</v>
      </c>
      <c r="AF13" s="294">
        <f>(IF('Section Load'!AG16&gt;0,'Section Load'!AG16,0))</f>
        <v>330</v>
      </c>
      <c r="AG13" s="294">
        <f>(IF('Section Load'!AH16&gt;0,'Section Load'!AH16,0))</f>
        <v>446</v>
      </c>
      <c r="AH13" s="294">
        <f>(IF('Section Load'!AI16&gt;0,'Section Load'!AI16,0))</f>
        <v>413</v>
      </c>
      <c r="AI13" s="294">
        <f>(IF('Section Load'!AJ16&gt;0,'Section Load'!AJ16,0))</f>
        <v>764</v>
      </c>
      <c r="AJ13" s="294">
        <f>(IF('Section Load'!AK16&gt;0,'Section Load'!AK16,0))</f>
        <v>303</v>
      </c>
      <c r="AK13" s="294">
        <f>(IF('Section Load'!AL16&gt;0,'Section Load'!AL16,0))</f>
        <v>352</v>
      </c>
      <c r="AL13" s="294">
        <f>(IF('Section Load'!AM16&gt;0,'Section Load'!AM16,0))</f>
        <v>852</v>
      </c>
      <c r="AM13" s="295">
        <f>(IF('Water Report'!$O$7&gt;0,'Water Report'!$O$7,0))</f>
        <v>144</v>
      </c>
      <c r="AN13" s="295">
        <f>(IF('Water Report'!$O$8&gt;0,'Water Report'!$O$8,0))</f>
        <v>130</v>
      </c>
      <c r="AO13" s="295">
        <f>(IF('Water Report'!$O$9&gt;0,'Water Report'!$O$9,0))</f>
        <v>105</v>
      </c>
      <c r="AP13" s="295">
        <f>(IF('Water Report'!$O$10&gt;0,'Water Report'!$O$10,0))</f>
        <v>21</v>
      </c>
      <c r="AQ13" s="295">
        <f>(IF('Water Report'!$O$11&gt;0,'Water Report'!$O$11,0))</f>
        <v>33</v>
      </c>
      <c r="AR13" s="295">
        <f>(IF('Water Report'!$O$13&gt;0,'Water Report'!$O$13,0))</f>
        <v>44</v>
      </c>
      <c r="AS13" s="295">
        <f>(IF('Water Report'!$O$14&gt;0,'Water Report'!$O$14,0))</f>
        <v>7</v>
      </c>
      <c r="AT13" s="295">
        <f>(IF('Water Report'!$O$15&gt;0,'Water Report'!$O$15,0))</f>
        <v>9</v>
      </c>
      <c r="AU13" s="295">
        <f>(IF('Water Report'!$O$17&gt;0,'Water Report'!$O$17,0))</f>
        <v>3</v>
      </c>
      <c r="AV13" s="295">
        <f>(IF('Water Report'!$O$18&gt;0,'Water Report'!$O$18,0))</f>
        <v>19</v>
      </c>
      <c r="AW13" s="295">
        <f>(IF('Water Report'!$O$19&gt;0,'Water Report'!$O$19,0))</f>
        <v>14</v>
      </c>
      <c r="AX13" s="301">
        <f>(IF('Water Report'!$O$21&gt;0,'Water Report'!$O$21,0))</f>
        <v>109</v>
      </c>
      <c r="AY13" s="301">
        <f>(IF('Water Report'!$O$22&gt;0,'Water Report'!$O$22,0))</f>
        <v>0</v>
      </c>
      <c r="AZ13" s="301">
        <f>(IF('Water Report'!$O$23&gt;0,'Water Report'!$O$23,0))</f>
        <v>1</v>
      </c>
      <c r="BA13" s="301">
        <f>(IF('Water Report'!$O$14&gt;0,'Water Report'!$O$14,0))</f>
        <v>7</v>
      </c>
      <c r="BB13" s="301">
        <f>(IF('Water Report'!$O$15&gt;0,'Water Report'!$O$15,0))</f>
        <v>9</v>
      </c>
      <c r="BC13" s="301">
        <f>(IF('Water Report'!$O$13&gt;0,'Water Report'!$O$13,0))</f>
        <v>44</v>
      </c>
      <c r="BD13" s="301">
        <f>(IF('Water Report'!$O$24&gt;0,'Water Report'!$O$24,0))</f>
        <v>565</v>
      </c>
      <c r="BE13" s="301">
        <f>(IF('Water Report'!$O$25&gt;0,'Water Report'!$O$25,0))</f>
        <v>175</v>
      </c>
      <c r="BF13" s="301">
        <f>(IF('Water Report'!$O$27&gt;0,'Water Report'!$O$27,0))</f>
        <v>154</v>
      </c>
      <c r="BG13" s="296">
        <f>(IF('Section Load'!AN16&gt;0,'Section Load'!AN16,0))</f>
        <v>1100</v>
      </c>
      <c r="BH13" s="296">
        <f>(IF('Section Load'!AO16&gt;0,'Section Load'!AO16,0))</f>
        <v>300</v>
      </c>
      <c r="BI13" s="296">
        <f>(IF('Section Load'!AP16&gt;0,'Section Load'!AP16,0))</f>
        <v>0</v>
      </c>
      <c r="BJ13" s="296">
        <f>(IF('Section Load'!AQ16&gt;0,'Section Load'!AQ16,0))</f>
        <v>152</v>
      </c>
      <c r="BK13" s="296">
        <f>(IF('Section Load'!AR16&gt;0,'Section Load'!AR16,0))</f>
        <v>46</v>
      </c>
      <c r="BL13" s="296">
        <f>(IF('Section Load'!AS16&gt;0,'Section Load'!AS16,0))</f>
        <v>5</v>
      </c>
      <c r="BM13" s="296">
        <f>(IF('Section Load'!AT16&gt;0,'Section Load'!AT16,0))</f>
        <v>597</v>
      </c>
    </row>
    <row r="14" spans="1:65" x14ac:dyDescent="0.25">
      <c r="A14" s="287" t="s">
        <v>268</v>
      </c>
      <c r="B14" s="288">
        <f t="shared" si="0"/>
        <v>13</v>
      </c>
      <c r="C14" s="288">
        <v>1</v>
      </c>
      <c r="D14" s="288">
        <v>2022</v>
      </c>
      <c r="E14" s="294">
        <f>(IF('Section Load'!F17&gt;0,'Section Load'!F17,0))</f>
        <v>3767</v>
      </c>
      <c r="F14" s="294">
        <f>(IF('Section Load'!G17&gt;0,'Section Load'!G17,0))</f>
        <v>1431</v>
      </c>
      <c r="G14" s="294">
        <f>(IF('Section Load'!H17&gt;0,'Section Load'!H17,0))</f>
        <v>2095</v>
      </c>
      <c r="H14" s="294">
        <f>(IF('Section Load'!I17&gt;0,'Section Load'!I17,0))</f>
        <v>3101</v>
      </c>
      <c r="I14" s="294">
        <f>(IF('Section Load'!J17&gt;0,'Section Load'!J17,0))</f>
        <v>5072</v>
      </c>
      <c r="J14" s="294">
        <f>(IF('Section Load'!K17&gt;0,'Section Load'!K17,0))</f>
        <v>2771</v>
      </c>
      <c r="K14" s="294">
        <f>(IF('Section Load'!L17&gt;0,'Section Load'!L17,0))</f>
        <v>1701</v>
      </c>
      <c r="L14" s="294">
        <f>(IF('Section Load'!M17&gt;0,'Section Load'!M17,0))</f>
        <v>1205</v>
      </c>
      <c r="M14" s="294">
        <f>(IF('Section Load'!N17&gt;0,'Section Load'!N17,0))</f>
        <v>100</v>
      </c>
      <c r="N14" s="294">
        <f>(IF('Section Load'!O17&gt;0,'Section Load'!O17,0))</f>
        <v>4</v>
      </c>
      <c r="O14" s="294">
        <f>(IF('Section Load'!P17&gt;0,'Section Load'!P17,0))</f>
        <v>1</v>
      </c>
      <c r="P14" s="294">
        <f>(IF('Section Load'!Q17&gt;0,'Section Load'!Q17,0))</f>
        <v>208</v>
      </c>
      <c r="Q14" s="294">
        <f>(IF('Section Load'!R17&gt;0,'Section Load'!R17,0))</f>
        <v>18</v>
      </c>
      <c r="R14" s="294">
        <f>(IF('Section Load'!S17&gt;0,'Section Load'!S17,0))</f>
        <v>61</v>
      </c>
      <c r="S14" s="294">
        <f>(IF('Section Load'!T17&gt;0,'Section Load'!T17,0))</f>
        <v>461</v>
      </c>
      <c r="T14" s="294">
        <f>(IF('Section Load'!U17&gt;0,'Section Load'!U17,0))</f>
        <v>236</v>
      </c>
      <c r="U14" s="294">
        <f>(IF('Section Load'!V17&gt;0,'Section Load'!V17,0))</f>
        <v>486</v>
      </c>
      <c r="V14" s="294">
        <f>(IF('Section Load'!W17&gt;0,'Section Load'!W17,0))</f>
        <v>316</v>
      </c>
      <c r="W14" s="294">
        <f>(IF('Section Load'!X17&gt;0,'Section Load'!X17,0))</f>
        <v>30</v>
      </c>
      <c r="X14" s="294">
        <f>(IF('Section Load'!Y17&gt;0,'Section Load'!Y17,0))</f>
        <v>230</v>
      </c>
      <c r="Y14" s="294">
        <f>(IF('Section Load'!Z17&gt;0,'Section Load'!Z17,0))</f>
        <v>226</v>
      </c>
      <c r="Z14" s="294">
        <f>(IF('Section Load'!AA17&gt;0,'Section Load'!AA17,0))</f>
        <v>1</v>
      </c>
      <c r="AA14" s="294">
        <f>(IF('Section Load'!AB17&gt;0,'Section Load'!AB17,0))</f>
        <v>34</v>
      </c>
      <c r="AB14" s="294">
        <f>(IF('Section Load'!AC17&gt;0,'Section Load'!AC17,0))</f>
        <v>0</v>
      </c>
      <c r="AC14" s="294">
        <f>(IF('Section Load'!AD17&gt;0,'Section Load'!AD17,0))</f>
        <v>98</v>
      </c>
      <c r="AD14" s="294">
        <f>(IF('Section Load'!AE17&gt;0,'Section Load'!AE17,0))</f>
        <v>0</v>
      </c>
      <c r="AE14" s="294">
        <f>(IF('Section Load'!AF17&gt;0,'Section Load'!AF17,0))</f>
        <v>26</v>
      </c>
      <c r="AF14" s="294">
        <f>(IF('Section Load'!AG17&gt;0,'Section Load'!AG17,0))</f>
        <v>408</v>
      </c>
      <c r="AG14" s="294">
        <f>(IF('Section Load'!AH17&gt;0,'Section Load'!AH17,0))</f>
        <v>466</v>
      </c>
      <c r="AH14" s="294">
        <f>(IF('Section Load'!AI17&gt;0,'Section Load'!AI17,0))</f>
        <v>422</v>
      </c>
      <c r="AI14" s="294">
        <f>(IF('Section Load'!AJ17&gt;0,'Section Load'!AJ17,0))</f>
        <v>788</v>
      </c>
      <c r="AJ14" s="294">
        <f>(IF('Section Load'!AK17&gt;0,'Section Load'!AK17,0))</f>
        <v>323</v>
      </c>
      <c r="AK14" s="294">
        <f>(IF('Section Load'!AL17&gt;0,'Section Load'!AL17,0))</f>
        <v>358</v>
      </c>
      <c r="AL14" s="294">
        <f>(IF('Section Load'!AM17&gt;0,'Section Load'!AM17,0))</f>
        <v>828</v>
      </c>
      <c r="AM14" s="295">
        <f>(IF('Water Report'!$P$7&gt;0,'Water Report'!$P$7,0))</f>
        <v>146</v>
      </c>
      <c r="AN14" s="295">
        <f>(IF('Water Report'!$P$8&gt;0,'Water Report'!$P$8,0))</f>
        <v>125</v>
      </c>
      <c r="AO14" s="295">
        <f>(IF('Water Report'!$P$9&gt;0,'Water Report'!$P$9,0))</f>
        <v>152</v>
      </c>
      <c r="AP14" s="295">
        <f>(IF('Water Report'!$P$10&gt;0,'Water Report'!$P$10,0))</f>
        <v>19</v>
      </c>
      <c r="AQ14" s="295">
        <f>(IF('Water Report'!$P$11&gt;0,'Water Report'!$P$11,0))</f>
        <v>30</v>
      </c>
      <c r="AR14" s="295">
        <f>(IF('Water Report'!$P$13&gt;0,'Water Report'!$P$13,0))</f>
        <v>46</v>
      </c>
      <c r="AS14" s="295">
        <f>(IF('Water Report'!$P$14&gt;0,'Water Report'!$P$14,0))</f>
        <v>16</v>
      </c>
      <c r="AT14" s="295">
        <f>(IF('Water Report'!$P$15&gt;0,'Water Report'!$P$15,0))</f>
        <v>14</v>
      </c>
      <c r="AU14" s="295">
        <f>(IF('Water Report'!$P$17&gt;0,'Water Report'!$P$17,0))</f>
        <v>0</v>
      </c>
      <c r="AV14" s="295">
        <f>(IF('Water Report'!$P$18&gt;0,'Water Report'!$P$18,0))</f>
        <v>19</v>
      </c>
      <c r="AW14" s="295">
        <f>(IF('Water Report'!$P$19&gt;0,'Water Report'!$P$19,0))</f>
        <v>12</v>
      </c>
      <c r="AX14" s="301">
        <f>(IF('Water Report'!$P$21&gt;0,'Water Report'!$P$21,0))</f>
        <v>68</v>
      </c>
      <c r="AY14" s="301">
        <f>(IF('Water Report'!$P$22&gt;0,'Water Report'!$P$22,0))</f>
        <v>0</v>
      </c>
      <c r="AZ14" s="301">
        <f>(IF('Water Report'!$P$23&gt;0,'Water Report'!$P$23,0))</f>
        <v>3</v>
      </c>
      <c r="BA14" s="301">
        <f>(IF('Water Report'!$P$14&gt;0,'Water Report'!$P$14,0))</f>
        <v>16</v>
      </c>
      <c r="BB14" s="301">
        <f>(IF('Water Report'!$P$15&gt;0,'Water Report'!$P$15,0))</f>
        <v>14</v>
      </c>
      <c r="BC14" s="301">
        <f>(IF('Water Report'!$P$13&gt;0,'Water Report'!$P$13,0))</f>
        <v>46</v>
      </c>
      <c r="BD14" s="301">
        <f>(IF('Water Report'!$P$24&gt;0,'Water Report'!$P$24,0))</f>
        <v>685</v>
      </c>
      <c r="BE14" s="301">
        <f>(IF('Water Report'!$P$25&gt;0,'Water Report'!$P$25,0))</f>
        <v>231</v>
      </c>
      <c r="BF14" s="301">
        <f>(IF('Water Report'!$P$27&gt;0,'Water Report'!$P$27,0))</f>
        <v>117</v>
      </c>
      <c r="BG14" s="296">
        <f>(IF('Section Load'!AN17&gt;0,'Section Load'!AN17,0))</f>
        <v>1100</v>
      </c>
      <c r="BH14" s="296">
        <f>(IF('Section Load'!AO17&gt;0,'Section Load'!AO17,0))</f>
        <v>329</v>
      </c>
      <c r="BI14" s="296">
        <f>(IF('Section Load'!AP17&gt;0,'Section Load'!AP17,0))</f>
        <v>0</v>
      </c>
      <c r="BJ14" s="296">
        <f>(IF('Section Load'!AQ17&gt;0,'Section Load'!AQ17,0))</f>
        <v>139</v>
      </c>
      <c r="BK14" s="296">
        <f>(IF('Section Load'!AR17&gt;0,'Section Load'!AR17,0))</f>
        <v>66</v>
      </c>
      <c r="BL14" s="296">
        <f>(IF('Section Load'!AS17&gt;0,'Section Load'!AS17,0))</f>
        <v>0</v>
      </c>
      <c r="BM14" s="296">
        <f>(IF('Section Load'!AT17&gt;0,'Section Load'!AT17,0))</f>
        <v>566</v>
      </c>
    </row>
    <row r="15" spans="1:65" x14ac:dyDescent="0.25">
      <c r="A15" s="287" t="s">
        <v>268</v>
      </c>
      <c r="B15" s="288">
        <f t="shared" si="0"/>
        <v>14</v>
      </c>
      <c r="C15" s="288">
        <v>1</v>
      </c>
      <c r="D15" s="288">
        <v>2022</v>
      </c>
      <c r="E15" s="294">
        <f>(IF('Section Load'!F18&gt;0,'Section Load'!F18,0))</f>
        <v>3890</v>
      </c>
      <c r="F15" s="294">
        <f>(IF('Section Load'!G18&gt;0,'Section Load'!G18,0))</f>
        <v>1598</v>
      </c>
      <c r="G15" s="294">
        <f>(IF('Section Load'!H18&gt;0,'Section Load'!H18,0))</f>
        <v>2029</v>
      </c>
      <c r="H15" s="294">
        <f>(IF('Section Load'!I18&gt;0,'Section Load'!I18,0))</f>
        <v>3022</v>
      </c>
      <c r="I15" s="294">
        <f>(IF('Section Load'!J18&gt;0,'Section Load'!J18,0))</f>
        <v>3919</v>
      </c>
      <c r="J15" s="294">
        <f>(IF('Section Load'!K18&gt;0,'Section Load'!K18,0))</f>
        <v>2768</v>
      </c>
      <c r="K15" s="294">
        <f>(IF('Section Load'!L18&gt;0,'Section Load'!L18,0))</f>
        <v>1163</v>
      </c>
      <c r="L15" s="294">
        <f>(IF('Section Load'!M18&gt;0,'Section Load'!M18,0))</f>
        <v>1164</v>
      </c>
      <c r="M15" s="294">
        <f>(IF('Section Load'!N18&gt;0,'Section Load'!N18,0))</f>
        <v>123</v>
      </c>
      <c r="N15" s="294">
        <f>(IF('Section Load'!O18&gt;0,'Section Load'!O18,0))</f>
        <v>4</v>
      </c>
      <c r="O15" s="294">
        <f>(IF('Section Load'!P18&gt;0,'Section Load'!P18,0))</f>
        <v>0</v>
      </c>
      <c r="P15" s="294">
        <f>(IF('Section Load'!Q18&gt;0,'Section Load'!Q18,0))</f>
        <v>185</v>
      </c>
      <c r="Q15" s="294">
        <f>(IF('Section Load'!R18&gt;0,'Section Load'!R18,0))</f>
        <v>55</v>
      </c>
      <c r="R15" s="294">
        <f>(IF('Section Load'!S18&gt;0,'Section Load'!S18,0))</f>
        <v>55</v>
      </c>
      <c r="S15" s="294">
        <f>(IF('Section Load'!T18&gt;0,'Section Load'!T18,0))</f>
        <v>427</v>
      </c>
      <c r="T15" s="294">
        <f>(IF('Section Load'!U18&gt;0,'Section Load'!U18,0))</f>
        <v>233</v>
      </c>
      <c r="U15" s="294">
        <f>(IF('Section Load'!V18&gt;0,'Section Load'!V18,0))</f>
        <v>405</v>
      </c>
      <c r="V15" s="294">
        <f>(IF('Section Load'!W18&gt;0,'Section Load'!W18,0))</f>
        <v>321</v>
      </c>
      <c r="W15" s="294">
        <f>(IF('Section Load'!X18&gt;0,'Section Load'!X18,0))</f>
        <v>31</v>
      </c>
      <c r="X15" s="294">
        <f>(IF('Section Load'!Y18&gt;0,'Section Load'!Y18,0))</f>
        <v>226</v>
      </c>
      <c r="Y15" s="294">
        <f>(IF('Section Load'!Z18&gt;0,'Section Load'!Z18,0))</f>
        <v>395</v>
      </c>
      <c r="Z15" s="294">
        <f>(IF('Section Load'!AA18&gt;0,'Section Load'!AA18,0))</f>
        <v>5</v>
      </c>
      <c r="AA15" s="294">
        <f>(IF('Section Load'!AB18&gt;0,'Section Load'!AB18,0))</f>
        <v>37</v>
      </c>
      <c r="AB15" s="294">
        <f>(IF('Section Load'!AC18&gt;0,'Section Load'!AC18,0))</f>
        <v>0</v>
      </c>
      <c r="AC15" s="294">
        <f>(IF('Section Load'!AD18&gt;0,'Section Load'!AD18,0))</f>
        <v>133</v>
      </c>
      <c r="AD15" s="294">
        <f>(IF('Section Load'!AE18&gt;0,'Section Load'!AE18,0))</f>
        <v>0</v>
      </c>
      <c r="AE15" s="294">
        <f>(IF('Section Load'!AF18&gt;0,'Section Load'!AF18,0))</f>
        <v>20</v>
      </c>
      <c r="AF15" s="294">
        <f>(IF('Section Load'!AG18&gt;0,'Section Load'!AG18,0))</f>
        <v>426</v>
      </c>
      <c r="AG15" s="294">
        <f>(IF('Section Load'!AH18&gt;0,'Section Load'!AH18,0))</f>
        <v>415</v>
      </c>
      <c r="AH15" s="294">
        <f>(IF('Section Load'!AI18&gt;0,'Section Load'!AI18,0))</f>
        <v>386</v>
      </c>
      <c r="AI15" s="294">
        <f>(IF('Section Load'!AJ18&gt;0,'Section Load'!AJ18,0))</f>
        <v>751</v>
      </c>
      <c r="AJ15" s="294">
        <f>(IF('Section Load'!AK18&gt;0,'Section Load'!AK18,0))</f>
        <v>338</v>
      </c>
      <c r="AK15" s="294">
        <f>(IF('Section Load'!AL18&gt;0,'Section Load'!AL18,0))</f>
        <v>363</v>
      </c>
      <c r="AL15" s="294">
        <f>(IF('Section Load'!AM18&gt;0,'Section Load'!AM18,0))</f>
        <v>833</v>
      </c>
      <c r="AM15" s="295">
        <f>(IF('Water Report'!$Q$7&gt;0,'Water Report'!$Q$7,0))</f>
        <v>143</v>
      </c>
      <c r="AN15" s="295">
        <f>(IF('Water Report'!$Q$8&gt;0,'Water Report'!$Q$8,0))</f>
        <v>82</v>
      </c>
      <c r="AO15" s="295">
        <f>(IF('Water Report'!$Q$9&gt;0,'Water Report'!$Q$9,0))</f>
        <v>105</v>
      </c>
      <c r="AP15" s="295">
        <f>(IF('Water Report'!$Q$10&gt;0,'Water Report'!$Q$10,0))</f>
        <v>18</v>
      </c>
      <c r="AQ15" s="295">
        <f>(IF('Water Report'!$Q$11&gt;0,'Water Report'!$Q$11,0))</f>
        <v>32</v>
      </c>
      <c r="AR15" s="295">
        <f>(IF('Water Report'!$Q$13&gt;0,'Water Report'!$Q$13,0))</f>
        <v>41</v>
      </c>
      <c r="AS15" s="295">
        <f>(IF('Water Report'!$Q$14&gt;0,'Water Report'!$Q$14,0))</f>
        <v>8</v>
      </c>
      <c r="AT15" s="295">
        <f>(IF('Water Report'!$Q$15&gt;0,'Water Report'!$Q$15,0))</f>
        <v>9</v>
      </c>
      <c r="AU15" s="295">
        <f>(IF('Water Report'!$Q$17&gt;0,'Water Report'!$Q$17,0))</f>
        <v>0</v>
      </c>
      <c r="AV15" s="295">
        <f>(IF('Water Report'!$Q$18&gt;0,'Water Report'!$Q$18,0))</f>
        <v>16</v>
      </c>
      <c r="AW15" s="295">
        <f>(IF('Water Report'!$Q$19&gt;0,'Water Report'!$Q$19,0))</f>
        <v>14</v>
      </c>
      <c r="AX15" s="301">
        <f>(IF('Water Report'!$Q$21&gt;0,'Water Report'!$Q$21,0))</f>
        <v>55</v>
      </c>
      <c r="AY15" s="301">
        <f>(IF('Water Report'!$Q$22&gt;0,'Water Report'!$Q$22,0))</f>
        <v>0</v>
      </c>
      <c r="AZ15" s="301">
        <f>(IF('Water Report'!$Q$23&gt;0,'Water Report'!$Q$23,0))</f>
        <v>12</v>
      </c>
      <c r="BA15" s="301">
        <f>(IF('Water Report'!$Q$14&gt;0,'Water Report'!$Q$14,0))</f>
        <v>8</v>
      </c>
      <c r="BB15" s="301">
        <f>(IF('Water Report'!$Q$15&gt;0,'Water Report'!$Q$15,0))</f>
        <v>9</v>
      </c>
      <c r="BC15" s="301">
        <f>(IF('Water Report'!$Q$13&gt;0,'Water Report'!$Q$13,0))</f>
        <v>41</v>
      </c>
      <c r="BD15" s="301">
        <f>(IF('Water Report'!$Q$24&gt;0,'Water Report'!$Q$24,0))</f>
        <v>805</v>
      </c>
      <c r="BE15" s="301">
        <f>(IF('Water Report'!$Q$25&gt;0,'Water Report'!$Q$25,0))</f>
        <v>172</v>
      </c>
      <c r="BF15" s="301">
        <f>(IF('Water Report'!$Q$27&gt;0,'Water Report'!$Q$27,0))</f>
        <v>108</v>
      </c>
      <c r="BG15" s="296">
        <f>(IF('Section Load'!AN18&gt;0,'Section Load'!AN18,0))</f>
        <v>1100</v>
      </c>
      <c r="BH15" s="296">
        <f>(IF('Section Load'!AO18&gt;0,'Section Load'!AO18,0))</f>
        <v>321</v>
      </c>
      <c r="BI15" s="296">
        <f>(IF('Section Load'!AP18&gt;0,'Section Load'!AP18,0))</f>
        <v>0</v>
      </c>
      <c r="BJ15" s="296">
        <f>(IF('Section Load'!AQ18&gt;0,'Section Load'!AQ18,0))</f>
        <v>110</v>
      </c>
      <c r="BK15" s="296">
        <f>(IF('Section Load'!AR18&gt;0,'Section Load'!AR18,0))</f>
        <v>39</v>
      </c>
      <c r="BL15" s="296">
        <f>(IF('Section Load'!AS18&gt;0,'Section Load'!AS18,0))</f>
        <v>0</v>
      </c>
      <c r="BM15" s="296">
        <f>(IF('Section Load'!AT18&gt;0,'Section Load'!AT18,0))</f>
        <v>630</v>
      </c>
    </row>
    <row r="16" spans="1:65" x14ac:dyDescent="0.25">
      <c r="A16" s="287" t="s">
        <v>268</v>
      </c>
      <c r="B16" s="288">
        <f t="shared" si="0"/>
        <v>15</v>
      </c>
      <c r="C16" s="288">
        <v>1</v>
      </c>
      <c r="D16" s="288">
        <v>2022</v>
      </c>
      <c r="E16" s="294">
        <f>(IF('Section Load'!F19&gt;0,'Section Load'!F19,0))</f>
        <v>3797</v>
      </c>
      <c r="F16" s="294">
        <f>(IF('Section Load'!G19&gt;0,'Section Load'!G19,0))</f>
        <v>1543</v>
      </c>
      <c r="G16" s="294">
        <f>(IF('Section Load'!H19&gt;0,'Section Load'!H19,0))</f>
        <v>1931</v>
      </c>
      <c r="H16" s="294">
        <f>(IF('Section Load'!I19&gt;0,'Section Load'!I19,0))</f>
        <v>2939</v>
      </c>
      <c r="I16" s="294">
        <f>(IF('Section Load'!J19&gt;0,'Section Load'!J19,0))</f>
        <v>5187</v>
      </c>
      <c r="J16" s="294">
        <f>(IF('Section Load'!K19&gt;0,'Section Load'!K19,0))</f>
        <v>2748</v>
      </c>
      <c r="K16" s="294">
        <f>(IF('Section Load'!L19&gt;0,'Section Load'!L19,0))</f>
        <v>1582</v>
      </c>
      <c r="L16" s="294">
        <f>(IF('Section Load'!M19&gt;0,'Section Load'!M19,0))</f>
        <v>1099</v>
      </c>
      <c r="M16" s="294">
        <f>(IF('Section Load'!N19&gt;0,'Section Load'!N19,0))</f>
        <v>106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200</v>
      </c>
      <c r="Q16" s="294">
        <f>(IF('Section Load'!R19&gt;0,'Section Load'!R19,0))</f>
        <v>73</v>
      </c>
      <c r="R16" s="294">
        <f>(IF('Section Load'!S19&gt;0,'Section Load'!S19,0))</f>
        <v>33</v>
      </c>
      <c r="S16" s="294">
        <f>(IF('Section Load'!T19&gt;0,'Section Load'!T19,0))</f>
        <v>420</v>
      </c>
      <c r="T16" s="294">
        <f>(IF('Section Load'!U19&gt;0,'Section Load'!U19,0))</f>
        <v>225</v>
      </c>
      <c r="U16" s="294">
        <f>(IF('Section Load'!V19&gt;0,'Section Load'!V19,0))</f>
        <v>407</v>
      </c>
      <c r="V16" s="294">
        <f>(IF('Section Load'!W19&gt;0,'Section Load'!W19,0))</f>
        <v>283</v>
      </c>
      <c r="W16" s="294">
        <f>(IF('Section Load'!X19&gt;0,'Section Load'!X19,0))</f>
        <v>33</v>
      </c>
      <c r="X16" s="294">
        <f>(IF('Section Load'!Y19&gt;0,'Section Load'!Y19,0))</f>
        <v>251</v>
      </c>
      <c r="Y16" s="294">
        <f>(IF('Section Load'!Z19&gt;0,'Section Load'!Z19,0))</f>
        <v>234</v>
      </c>
      <c r="Z16" s="294">
        <f>(IF('Section Load'!AA19&gt;0,'Section Load'!AA19,0))</f>
        <v>2</v>
      </c>
      <c r="AA16" s="294">
        <f>(IF('Section Load'!AB19&gt;0,'Section Load'!AB19,0))</f>
        <v>33</v>
      </c>
      <c r="AB16" s="294">
        <f>(IF('Section Load'!AC19&gt;0,'Section Load'!AC19,0))</f>
        <v>0</v>
      </c>
      <c r="AC16" s="294">
        <f>(IF('Section Load'!AD19&gt;0,'Section Load'!AD19,0))</f>
        <v>140</v>
      </c>
      <c r="AD16" s="294">
        <f>(IF('Section Load'!AE19&gt;0,'Section Load'!AE19,0))</f>
        <v>0</v>
      </c>
      <c r="AE16" s="294">
        <f>(IF('Section Load'!AF19&gt;0,'Section Load'!AF19,0))</f>
        <v>20</v>
      </c>
      <c r="AF16" s="294">
        <f>(IF('Section Load'!AG19&gt;0,'Section Load'!AG19,0))</f>
        <v>419</v>
      </c>
      <c r="AG16" s="294">
        <f>(IF('Section Load'!AH19&gt;0,'Section Load'!AH19,0))</f>
        <v>429</v>
      </c>
      <c r="AH16" s="294">
        <f>(IF('Section Load'!AI19&gt;0,'Section Load'!AI19,0))</f>
        <v>375</v>
      </c>
      <c r="AI16" s="294">
        <f>(IF('Section Load'!AJ19&gt;0,'Section Load'!AJ19,0))</f>
        <v>741</v>
      </c>
      <c r="AJ16" s="294">
        <f>(IF('Section Load'!AK19&gt;0,'Section Load'!AK19,0))</f>
        <v>372</v>
      </c>
      <c r="AK16" s="294">
        <f>(IF('Section Load'!AL19&gt;0,'Section Load'!AL19,0))</f>
        <v>389</v>
      </c>
      <c r="AL16" s="294">
        <f>(IF('Section Load'!AM19&gt;0,'Section Load'!AM19,0))</f>
        <v>818</v>
      </c>
      <c r="AM16" s="295">
        <f>(IF('Water Report'!$R$7&gt;0,'Water Report'!$R$7,0))</f>
        <v>106</v>
      </c>
      <c r="AN16" s="295">
        <f>(IF('Water Report'!$R$8&gt;0,'Water Report'!$R$8,0))</f>
        <v>81</v>
      </c>
      <c r="AO16" s="295">
        <f>(IF('Water Report'!$R$9&gt;0,'Water Report'!$R$9,0))</f>
        <v>106</v>
      </c>
      <c r="AP16" s="295">
        <f>(IF('Water Report'!$R$10&gt;0,'Water Report'!$R$10,0))</f>
        <v>13</v>
      </c>
      <c r="AQ16" s="295">
        <f>(IF('Water Report'!$R$11&gt;0,'Water Report'!$R$11,0))</f>
        <v>20</v>
      </c>
      <c r="AR16" s="295">
        <f>(IF('Water Report'!$R$13&gt;0,'Water Report'!$R$13,0))</f>
        <v>38</v>
      </c>
      <c r="AS16" s="295">
        <f>(IF('Water Report'!$R$14&gt;0,'Water Report'!$R$14,0))</f>
        <v>8</v>
      </c>
      <c r="AT16" s="295">
        <f>(IF('Water Report'!$R$15&gt;0,'Water Report'!$R$15,0))</f>
        <v>5</v>
      </c>
      <c r="AU16" s="295">
        <f>(IF('Water Report'!$R$17&gt;0,'Water Report'!$R$17,0))</f>
        <v>0</v>
      </c>
      <c r="AV16" s="295">
        <f>(IF('Water Report'!$R$18&gt;0,'Water Report'!$R$18,0))</f>
        <v>19</v>
      </c>
      <c r="AW16" s="295">
        <f>(IF('Water Report'!$R$19&gt;0,'Water Report'!$R$19,0))</f>
        <v>13</v>
      </c>
      <c r="AX16" s="301">
        <f>(IF('Water Report'!$R$21&gt;0,'Water Report'!$R$21,0))</f>
        <v>80</v>
      </c>
      <c r="AY16" s="301">
        <f>(IF('Water Report'!$R$22&gt;0,'Water Report'!$R$22,0))</f>
        <v>0</v>
      </c>
      <c r="AZ16" s="301">
        <f>(IF('Water Report'!$R$23&gt;0,'Water Report'!$R$23,0))</f>
        <v>6</v>
      </c>
      <c r="BA16" s="301">
        <f>(IF('Water Report'!$R$14&gt;0,'Water Report'!$R$14,0))</f>
        <v>8</v>
      </c>
      <c r="BB16" s="301">
        <f>(IF('Water Report'!$R$15&gt;0,'Water Report'!$R$15,0))</f>
        <v>5</v>
      </c>
      <c r="BC16" s="301">
        <f>(IF('Water Report'!$R$13&gt;0,'Water Report'!$R$13,0))</f>
        <v>38</v>
      </c>
      <c r="BD16" s="301">
        <f>(IF('Water Report'!$R$24&gt;0,'Water Report'!$R$24,0))</f>
        <v>925</v>
      </c>
      <c r="BE16" s="301">
        <f>(IF('Water Report'!$R$25&gt;0,'Water Report'!$R$25,0))</f>
        <v>152</v>
      </c>
      <c r="BF16" s="301">
        <f>(IF('Water Report'!$R$27&gt;0,'Water Report'!$R$27,0))</f>
        <v>124</v>
      </c>
      <c r="BG16" s="296">
        <f>(IF('Section Load'!AN19&gt;0,'Section Load'!AN19,0))</f>
        <v>1100</v>
      </c>
      <c r="BH16" s="296">
        <f>(IF('Section Load'!AO19&gt;0,'Section Load'!AO19,0))</f>
        <v>322</v>
      </c>
      <c r="BI16" s="296">
        <f>(IF('Section Load'!AP19&gt;0,'Section Load'!AP19,0))</f>
        <v>0</v>
      </c>
      <c r="BJ16" s="296">
        <f>(IF('Section Load'!AQ19&gt;0,'Section Load'!AQ19,0))</f>
        <v>130.60000000000582</v>
      </c>
      <c r="BK16" s="296">
        <f>(IF('Section Load'!AR19&gt;0,'Section Load'!AR19,0))</f>
        <v>45.599999999998545</v>
      </c>
      <c r="BL16" s="296">
        <f>(IF('Section Load'!AS19&gt;0,'Section Load'!AS19,0))</f>
        <v>4.7000000000007276</v>
      </c>
      <c r="BM16" s="296">
        <f>(IF('Section Load'!AT19&gt;0,'Section Load'!AT19,0))</f>
        <v>597.09999999999491</v>
      </c>
    </row>
    <row r="17" spans="1:65" x14ac:dyDescent="0.25">
      <c r="A17" s="287" t="s">
        <v>268</v>
      </c>
      <c r="B17" s="288">
        <f t="shared" si="0"/>
        <v>16</v>
      </c>
      <c r="C17" s="288">
        <v>1</v>
      </c>
      <c r="D17" s="288">
        <v>2022</v>
      </c>
      <c r="E17" s="294">
        <f>(IF('Section Load'!F20&gt;0,'Section Load'!F20,0))</f>
        <v>3731.6800000000076</v>
      </c>
      <c r="F17" s="294">
        <f>(IF('Section Load'!G20&gt;0,'Section Load'!G20,0))</f>
        <v>1565.3299999999872</v>
      </c>
      <c r="G17" s="294">
        <f>(IF('Section Load'!H20&gt;0,'Section Load'!H20,0))</f>
        <v>1985.609999999986</v>
      </c>
      <c r="H17" s="294">
        <f>(IF('Section Load'!I20&gt;0,'Section Load'!I20,0))</f>
        <v>2949.8699999999953</v>
      </c>
      <c r="I17" s="294">
        <f>(IF('Section Load'!J20&gt;0,'Section Load'!J20,0))</f>
        <v>5082.5300000000007</v>
      </c>
      <c r="J17" s="294">
        <f>(IF('Section Load'!K20&gt;0,'Section Load'!K20,0))</f>
        <v>2590.1999999999998</v>
      </c>
      <c r="K17" s="294">
        <f>(IF('Section Load'!L20&gt;0,'Section Load'!L20,0))</f>
        <v>1041.3800000000001</v>
      </c>
      <c r="L17" s="294">
        <f>(IF('Section Load'!M20&gt;0,'Section Load'!M20,0))</f>
        <v>1204.2600000000002</v>
      </c>
      <c r="M17" s="294">
        <f>(IF('Section Load'!N20&gt;0,'Section Load'!N20,0))</f>
        <v>118</v>
      </c>
      <c r="N17" s="294">
        <f>(IF('Section Load'!O20&gt;0,'Section Load'!O20,0))</f>
        <v>5</v>
      </c>
      <c r="O17" s="294">
        <f>(IF('Section Load'!P20&gt;0,'Section Load'!P20,0))</f>
        <v>0</v>
      </c>
      <c r="P17" s="294">
        <f>(IF('Section Load'!Q20&gt;0,'Section Load'!Q20,0))</f>
        <v>192.80000000000291</v>
      </c>
      <c r="Q17" s="294">
        <f>(IF('Section Load'!R20&gt;0,'Section Load'!R20,0))</f>
        <v>72.979999999999563</v>
      </c>
      <c r="R17" s="294">
        <f>(IF('Section Load'!S20&gt;0,'Section Load'!S20,0))</f>
        <v>63.090000000000146</v>
      </c>
      <c r="S17" s="294">
        <f>(IF('Section Load'!T20&gt;0,'Section Load'!T20,0))</f>
        <v>426.59999999997672</v>
      </c>
      <c r="T17" s="294">
        <f>(IF('Section Load'!U20&gt;0,'Section Load'!U20,0))</f>
        <v>239</v>
      </c>
      <c r="U17" s="294">
        <f>(IF('Section Load'!V20&gt;0,'Section Load'!V20,0))</f>
        <v>417</v>
      </c>
      <c r="V17" s="294">
        <f>(IF('Section Load'!W20&gt;0,'Section Load'!W20,0))</f>
        <v>276</v>
      </c>
      <c r="W17" s="294">
        <f>(IF('Section Load'!X20&gt;0,'Section Load'!X20,0))</f>
        <v>29.579999999999927</v>
      </c>
      <c r="X17" s="294">
        <f>(IF('Section Load'!Y20&gt;0,'Section Load'!Y20,0))</f>
        <v>223.35000000000582</v>
      </c>
      <c r="Y17" s="294">
        <f>(IF('Section Load'!Z20&gt;0,'Section Load'!Z20,0))</f>
        <v>242</v>
      </c>
      <c r="Z17" s="294">
        <f>(IF('Section Load'!AA20&gt;0,'Section Load'!AA20,0))</f>
        <v>0</v>
      </c>
      <c r="AA17" s="294">
        <f>(IF('Section Load'!AB20&gt;0,'Section Load'!AB20,0))</f>
        <v>32.5</v>
      </c>
      <c r="AB17" s="294">
        <f>(IF('Section Load'!AC20&gt;0,'Section Load'!AC20,0))</f>
        <v>0</v>
      </c>
      <c r="AC17" s="294">
        <f>(IF('Section Load'!AD20&gt;0,'Section Load'!AD20,0))</f>
        <v>110.49999999999454</v>
      </c>
      <c r="AD17" s="294">
        <f>(IF('Section Load'!AE20&gt;0,'Section Load'!AE20,0))</f>
        <v>0</v>
      </c>
      <c r="AE17" s="294">
        <f>(IF('Section Load'!AF20&gt;0,'Section Load'!AF20,0))</f>
        <v>14.5</v>
      </c>
      <c r="AF17" s="294">
        <f>(IF('Section Load'!AG20&gt;0,'Section Load'!AG20,0))</f>
        <v>401.30999999999767</v>
      </c>
      <c r="AG17" s="294">
        <f>(IF('Section Load'!AH20&gt;0,'Section Load'!AH20,0))</f>
        <v>430.60999999998603</v>
      </c>
      <c r="AH17" s="294">
        <f>(IF('Section Load'!AI20&gt;0,'Section Load'!AI20,0))</f>
        <v>407.54999999999927</v>
      </c>
      <c r="AI17" s="294">
        <f>(IF('Section Load'!AJ20&gt;0,'Section Load'!AJ20,0))</f>
        <v>755.34999999997672</v>
      </c>
      <c r="AJ17" s="294">
        <f>(IF('Section Load'!AK20&gt;0,'Section Load'!AK20,0))</f>
        <v>381.7100000000064</v>
      </c>
      <c r="AK17" s="294">
        <f>(IF('Section Load'!AL20&gt;0,'Section Load'!AL20,0))</f>
        <v>401.98999999999069</v>
      </c>
      <c r="AL17" s="294">
        <f>(IF('Section Load'!AM20&gt;0,'Section Load'!AM20,0))</f>
        <v>835.41000000000349</v>
      </c>
      <c r="AM17" s="295">
        <f>(IF('Water Report'!$S$7&gt;0,'Water Report'!$S$7,0))</f>
        <v>112</v>
      </c>
      <c r="AN17" s="295">
        <f>(IF('Water Report'!$S$8&gt;0,'Water Report'!$S$8,0))</f>
        <v>88</v>
      </c>
      <c r="AO17" s="295">
        <f>(IF('Water Report'!$S$9&gt;0,'Water Report'!$S$9,0))</f>
        <v>93</v>
      </c>
      <c r="AP17" s="295">
        <f>(IF('Water Report'!$S$10&gt;0,'Water Report'!$D$10,0))</f>
        <v>28</v>
      </c>
      <c r="AQ17" s="295">
        <f>(IF('Water Report'!$S$11&gt;0,'Water Report'!$D$11,0))</f>
        <v>40</v>
      </c>
      <c r="AR17" s="295">
        <f>(IF('Water Report'!$S$13&gt;0,'Water Report'!$D$13,0))</f>
        <v>14</v>
      </c>
      <c r="AS17" s="295">
        <f>(IF('Water Report'!$S$14&gt;0,'Water Report'!$D$14,0))</f>
        <v>25</v>
      </c>
      <c r="AT17" s="295">
        <f>(IF('Water Report'!$S$15&gt;0,'Water Report'!$D$15,0))</f>
        <v>13</v>
      </c>
      <c r="AU17" s="295">
        <f>(IF('Water Report'!$S$17&gt;0,'Water Report'!$D$17,0))</f>
        <v>0</v>
      </c>
      <c r="AV17" s="295">
        <f>(IF('Water Report'!$S$18&gt;0,'Water Report'!$D$18,0))</f>
        <v>15</v>
      </c>
      <c r="AW17" s="295">
        <f>(IF('Water Report'!$S$19&gt;0,'Water Report'!$D$19,0))</f>
        <v>12</v>
      </c>
      <c r="AX17" s="301">
        <f>(IF('Water Report'!$S$21&gt;0,'Water Report'!$D$21,0))</f>
        <v>62</v>
      </c>
      <c r="AY17" s="301">
        <f>(IF('Water Report'!$S$22&gt;0,'Water Report'!$D$22,0))</f>
        <v>0</v>
      </c>
      <c r="AZ17" s="301">
        <f>(IF('Water Report'!$S$23&gt;0,'Water Report'!$D$23,0))</f>
        <v>4</v>
      </c>
      <c r="BA17" s="301">
        <f>(IF('Water Report'!$S$14&gt;0,'Water Report'!$D$14,0))</f>
        <v>25</v>
      </c>
      <c r="BB17" s="301">
        <f>(IF('Water Report'!$S$15&gt;0,'Water Report'!$D$15,0))</f>
        <v>13</v>
      </c>
      <c r="BC17" s="301">
        <f>(IF('Water Report'!$S$13&gt;0,'Water Report'!$D$13,0))</f>
        <v>14</v>
      </c>
      <c r="BD17" s="301">
        <f>(IF('Water Report'!$S$24&gt;0,'Water Report'!$D$24,0))</f>
        <v>54</v>
      </c>
      <c r="BE17" s="301">
        <f>(IF('Water Report'!$S$25&gt;0,'Water Report'!$D$25,0))</f>
        <v>204</v>
      </c>
      <c r="BF17" s="301">
        <f>(IF('Water Report'!$S$27&gt;0,'Water Report'!$D$27,0))</f>
        <v>80</v>
      </c>
      <c r="BG17" s="296">
        <f>(IF('Section Load'!AN20&gt;0,'Section Load'!AN20,0))</f>
        <v>1100</v>
      </c>
      <c r="BH17" s="296">
        <f>(IF('Section Load'!AO20&gt;0,'Section Load'!AO20,0))</f>
        <v>330.4100000000326</v>
      </c>
      <c r="BI17" s="296">
        <f>(IF('Section Load'!AP20&gt;0,'Section Load'!AP20,0))</f>
        <v>0</v>
      </c>
      <c r="BJ17" s="296">
        <f>(IF('Section Load'!AQ20&gt;0,'Section Load'!AQ20,0))</f>
        <v>136.82000000000698</v>
      </c>
      <c r="BK17" s="296">
        <f>(IF('Section Load'!AR20&gt;0,'Section Load'!AR20,0))</f>
        <v>45.5</v>
      </c>
      <c r="BL17" s="296">
        <f>(IF('Section Load'!AS20&gt;0,'Section Load'!AS20,0))</f>
        <v>2.0999999999985448</v>
      </c>
      <c r="BM17" s="296">
        <f>(IF('Section Load'!AT20&gt;0,'Section Load'!AT20,0))</f>
        <v>585.16999999996187</v>
      </c>
    </row>
    <row r="18" spans="1:65" x14ac:dyDescent="0.25">
      <c r="A18" s="287" t="s">
        <v>268</v>
      </c>
      <c r="B18" s="288">
        <f t="shared" si="0"/>
        <v>17</v>
      </c>
      <c r="C18" s="288">
        <v>1</v>
      </c>
      <c r="D18" s="288">
        <v>2022</v>
      </c>
      <c r="E18" s="294">
        <f>(IF('Section Load'!F21&gt;0,'Section Load'!F21,0))</f>
        <v>3551.8099999999831</v>
      </c>
      <c r="F18" s="294">
        <f>(IF('Section Load'!G21&gt;0,'Section Load'!G21,0))</f>
        <v>1583.5400000000081</v>
      </c>
      <c r="G18" s="294">
        <f>(IF('Section Load'!H21&gt;0,'Section Load'!H21,0))</f>
        <v>2168.1600000000035</v>
      </c>
      <c r="H18" s="294">
        <f>(IF('Section Load'!I21&gt;0,'Section Load'!I21,0))</f>
        <v>3084.4799999999814</v>
      </c>
      <c r="I18" s="294">
        <f>(IF('Section Load'!J21&gt;0,'Section Load'!J21,0))</f>
        <v>5645.2099999999991</v>
      </c>
      <c r="J18" s="294">
        <f>(IF('Section Load'!K21&gt;0,'Section Load'!K21,0))</f>
        <v>2782.7300000000005</v>
      </c>
      <c r="K18" s="294">
        <f>(IF('Section Load'!L21&gt;0,'Section Load'!L21,0))</f>
        <v>1241.5</v>
      </c>
      <c r="L18" s="294">
        <f>(IF('Section Load'!M21&gt;0,'Section Load'!M21,0))</f>
        <v>1285.6300000000001</v>
      </c>
      <c r="M18" s="294">
        <f>(IF('Section Load'!N21&gt;0,'Section Load'!N21,0))</f>
        <v>133</v>
      </c>
      <c r="N18" s="294">
        <f>(IF('Section Load'!O21&gt;0,'Section Load'!O21,0))</f>
        <v>40</v>
      </c>
      <c r="O18" s="294">
        <f>(IF('Section Load'!P21&gt;0,'Section Load'!P21,0))</f>
        <v>0</v>
      </c>
      <c r="P18" s="294">
        <f>(IF('Section Load'!Q21&gt;0,'Section Load'!Q21,0))</f>
        <v>234.82999999999447</v>
      </c>
      <c r="Q18" s="294">
        <f>(IF('Section Load'!R21&gt;0,'Section Load'!R21,0))</f>
        <v>70.209999999999127</v>
      </c>
      <c r="R18" s="294">
        <f>(IF('Section Load'!S21&gt;0,'Section Load'!S21,0))</f>
        <v>47.779999999999745</v>
      </c>
      <c r="S18" s="294">
        <f>(IF('Section Load'!T21&gt;0,'Section Load'!T21,0))</f>
        <v>499.40000000002328</v>
      </c>
      <c r="T18" s="294">
        <f>(IF('Section Load'!U21&gt;0,'Section Load'!U21,0))</f>
        <v>233</v>
      </c>
      <c r="U18" s="294">
        <f>(IF('Section Load'!V21&gt;0,'Section Load'!V21,0))</f>
        <v>401.92000000004191</v>
      </c>
      <c r="V18" s="294">
        <f>(IF('Section Load'!W21&gt;0,'Section Load'!W21,0))</f>
        <v>277.43999999994412</v>
      </c>
      <c r="W18" s="294">
        <f>(IF('Section Load'!X21&gt;0,'Section Load'!X21,0))</f>
        <v>27.480000000000018</v>
      </c>
      <c r="X18" s="294">
        <f>(IF('Section Load'!Y21&gt;0,'Section Load'!Y21,0))</f>
        <v>201.64999999999418</v>
      </c>
      <c r="Y18" s="294">
        <f>(IF('Section Load'!Z21&gt;0,'Section Load'!Z21,0))</f>
        <v>255</v>
      </c>
      <c r="Z18" s="294">
        <f>(IF('Section Load'!AA21&gt;0,'Section Load'!AA21,0))</f>
        <v>0.79999999998835847</v>
      </c>
      <c r="AA18" s="294">
        <f>(IF('Section Load'!AB21&gt;0,'Section Load'!AB21,0))</f>
        <v>33.5</v>
      </c>
      <c r="AB18" s="294">
        <f>(IF('Section Load'!AC21&gt;0,'Section Load'!AC21,0))</f>
        <v>0.39999999999781721</v>
      </c>
      <c r="AC18" s="294">
        <f>(IF('Section Load'!AD21&gt;0,'Section Load'!AD21,0))</f>
        <v>98.700000000011642</v>
      </c>
      <c r="AD18" s="294">
        <f>(IF('Section Load'!AE21&gt;0,'Section Load'!AE21,0))</f>
        <v>0</v>
      </c>
      <c r="AE18" s="294">
        <f>(IF('Section Load'!AF21&gt;0,'Section Load'!AF21,0))</f>
        <v>13.429999999999836</v>
      </c>
      <c r="AF18" s="294">
        <f>(IF('Section Load'!AG21&gt;0,'Section Load'!AG21,0))</f>
        <v>403.92000000001281</v>
      </c>
      <c r="AG18" s="294">
        <f>(IF('Section Load'!AH21&gt;0,'Section Load'!AH21,0))</f>
        <v>432.60000000000582</v>
      </c>
      <c r="AH18" s="294">
        <f>(IF('Section Load'!AI21&gt;0,'Section Load'!AI21,0))</f>
        <v>401.56999999999971</v>
      </c>
      <c r="AI18" s="294">
        <f>(IF('Section Load'!AJ21&gt;0,'Section Load'!AJ21,0))</f>
        <v>765</v>
      </c>
      <c r="AJ18" s="294">
        <f>(IF('Section Load'!AK21&gt;0,'Section Load'!AK21,0))</f>
        <v>386.3799999999901</v>
      </c>
      <c r="AK18" s="294">
        <f>(IF('Section Load'!AL21&gt;0,'Section Load'!AL21,0))</f>
        <v>406.65000000002328</v>
      </c>
      <c r="AL18" s="294">
        <f>(IF('Section Load'!AM21&gt;0,'Section Load'!AM21,0))</f>
        <v>869.19999999999709</v>
      </c>
      <c r="AM18" s="295">
        <f>(IF('Water Report'!$T$7&gt;0,'Water Report'!$T$7,0))</f>
        <v>126</v>
      </c>
      <c r="AN18" s="295">
        <f>(IF('Water Report'!$T$8&gt;0,'Water Report'!$T$8,0))</f>
        <v>120</v>
      </c>
      <c r="AO18" s="295">
        <f>(IF('Water Report'!$T$9&gt;0,'Water Report'!$T$9,0))</f>
        <v>111</v>
      </c>
      <c r="AP18" s="295">
        <f>(IF('Water Report'!$T$10&gt;0,'Water Report'!$T$10,0))</f>
        <v>19</v>
      </c>
      <c r="AQ18" s="295">
        <f>(IF('Water Report'!$T$11&gt;0,'Water Report'!$T$11,0))</f>
        <v>31</v>
      </c>
      <c r="AR18" s="295">
        <f>(IF('Water Report'!$T$13&gt;0,'Water Report'!$T$13,0))</f>
        <v>49</v>
      </c>
      <c r="AS18" s="295">
        <f>(IF('Water Report'!$T$14&gt;0,'Water Report'!$T$14,0))</f>
        <v>8</v>
      </c>
      <c r="AT18" s="295">
        <f>(IF('Water Report'!$T$15&gt;0,'Water Report'!$T$15,0))</f>
        <v>13</v>
      </c>
      <c r="AU18" s="295">
        <f>(IF('Water Report'!$T$17&gt;0,'Water Report'!$T$17,0))</f>
        <v>0</v>
      </c>
      <c r="AV18" s="295">
        <f>(IF('Water Report'!$T$18&gt;0,'Water Report'!$T$18,0))</f>
        <v>17</v>
      </c>
      <c r="AW18" s="295">
        <f>(IF('Water Report'!$T$19&gt;0,'Water Report'!$T$19,0))</f>
        <v>12</v>
      </c>
      <c r="AX18" s="301">
        <f>(IF('Water Report'!$T$21&gt;0,'Water Report'!$T$21,0))</f>
        <v>115</v>
      </c>
      <c r="AY18" s="301">
        <f>(IF('Water Report'!$T$22&gt;0,'Water Report'!$T$22,0))</f>
        <v>13</v>
      </c>
      <c r="AZ18" s="301">
        <f>(IF('Water Report'!$T$23&gt;0,'Water Report'!$T$23,0))</f>
        <v>2</v>
      </c>
      <c r="BA18" s="301">
        <f>(IF('Water Report'!$T$14&gt;0,'Water Report'!$T$14,0))</f>
        <v>8</v>
      </c>
      <c r="BB18" s="301">
        <f>(IF('Water Report'!$T$15&gt;0,'Water Report'!$T$15,0))</f>
        <v>13</v>
      </c>
      <c r="BC18" s="301">
        <f>(IF('Water Report'!$T$13&gt;0,'Water Report'!$T$13,0))</f>
        <v>49</v>
      </c>
      <c r="BD18" s="301">
        <f>(IF('Water Report'!$T$24&gt;0,'Water Report'!$T$24,0))</f>
        <v>1165</v>
      </c>
      <c r="BE18" s="301">
        <f>(IF('Water Report'!$T$25&gt;0,'Water Report'!$T$25,0))</f>
        <v>182</v>
      </c>
      <c r="BF18" s="301">
        <f>(IF('Water Report'!$T$27&gt;0,'Water Report'!$T$27,0))</f>
        <v>166</v>
      </c>
      <c r="BG18" s="296">
        <f>(IF('Section Load'!AN21&gt;0,'Section Load'!AN21,0))</f>
        <v>1100</v>
      </c>
      <c r="BH18" s="296">
        <f>(IF('Section Load'!AO21&gt;0,'Section Load'!AO21,0))</f>
        <v>317.41999999992549</v>
      </c>
      <c r="BI18" s="296">
        <f>(IF('Section Load'!AP21&gt;0,'Section Load'!AP21,0))</f>
        <v>0</v>
      </c>
      <c r="BJ18" s="296">
        <f>(IF('Section Load'!AQ21&gt;0,'Section Load'!AQ21,0))</f>
        <v>123.57999999998719</v>
      </c>
      <c r="BK18" s="296">
        <f>(IF('Section Load'!AR21&gt;0,'Section Load'!AR21,0))</f>
        <v>52.400000000001455</v>
      </c>
      <c r="BL18" s="296">
        <f>(IF('Section Load'!AS21&gt;0,'Section Load'!AS21,0))</f>
        <v>2.2000000000007276</v>
      </c>
      <c r="BM18" s="296">
        <f>(IF('Section Load'!AT21&gt;0,'Section Load'!AT21,0))</f>
        <v>604.40000000008513</v>
      </c>
    </row>
    <row r="19" spans="1:65" x14ac:dyDescent="0.25">
      <c r="A19" s="287" t="s">
        <v>268</v>
      </c>
      <c r="B19" s="288">
        <f t="shared" si="0"/>
        <v>18</v>
      </c>
      <c r="C19" s="288">
        <v>1</v>
      </c>
      <c r="D19" s="288">
        <v>2022</v>
      </c>
      <c r="E19" s="294">
        <f>(IF('Section Load'!F22&gt;0,'Section Load'!F22,0))</f>
        <v>3379.9700000000012</v>
      </c>
      <c r="F19" s="294">
        <f>(IF('Section Load'!G22&gt;0,'Section Load'!G22,0))</f>
        <v>1564.6000000000058</v>
      </c>
      <c r="G19" s="294">
        <f>(IF('Section Load'!H22&gt;0,'Section Load'!H22,0))</f>
        <v>2082.2200000000012</v>
      </c>
      <c r="H19" s="294">
        <f>(IF('Section Load'!I22&gt;0,'Section Load'!I22,0))</f>
        <v>2894.0400000000373</v>
      </c>
      <c r="I19" s="294">
        <f>(IF('Section Load'!J22&gt;0,'Section Load'!J22,0))</f>
        <v>5311.51</v>
      </c>
      <c r="J19" s="294">
        <f>(IF('Section Load'!K22&gt;0,'Section Load'!K22,0))</f>
        <v>2787.9400000000005</v>
      </c>
      <c r="K19" s="294">
        <f>(IF('Section Load'!L22&gt;0,'Section Load'!L22,0))</f>
        <v>1452.4299999999994</v>
      </c>
      <c r="L19" s="294">
        <f>(IF('Section Load'!M22&gt;0,'Section Load'!M22,0))</f>
        <v>1224.04</v>
      </c>
      <c r="M19" s="294">
        <f>(IF('Section Load'!N22&gt;0,'Section Load'!N22,0))</f>
        <v>133</v>
      </c>
      <c r="N19" s="294">
        <f>(IF('Section Load'!O22&gt;0,'Section Load'!O22,0))</f>
        <v>24</v>
      </c>
      <c r="O19" s="294">
        <f>(IF('Section Load'!P22&gt;0,'Section Load'!P22,0))</f>
        <v>13.5</v>
      </c>
      <c r="P19" s="294">
        <f>(IF('Section Load'!Q22&gt;0,'Section Load'!Q22,0))</f>
        <v>191</v>
      </c>
      <c r="Q19" s="294">
        <f>(IF('Section Load'!R22&gt;0,'Section Load'!R22,0))</f>
        <v>71.010000000002037</v>
      </c>
      <c r="R19" s="294">
        <f>(IF('Section Load'!S22&gt;0,'Section Load'!S22,0))</f>
        <v>42.650000000000546</v>
      </c>
      <c r="S19" s="294">
        <f>(IF('Section Load'!T22&gt;0,'Section Load'!T22,0))</f>
        <v>401</v>
      </c>
      <c r="T19" s="294">
        <f>(IF('Section Load'!U22&gt;0,'Section Load'!U22,0))</f>
        <v>234</v>
      </c>
      <c r="U19" s="294">
        <f>(IF('Section Load'!V22&gt;0,'Section Load'!V22,0))</f>
        <v>417.11999999999534</v>
      </c>
      <c r="V19" s="294">
        <f>(IF('Section Load'!W22&gt;0,'Section Load'!W22,0))</f>
        <v>350.32000000006519</v>
      </c>
      <c r="W19" s="294">
        <f>(IF('Section Load'!X22&gt;0,'Section Load'!X22,0))</f>
        <v>38.200000000000273</v>
      </c>
      <c r="X19" s="294">
        <f>(IF('Section Load'!Y22&gt;0,'Section Load'!Y22,0))</f>
        <v>238.66000000000349</v>
      </c>
      <c r="Y19" s="294">
        <f>(IF('Section Load'!Z22&gt;0,'Section Load'!Z22,0))</f>
        <v>251</v>
      </c>
      <c r="Z19" s="294">
        <f>(IF('Section Load'!AA22&gt;0,'Section Load'!AA22,0))</f>
        <v>7.0400000000372529</v>
      </c>
      <c r="AA19" s="294">
        <f>(IF('Section Load'!AB22&gt;0,'Section Load'!AB22,0))</f>
        <v>27.5</v>
      </c>
      <c r="AB19" s="294">
        <f>(IF('Section Load'!AC22&gt;0,'Section Load'!AC22,0))</f>
        <v>0</v>
      </c>
      <c r="AC19" s="294">
        <f>(IF('Section Load'!AD22&gt;0,'Section Load'!AD22,0))</f>
        <v>35.199999999999818</v>
      </c>
      <c r="AD19" s="294">
        <f>(IF('Section Load'!AE22&gt;0,'Section Load'!AE22,0))</f>
        <v>0</v>
      </c>
      <c r="AE19" s="294">
        <f>(IF('Section Load'!AF22&gt;0,'Section Load'!AF22,0))</f>
        <v>17.990000000000236</v>
      </c>
      <c r="AF19" s="294">
        <f>(IF('Section Load'!AG22&gt;0,'Section Load'!AG22,0))</f>
        <v>345.55999999999767</v>
      </c>
      <c r="AG19" s="294">
        <f>(IF('Section Load'!AH22&gt;0,'Section Load'!AH22,0))</f>
        <v>436.52000000001863</v>
      </c>
      <c r="AH19" s="294">
        <f>(IF('Section Load'!AI22&gt;0,'Section Load'!AI22,0))</f>
        <v>407.35000000000218</v>
      </c>
      <c r="AI19" s="294">
        <f>(IF('Section Load'!AJ22&gt;0,'Section Load'!AJ22,0))</f>
        <v>738.02000000001863</v>
      </c>
      <c r="AJ19" s="294">
        <f>(IF('Section Load'!AK22&gt;0,'Section Load'!AK22,0))</f>
        <v>356.22000000000116</v>
      </c>
      <c r="AK19" s="294">
        <f>(IF('Section Load'!AL22&gt;0,'Section Load'!AL22,0))</f>
        <v>385.61399999997229</v>
      </c>
      <c r="AL19" s="294">
        <f>(IF('Section Load'!AM22&gt;0,'Section Load'!AM22,0))</f>
        <v>832.86999999999534</v>
      </c>
      <c r="AM19" s="295">
        <f>(IF('Water Report'!$U$7&gt;0,'Water Report'!$U$7,0))</f>
        <v>134</v>
      </c>
      <c r="AN19" s="295">
        <f>(IF('Water Report'!$U$8&gt;0,'Water Report'!$U$8,0))</f>
        <v>108</v>
      </c>
      <c r="AO19" s="295">
        <f>(IF('Water Report'!$U$9&gt;0,'Water Report'!$U$9,0))</f>
        <v>125</v>
      </c>
      <c r="AP19" s="295">
        <f>(IF('Water Report'!$U$10&gt;0,'Water Report'!$U$10,0))</f>
        <v>21</v>
      </c>
      <c r="AQ19" s="295">
        <f>(IF('Water Report'!$U$11&gt;0,'Water Report'!$U$11,0))</f>
        <v>30</v>
      </c>
      <c r="AR19" s="295">
        <f>(IF('Water Report'!$U$13&gt;0,'Water Report'!$U$13,0))</f>
        <v>56</v>
      </c>
      <c r="AS19" s="295">
        <f>(IF('Water Report'!$U$14&gt;0,'Water Report'!$U$14,0))</f>
        <v>9</v>
      </c>
      <c r="AT19" s="295">
        <f>(IF('Water Report'!$U$15&gt;0,'Water Report'!$U$15,0))</f>
        <v>19</v>
      </c>
      <c r="AU19" s="295">
        <f>(IF('Water Report'!$U$17&gt;0,'Water Report'!$U$17,0))</f>
        <v>0</v>
      </c>
      <c r="AV19" s="295">
        <f>(IF('Water Report'!$U$18&gt;0,'Water Report'!$U$18,0))</f>
        <v>14</v>
      </c>
      <c r="AW19" s="295">
        <f>(IF('Water Report'!$U$19&gt;0,'Water Report'!$U$19,0))</f>
        <v>13</v>
      </c>
      <c r="AX19" s="301">
        <f>(IF('Water Report'!$U$21&gt;0,'Water Report'!$U$21,0))</f>
        <v>41</v>
      </c>
      <c r="AY19" s="301">
        <f>(IF('Water Report'!$U$22&gt;0,'Water Report'!$U$22,0))</f>
        <v>14</v>
      </c>
      <c r="AZ19" s="301">
        <f>(IF('Water Report'!$U$23&gt;0,'Water Report'!$U$23,0))</f>
        <v>11</v>
      </c>
      <c r="BA19" s="301">
        <f>(IF('Water Report'!$U$14&gt;0,'Water Report'!$U$14,0))</f>
        <v>9</v>
      </c>
      <c r="BB19" s="301">
        <f>(IF('Water Report'!$U$15&gt;0,'Water Report'!$U$15,0))</f>
        <v>19</v>
      </c>
      <c r="BC19" s="301">
        <f>(IF('Water Report'!$U$13&gt;0,'Water Report'!$U$13,0))</f>
        <v>56</v>
      </c>
      <c r="BD19" s="301">
        <f>(IF('Water Report'!$U$24&gt;0,'Water Report'!$U$24,0))</f>
        <v>1285</v>
      </c>
      <c r="BE19" s="301">
        <f>(IF('Water Report'!$U$25&gt;0,'Water Report'!$U$25,0))</f>
        <v>204</v>
      </c>
      <c r="BF19" s="301">
        <f>(IF('Water Report'!$U$27&gt;0,'Water Report'!$U$27,0))</f>
        <v>108</v>
      </c>
      <c r="BG19" s="296">
        <f>(IF('Section Load'!AN22&gt;0,'Section Load'!AN22,0))</f>
        <v>1100</v>
      </c>
      <c r="BH19" s="296">
        <f>(IF('Section Load'!AO22&gt;0,'Section Load'!AO22,0))</f>
        <v>305.65000000002328</v>
      </c>
      <c r="BI19" s="296">
        <f>(IF('Section Load'!AP22&gt;0,'Section Load'!AP22,0))</f>
        <v>0</v>
      </c>
      <c r="BJ19" s="296">
        <f>(IF('Section Load'!AQ22&gt;0,'Section Load'!AQ22,0))</f>
        <v>134.60000000000582</v>
      </c>
      <c r="BK19" s="296">
        <f>(IF('Section Load'!AR22&gt;0,'Section Load'!AR22,0))</f>
        <v>55.19999999999709</v>
      </c>
      <c r="BL19" s="296">
        <f>(IF('Section Load'!AS22&gt;0,'Section Load'!AS22,0))</f>
        <v>1.8999999999996362</v>
      </c>
      <c r="BM19" s="296">
        <f>(IF('Section Load'!AT22&gt;0,'Section Load'!AT22,0))</f>
        <v>602.64999999997417</v>
      </c>
    </row>
    <row r="20" spans="1:65" x14ac:dyDescent="0.25">
      <c r="A20" s="287" t="s">
        <v>268</v>
      </c>
      <c r="B20" s="288">
        <f t="shared" si="0"/>
        <v>19</v>
      </c>
      <c r="C20" s="288">
        <v>1</v>
      </c>
      <c r="D20" s="288">
        <v>2022</v>
      </c>
      <c r="E20" s="294">
        <f>(IF('Section Load'!F23&gt;0,'Section Load'!F23,0))</f>
        <v>3420.0400000000081</v>
      </c>
      <c r="F20" s="294">
        <f>(IF('Section Load'!G23&gt;0,'Section Load'!G23,0))</f>
        <v>1585.359999999986</v>
      </c>
      <c r="G20" s="294">
        <f>(IF('Section Load'!H23&gt;0,'Section Load'!H23,0))</f>
        <v>2024.9400000000023</v>
      </c>
      <c r="H20" s="294">
        <f>(IF('Section Load'!I23&gt;0,'Section Load'!I23,0))</f>
        <v>3077.5599999999977</v>
      </c>
      <c r="I20" s="294">
        <f>(IF('Section Load'!J23&gt;0,'Section Load'!J23,0))</f>
        <v>5180.5400000000009</v>
      </c>
      <c r="J20" s="294">
        <f>(IF('Section Load'!K23&gt;0,'Section Load'!K23,0))</f>
        <v>2794.7599999999984</v>
      </c>
      <c r="K20" s="294">
        <f>(IF('Section Load'!L23&gt;0,'Section Load'!L23,0))</f>
        <v>1631.1800000000003</v>
      </c>
      <c r="L20" s="294">
        <f>(IF('Section Load'!M23&gt;0,'Section Load'!M23,0))</f>
        <v>1132.0699999999997</v>
      </c>
      <c r="M20" s="294">
        <f>(IF('Section Load'!N23&gt;0,'Section Load'!N23,0))</f>
        <v>114</v>
      </c>
      <c r="N20" s="294">
        <f>(IF('Section Load'!O23&gt;0,'Section Load'!O23,0))</f>
        <v>15</v>
      </c>
      <c r="O20" s="294">
        <f>(IF('Section Load'!P23&gt;0,'Section Load'!P23,0))</f>
        <v>1.3000000000029104</v>
      </c>
      <c r="P20" s="294">
        <f>(IF('Section Load'!Q23&gt;0,'Section Load'!Q23,0))</f>
        <v>203.16000000000349</v>
      </c>
      <c r="Q20" s="294">
        <f>(IF('Section Load'!R23&gt;0,'Section Load'!R23,0))</f>
        <v>77.899999999997817</v>
      </c>
      <c r="R20" s="294">
        <f>(IF('Section Load'!S23&gt;0,'Section Load'!S23,0))</f>
        <v>38.449999999999818</v>
      </c>
      <c r="S20" s="294">
        <f>(IF('Section Load'!T23&gt;0,'Section Load'!T23,0))</f>
        <v>489</v>
      </c>
      <c r="T20" s="294">
        <f>(IF('Section Load'!U23&gt;0,'Section Load'!U23,0))</f>
        <v>232</v>
      </c>
      <c r="U20" s="294">
        <f>(IF('Section Load'!V23&gt;0,'Section Load'!V23,0))</f>
        <v>466.39999999990687</v>
      </c>
      <c r="V20" s="294">
        <f>(IF('Section Load'!W23&gt;0,'Section Load'!W23,0))</f>
        <v>368.98999999999069</v>
      </c>
      <c r="W20" s="294">
        <f>(IF('Section Load'!X23&gt;0,'Section Load'!X23,0))</f>
        <v>29.309999999999945</v>
      </c>
      <c r="X20" s="294">
        <f>(IF('Section Load'!Y23&gt;0,'Section Load'!Y23,0))</f>
        <v>199.7899999999936</v>
      </c>
      <c r="Y20" s="294">
        <f>(IF('Section Load'!Z23&gt;0,'Section Load'!Z23,0))</f>
        <v>223</v>
      </c>
      <c r="Z20" s="294">
        <f>(IF('Section Load'!AA23&gt;0,'Section Load'!AA23,0))</f>
        <v>3.0799999999580905</v>
      </c>
      <c r="AA20" s="294">
        <f>(IF('Section Load'!AB23&gt;0,'Section Load'!AB23,0))</f>
        <v>12</v>
      </c>
      <c r="AB20" s="294">
        <f>(IF('Section Load'!AC23&gt;0,'Section Load'!AC23,0))</f>
        <v>0</v>
      </c>
      <c r="AC20" s="294">
        <f>(IF('Section Load'!AD23&gt;0,'Section Load'!AD23,0))</f>
        <v>36.599999999991269</v>
      </c>
      <c r="AD20" s="294">
        <f>(IF('Section Load'!AE23&gt;0,'Section Load'!AE23,0))</f>
        <v>0</v>
      </c>
      <c r="AE20" s="294">
        <f>(IF('Section Load'!AF23&gt;0,'Section Load'!AF23,0))</f>
        <v>16.259999999999764</v>
      </c>
      <c r="AF20" s="294">
        <f>(IF('Section Load'!AG23&gt;0,'Section Load'!AG23,0))</f>
        <v>349.66000000000349</v>
      </c>
      <c r="AG20" s="294">
        <f>(IF('Section Load'!AH23&gt;0,'Section Load'!AH23,0))</f>
        <v>462.09999999997672</v>
      </c>
      <c r="AH20" s="294">
        <f>(IF('Section Load'!AI23&gt;0,'Section Load'!AI23,0))</f>
        <v>410.43000000000029</v>
      </c>
      <c r="AI20" s="294">
        <f>(IF('Section Load'!AJ23&gt;0,'Section Load'!AJ23,0))</f>
        <v>763.63000000000466</v>
      </c>
      <c r="AJ20" s="294">
        <f>(IF('Section Load'!AK23&gt;0,'Section Load'!AK23,0))</f>
        <v>364.69000000000233</v>
      </c>
      <c r="AK20" s="294">
        <f>(IF('Section Load'!AL23&gt;0,'Section Load'!AL23,0))</f>
        <v>387.74600000001374</v>
      </c>
      <c r="AL20" s="294">
        <f>(IF('Section Load'!AM23&gt;0,'Section Load'!AM23,0))</f>
        <v>858.88000000000466</v>
      </c>
      <c r="AM20" s="295">
        <f>(IF('Water Report'!$V$7&gt;0,'Water Report'!$V$7,0))</f>
        <v>130</v>
      </c>
      <c r="AN20" s="295">
        <f>(IF('Water Report'!$V$8&gt;0,'Water Report'!$V$8,0))</f>
        <v>86</v>
      </c>
      <c r="AO20" s="295">
        <f>(IF('Water Report'!$V$9&gt;0,'Water Report'!$V$9,0))</f>
        <v>117</v>
      </c>
      <c r="AP20" s="295">
        <f>(IF('Water Report'!$V$10&gt;0,'Water Report'!$V$10,0))</f>
        <v>23</v>
      </c>
      <c r="AQ20" s="295">
        <f>(IF('Water Report'!$V$11&gt;0,'Water Report'!$V$11,0))</f>
        <v>34</v>
      </c>
      <c r="AR20" s="295">
        <f>(IF('Water Report'!$V$13&gt;0,'Water Report'!$V$13,0))</f>
        <v>0</v>
      </c>
      <c r="AS20" s="295">
        <f>(IF('Water Report'!$V$14&gt;0,'Water Report'!$V$14,0))</f>
        <v>28</v>
      </c>
      <c r="AT20" s="295">
        <f>(IF('Water Report'!$V$15&gt;0,'Water Report'!$V$15,0))</f>
        <v>12</v>
      </c>
      <c r="AU20" s="295">
        <f>(IF('Water Report'!$V$17&gt;0,'Water Report'!$V$17,0))</f>
        <v>0</v>
      </c>
      <c r="AV20" s="295">
        <f>(IF('Water Report'!$V$18&gt;0,'Water Report'!$V$18,0))</f>
        <v>15</v>
      </c>
      <c r="AW20" s="295">
        <f>(IF('Water Report'!$V$19&gt;0,'Water Report'!$V$19,0))</f>
        <v>11</v>
      </c>
      <c r="AX20" s="301">
        <f>(IF('Water Report'!$V$21&gt;0,'Water Report'!$V$21,0))</f>
        <v>74</v>
      </c>
      <c r="AY20" s="301">
        <f>(IF('Water Report'!$V$22&gt;0,'Water Report'!$V$22,0))</f>
        <v>0</v>
      </c>
      <c r="AZ20" s="301">
        <f>(IF('Water Report'!$V$23&gt;0,'Water Report'!$V$23,0))</f>
        <v>1</v>
      </c>
      <c r="BA20" s="301">
        <f>(IF('Water Report'!$V$14&gt;0,'Water Report'!$V$14,0))</f>
        <v>28</v>
      </c>
      <c r="BB20" s="301">
        <f>(IF('Water Report'!$V$15&gt;0,'Water Report'!$V$15,0))</f>
        <v>12</v>
      </c>
      <c r="BC20" s="301">
        <f>(IF('Water Report'!$V$13&gt;0,'Water Report'!$V$13,0))</f>
        <v>0</v>
      </c>
      <c r="BD20" s="301">
        <f>(IF('Water Report'!$V$24&gt;0,'Water Report'!$V$24,0))</f>
        <v>1405</v>
      </c>
      <c r="BE20" s="301">
        <f>(IF('Water Report'!$V$25&gt;0,'Water Report'!$V$25,0))</f>
        <v>214</v>
      </c>
      <c r="BF20" s="301">
        <f>(IF('Water Report'!$V$27&gt;0,'Water Report'!$V$27,0))</f>
        <v>75</v>
      </c>
      <c r="BG20" s="296">
        <f>(IF('Section Load'!AN23&gt;0,'Section Load'!AN23,0))</f>
        <v>1100</v>
      </c>
      <c r="BH20" s="296">
        <f>(IF('Section Load'!AO23&gt;0,'Section Load'!AO23,0))</f>
        <v>312.83000000007451</v>
      </c>
      <c r="BI20" s="296">
        <f>(IF('Section Load'!AP23&gt;0,'Section Load'!AP23,0))</f>
        <v>0</v>
      </c>
      <c r="BJ20" s="296">
        <f>(IF('Section Load'!AQ23&gt;0,'Section Load'!AQ23,0))</f>
        <v>149.60000000000582</v>
      </c>
      <c r="BK20" s="296">
        <f>(IF('Section Load'!AR23&gt;0,'Section Load'!AR23,0))</f>
        <v>69.600000000005821</v>
      </c>
      <c r="BL20" s="296">
        <f>(IF('Section Load'!AS23&gt;0,'Section Load'!AS23,0))</f>
        <v>1.8000000000010914</v>
      </c>
      <c r="BM20" s="296">
        <f>(IF('Section Load'!AT23&gt;0,'Section Load'!AT23,0))</f>
        <v>566.16999999991276</v>
      </c>
    </row>
    <row r="21" spans="1:65" x14ac:dyDescent="0.25">
      <c r="A21" s="287" t="s">
        <v>268</v>
      </c>
      <c r="B21" s="288">
        <f t="shared" si="0"/>
        <v>20</v>
      </c>
      <c r="C21" s="288">
        <v>1</v>
      </c>
      <c r="D21" s="288">
        <v>2022</v>
      </c>
      <c r="E21" s="294">
        <f>(IF('Section Load'!F24&gt;0,'Section Load'!F24,0))</f>
        <v>3485.5800000000163</v>
      </c>
      <c r="F21" s="294">
        <f>(IF('Section Load'!G24&gt;0,'Section Load'!G24,0))</f>
        <v>1629.820000000007</v>
      </c>
      <c r="G21" s="294">
        <f>(IF('Section Load'!H24&gt;0,'Section Load'!H24,0))</f>
        <v>1975.1000000000058</v>
      </c>
      <c r="H21" s="294">
        <f>(IF('Section Load'!I24&gt;0,'Section Load'!I24,0))</f>
        <v>2849.679999999993</v>
      </c>
      <c r="I21" s="294">
        <f>(IF('Section Load'!J24&gt;0,'Section Load'!J24,0))</f>
        <v>4532.2599999999984</v>
      </c>
      <c r="J21" s="294">
        <f>(IF('Section Load'!K24&gt;0,'Section Load'!K24,0))</f>
        <v>2718.9600000000009</v>
      </c>
      <c r="K21" s="294">
        <f>(IF('Section Load'!L24&gt;0,'Section Load'!L24,0))</f>
        <v>1114.7100000000009</v>
      </c>
      <c r="L21" s="294">
        <f>(IF('Section Load'!M24&gt;0,'Section Load'!M24,0))</f>
        <v>926.36000000000058</v>
      </c>
      <c r="M21" s="294">
        <f>(IF('Section Load'!N24&gt;0,'Section Load'!N24,0))</f>
        <v>111</v>
      </c>
      <c r="N21" s="294">
        <f>(IF('Section Load'!O24&gt;0,'Section Load'!O24,0))</f>
        <v>1</v>
      </c>
      <c r="O21" s="294">
        <f>(IF('Section Load'!P24&gt;0,'Section Load'!P24,0))</f>
        <v>1.8000000000029104</v>
      </c>
      <c r="P21" s="294">
        <f>(IF('Section Load'!Q24&gt;0,'Section Load'!Q24,0))</f>
        <v>205.81999999999971</v>
      </c>
      <c r="Q21" s="294">
        <f>(IF('Section Load'!R24&gt;0,'Section Load'!R24,0))</f>
        <v>69.990000000001601</v>
      </c>
      <c r="R21" s="294">
        <f>(IF('Section Load'!S24&gt;0,'Section Load'!S24,0))</f>
        <v>28.069999999999709</v>
      </c>
      <c r="S21" s="294">
        <f>(IF('Section Load'!T24&gt;0,'Section Load'!T24,0))</f>
        <v>467</v>
      </c>
      <c r="T21" s="294">
        <f>(IF('Section Load'!U24&gt;0,'Section Load'!U24,0))</f>
        <v>238</v>
      </c>
      <c r="U21" s="294">
        <f>(IF('Section Load'!V24&gt;0,'Section Load'!V24,0))</f>
        <v>376.08000000007451</v>
      </c>
      <c r="V21" s="294">
        <f>(IF('Section Load'!W24&gt;0,'Section Load'!W24,0))</f>
        <v>279.65000000002328</v>
      </c>
      <c r="W21" s="294">
        <f>(IF('Section Load'!X24&gt;0,'Section Load'!X24,0))</f>
        <v>29.5</v>
      </c>
      <c r="X21" s="294">
        <f>(IF('Section Load'!Y24&gt;0,'Section Load'!Y24,0))</f>
        <v>227.41999999999825</v>
      </c>
      <c r="Y21" s="294">
        <f>(IF('Section Load'!Z24&gt;0,'Section Load'!Z24,0))</f>
        <v>233</v>
      </c>
      <c r="Z21" s="294">
        <f>(IF('Section Load'!AA24&gt;0,'Section Load'!AA24,0))</f>
        <v>2.8800000000046566</v>
      </c>
      <c r="AA21" s="294">
        <f>(IF('Section Load'!AB24&gt;0,'Section Load'!AB24,0))</f>
        <v>32.30000000000291</v>
      </c>
      <c r="AB21" s="294">
        <f>(IF('Section Load'!AC24&gt;0,'Section Load'!AC24,0))</f>
        <v>0</v>
      </c>
      <c r="AC21" s="294">
        <f>(IF('Section Load'!AD24&gt;0,'Section Load'!AD24,0))</f>
        <v>71.600000000005821</v>
      </c>
      <c r="AD21" s="294">
        <f>(IF('Section Load'!AE24&gt;0,'Section Load'!AE24,0))</f>
        <v>0</v>
      </c>
      <c r="AE21" s="294">
        <f>(IF('Section Load'!AF24&gt;0,'Section Load'!AF24,0))</f>
        <v>27.980000000000018</v>
      </c>
      <c r="AF21" s="294">
        <f>(IF('Section Load'!AG24&gt;0,'Section Load'!AG24,0))</f>
        <v>418.83999999999651</v>
      </c>
      <c r="AG21" s="294">
        <f>(IF('Section Load'!AH24&gt;0,'Section Load'!AH24,0))</f>
        <v>437.40000000002328</v>
      </c>
      <c r="AH21" s="294">
        <f>(IF('Section Load'!AI24&gt;0,'Section Load'!AI24,0))</f>
        <v>425.5099999999984</v>
      </c>
      <c r="AI21" s="294">
        <f>(IF('Section Load'!AJ24&gt;0,'Section Load'!AJ24,0))</f>
        <v>777.71000000002095</v>
      </c>
      <c r="AJ21" s="294">
        <f>(IF('Section Load'!AK24&gt;0,'Section Load'!AK24,0))</f>
        <v>263.63000000000466</v>
      </c>
      <c r="AK21" s="294">
        <f>(IF('Section Load'!AL24&gt;0,'Section Load'!AL24,0))</f>
        <v>362.27999999999884</v>
      </c>
      <c r="AL21" s="294">
        <f>(IF('Section Load'!AM24&gt;0,'Section Load'!AM24,0))</f>
        <v>846.91000000000349</v>
      </c>
      <c r="AM21" s="295">
        <f>(IF('Water Report'!$W$7&gt;0,'Water Report'!$W$7,0))</f>
        <v>124</v>
      </c>
      <c r="AN21" s="295">
        <f>(IF('Water Report'!$W$8&gt;0,'Water Report'!$W$8,0))</f>
        <v>119</v>
      </c>
      <c r="AO21" s="295">
        <f>(IF('Water Report'!$W$9&gt;0,'Water Report'!$W$9,0))</f>
        <v>77</v>
      </c>
      <c r="AP21" s="295">
        <f>(IF('Water Report'!$W$10&gt;0,'Water Report'!$W$10,0))</f>
        <v>17</v>
      </c>
      <c r="AQ21" s="295">
        <f>(IF('Water Report'!$W$11&gt;0,'Water Report'!$W$11,0))</f>
        <v>26</v>
      </c>
      <c r="AR21" s="295">
        <f>(IF('Water Report'!$W$13&gt;0,'Water Report'!$W$13,0))</f>
        <v>68</v>
      </c>
      <c r="AS21" s="295">
        <f>(IF('Water Report'!$W$14&gt;0,'Water Report'!$W$14,0))</f>
        <v>7</v>
      </c>
      <c r="AT21" s="295">
        <f>(IF('Water Report'!$W$15&gt;0,'Water Report'!$W$15,0))</f>
        <v>9</v>
      </c>
      <c r="AU21" s="295">
        <f>(IF('Water Report'!$W$17&gt;0,'Water Report'!$W$17,0))</f>
        <v>0</v>
      </c>
      <c r="AV21" s="295">
        <f>(IF('Water Report'!$W$18&gt;0,'Water Report'!$W$18,0))</f>
        <v>17</v>
      </c>
      <c r="AW21" s="295">
        <f>(IF('Water Report'!$W$19&gt;0,'Water Report'!$W$19,0))</f>
        <v>12</v>
      </c>
      <c r="AX21" s="301">
        <f>(IF('Water Report'!$W$21&gt;0,'Water Report'!$W$21,0))</f>
        <v>67</v>
      </c>
      <c r="AY21" s="301">
        <f>(IF('Water Report'!$W$22&gt;0,'Water Report'!$W$22,0))</f>
        <v>0</v>
      </c>
      <c r="AZ21" s="301">
        <f>(IF('Water Report'!$W$23&gt;0,'Water Report'!$W$23,0))</f>
        <v>1</v>
      </c>
      <c r="BA21" s="301">
        <f>(IF('Water Report'!$W$14&gt;0,'Water Report'!$W$14,0))</f>
        <v>7</v>
      </c>
      <c r="BB21" s="301">
        <f>(IF('Water Report'!$W$15&gt;0,'Water Report'!$W$15,0))</f>
        <v>9</v>
      </c>
      <c r="BC21" s="301">
        <f>(IF('Water Report'!$W$13&gt;0,'Water Report'!$W$13,0))</f>
        <v>68</v>
      </c>
      <c r="BD21" s="301">
        <f>(IF('Water Report'!$W$24&gt;0,'Water Report'!$W$24,0))</f>
        <v>1525</v>
      </c>
      <c r="BE21" s="301">
        <f>(IF('Water Report'!$W$25&gt;0,'Water Report'!$W$25,0))</f>
        <v>136</v>
      </c>
      <c r="BF21" s="301">
        <f>(IF('Water Report'!$W$27&gt;0,'Water Report'!$W$27,0))</f>
        <v>136</v>
      </c>
      <c r="BG21" s="296">
        <f>(IF('Section Load'!AN24&gt;0,'Section Load'!AN24,0))</f>
        <v>1100</v>
      </c>
      <c r="BH21" s="296">
        <f>(IF('Section Load'!AO24&gt;0,'Section Load'!AO24,0))</f>
        <v>318.68999999994412</v>
      </c>
      <c r="BI21" s="296">
        <f>(IF('Section Load'!AP24&gt;0,'Section Load'!AP24,0))</f>
        <v>0</v>
      </c>
      <c r="BJ21" s="296">
        <f>(IF('Section Load'!AQ24&gt;0,'Section Load'!AQ24,0))</f>
        <v>127.04999999998836</v>
      </c>
      <c r="BK21" s="296">
        <f>(IF('Section Load'!AR24&gt;0,'Section Load'!AR24,0))</f>
        <v>46.69999999999709</v>
      </c>
      <c r="BL21" s="296">
        <f>(IF('Section Load'!AS24&gt;0,'Section Load'!AS24,0))</f>
        <v>1.2999999999992724</v>
      </c>
      <c r="BM21" s="296">
        <f>(IF('Section Load'!AT24&gt;0,'Section Load'!AT24,0))</f>
        <v>606.26000000007116</v>
      </c>
    </row>
    <row r="22" spans="1:65" x14ac:dyDescent="0.25">
      <c r="A22" s="287" t="s">
        <v>268</v>
      </c>
      <c r="B22" s="288">
        <f t="shared" si="0"/>
        <v>21</v>
      </c>
      <c r="C22" s="288">
        <v>1</v>
      </c>
      <c r="D22" s="288">
        <v>2022</v>
      </c>
      <c r="E22" s="294">
        <f>(IF('Section Load'!F25&gt;0,'Section Load'!F25,0))</f>
        <v>3149.2099999999627</v>
      </c>
      <c r="F22" s="294">
        <f>(IF('Section Load'!G25&gt;0,'Section Load'!G25,0))</f>
        <v>1625.5</v>
      </c>
      <c r="G22" s="294">
        <f>(IF('Section Load'!H25&gt;0,'Section Load'!H25,0))</f>
        <v>1893.8399999999965</v>
      </c>
      <c r="H22" s="294">
        <f>(IF('Section Load'!I25&gt;0,'Section Load'!I25,0))</f>
        <v>2810.5999999999767</v>
      </c>
      <c r="I22" s="294">
        <f>(IF('Section Load'!J25&gt;0,'Section Load'!J25,0))</f>
        <v>4666.0799999999981</v>
      </c>
      <c r="J22" s="294">
        <f>(IF('Section Load'!K25&gt;0,'Section Load'!K25,0))</f>
        <v>2692.16</v>
      </c>
      <c r="K22" s="294">
        <f>(IF('Section Load'!L25&gt;0,'Section Load'!L25,0))</f>
        <v>1116.6799999999985</v>
      </c>
      <c r="L22" s="294">
        <f>(IF('Section Load'!M25&gt;0,'Section Load'!M25,0))</f>
        <v>1038.0299999999988</v>
      </c>
      <c r="M22" s="294">
        <f>(IF('Section Load'!N25&gt;0,'Section Load'!N25,0))</f>
        <v>91</v>
      </c>
      <c r="N22" s="294">
        <f>(IF('Section Load'!O25&gt;0,'Section Load'!O25,0))</f>
        <v>3</v>
      </c>
      <c r="O22" s="294">
        <f>(IF('Section Load'!P25&gt;0,'Section Load'!P25,0))</f>
        <v>0.59999999999126885</v>
      </c>
      <c r="P22" s="294">
        <f>(IF('Section Load'!Q25&gt;0,'Section Load'!Q25,0))</f>
        <v>199.97000000000116</v>
      </c>
      <c r="Q22" s="294">
        <f>(IF('Section Load'!R25&gt;0,'Section Load'!R25,0))</f>
        <v>73.220000000001164</v>
      </c>
      <c r="R22" s="294">
        <f>(IF('Section Load'!S25&gt;0,'Section Load'!S25,0))</f>
        <v>23.890000000000327</v>
      </c>
      <c r="S22" s="294">
        <f>(IF('Section Load'!T25&gt;0,'Section Load'!T25,0))</f>
        <v>497</v>
      </c>
      <c r="T22" s="294">
        <f>(IF('Section Load'!U25&gt;0,'Section Load'!U25,0))</f>
        <v>242</v>
      </c>
      <c r="U22" s="294">
        <f>(IF('Section Load'!V25&gt;0,'Section Load'!V25,0))</f>
        <v>406.95999999996275</v>
      </c>
      <c r="V22" s="294">
        <f>(IF('Section Load'!W25&gt;0,'Section Load'!W25,0))</f>
        <v>278.07999999995809</v>
      </c>
      <c r="W22" s="294">
        <f>(IF('Section Load'!X25&gt;0,'Section Load'!X25,0))</f>
        <v>25.529999999999745</v>
      </c>
      <c r="X22" s="294">
        <f>(IF('Section Load'!Y25&gt;0,'Section Load'!Y25,0))</f>
        <v>221.16000000000349</v>
      </c>
      <c r="Y22" s="294">
        <f>(IF('Section Load'!Z25&gt;0,'Section Load'!Z25,0))</f>
        <v>214</v>
      </c>
      <c r="Z22" s="294">
        <f>(IF('Section Load'!AA25&gt;0,'Section Load'!AA25,0))</f>
        <v>2.9600000000209548</v>
      </c>
      <c r="AA22" s="294">
        <f>(IF('Section Load'!AB25&gt;0,'Section Load'!AB25,0))</f>
        <v>33.69999999999709</v>
      </c>
      <c r="AB22" s="294">
        <f>(IF('Section Load'!AC25&gt;0,'Section Load'!AC25,0))</f>
        <v>0</v>
      </c>
      <c r="AC22" s="294">
        <f>(IF('Section Load'!AD25&gt;0,'Section Load'!AD25,0))</f>
        <v>85.199999999994361</v>
      </c>
      <c r="AD22" s="294">
        <f>(IF('Section Load'!AE25&gt;0,'Section Load'!AE25,0))</f>
        <v>0</v>
      </c>
      <c r="AE22" s="294">
        <f>(IF('Section Load'!AF25&gt;0,'Section Load'!AF25,0))</f>
        <v>25.7800000000002</v>
      </c>
      <c r="AF22" s="294">
        <f>(IF('Section Load'!AG25&gt;0,'Section Load'!AG25,0))</f>
        <v>412.89999999999418</v>
      </c>
      <c r="AG22" s="294">
        <f>(IF('Section Load'!AH25&gt;0,'Section Load'!AH25,0))</f>
        <v>426.22000000000116</v>
      </c>
      <c r="AH22" s="294">
        <f>(IF('Section Load'!AI25&gt;0,'Section Load'!AI25,0))</f>
        <v>416.88999999999942</v>
      </c>
      <c r="AI22" s="294">
        <f>(IF('Section Load'!AJ25&gt;0,'Section Load'!AJ25,0))</f>
        <v>783.79999999998836</v>
      </c>
      <c r="AJ22" s="294">
        <f>(IF('Section Load'!AK25&gt;0,'Section Load'!AK25,0))</f>
        <v>257.5</v>
      </c>
      <c r="AK22" s="294">
        <f>(IF('Section Load'!AL25&gt;0,'Section Load'!AL25,0))</f>
        <v>384.54999999998836</v>
      </c>
      <c r="AL22" s="294">
        <f>(IF('Section Load'!AM25&gt;0,'Section Load'!AM25,0))</f>
        <v>706.69000000000233</v>
      </c>
      <c r="AM22" s="295">
        <f>(IF('Water Report'!$X$7&gt;0,'Water Report'!$X$7,0))</f>
        <v>117</v>
      </c>
      <c r="AN22" s="295">
        <f>(IF('Water Report'!$X$8&gt;0,'Water Report'!$X$8,0))</f>
        <v>72</v>
      </c>
      <c r="AO22" s="295">
        <f>(IF('Water Report'!$X$9&gt;0,'Water Report'!$X$9,0))</f>
        <v>97</v>
      </c>
      <c r="AP22" s="295">
        <f>(IF('Water Report'!$X$10&gt;0,'Water Report'!$X$10,0))</f>
        <v>17</v>
      </c>
      <c r="AQ22" s="295">
        <f>(IF('Water Report'!$X$11&gt;0,'Water Report'!$X$11,0))</f>
        <v>27</v>
      </c>
      <c r="AR22" s="295">
        <f>(IF('Water Report'!$X$13&gt;0,'Water Report'!$X$13,0))</f>
        <v>35</v>
      </c>
      <c r="AS22" s="295">
        <f>(IF('Water Report'!$X$14&gt;0,'Water Report'!$X$14,0))</f>
        <v>9</v>
      </c>
      <c r="AT22" s="295">
        <f>(IF('Water Report'!$X$15&gt;0,'Water Report'!$X$15,0))</f>
        <v>8</v>
      </c>
      <c r="AU22" s="295">
        <f>(IF('Water Report'!$X$17&gt;0,'Water Report'!$X$17,0))</f>
        <v>0</v>
      </c>
      <c r="AV22" s="295">
        <f>(IF('Water Report'!$X$18&gt;0,'Water Report'!$X$18,0))</f>
        <v>16</v>
      </c>
      <c r="AW22" s="295">
        <f>(IF('Water Report'!$X$19&gt;0,'Water Report'!$X$19,0))</f>
        <v>13</v>
      </c>
      <c r="AX22" s="301">
        <f>(IF('Water Report'!$X$21&gt;0,'Water Report'!$X$21,0))</f>
        <v>60</v>
      </c>
      <c r="AY22" s="301">
        <f>(IF('Water Report'!$X$22&gt;0,'Water Report'!$X$22,0))</f>
        <v>0</v>
      </c>
      <c r="AZ22" s="301">
        <f>(IF('Water Report'!$X$23&gt;0,'Water Report'!$X$23,0))</f>
        <v>11</v>
      </c>
      <c r="BA22" s="301">
        <f>(IF('Water Report'!$X$14&gt;0,'Water Report'!$X$14,0))</f>
        <v>9</v>
      </c>
      <c r="BB22" s="301">
        <f>(IF('Water Report'!$X$15&gt;0,'Water Report'!$X$15,0))</f>
        <v>8</v>
      </c>
      <c r="BC22" s="301">
        <f>(IF('Water Report'!$X$13&gt;0,'Water Report'!$X$13,0))</f>
        <v>35</v>
      </c>
      <c r="BD22" s="301">
        <f>(IF('Water Report'!$X$24&gt;0,'Water Report'!$X$24,0))</f>
        <v>1645</v>
      </c>
      <c r="BE22" s="301">
        <f>(IF('Water Report'!$X$25&gt;0,'Water Report'!$X$25,0))</f>
        <v>158</v>
      </c>
      <c r="BF22" s="301">
        <f>(IF('Water Report'!$X$27&gt;0,'Water Report'!$X$27,0))</f>
        <v>106</v>
      </c>
      <c r="BG22" s="296">
        <f>(IF('Section Load'!AN25&gt;0,'Section Load'!AN25,0))</f>
        <v>1100</v>
      </c>
      <c r="BH22" s="296">
        <f>(IF('Section Load'!AO25&gt;0,'Section Load'!AO25,0))</f>
        <v>321.20999999996275</v>
      </c>
      <c r="BI22" s="296">
        <f>(IF('Section Load'!AP25&gt;0,'Section Load'!AP25,0))</f>
        <v>0</v>
      </c>
      <c r="BJ22" s="296">
        <f>(IF('Section Load'!AQ25&gt;0,'Section Load'!AQ25,0))</f>
        <v>111.48000000001048</v>
      </c>
      <c r="BK22" s="296">
        <f>(IF('Section Load'!AR25&gt;0,'Section Load'!AR25,0))</f>
        <v>55</v>
      </c>
      <c r="BL22" s="296">
        <f>(IF('Section Load'!AS25&gt;0,'Section Load'!AS25,0))</f>
        <v>1</v>
      </c>
      <c r="BM22" s="296">
        <f>(IF('Section Load'!AT25&gt;0,'Section Load'!AT25,0))</f>
        <v>611.31000000002678</v>
      </c>
    </row>
    <row r="23" spans="1:65" x14ac:dyDescent="0.25">
      <c r="A23" s="287" t="s">
        <v>268</v>
      </c>
      <c r="B23" s="288">
        <f t="shared" si="0"/>
        <v>22</v>
      </c>
      <c r="C23" s="288">
        <v>1</v>
      </c>
      <c r="D23" s="288">
        <v>2022</v>
      </c>
      <c r="E23" s="294">
        <f>(IF('Section Load'!F26&gt;0,'Section Load'!F26,0))</f>
        <v>3084.4900000000198</v>
      </c>
      <c r="F23" s="294">
        <f>(IF('Section Load'!G26&gt;0,'Section Load'!G26,0))</f>
        <v>1590.140000000014</v>
      </c>
      <c r="G23" s="294">
        <f>(IF('Section Load'!H26&gt;0,'Section Load'!H26,0))</f>
        <v>1914.5800000000163</v>
      </c>
      <c r="H23" s="294">
        <f>(IF('Section Load'!I26&gt;0,'Section Load'!I26,0))</f>
        <v>2775.9200000000419</v>
      </c>
      <c r="I23" s="294">
        <f>(IF('Section Load'!J26&gt;0,'Section Load'!J26,0))</f>
        <v>4737.3100000000049</v>
      </c>
      <c r="J23" s="294">
        <f>(IF('Section Load'!K26&gt;0,'Section Load'!K26,0))</f>
        <v>2692.75</v>
      </c>
      <c r="K23" s="294">
        <f>(IF('Section Load'!L26&gt;0,'Section Load'!L26,0))</f>
        <v>1108.0100000000002</v>
      </c>
      <c r="L23" s="294">
        <f>(IF('Section Load'!M26&gt;0,'Section Load'!M26,0))</f>
        <v>919.97000000000116</v>
      </c>
      <c r="M23" s="294">
        <f>(IF('Section Load'!N26&gt;0,'Section Load'!N26,0))</f>
        <v>109</v>
      </c>
      <c r="N23" s="294">
        <f>(IF('Section Load'!O26&gt;0,'Section Load'!O26,0))</f>
        <v>4</v>
      </c>
      <c r="O23" s="294">
        <f>(IF('Section Load'!P26&gt;0,'Section Load'!P26,0))</f>
        <v>1.1999999999970896</v>
      </c>
      <c r="P23" s="294">
        <f>(IF('Section Load'!Q26&gt;0,'Section Load'!Q26,0))</f>
        <v>197.43999999999505</v>
      </c>
      <c r="Q23" s="294">
        <f>(IF('Section Load'!R26&gt;0,'Section Load'!R26,0))</f>
        <v>74.379999999997381</v>
      </c>
      <c r="R23" s="294">
        <f>(IF('Section Load'!S26&gt;0,'Section Load'!S26,0))</f>
        <v>25.139999999999418</v>
      </c>
      <c r="S23" s="294">
        <f>(IF('Section Load'!T26&gt;0,'Section Load'!T26,0))</f>
        <v>500</v>
      </c>
      <c r="T23" s="294">
        <f>(IF('Section Load'!U26&gt;0,'Section Load'!U26,0))</f>
        <v>251</v>
      </c>
      <c r="U23" s="294">
        <f>(IF('Section Load'!V26&gt;0,'Section Load'!V26,0))</f>
        <v>402.64000000001397</v>
      </c>
      <c r="V23" s="294">
        <f>(IF('Section Load'!W26&gt;0,'Section Load'!W26,0))</f>
        <v>297.76000000000931</v>
      </c>
      <c r="W23" s="294">
        <f>(IF('Section Load'!X26&gt;0,'Section Load'!X26,0))</f>
        <v>27.420000000000073</v>
      </c>
      <c r="X23" s="294">
        <f>(IF('Section Load'!Y26&gt;0,'Section Load'!Y26,0))</f>
        <v>215.00999999999476</v>
      </c>
      <c r="Y23" s="294">
        <f>(IF('Section Load'!Z26&gt;0,'Section Load'!Z26,0))</f>
        <v>225</v>
      </c>
      <c r="Z23" s="294">
        <f>(IF('Section Load'!AA26&gt;0,'Section Load'!AA26,0))</f>
        <v>2.279999999969732</v>
      </c>
      <c r="AA23" s="294">
        <f>(IF('Section Load'!AB26&gt;0,'Section Load'!AB26,0))</f>
        <v>41</v>
      </c>
      <c r="AB23" s="294">
        <f>(IF('Section Load'!AC26&gt;0,'Section Load'!AC26,0))</f>
        <v>0</v>
      </c>
      <c r="AC23" s="294">
        <f>(IF('Section Load'!AD26&gt;0,'Section Load'!AD26,0))</f>
        <v>84.69999999999709</v>
      </c>
      <c r="AD23" s="294">
        <f>(IF('Section Load'!AE26&gt;0,'Section Load'!AE26,0))</f>
        <v>0</v>
      </c>
      <c r="AE23" s="294">
        <f>(IF('Section Load'!AF26&gt;0,'Section Load'!AF26,0))</f>
        <v>14.989999999999782</v>
      </c>
      <c r="AF23" s="294">
        <f>(IF('Section Load'!AG26&gt;0,'Section Load'!AG26,0))</f>
        <v>405.70000000001164</v>
      </c>
      <c r="AG23" s="294">
        <f>(IF('Section Load'!AH26&gt;0,'Section Load'!AH26,0))</f>
        <v>427.51999999998952</v>
      </c>
      <c r="AH23" s="294">
        <f>(IF('Section Load'!AI26&gt;0,'Section Load'!AI26,0))</f>
        <v>412.20999999999913</v>
      </c>
      <c r="AI23" s="294">
        <f>(IF('Section Load'!AJ26&gt;0,'Section Load'!AJ26,0))</f>
        <v>776.8399999999674</v>
      </c>
      <c r="AJ23" s="294">
        <f>(IF('Section Load'!AK26&gt;0,'Section Load'!AK26,0))</f>
        <v>235.58000000000175</v>
      </c>
      <c r="AK23" s="294">
        <f>(IF('Section Load'!AL26&gt;0,'Section Load'!AL26,0))</f>
        <v>354.81000000002678</v>
      </c>
      <c r="AL23" s="294">
        <f>(IF('Section Load'!AM26&gt;0,'Section Load'!AM26,0))</f>
        <v>649.09999999999127</v>
      </c>
      <c r="AM23" s="295">
        <f>(IF('Water Report'!$Y$7&gt;0,'Water Report'!$Y$7,0))</f>
        <v>120</v>
      </c>
      <c r="AN23" s="295">
        <f>(IF('Water Report'!$Y$8&gt;0,'Water Report'!$Y$8,0))</f>
        <v>80</v>
      </c>
      <c r="AO23" s="295">
        <f>(IF('Water Report'!$Y$9&gt;0,'Water Report'!$Y$9,0))</f>
        <v>105</v>
      </c>
      <c r="AP23" s="295">
        <f>(IF('Water Report'!$Y$10&gt;0,'Water Report'!$Y$10,0))</f>
        <v>18</v>
      </c>
      <c r="AQ23" s="295">
        <f>(IF('Water Report'!$Y$11&gt;0,'Water Report'!$Y$11,0))</f>
        <v>27</v>
      </c>
      <c r="AR23" s="295">
        <f>(IF('Water Report'!$Y$13&gt;0,'Water Report'!$Y$13,0))</f>
        <v>32</v>
      </c>
      <c r="AS23" s="295">
        <f>(IF('Water Report'!$Y$14&gt;0,'Water Report'!$Y$14,0))</f>
        <v>8</v>
      </c>
      <c r="AT23" s="295">
        <f>(IF('Water Report'!$Y$15&gt;0,'Water Report'!$Y$15,0))</f>
        <v>9</v>
      </c>
      <c r="AU23" s="295">
        <f>(IF('Water Report'!$Y$17&gt;0,'Water Report'!$Y$17,0))</f>
        <v>16</v>
      </c>
      <c r="AV23" s="295">
        <f>(IF('Water Report'!$Y$18&gt;0,'Water Report'!$Y$18,0))</f>
        <v>14</v>
      </c>
      <c r="AW23" s="295">
        <f>(IF('Water Report'!$Y$19&gt;0,'Water Report'!$Y$19,0))</f>
        <v>10</v>
      </c>
      <c r="AX23" s="301">
        <f>(IF('Water Report'!$Y$21&gt;0,'Water Report'!$Y$21,0))</f>
        <v>57</v>
      </c>
      <c r="AY23" s="301">
        <f>(IF('Water Report'!$Y$22&gt;0,'Water Report'!$Y$22,0))</f>
        <v>0</v>
      </c>
      <c r="AZ23" s="301">
        <f>(IF('Water Report'!$Y$23&gt;0,'Water Report'!$Y$23,0))</f>
        <v>12</v>
      </c>
      <c r="BA23" s="301">
        <f>(IF('Water Report'!$Y$14&gt;0,'Water Report'!$Y$14,0))</f>
        <v>8</v>
      </c>
      <c r="BB23" s="301">
        <f>(IF('Water Report'!$Y$15&gt;0,'Water Report'!$Y$15,0))</f>
        <v>9</v>
      </c>
      <c r="BC23" s="301">
        <f>(IF('Water Report'!$Y$13&gt;0,'Water Report'!$Y$13,0))</f>
        <v>32</v>
      </c>
      <c r="BD23" s="301">
        <f>(IF('Water Report'!$Y$24&gt;0,'Water Report'!$Y$24,0))</f>
        <v>1765</v>
      </c>
      <c r="BE23" s="301">
        <f>(IF('Water Report'!$Y$25&gt;0,'Water Report'!$Y$25,0))</f>
        <v>167</v>
      </c>
      <c r="BF23" s="301">
        <f>(IF('Water Report'!$Y$27&gt;0,'Water Report'!$Y$27,0))</f>
        <v>101</v>
      </c>
      <c r="BG23" s="296">
        <f>(IF('Section Load'!AN26&gt;0,'Section Load'!AN26,0))</f>
        <v>1100</v>
      </c>
      <c r="BH23" s="296">
        <f>(IF('Section Load'!AO26&gt;0,'Section Load'!AO26,0))</f>
        <v>332.31000000005588</v>
      </c>
      <c r="BI23" s="296">
        <f>(IF('Section Load'!AP26&gt;0,'Section Load'!AP26,0))</f>
        <v>0</v>
      </c>
      <c r="BJ23" s="296">
        <f>(IF('Section Load'!AQ26&gt;0,'Section Load'!AQ26,0))</f>
        <v>92.069999999977881</v>
      </c>
      <c r="BK23" s="296">
        <f>(IF('Section Load'!AR26&gt;0,'Section Load'!AR26,0))</f>
        <v>47.900000000001455</v>
      </c>
      <c r="BL23" s="296">
        <f>(IF('Section Load'!AS26&gt;0,'Section Load'!AS26,0))</f>
        <v>1.7000000000007276</v>
      </c>
      <c r="BM23" s="296">
        <f>(IF('Section Load'!AT26&gt;0,'Section Load'!AT26,0))</f>
        <v>626.01999999996406</v>
      </c>
    </row>
    <row r="24" spans="1:65" x14ac:dyDescent="0.25">
      <c r="A24" s="287" t="s">
        <v>268</v>
      </c>
      <c r="B24" s="288">
        <f t="shared" si="0"/>
        <v>23</v>
      </c>
      <c r="C24" s="288">
        <v>1</v>
      </c>
      <c r="D24" s="288">
        <v>2022</v>
      </c>
      <c r="E24" s="294">
        <f>(IF('Section Load'!F27&gt;0,'Section Load'!F27,0))</f>
        <v>3026.2200000000012</v>
      </c>
      <c r="F24" s="294">
        <f>(IF('Section Load'!G27&gt;0,'Section Load'!G27,0))</f>
        <v>1586.7099999999919</v>
      </c>
      <c r="G24" s="294">
        <f>(IF('Section Load'!H27&gt;0,'Section Load'!H27,0))</f>
        <v>1933.5499999999884</v>
      </c>
      <c r="H24" s="294">
        <f>(IF('Section Load'!I27&gt;0,'Section Load'!I27,0))</f>
        <v>2743.8499999999767</v>
      </c>
      <c r="I24" s="294">
        <f>(IF('Section Load'!J27&gt;0,'Section Load'!J27,0))</f>
        <v>4454.0999999999985</v>
      </c>
      <c r="J24" s="294">
        <f>(IF('Section Load'!K27&gt;0,'Section Load'!K27,0))</f>
        <v>2677.5</v>
      </c>
      <c r="K24" s="294">
        <f>(IF('Section Load'!L27&gt;0,'Section Load'!L27,0))</f>
        <v>1077.1100000000006</v>
      </c>
      <c r="L24" s="294">
        <f>(IF('Section Load'!M27&gt;0,'Section Load'!M27,0))</f>
        <v>821.63999999999942</v>
      </c>
      <c r="M24" s="294">
        <f>(IF('Section Load'!N27&gt;0,'Section Load'!N27,0))</f>
        <v>125</v>
      </c>
      <c r="N24" s="294">
        <f>(IF('Section Load'!O27&gt;0,'Section Load'!O27,0))</f>
        <v>14</v>
      </c>
      <c r="O24" s="294">
        <f>(IF('Section Load'!P27&gt;0,'Section Load'!P27,0))</f>
        <v>0</v>
      </c>
      <c r="P24" s="294">
        <f>(IF('Section Load'!Q27&gt;0,'Section Load'!Q27,0))</f>
        <v>198.9800000000032</v>
      </c>
      <c r="Q24" s="294">
        <f>(IF('Section Load'!R27&gt;0,'Section Load'!R27,0))</f>
        <v>71.31000000000131</v>
      </c>
      <c r="R24" s="294">
        <f>(IF('Section Load'!S27&gt;0,'Section Load'!S27,0))</f>
        <v>24.930000000000291</v>
      </c>
      <c r="S24" s="294">
        <f>(IF('Section Load'!T27&gt;0,'Section Load'!T27,0))</f>
        <v>482</v>
      </c>
      <c r="T24" s="294">
        <f>(IF('Section Load'!U27&gt;0,'Section Load'!U27,0))</f>
        <v>234</v>
      </c>
      <c r="U24" s="294">
        <f>(IF('Section Load'!V27&gt;0,'Section Load'!V27,0))</f>
        <v>373.88000000000466</v>
      </c>
      <c r="V24" s="294">
        <f>(IF('Section Load'!W27&gt;0,'Section Load'!W27,0))</f>
        <v>263.76000000000931</v>
      </c>
      <c r="W24" s="294">
        <f>(IF('Section Load'!X27&gt;0,'Section Load'!X27,0))</f>
        <v>21.980000000000018</v>
      </c>
      <c r="X24" s="294">
        <f>(IF('Section Load'!Y27&gt;0,'Section Load'!Y27,0))</f>
        <v>235.9600000000064</v>
      </c>
      <c r="Y24" s="294">
        <f>(IF('Section Load'!Z27&gt;0,'Section Load'!Z27,0))</f>
        <v>212</v>
      </c>
      <c r="Z24" s="294">
        <f>(IF('Section Load'!AA27&gt;0,'Section Load'!AA27,0))</f>
        <v>0</v>
      </c>
      <c r="AA24" s="294">
        <f>(IF('Section Load'!AB27&gt;0,'Section Load'!AB27,0))</f>
        <v>37.5</v>
      </c>
      <c r="AB24" s="294">
        <f>(IF('Section Load'!AC27&gt;0,'Section Load'!AC27,0))</f>
        <v>0</v>
      </c>
      <c r="AC24" s="294">
        <f>(IF('Section Load'!AD27&gt;0,'Section Load'!AD27,0))</f>
        <v>63.500000000005457</v>
      </c>
      <c r="AD24" s="294">
        <f>(IF('Section Load'!AE27&gt;0,'Section Load'!AE27,0))</f>
        <v>0</v>
      </c>
      <c r="AE24" s="294">
        <f>(IF('Section Load'!AF27&gt;0,'Section Load'!AF27,0))</f>
        <v>15.070000000000164</v>
      </c>
      <c r="AF24" s="294">
        <f>(IF('Section Load'!AG27&gt;0,'Section Load'!AG27,0))</f>
        <v>376.10999999998603</v>
      </c>
      <c r="AG24" s="294">
        <f>(IF('Section Load'!AH27&gt;0,'Section Load'!AH27,0))</f>
        <v>438.02999999999884</v>
      </c>
      <c r="AH24" s="294">
        <f>(IF('Section Load'!AI27&gt;0,'Section Load'!AI27,0))</f>
        <v>435.4900000000016</v>
      </c>
      <c r="AI24" s="294">
        <f>(IF('Section Load'!AJ27&gt;0,'Section Load'!AJ27,0))</f>
        <v>758.65000000002328</v>
      </c>
      <c r="AJ24" s="294">
        <f>(IF('Section Load'!AK27&gt;0,'Section Load'!AK27,0))</f>
        <v>191.2899999999936</v>
      </c>
      <c r="AK24" s="294">
        <f>(IF('Section Load'!AL27&gt;0,'Section Load'!AL27,0))</f>
        <v>351.35999999998603</v>
      </c>
      <c r="AL24" s="294">
        <f>(IF('Section Load'!AM27&gt;0,'Section Load'!AM27,0))</f>
        <v>663.94000000000233</v>
      </c>
      <c r="AM24" s="295">
        <f>(IF('Water Report'!$Z$7&gt;0,'Water Report'!$Z$7,0))</f>
        <v>120</v>
      </c>
      <c r="AN24" s="295">
        <f>(IF('Water Report'!$Z$8&gt;0,'Water Report'!$Z$8,0))</f>
        <v>66</v>
      </c>
      <c r="AO24" s="295">
        <f>(IF('Water Report'!$Z$9&gt;0,'Water Report'!$Z$9,0))</f>
        <v>99</v>
      </c>
      <c r="AP24" s="295">
        <f>(IF('Water Report'!$Z$10&gt;0,'Water Report'!$Z$10,0))</f>
        <v>25</v>
      </c>
      <c r="AQ24" s="295">
        <f>(IF('Water Report'!$Z$11&gt;0,'Water Report'!$Z$11,0))</f>
        <v>28</v>
      </c>
      <c r="AR24" s="295">
        <f>(IF('Water Report'!$Z$13&gt;0,'Water Report'!$Z$13,0))</f>
        <v>29</v>
      </c>
      <c r="AS24" s="295">
        <f>(IF('Water Report'!$Z$14&gt;0,'Water Report'!$Z$14,0))</f>
        <v>11</v>
      </c>
      <c r="AT24" s="295">
        <f>(IF('Water Report'!$Z$15&gt;0,'Water Report'!$Z$15,0))</f>
        <v>11</v>
      </c>
      <c r="AU24" s="295">
        <f>(IF('Water Report'!$Z$17&gt;0,'Water Report'!$Z$17,0))</f>
        <v>0</v>
      </c>
      <c r="AV24" s="295">
        <f>(IF('Water Report'!$Z$18&gt;0,'Water Report'!$Z$18,0))</f>
        <v>15</v>
      </c>
      <c r="AW24" s="295">
        <f>(IF('Water Report'!$Z$19&gt;0,'Water Report'!$Z$19,0))</f>
        <v>12</v>
      </c>
      <c r="AX24" s="301">
        <f>(IF('Water Report'!$Z$21&gt;0,'Water Report'!$Z$21,0))</f>
        <v>56</v>
      </c>
      <c r="AY24" s="301">
        <f>(IF('Water Report'!$Z$22&gt;0,'Water Report'!$Z$22,0))</f>
        <v>0</v>
      </c>
      <c r="AZ24" s="301">
        <f>(IF('Water Report'!$Z$23&gt;0,'Water Report'!$Z$23,0))</f>
        <v>7</v>
      </c>
      <c r="BA24" s="301">
        <f>(IF('Water Report'!$Z$14&gt;0,'Water Report'!$Z$14,0))</f>
        <v>11</v>
      </c>
      <c r="BB24" s="301">
        <f>(IF('Water Report'!$Z$15&gt;0,'Water Report'!$Z$15,0))</f>
        <v>11</v>
      </c>
      <c r="BC24" s="301">
        <f>(IF('Water Report'!$Z$13&gt;0,'Water Report'!$Z$13,0))</f>
        <v>29</v>
      </c>
      <c r="BD24" s="301">
        <f>(IF('Water Report'!$Z$24&gt;0,'Water Report'!$Z$24,0))</f>
        <v>1885</v>
      </c>
      <c r="BE24" s="301">
        <f>(IF('Water Report'!$Z$25&gt;0,'Water Report'!$Z$25,0))</f>
        <v>174</v>
      </c>
      <c r="BF24" s="301">
        <f>(IF('Water Report'!$Z$27&gt;0,'Water Report'!$Z$27,0))</f>
        <v>92</v>
      </c>
      <c r="BG24" s="296">
        <f>(IF('Section Load'!AN27&gt;0,'Section Load'!AN27,0))</f>
        <v>1100</v>
      </c>
      <c r="BH24" s="296">
        <f>(IF('Section Load'!AO27&gt;0,'Section Load'!AO27,0))</f>
        <v>301.47999999998137</v>
      </c>
      <c r="BI24" s="296">
        <f>(IF('Section Load'!AP27&gt;0,'Section Load'!AP27,0))</f>
        <v>0</v>
      </c>
      <c r="BJ24" s="296">
        <f>(IF('Section Load'!AQ27&gt;0,'Section Load'!AQ27,0))</f>
        <v>120.20000000001164</v>
      </c>
      <c r="BK24" s="296">
        <f>(IF('Section Load'!AR27&gt;0,'Section Load'!AR27,0))</f>
        <v>41.099999999998545</v>
      </c>
      <c r="BL24" s="296">
        <f>(IF('Section Load'!AS27&gt;0,'Section Load'!AS27,0))</f>
        <v>1.2999999999992724</v>
      </c>
      <c r="BM24" s="296">
        <f>(IF('Section Load'!AT27&gt;0,'Section Load'!AT27,0))</f>
        <v>635.92000000000917</v>
      </c>
    </row>
    <row r="25" spans="1:65" x14ac:dyDescent="0.25">
      <c r="A25" s="287" t="s">
        <v>268</v>
      </c>
      <c r="B25" s="288">
        <f t="shared" si="0"/>
        <v>24</v>
      </c>
      <c r="C25" s="288">
        <v>1</v>
      </c>
      <c r="D25" s="288">
        <v>2022</v>
      </c>
      <c r="E25" s="294">
        <f>(IF('Section Load'!F28&gt;0,'Section Load'!F28,0))</f>
        <v>3095</v>
      </c>
      <c r="F25" s="294">
        <f>(IF('Section Load'!G28&gt;0,'Section Load'!G28,0))</f>
        <v>1616</v>
      </c>
      <c r="G25" s="294">
        <f>(IF('Section Load'!H28&gt;0,'Section Load'!H28,0))</f>
        <v>1954</v>
      </c>
      <c r="H25" s="294">
        <f>(IF('Section Load'!I28&gt;0,'Section Load'!I28,0))</f>
        <v>2746</v>
      </c>
      <c r="I25" s="294">
        <f>(IF('Section Load'!J28&gt;0,'Section Load'!J28,0))</f>
        <v>4621</v>
      </c>
      <c r="J25" s="294">
        <f>(IF('Section Load'!K28&gt;0,'Section Load'!K28,0))</f>
        <v>2687</v>
      </c>
      <c r="K25" s="294">
        <f>(IF('Section Load'!L28&gt;0,'Section Load'!L28,0))</f>
        <v>1032</v>
      </c>
      <c r="L25" s="294">
        <f>(IF('Section Load'!M28&gt;0,'Section Load'!M28,0))</f>
        <v>955</v>
      </c>
      <c r="M25" s="294">
        <f>(IF('Section Load'!N28&gt;0,'Section Load'!N28,0))</f>
        <v>118</v>
      </c>
      <c r="N25" s="294">
        <f>(IF('Section Load'!O28&gt;0,'Section Load'!O28,0))</f>
        <v>7</v>
      </c>
      <c r="O25" s="294">
        <f>(IF('Section Load'!P28&gt;0,'Section Load'!P28,0))</f>
        <v>0</v>
      </c>
      <c r="P25" s="294">
        <f>(IF('Section Load'!Q28&gt;0,'Section Load'!Q28,0))</f>
        <v>208</v>
      </c>
      <c r="Q25" s="294">
        <f>(IF('Section Load'!R28&gt;0,'Section Load'!R28,0))</f>
        <v>78</v>
      </c>
      <c r="R25" s="294">
        <f>(IF('Section Load'!S28&gt;0,'Section Load'!S28,0))</f>
        <v>20</v>
      </c>
      <c r="S25" s="294">
        <f>(IF('Section Load'!T28&gt;0,'Section Load'!T28,0))</f>
        <v>448</v>
      </c>
      <c r="T25" s="294">
        <f>(IF('Section Load'!U28&gt;0,'Section Load'!U28,0))</f>
        <v>245</v>
      </c>
      <c r="U25" s="294">
        <f>(IF('Section Load'!V28&gt;0,'Section Load'!V28,0))</f>
        <v>380</v>
      </c>
      <c r="V25" s="294">
        <f>(IF('Section Load'!W28&gt;0,'Section Load'!W28,0))</f>
        <v>285</v>
      </c>
      <c r="W25" s="294">
        <f>(IF('Section Load'!X28&gt;0,'Section Load'!X28,0))</f>
        <v>23</v>
      </c>
      <c r="X25" s="294">
        <f>(IF('Section Load'!Y28&gt;0,'Section Load'!Y28,0))</f>
        <v>218</v>
      </c>
      <c r="Y25" s="294">
        <f>(IF('Section Load'!Z28&gt;0,'Section Load'!Z28,0))</f>
        <v>247</v>
      </c>
      <c r="Z25" s="294">
        <f>(IF('Section Load'!AA28&gt;0,'Section Load'!AA28,0))</f>
        <v>0</v>
      </c>
      <c r="AA25" s="294">
        <f>(IF('Section Load'!AB28&gt;0,'Section Load'!AB28,0))</f>
        <v>31</v>
      </c>
      <c r="AB25" s="294">
        <f>(IF('Section Load'!AC28&gt;0,'Section Load'!AC28,0))</f>
        <v>2.4400000000023283</v>
      </c>
      <c r="AC25" s="294">
        <f>(IF('Section Load'!AD28&gt;0,'Section Load'!AD28,0))</f>
        <v>67</v>
      </c>
      <c r="AD25" s="294">
        <f>(IF('Section Load'!AE28&gt;0,'Section Load'!AE28,0))</f>
        <v>0</v>
      </c>
      <c r="AE25" s="294">
        <f>(IF('Section Load'!AF28&gt;0,'Section Load'!AF28,0))</f>
        <v>15</v>
      </c>
      <c r="AF25" s="294">
        <f>(IF('Section Load'!AG28&gt;0,'Section Load'!AG28,0))</f>
        <v>388</v>
      </c>
      <c r="AG25" s="294">
        <f>(IF('Section Load'!AH28&gt;0,'Section Load'!AH28,0))</f>
        <v>417</v>
      </c>
      <c r="AH25" s="294">
        <f>(IF('Section Load'!AI28&gt;0,'Section Load'!AI28,0))</f>
        <v>438</v>
      </c>
      <c r="AI25" s="294">
        <f>(IF('Section Load'!AJ28&gt;0,'Section Load'!AJ28,0))</f>
        <v>794</v>
      </c>
      <c r="AJ25" s="294">
        <f>(IF('Section Load'!AK28&gt;0,'Section Load'!AK28,0))</f>
        <v>191</v>
      </c>
      <c r="AK25" s="294">
        <f>(IF('Section Load'!AL28&gt;0,'Section Load'!AL28,0))</f>
        <v>348</v>
      </c>
      <c r="AL25" s="294">
        <f>(IF('Section Load'!AM28&gt;0,'Section Load'!AM28,0))</f>
        <v>679</v>
      </c>
      <c r="AM25" s="295">
        <f>(IF('Water Report'!$AA$7&gt;0,'Water Report'!$AA$7,0))</f>
        <v>110</v>
      </c>
      <c r="AN25" s="295">
        <f>(IF('Water Report'!$AA$8&gt;0,'Water Report'!$AA$8,0))</f>
        <v>71</v>
      </c>
      <c r="AO25" s="295">
        <f>(IF('Water Report'!$AA$9&gt;0,'Water Report'!$AA$9,0))</f>
        <v>89</v>
      </c>
      <c r="AP25" s="295">
        <f>(IF('Water Report'!$AA$10&gt;0,'Water Report'!$AA$10,0))</f>
        <v>20</v>
      </c>
      <c r="AQ25" s="295">
        <f>(IF('Water Report'!$AA$11&gt;0,'Water Report'!$AA$11,0))</f>
        <v>31</v>
      </c>
      <c r="AR25" s="295">
        <f>(IF('Water Report'!$AA$13&gt;0,'Water Report'!$AA$13,0))</f>
        <v>41</v>
      </c>
      <c r="AS25" s="295">
        <f>(IF('Water Report'!$AA$14&gt;0,'Water Report'!$AA$14,0))</f>
        <v>12</v>
      </c>
      <c r="AT25" s="295">
        <f>(IF('Water Report'!$AA$15&gt;0,'Water Report'!$AA$15,0))</f>
        <v>10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11</v>
      </c>
      <c r="AX25" s="301">
        <f>(IF('Water Report'!$AA$21&gt;0,'Water Report'!$AA$21,0))</f>
        <v>99</v>
      </c>
      <c r="AY25" s="301">
        <f>(IF('Water Report'!$AA$22&gt;0,'Water Report'!$AA$22,0))</f>
        <v>0</v>
      </c>
      <c r="AZ25" s="301">
        <f>(IF('Water Report'!$AA$23&gt;0,'Water Report'!$AA$23,0))</f>
        <v>9</v>
      </c>
      <c r="BA25" s="301">
        <f>(IF('Water Report'!$AA$14&gt;0,'Water Report'!$AA$14,0))</f>
        <v>12</v>
      </c>
      <c r="BB25" s="301">
        <f>(IF('Water Report'!$AA$15&gt;0,'Water Report'!$AA$15,0))</f>
        <v>10</v>
      </c>
      <c r="BC25" s="301">
        <f>(IF('Water Report'!$AA$13&gt;0,'Water Report'!$AA$13,0))</f>
        <v>41</v>
      </c>
      <c r="BD25" s="301">
        <f>(IF('Water Report'!$AA$24&gt;0,'Water Report'!$AA$24,0))</f>
        <v>2005</v>
      </c>
      <c r="BE25" s="301">
        <f>(IF('Water Report'!$AA$25&gt;0,'Water Report'!$AA$25,0))</f>
        <v>162</v>
      </c>
      <c r="BF25" s="301">
        <f>(IF('Water Report'!$AA$27&gt;0,'Water Report'!$AA$27,0))</f>
        <v>149</v>
      </c>
      <c r="BG25" s="296">
        <f>(IF('Section Load'!AN28&gt;0,'Section Load'!AN28,0))</f>
        <v>1100</v>
      </c>
      <c r="BH25" s="296">
        <f>(IF('Section Load'!AO28&gt;0,'Section Load'!AO28,0))</f>
        <v>299</v>
      </c>
      <c r="BI25" s="296">
        <f>(IF('Section Load'!AP28&gt;0,'Section Load'!AP28,0))</f>
        <v>0</v>
      </c>
      <c r="BJ25" s="296">
        <f>(IF('Section Load'!AQ28&gt;0,'Section Load'!AQ28,0))</f>
        <v>121</v>
      </c>
      <c r="BK25" s="296">
        <f>(IF('Section Load'!AR28&gt;0,'Section Load'!AR28,0))</f>
        <v>43</v>
      </c>
      <c r="BL25" s="296">
        <f>(IF('Section Load'!AS28&gt;0,'Section Load'!AS28,0))</f>
        <v>2</v>
      </c>
      <c r="BM25" s="296">
        <f>(IF('Section Load'!AT28&gt;0,'Section Load'!AT28,0))</f>
        <v>635</v>
      </c>
    </row>
    <row r="26" spans="1:65" x14ac:dyDescent="0.25">
      <c r="A26" s="287" t="s">
        <v>268</v>
      </c>
      <c r="B26" s="288">
        <f>B25+1</f>
        <v>25</v>
      </c>
      <c r="C26" s="288">
        <v>1</v>
      </c>
      <c r="D26" s="288">
        <v>2022</v>
      </c>
      <c r="E26" s="294">
        <f>(IF('Section Load'!F29&gt;0,'Section Load'!F29,0))</f>
        <v>3243</v>
      </c>
      <c r="F26" s="294">
        <f>(IF('Section Load'!G29&gt;0,'Section Load'!G29,0))</f>
        <v>1632</v>
      </c>
      <c r="G26" s="294">
        <f>(IF('Section Load'!H29&gt;0,'Section Load'!H29,0))</f>
        <v>2035</v>
      </c>
      <c r="H26" s="294">
        <f>(IF('Section Load'!I29&gt;0,'Section Load'!I29,0))</f>
        <v>2850</v>
      </c>
      <c r="I26" s="294">
        <f>(IF('Section Load'!J29&gt;0,'Section Load'!J29,0))</f>
        <v>4992</v>
      </c>
      <c r="J26" s="294">
        <f>(IF('Section Load'!K29&gt;0,'Section Load'!K29,0))</f>
        <v>2685</v>
      </c>
      <c r="K26" s="294">
        <f>(IF('Section Load'!L29&gt;0,'Section Load'!L29,0))</f>
        <v>1393</v>
      </c>
      <c r="L26" s="294">
        <f>(IF('Section Load'!M29&gt;0,'Section Load'!M29,0))</f>
        <v>1168</v>
      </c>
      <c r="M26" s="294">
        <f>(IF('Section Load'!N29&gt;0,'Section Load'!N29,0))</f>
        <v>137</v>
      </c>
      <c r="N26" s="294">
        <f>(IF('Section Load'!O29&gt;0,'Section Load'!O29,0))</f>
        <v>39</v>
      </c>
      <c r="O26" s="294">
        <f>(IF('Section Load'!P29&gt;0,'Section Load'!P29,0))</f>
        <v>0</v>
      </c>
      <c r="P26" s="294">
        <f>(IF('Section Load'!Q29&gt;0,'Section Load'!Q29,0))</f>
        <v>222</v>
      </c>
      <c r="Q26" s="294">
        <f>(IF('Section Load'!R29&gt;0,'Section Load'!R29,0))</f>
        <v>82</v>
      </c>
      <c r="R26" s="294">
        <f>(IF('Section Load'!S29&gt;0,'Section Load'!S29,0))</f>
        <v>15</v>
      </c>
      <c r="S26" s="294">
        <f>(IF('Section Load'!T29&gt;0,'Section Load'!T29,0))</f>
        <v>629</v>
      </c>
      <c r="T26" s="294">
        <f>(IF('Section Load'!U29&gt;0,'Section Load'!U29,0))</f>
        <v>242</v>
      </c>
      <c r="U26" s="294">
        <f>(IF('Section Load'!V29&gt;0,'Section Load'!V29,0))</f>
        <v>474</v>
      </c>
      <c r="V26" s="294">
        <f>(IF('Section Load'!W29&gt;0,'Section Load'!W29,0))</f>
        <v>398</v>
      </c>
      <c r="W26" s="294">
        <f>(IF('Section Load'!X29&gt;0,'Section Load'!X29,0))</f>
        <v>24</v>
      </c>
      <c r="X26" s="294">
        <f>(IF('Section Load'!Y29&gt;0,'Section Load'!Y29,0))</f>
        <v>212</v>
      </c>
      <c r="Y26" s="294">
        <f>(IF('Section Load'!Z29&gt;0,'Section Load'!Z29,0))</f>
        <v>245</v>
      </c>
      <c r="Z26" s="294">
        <f>(IF('Section Load'!AA29&gt;0,'Section Load'!AA29,0))</f>
        <v>0</v>
      </c>
      <c r="AA26" s="294">
        <f>(IF('Section Load'!AB29&gt;0,'Section Load'!AB29,0))</f>
        <v>19</v>
      </c>
      <c r="AB26" s="294">
        <f>(IF('Section Load'!AC29&gt;0,'Section Load'!AC29,0))</f>
        <v>9.0299999999988358</v>
      </c>
      <c r="AC26" s="294">
        <f>(IF('Section Load'!AD29&gt;0,'Section Load'!AD29,0))</f>
        <v>39</v>
      </c>
      <c r="AD26" s="294">
        <f>(IF('Section Load'!AE29&gt;0,'Section Load'!AE29,0))</f>
        <v>0</v>
      </c>
      <c r="AE26" s="294">
        <f>(IF('Section Load'!AF29&gt;0,'Section Load'!AF29,0))</f>
        <v>32</v>
      </c>
      <c r="AF26" s="294">
        <f>(IF('Section Load'!AG29&gt;0,'Section Load'!AG29,0))</f>
        <v>343</v>
      </c>
      <c r="AG26" s="294">
        <f>(IF('Section Load'!AH29&gt;0,'Section Load'!AH29,0))</f>
        <v>425</v>
      </c>
      <c r="AH26" s="294">
        <f>(IF('Section Load'!AI29&gt;0,'Section Load'!AI29,0))</f>
        <v>416</v>
      </c>
      <c r="AI26" s="294">
        <f>(IF('Section Load'!AJ29&gt;0,'Section Load'!AJ29,0))</f>
        <v>829</v>
      </c>
      <c r="AJ26" s="294">
        <f>(IF('Section Load'!AK29&gt;0,'Section Load'!AK29,0))</f>
        <v>202</v>
      </c>
      <c r="AK26" s="294">
        <f>(IF('Section Load'!AL29&gt;0,'Section Load'!AL29,0))</f>
        <v>360</v>
      </c>
      <c r="AL26" s="294">
        <f>(IF('Section Load'!AM29&gt;0,'Section Load'!AM29,0))</f>
        <v>702</v>
      </c>
      <c r="AM26" s="295">
        <f>(IF('Water Report'!$AB$7&gt;0,'Water Report'!$AB$7,0))</f>
        <v>121</v>
      </c>
      <c r="AN26" s="295">
        <f>(IF('Water Report'!$AB$8&gt;0,'Water Report'!$AB$8,0))</f>
        <v>125</v>
      </c>
      <c r="AO26" s="295">
        <f>(IF('Water Report'!$AB$9&gt;0,'Water Report'!$AB$9,0))</f>
        <v>91</v>
      </c>
      <c r="AP26" s="295">
        <f>(IF('Water Report'!$AB$10&gt;0,'Water Report'!$AB$10,0))</f>
        <v>24</v>
      </c>
      <c r="AQ26" s="295">
        <f>(IF('Water Report'!$AB$11&gt;0,'Water Report'!$AB$11,0))</f>
        <v>38</v>
      </c>
      <c r="AR26" s="295">
        <f>(IF('Water Report'!$AB$13&gt;0,'Water Report'!$AB$13,0))</f>
        <v>28</v>
      </c>
      <c r="AS26" s="295">
        <f>(IF('Water Report'!$AB$14&gt;0,'Water Report'!$AB$14,0))</f>
        <v>14</v>
      </c>
      <c r="AT26" s="295">
        <f>(IF('Water Report'!$AB$15&gt;0,'Water Report'!$AB$15,0))</f>
        <v>10</v>
      </c>
      <c r="AU26" s="295">
        <f>(IF('Water Report'!$AB$17&gt;0,'Water Report'!$AB$17,0))</f>
        <v>0</v>
      </c>
      <c r="AV26" s="295">
        <f>(IF('Water Report'!$AB$18&gt;0,'Water Report'!$AB$18,0))</f>
        <v>15</v>
      </c>
      <c r="AW26" s="295">
        <f>(IF('Water Report'!$AB$19&gt;0,'Water Report'!$AB$19,0))</f>
        <v>13</v>
      </c>
      <c r="AX26" s="301">
        <f>(IF('Water Report'!$AB$21&gt;0,'Water Report'!$AB$21,0))</f>
        <v>85</v>
      </c>
      <c r="AY26" s="301">
        <f>(IF('Water Report'!$AB$22&gt;0,'Water Report'!$AB$22,0))</f>
        <v>0</v>
      </c>
      <c r="AZ26" s="301">
        <f>(IF('Water Report'!$AB$23&gt;0,'Water Report'!$AB$23,0))</f>
        <v>11</v>
      </c>
      <c r="BA26" s="301">
        <f>(IF('Water Report'!$AB$14&gt;0,'Water Report'!$AB$14,0))</f>
        <v>14</v>
      </c>
      <c r="BB26" s="301">
        <f>(IF('Water Report'!$AB$15&gt;0,'Water Report'!$AB$15,0))</f>
        <v>10</v>
      </c>
      <c r="BC26" s="301">
        <f>(IF('Water Report'!$AB$13&gt;0,'Water Report'!$AB$13,0))</f>
        <v>28</v>
      </c>
      <c r="BD26" s="301">
        <f>(IF('Water Report'!$AB$24&gt;0,'Water Report'!$AB$24,0))</f>
        <v>2125</v>
      </c>
      <c r="BE26" s="301">
        <f>(IF('Water Report'!$AB$25&gt;0,'Water Report'!$AB$25,0))</f>
        <v>177</v>
      </c>
      <c r="BF26" s="301">
        <f>(IF('Water Report'!$AB$27&gt;0,'Water Report'!$AB$27,0))</f>
        <v>124</v>
      </c>
      <c r="BG26" s="296">
        <f>(IF('Section Load'!AN29&gt;0,'Section Load'!AN29,0))</f>
        <v>1100</v>
      </c>
      <c r="BH26" s="296">
        <f>(IF('Section Load'!AO29&gt;0,'Section Load'!AO29,0))</f>
        <v>329</v>
      </c>
      <c r="BI26" s="296">
        <f>(IF('Section Load'!AP29&gt;0,'Section Load'!AP29,0))</f>
        <v>0</v>
      </c>
      <c r="BJ26" s="296">
        <f>(IF('Section Load'!AQ29&gt;0,'Section Load'!AQ29,0))</f>
        <v>123</v>
      </c>
      <c r="BK26" s="296">
        <f>(IF('Section Load'!AR29&gt;0,'Section Load'!AR29,0))</f>
        <v>83</v>
      </c>
      <c r="BL26" s="296">
        <f>(IF('Section Load'!AS29&gt;0,'Section Load'!AS29,0))</f>
        <v>4</v>
      </c>
      <c r="BM26" s="296">
        <f>(IF('Section Load'!AT29&gt;0,'Section Load'!AT29,0))</f>
        <v>561</v>
      </c>
    </row>
    <row r="27" spans="1:65" x14ac:dyDescent="0.25">
      <c r="A27" s="287" t="s">
        <v>268</v>
      </c>
      <c r="B27" s="288">
        <f t="shared" si="0"/>
        <v>26</v>
      </c>
      <c r="C27" s="288">
        <v>1</v>
      </c>
      <c r="D27" s="288">
        <v>2022</v>
      </c>
      <c r="E27" s="294">
        <f>(IF('Section Load'!F30&gt;0,'Section Load'!F30,0))</f>
        <v>3343</v>
      </c>
      <c r="F27" s="294">
        <f>(IF('Section Load'!G30&gt;0,'Section Load'!G30,0))</f>
        <v>1597</v>
      </c>
      <c r="G27" s="294">
        <f>(IF('Section Load'!H30&gt;0,'Section Load'!H30,0))</f>
        <v>1966</v>
      </c>
      <c r="H27" s="294">
        <f>(IF('Section Load'!I30&gt;0,'Section Load'!I30,0))</f>
        <v>2728</v>
      </c>
      <c r="I27" s="294">
        <f>(IF('Section Load'!J30&gt;0,'Section Load'!J30,0))</f>
        <v>5089</v>
      </c>
      <c r="J27" s="294">
        <f>(IF('Section Load'!K30&gt;0,'Section Load'!K30,0))</f>
        <v>2682</v>
      </c>
      <c r="K27" s="294">
        <f>(IF('Section Load'!L30&gt;0,'Section Load'!L30,0))</f>
        <v>1428</v>
      </c>
      <c r="L27" s="294">
        <f>(IF('Section Load'!M30&gt;0,'Section Load'!M30,0))</f>
        <v>1268</v>
      </c>
      <c r="M27" s="294">
        <f>(IF('Section Load'!N30&gt;0,'Section Load'!N30,0))</f>
        <v>118</v>
      </c>
      <c r="N27" s="294">
        <f>(IF('Section Load'!O30&gt;0,'Section Load'!O30,0))</f>
        <v>2</v>
      </c>
      <c r="O27" s="294">
        <f>(IF('Section Load'!P30&gt;0,'Section Load'!P30,0))</f>
        <v>0</v>
      </c>
      <c r="P27" s="294">
        <f>(IF('Section Load'!Q30&gt;0,'Section Load'!Q30,0))</f>
        <v>201</v>
      </c>
      <c r="Q27" s="294">
        <f>(IF('Section Load'!R30&gt;0,'Section Load'!R30,0))</f>
        <v>73</v>
      </c>
      <c r="R27" s="294">
        <f>(IF('Section Load'!S30&gt;0,'Section Load'!S30,0))</f>
        <v>17</v>
      </c>
      <c r="S27" s="294">
        <f>(IF('Section Load'!T30&gt;0,'Section Load'!T30,0))</f>
        <v>465</v>
      </c>
      <c r="T27" s="294">
        <f>(IF('Section Load'!U30&gt;0,'Section Load'!U30,0))</f>
        <v>248</v>
      </c>
      <c r="U27" s="294">
        <f>(IF('Section Load'!V30&gt;0,'Section Load'!V30,0))</f>
        <v>874</v>
      </c>
      <c r="V27" s="294">
        <f>(IF('Section Load'!W30&gt;0,'Section Load'!W30,0))</f>
        <v>347</v>
      </c>
      <c r="W27" s="294">
        <f>(IF('Section Load'!X30&gt;0,'Section Load'!X30,0))</f>
        <v>22</v>
      </c>
      <c r="X27" s="294">
        <f>(IF('Section Load'!Y30&gt;0,'Section Load'!Y30,0))</f>
        <v>250</v>
      </c>
      <c r="Y27" s="294">
        <f>(IF('Section Load'!Z30&gt;0,'Section Load'!Z30,0))</f>
        <v>225</v>
      </c>
      <c r="Z27" s="294">
        <f>(IF('Section Load'!AA30&gt;0,'Section Load'!AA30,0))</f>
        <v>0</v>
      </c>
      <c r="AA27" s="294">
        <f>(IF('Section Load'!AB30&gt;0,'Section Load'!AB30,0))</f>
        <v>14</v>
      </c>
      <c r="AB27" s="294">
        <f>(IF('Section Load'!AC30&gt;0,'Section Load'!AC30,0))</f>
        <v>11</v>
      </c>
      <c r="AC27" s="294">
        <f>(IF('Section Load'!AD30&gt;0,'Section Load'!AD30,0))</f>
        <v>36</v>
      </c>
      <c r="AD27" s="294">
        <f>(IF('Section Load'!AE30&gt;0,'Section Load'!AE30,0))</f>
        <v>0</v>
      </c>
      <c r="AE27" s="294">
        <f>(IF('Section Load'!AF30&gt;0,'Section Load'!AF30,0))</f>
        <v>41</v>
      </c>
      <c r="AF27" s="294">
        <f>(IF('Section Load'!AG30&gt;0,'Section Load'!AG30,0))</f>
        <v>340</v>
      </c>
      <c r="AG27" s="294">
        <f>(IF('Section Load'!AH30&gt;0,'Section Load'!AH30,0))</f>
        <v>434</v>
      </c>
      <c r="AH27" s="294">
        <f>(IF('Section Load'!AI30&gt;0,'Section Load'!AI30,0))</f>
        <v>409</v>
      </c>
      <c r="AI27" s="294">
        <f>(IF('Section Load'!AJ30&gt;0,'Section Load'!AJ30,0))</f>
        <v>773</v>
      </c>
      <c r="AJ27" s="294">
        <f>(IF('Section Load'!AK30&gt;0,'Section Load'!AK30,0))</f>
        <v>231</v>
      </c>
      <c r="AK27" s="294">
        <f>(IF('Section Load'!AL30&gt;0,'Section Load'!AL30,0))</f>
        <v>355</v>
      </c>
      <c r="AL27" s="294">
        <f>(IF('Section Load'!AM30&gt;0,'Section Load'!AM30,0))</f>
        <v>673</v>
      </c>
      <c r="AM27" s="295">
        <f>(IF('Water Report'!$AC$7&gt;0,'Water Report'!$AC$7,0))</f>
        <v>145</v>
      </c>
      <c r="AN27" s="295">
        <f>(IF('Water Report'!$AC$8&gt;0,'Water Report'!$AC$8,0))</f>
        <v>94</v>
      </c>
      <c r="AO27" s="295">
        <f>(IF('Water Report'!$AC$9&gt;0,'Water Report'!$AC$9,0))</f>
        <v>117</v>
      </c>
      <c r="AP27" s="295">
        <f>(IF('Water Report'!$AC$10&gt;0,'Water Report'!$AC$10,0))</f>
        <v>28</v>
      </c>
      <c r="AQ27" s="295">
        <f>(IF('Water Report'!$AC$11&gt;0,'Water Report'!$AC$11,0))</f>
        <v>31</v>
      </c>
      <c r="AR27" s="295">
        <f>(IF('Water Report'!$AC$13&gt;0,'Water Report'!$AC$13,0))</f>
        <v>32</v>
      </c>
      <c r="AS27" s="295">
        <f>(IF('Water Report'!$AC$14&gt;0,'Water Report'!$AC$14,0))</f>
        <v>19</v>
      </c>
      <c r="AT27" s="295">
        <f>(IF('Water Report'!$AC$15&gt;0,'Water Report'!$AC$15,0))</f>
        <v>12</v>
      </c>
      <c r="AU27" s="295">
        <f>(IF('Water Report'!$AC$17&gt;0,'Water Report'!$AC$17,0))</f>
        <v>0</v>
      </c>
      <c r="AV27" s="295">
        <f>(IF('Water Report'!$AC$18&gt;0,'Water Report'!$AC$18,0))</f>
        <v>16</v>
      </c>
      <c r="AW27" s="295">
        <f>(IF('Water Report'!$AC$19&gt;0,'Water Report'!$AC$19,0))</f>
        <v>12</v>
      </c>
      <c r="AX27" s="301">
        <f>(IF('Water Report'!$AC$21&gt;0,'Water Report'!$AC$21,0))</f>
        <v>64</v>
      </c>
      <c r="AY27" s="301">
        <f>(IF('Water Report'!$AC$22&gt;0,'Water Report'!$AC$22,0))</f>
        <v>0</v>
      </c>
      <c r="AZ27" s="301">
        <f>(IF('Water Report'!$AC$23&gt;0,'Water Report'!$AC$23,0))</f>
        <v>1</v>
      </c>
      <c r="BA27" s="301">
        <f>(IF('Water Report'!$AC$14&gt;0,'Water Report'!$AC$14,0))</f>
        <v>19</v>
      </c>
      <c r="BB27" s="301">
        <f>(IF('Water Report'!$AC$15&gt;0,'Water Report'!$AC$15,0))</f>
        <v>12</v>
      </c>
      <c r="BC27" s="301">
        <f>(IF('Water Report'!$AC$13&gt;0,'Water Report'!$AC$13,0))</f>
        <v>32</v>
      </c>
      <c r="BD27" s="301">
        <f>(IF('Water Report'!$AC$24&gt;0,'Water Report'!$AC$24,0))</f>
        <v>2245</v>
      </c>
      <c r="BE27" s="301">
        <f>(IF('Water Report'!$AC$25&gt;0,'Water Report'!$AC$25,0))</f>
        <v>207</v>
      </c>
      <c r="BF27" s="301">
        <f>(IF('Water Report'!$AC$27&gt;0,'Water Report'!$AC$27,0))</f>
        <v>97</v>
      </c>
      <c r="BG27" s="296">
        <f>(IF('Section Load'!AN30&gt;0,'Section Load'!AN30,0))</f>
        <v>1100</v>
      </c>
      <c r="BH27" s="296">
        <f>(IF('Section Load'!AO30&gt;0,'Section Load'!AO30,0))</f>
        <v>336</v>
      </c>
      <c r="BI27" s="296">
        <f>(IF('Section Load'!AP30&gt;0,'Section Load'!AP30,0))</f>
        <v>0</v>
      </c>
      <c r="BJ27" s="296">
        <f>(IF('Section Load'!AQ30&gt;0,'Section Load'!AQ30,0))</f>
        <v>130</v>
      </c>
      <c r="BK27" s="296">
        <f>(IF('Section Load'!AR30&gt;0,'Section Load'!AR30,0))</f>
        <v>46</v>
      </c>
      <c r="BL27" s="296">
        <f>(IF('Section Load'!AS30&gt;0,'Section Load'!AS30,0))</f>
        <v>2</v>
      </c>
      <c r="BM27" s="296">
        <f>(IF('Section Load'!AT30&gt;0,'Section Load'!AT30,0))</f>
        <v>586</v>
      </c>
    </row>
    <row r="28" spans="1:65" x14ac:dyDescent="0.25">
      <c r="A28" s="287" t="s">
        <v>268</v>
      </c>
      <c r="B28" s="288">
        <f t="shared" si="0"/>
        <v>27</v>
      </c>
      <c r="C28" s="288">
        <v>1</v>
      </c>
      <c r="D28" s="288">
        <v>2022</v>
      </c>
      <c r="E28" s="294">
        <f>(IF('Section Load'!F31&gt;0,'Section Load'!F31,0))</f>
        <v>3365</v>
      </c>
      <c r="F28" s="294">
        <f>(IF('Section Load'!G31&gt;0,'Section Load'!G31,0))</f>
        <v>1580</v>
      </c>
      <c r="G28" s="294">
        <f>(IF('Section Load'!H31&gt;0,'Section Load'!H31,0))</f>
        <v>1959</v>
      </c>
      <c r="H28" s="294">
        <f>(IF('Section Load'!I31&gt;0,'Section Load'!I31,0))</f>
        <v>2857</v>
      </c>
      <c r="I28" s="294">
        <f>(IF('Section Load'!J31&gt;0,'Section Load'!J31,0))</f>
        <v>4970</v>
      </c>
      <c r="J28" s="294">
        <f>(IF('Section Load'!K31&gt;0,'Section Load'!K31,0))</f>
        <v>2703</v>
      </c>
      <c r="K28" s="294">
        <f>(IF('Section Load'!L31&gt;0,'Section Load'!L31,0))</f>
        <v>1298</v>
      </c>
      <c r="L28" s="294">
        <f>(IF('Section Load'!M31&gt;0,'Section Load'!M31,0))</f>
        <v>880</v>
      </c>
      <c r="M28" s="294">
        <f>(IF('Section Load'!N31&gt;0,'Section Load'!N31,0))</f>
        <v>100</v>
      </c>
      <c r="N28" s="294">
        <f>(IF('Section Load'!O31&gt;0,'Section Load'!O31,0))</f>
        <v>17</v>
      </c>
      <c r="O28" s="294">
        <f>(IF('Section Load'!P31&gt;0,'Section Load'!P31,0))</f>
        <v>0</v>
      </c>
      <c r="P28" s="294">
        <f>(IF('Section Load'!Q31&gt;0,'Section Load'!Q31,0))</f>
        <v>203</v>
      </c>
      <c r="Q28" s="294">
        <f>(IF('Section Load'!R31&gt;0,'Section Load'!R31,0))</f>
        <v>71</v>
      </c>
      <c r="R28" s="294">
        <f>(IF('Section Load'!S31&gt;0,'Section Load'!S31,0))</f>
        <v>15</v>
      </c>
      <c r="S28" s="294">
        <f>(IF('Section Load'!T31&gt;0,'Section Load'!T31,0))</f>
        <v>488</v>
      </c>
      <c r="T28" s="294">
        <f>(IF('Section Load'!U31&gt;0,'Section Load'!U31,0))</f>
        <v>236</v>
      </c>
      <c r="U28" s="294">
        <f>(IF('Section Load'!V31&gt;0,'Section Load'!V31,0))</f>
        <v>6</v>
      </c>
      <c r="V28" s="294">
        <f>(IF('Section Load'!W31&gt;0,'Section Load'!W31,0))</f>
        <v>278</v>
      </c>
      <c r="W28" s="294">
        <f>(IF('Section Load'!X31&gt;0,'Section Load'!X31,0))</f>
        <v>22</v>
      </c>
      <c r="X28" s="294">
        <f>(IF('Section Load'!Y31&gt;0,'Section Load'!Y31,0))</f>
        <v>223</v>
      </c>
      <c r="Y28" s="294">
        <f>(IF('Section Load'!Z31&gt;0,'Section Load'!Z31,0))</f>
        <v>211</v>
      </c>
      <c r="Z28" s="294">
        <f>(IF('Section Load'!AA31&gt;0,'Section Load'!AA31,0))</f>
        <v>2</v>
      </c>
      <c r="AA28" s="294">
        <f>(IF('Section Load'!AB31&gt;0,'Section Load'!AB31,0))</f>
        <v>30</v>
      </c>
      <c r="AB28" s="294">
        <f>(IF('Section Load'!AC31&gt;0,'Section Load'!AC31,0))</f>
        <v>11</v>
      </c>
      <c r="AC28" s="294">
        <f>(IF('Section Load'!AD31&gt;0,'Section Load'!AD31,0))</f>
        <v>98</v>
      </c>
      <c r="AD28" s="294">
        <f>(IF('Section Load'!AE31&gt;0,'Section Load'!AE31,0))</f>
        <v>0</v>
      </c>
      <c r="AE28" s="294">
        <f>(IF('Section Load'!AF31&gt;0,'Section Load'!AF31,0))</f>
        <v>20</v>
      </c>
      <c r="AF28" s="294">
        <f>(IF('Section Load'!AG31&gt;0,'Section Load'!AG31,0))</f>
        <v>416</v>
      </c>
      <c r="AG28" s="294">
        <f>(IF('Section Load'!AH31&gt;0,'Section Load'!AH31,0))</f>
        <v>423</v>
      </c>
      <c r="AH28" s="294">
        <f>(IF('Section Load'!AI31&gt;0,'Section Load'!AI31,0))</f>
        <v>406</v>
      </c>
      <c r="AI28" s="294">
        <f>(IF('Section Load'!AJ31&gt;0,'Section Load'!AJ31,0))</f>
        <v>791</v>
      </c>
      <c r="AJ28" s="294">
        <f>(IF('Section Load'!AK31&gt;0,'Section Load'!AK31,0))</f>
        <v>220</v>
      </c>
      <c r="AK28" s="294">
        <f>(IF('Section Load'!AL31&gt;0,'Section Load'!AL31,0))</f>
        <v>348</v>
      </c>
      <c r="AL28" s="294">
        <f>(IF('Section Load'!AM31&gt;0,'Section Load'!AM31,0))</f>
        <v>657</v>
      </c>
      <c r="AM28" s="295">
        <f>(IF('Water Report'!$AD$7&gt;0,'Water Report'!$AD$7,0))</f>
        <v>123</v>
      </c>
      <c r="AN28" s="295">
        <f>(IF('Water Report'!$AD$8&gt;0,'Water Report'!$AD$8,0))</f>
        <v>58</v>
      </c>
      <c r="AO28" s="295">
        <f>(IF('Water Report'!$AD$9&gt;0,'Water Report'!$AD$9,0))</f>
        <v>95</v>
      </c>
      <c r="AP28" s="295">
        <f>(IF('Water Report'!$AD$10&gt;0,'Water Report'!AD$10,0))</f>
        <v>19</v>
      </c>
      <c r="AQ28" s="295">
        <f>(IF('Water Report'!$AD$11&gt;0,'Water Report'!AE$11,0))</f>
        <v>26</v>
      </c>
      <c r="AR28" s="295">
        <f>(IF('Water Report'!$AD$13&gt;0,'Water Report'!AF$13,0))</f>
        <v>40</v>
      </c>
      <c r="AS28" s="295">
        <f>(IF('Water Report'!$AD$14&gt;0,'Water Report'!AG$14,0))</f>
        <v>12</v>
      </c>
      <c r="AT28" s="295">
        <f>(IF('Water Report'!$AD$15&gt;0,'Water Report'!AH$15,0))</f>
        <v>7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1100</v>
      </c>
      <c r="BH28" s="296">
        <f>(IF('Section Load'!AO31&gt;0,'Section Load'!AO31,0))</f>
        <v>311</v>
      </c>
      <c r="BI28" s="296">
        <f>(IF('Section Load'!AP31&gt;0,'Section Load'!AP31,0))</f>
        <v>0</v>
      </c>
      <c r="BJ28" s="296">
        <f>(IF('Section Load'!AQ31&gt;0,'Section Load'!AQ31,0))</f>
        <v>109</v>
      </c>
      <c r="BK28" s="296">
        <f>(IF('Section Load'!AR31&gt;0,'Section Load'!AR31,0))</f>
        <v>48</v>
      </c>
      <c r="BL28" s="296">
        <f>(IF('Section Load'!AS31&gt;0,'Section Load'!AS31,0))</f>
        <v>1</v>
      </c>
      <c r="BM28" s="296">
        <f>(IF('Section Load'!AT31&gt;0,'Section Load'!AT31,0))</f>
        <v>631</v>
      </c>
    </row>
    <row r="29" spans="1:65" x14ac:dyDescent="0.25">
      <c r="A29" s="287" t="s">
        <v>268</v>
      </c>
      <c r="B29" s="288">
        <f t="shared" si="0"/>
        <v>28</v>
      </c>
      <c r="C29" s="288">
        <v>1</v>
      </c>
      <c r="D29" s="288">
        <v>2022</v>
      </c>
      <c r="E29" s="294">
        <f>(IF('Section Load'!F32&gt;0,'Section Load'!F32,0))</f>
        <v>3320.6799999999639</v>
      </c>
      <c r="F29" s="294">
        <f>(IF('Section Load'!G32&gt;0,'Section Load'!G32,0))</f>
        <v>1536.2300000000105</v>
      </c>
      <c r="G29" s="294">
        <f>(IF('Section Load'!H32&gt;0,'Section Load'!H32,0))</f>
        <v>1967.4899999999907</v>
      </c>
      <c r="H29" s="294">
        <f>(IF('Section Load'!I32&gt;0,'Section Load'!I32,0))</f>
        <v>2740.429999999993</v>
      </c>
      <c r="I29" s="294">
        <f>(IF('Section Load'!J32&gt;0,'Section Load'!J32,0))</f>
        <v>4561.429999999993</v>
      </c>
      <c r="J29" s="294">
        <f>(IF('Section Load'!K32&gt;0,'Section Load'!K32,0))</f>
        <v>2482.0699999999997</v>
      </c>
      <c r="K29" s="294">
        <f>(IF('Section Load'!L32&gt;0,'Section Load'!L32,0))</f>
        <v>1148.2000000000007</v>
      </c>
      <c r="L29" s="294">
        <f>(IF('Section Load'!M32&gt;0,'Section Load'!M32,0))</f>
        <v>766.93999999999869</v>
      </c>
      <c r="M29" s="294">
        <f>(IF('Section Load'!N32&gt;0,'Section Load'!N32,0))</f>
        <v>127</v>
      </c>
      <c r="N29" s="294">
        <f>(IF('Section Load'!O32&gt;0,'Section Load'!O32,0))</f>
        <v>2</v>
      </c>
      <c r="O29" s="294">
        <f>(IF('Section Load'!P32&gt;0,'Section Load'!P32,0))</f>
        <v>0</v>
      </c>
      <c r="P29" s="294">
        <f>(IF('Section Load'!Q32&gt;0,'Section Load'!Q32,0))</f>
        <v>183.37999999999738</v>
      </c>
      <c r="Q29" s="294">
        <f>(IF('Section Load'!R32&gt;0,'Section Load'!R32,0))</f>
        <v>81.340000000000146</v>
      </c>
      <c r="R29" s="294">
        <f>(IF('Section Load'!S32&gt;0,'Section Load'!S32,0))</f>
        <v>12.779999999999745</v>
      </c>
      <c r="S29" s="294">
        <f>(IF('Section Load'!T32&gt;0,'Section Load'!T32,0))</f>
        <v>480</v>
      </c>
      <c r="T29" s="294">
        <f>(IF('Section Load'!U32&gt;0,'Section Load'!U32,0))</f>
        <v>244</v>
      </c>
      <c r="U29" s="294">
        <f>(IF('Section Load'!V32&gt;0,'Section Load'!V32,0))</f>
        <v>430.76000000000931</v>
      </c>
      <c r="V29" s="294">
        <f>(IF('Section Load'!W32&gt;0,'Section Load'!W32,0))</f>
        <v>256.07999999995809</v>
      </c>
      <c r="W29" s="294">
        <f>(IF('Section Load'!X32&gt;0,'Section Load'!X32,0))</f>
        <v>24.889999999999873</v>
      </c>
      <c r="X29" s="294">
        <f>(IF('Section Load'!Y32&gt;0,'Section Load'!Y32,0))</f>
        <v>218.32000000000698</v>
      </c>
      <c r="Y29" s="294">
        <f>(IF('Section Load'!Z32&gt;0,'Section Load'!Z32,0))</f>
        <v>256</v>
      </c>
      <c r="Z29" s="294">
        <f>(IF('Section Load'!AA32&gt;0,'Section Load'!AA32,0))</f>
        <v>1</v>
      </c>
      <c r="AA29" s="294">
        <f>(IF('Section Load'!AB32&gt;0,'Section Load'!AB32,0))</f>
        <v>27.19999999999709</v>
      </c>
      <c r="AB29" s="294">
        <f>(IF('Section Load'!AC32&gt;0,'Section Load'!AC32,0))</f>
        <v>1.8699999999989814</v>
      </c>
      <c r="AC29" s="294">
        <f>(IF('Section Load'!AD32&gt;0,'Section Load'!AD32,0))</f>
        <v>99.899999999994179</v>
      </c>
      <c r="AD29" s="294">
        <f>(IF('Section Load'!AE32&gt;0,'Section Load'!AE32,0))</f>
        <v>0</v>
      </c>
      <c r="AE29" s="294">
        <f>(IF('Section Load'!AF32&gt;0,'Section Load'!AF32,0))</f>
        <v>21.059999999999945</v>
      </c>
      <c r="AF29" s="294">
        <f>(IF('Section Load'!AG32&gt;0,'Section Load'!AG32,0))</f>
        <v>426.67000000001281</v>
      </c>
      <c r="AG29" s="294">
        <f>(IF('Section Load'!AH32&gt;0,'Section Load'!AH32,0))</f>
        <v>424.25</v>
      </c>
      <c r="AH29" s="294">
        <f>(IF('Section Load'!AI32&gt;0,'Section Load'!AI32,0))</f>
        <v>414.63999999999942</v>
      </c>
      <c r="AI29" s="294">
        <f>(IF('Section Load'!AJ32&gt;0,'Section Load'!AJ32,0))</f>
        <v>799.14100000000326</v>
      </c>
      <c r="AJ29" s="294">
        <f>(IF('Section Load'!AK32&gt;0,'Section Load'!AK32,0))</f>
        <v>228.52000000000407</v>
      </c>
      <c r="AK29" s="294">
        <f>(IF('Section Load'!AL32&gt;0,'Section Load'!AL32,0))</f>
        <v>347.63000000000466</v>
      </c>
      <c r="AL29" s="294">
        <f>(IF('Section Load'!AM32&gt;0,'Section Load'!AM32,0))</f>
        <v>658.92999999999302</v>
      </c>
      <c r="AM29" s="295">
        <f>(IF('Water Report'!$AE$7&gt;0,'Water Report'!$AE$7,0))</f>
        <v>138</v>
      </c>
      <c r="AN29" s="295">
        <f>(IF('Water Report'!$AE$8&gt;0,'Water Report'!$AE$8,0))</f>
        <v>104.10000000000582</v>
      </c>
      <c r="AO29" s="295">
        <f>(IF('Water Report'!$AE$9&gt;0,'Water Report'!$AE$9,0))</f>
        <v>134</v>
      </c>
      <c r="AP29" s="295">
        <f>(IF('Water Report'!$AE$10&gt;0,'Water Report'!$AE$10,0))</f>
        <v>16</v>
      </c>
      <c r="AQ29" s="295">
        <f>(IF('Water Report'!$AE$11&gt;0,'Water Report'!$AE$11,0))</f>
        <v>26</v>
      </c>
      <c r="AR29" s="295">
        <f>(IF('Water Report'!$AE$13&gt;0,'Water Report'!$AE$13,0))</f>
        <v>40</v>
      </c>
      <c r="AS29" s="295">
        <f>(IF('Water Report'!$AE$14&gt;0,'Water Report'!$AE$14,0))</f>
        <v>17</v>
      </c>
      <c r="AT29" s="295">
        <f>(IF('Water Report'!$AE$15&gt;0,'Water Report'!$AE$15,0))</f>
        <v>6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11</v>
      </c>
      <c r="AX29" s="301">
        <f>(IF('Water Report'!$AE$21&gt;0,'Water Report'!$AE$21,0))</f>
        <v>64</v>
      </c>
      <c r="AY29" s="301">
        <f>(IF('Water Report'!$AE$22&gt;0,'Water Report'!$AE$22,0))</f>
        <v>0</v>
      </c>
      <c r="AZ29" s="301">
        <f>(IF('Water Report'!$AE$23&gt;0,'Water Report'!$AE$23,0))</f>
        <v>6</v>
      </c>
      <c r="BA29" s="301">
        <f>(IF('Water Report'!$AE$14&gt;0,'Water Report'!$AE$14,0))</f>
        <v>17</v>
      </c>
      <c r="BB29" s="301">
        <f>(IF('Water Report'!$AE$15&gt;0,'Water Report'!$AE$15,0))</f>
        <v>6</v>
      </c>
      <c r="BC29" s="301">
        <f>(IF('Water Report'!$AE$13&gt;0,'Water Report'!$AE$13,0))</f>
        <v>40</v>
      </c>
      <c r="BD29" s="301">
        <f>(IF('Water Report'!$AE$24&gt;0,'Water Report'!$AE$24,0))</f>
        <v>2485</v>
      </c>
      <c r="BE29" s="301">
        <f>(IF('Water Report'!$AE$25&gt;0,'Water Report'!$AE$25,0))</f>
        <v>199</v>
      </c>
      <c r="BF29" s="301">
        <f>(IF('Water Report'!$AE$27&gt;0,'Water Report'!$AE$27,0))</f>
        <v>110</v>
      </c>
      <c r="BG29" s="296">
        <f>(IF('Section Load'!AN32&gt;0,'Section Load'!AN32,0))</f>
        <v>1100</v>
      </c>
      <c r="BH29" s="296">
        <f>(IF('Section Load'!AO32&gt;0,'Section Load'!AO32,0))</f>
        <v>325.92099999997299</v>
      </c>
      <c r="BI29" s="296">
        <f>(IF('Section Load'!AP32&gt;0,'Section Load'!AP32,0))</f>
        <v>0</v>
      </c>
      <c r="BJ29" s="296">
        <f>(IF('Section Load'!AQ32&gt;0,'Section Load'!AQ32,0))</f>
        <v>85.940000000002328</v>
      </c>
      <c r="BK29" s="296">
        <f>(IF('Section Load'!AR32&gt;0,'Section Load'!AR32,0))</f>
        <v>30</v>
      </c>
      <c r="BL29" s="296">
        <f>(IF('Section Load'!AS32&gt;0,'Section Load'!AS32,0))</f>
        <v>0.8999999999996362</v>
      </c>
      <c r="BM29" s="296">
        <f>(IF('Section Load'!AT32&gt;0,'Section Load'!AT32,0))</f>
        <v>657.23900000002504</v>
      </c>
    </row>
    <row r="30" spans="1:65" x14ac:dyDescent="0.25">
      <c r="A30" s="287" t="s">
        <v>268</v>
      </c>
      <c r="B30" s="288">
        <f t="shared" si="0"/>
        <v>29</v>
      </c>
      <c r="C30" s="288">
        <v>1</v>
      </c>
      <c r="D30" s="288">
        <v>2022</v>
      </c>
      <c r="E30" s="294">
        <f>(IF('Section Load'!F33&gt;0,'Section Load'!F33,0))</f>
        <v>3305.5600000000268</v>
      </c>
      <c r="F30" s="294">
        <f>(IF('Section Load'!G33&gt;0,'Section Load'!G33,0))</f>
        <v>1544.4799999999814</v>
      </c>
      <c r="G30" s="294">
        <f>(IF('Section Load'!H33&gt;0,'Section Load'!H33,0))</f>
        <v>1870.5800000000163</v>
      </c>
      <c r="H30" s="294">
        <f>(IF('Section Load'!I33&gt;0,'Section Load'!I33,0))</f>
        <v>2727.320000000007</v>
      </c>
      <c r="I30" s="294">
        <f>(IF('Section Load'!J33&gt;0,'Section Load'!J33,0))</f>
        <v>4224.9400000000023</v>
      </c>
      <c r="J30" s="294">
        <f>(IF('Section Load'!K33&gt;0,'Section Load'!K33,0))</f>
        <v>2459.9199999999983</v>
      </c>
      <c r="K30" s="294">
        <f>(IF('Section Load'!L33&gt;0,'Section Load'!L33,0))</f>
        <v>950.39999999999782</v>
      </c>
      <c r="L30" s="294">
        <f>(IF('Section Load'!M33&gt;0,'Section Load'!M33,0))</f>
        <v>817.22999999999956</v>
      </c>
      <c r="M30" s="294">
        <f>(IF('Section Load'!N33&gt;0,'Section Load'!N33,0))</f>
        <v>104</v>
      </c>
      <c r="N30" s="294">
        <f>(IF('Section Load'!O33&gt;0,'Section Load'!O33,0))</f>
        <v>1</v>
      </c>
      <c r="O30" s="294">
        <f>(IF('Section Load'!P33&gt;0,'Section Load'!P33,0))</f>
        <v>0</v>
      </c>
      <c r="P30" s="294">
        <f>(IF('Section Load'!Q33&gt;0,'Section Load'!Q33,0))</f>
        <v>180.20000000000437</v>
      </c>
      <c r="Q30" s="294">
        <f>(IF('Section Load'!R33&gt;0,'Section Load'!R33,0))</f>
        <v>72.400000000001455</v>
      </c>
      <c r="R30" s="294">
        <f>(IF('Section Load'!S33&gt;0,'Section Load'!S33,0))</f>
        <v>11.220000000000255</v>
      </c>
      <c r="S30" s="294">
        <f>(IF('Section Load'!T33&gt;0,'Section Load'!T33,0))</f>
        <v>443</v>
      </c>
      <c r="T30" s="294">
        <f>(IF('Section Load'!U33&gt;0,'Section Load'!U33,0))</f>
        <v>247</v>
      </c>
      <c r="U30" s="294">
        <f>(IF('Section Load'!V33&gt;0,'Section Load'!V33,0))</f>
        <v>371.52000000001863</v>
      </c>
      <c r="V30" s="294">
        <f>(IF('Section Load'!W33&gt;0,'Section Load'!W33,0))</f>
        <v>246.88000000000466</v>
      </c>
      <c r="W30" s="294">
        <f>(IF('Section Load'!X33&gt;0,'Section Load'!X33,0))</f>
        <v>24.010000000000218</v>
      </c>
      <c r="X30" s="294">
        <f>(IF('Section Load'!Y33&gt;0,'Section Load'!Y33,0))</f>
        <v>181.27999999999884</v>
      </c>
      <c r="Y30" s="294">
        <f>(IF('Section Load'!Z33&gt;0,'Section Load'!Z33,0))</f>
        <v>223</v>
      </c>
      <c r="Z30" s="294">
        <f>(IF('Section Load'!AA33&gt;0,'Section Load'!AA33,0))</f>
        <v>3.9999999979045242E-2</v>
      </c>
      <c r="AA30" s="294">
        <f>(IF('Section Load'!AB33&gt;0,'Section Load'!AB33,0))</f>
        <v>30.400000000008731</v>
      </c>
      <c r="AB30" s="294">
        <f>(IF('Section Load'!AC33&gt;0,'Section Load'!AC33,0))</f>
        <v>0.19000000000232831</v>
      </c>
      <c r="AC30" s="294">
        <f>(IF('Section Load'!AD33&gt;0,'Section Load'!AD33,0))</f>
        <v>114.10000000000855</v>
      </c>
      <c r="AD30" s="294">
        <f>(IF('Section Load'!AE33&gt;0,'Section Load'!AE33,0))</f>
        <v>0</v>
      </c>
      <c r="AE30" s="294">
        <f>(IF('Section Load'!AF33&gt;0,'Section Load'!AF33,0))</f>
        <v>20.950000000000273</v>
      </c>
      <c r="AF30" s="294">
        <f>(IF('Section Load'!AG33&gt;0,'Section Load'!AG33,0))</f>
        <v>440.03999999997905</v>
      </c>
      <c r="AG30" s="294">
        <f>(IF('Section Load'!AH33&gt;0,'Section Load'!AH33,0))</f>
        <v>389.04000000000815</v>
      </c>
      <c r="AH30" s="294">
        <f>(IF('Section Load'!AI33&gt;0,'Section Load'!AI33,0))</f>
        <v>401.86999999999898</v>
      </c>
      <c r="AI30" s="294">
        <f>(IF('Section Load'!AJ33&gt;0,'Section Load'!AJ33,0))</f>
        <v>739.46899999998277</v>
      </c>
      <c r="AJ30" s="294">
        <f>(IF('Section Load'!AK33&gt;0,'Section Load'!AK33,0))</f>
        <v>218.55000000000291</v>
      </c>
      <c r="AK30" s="294">
        <f>(IF('Section Load'!AL33&gt;0,'Section Load'!AL33,0))</f>
        <v>349</v>
      </c>
      <c r="AL30" s="294">
        <f>(IF('Section Load'!AM33&gt;0,'Section Load'!AM33,0))</f>
        <v>707.36000000000058</v>
      </c>
      <c r="AM30" s="295">
        <f>(IF('Water Report'!$AF$7&gt;0,'Water Report'!$AF$7,0))</f>
        <v>131</v>
      </c>
      <c r="AN30" s="295">
        <f>(IF('Water Report'!$AF$8&gt;0,'Water Report'!$AF$8,0))</f>
        <v>75.899999999994179</v>
      </c>
      <c r="AO30" s="295">
        <f>(IF('Water Report'!$AF$9&gt;0,'Water Report'!$AF$9,0))</f>
        <v>104</v>
      </c>
      <c r="AP30" s="295">
        <f>(IF('Water Report'!$AF$10&gt;0,'Water Report'!$AF$10,0))</f>
        <v>20</v>
      </c>
      <c r="AQ30" s="295">
        <f>(IF('Water Report'!$AF$11&gt;0,'Water Report'!$AF$11,0))</f>
        <v>28</v>
      </c>
      <c r="AR30" s="295">
        <f>(IF('Water Report'!$AF$13&gt;0,'Water Report'!$AF$13,0))</f>
        <v>40</v>
      </c>
      <c r="AS30" s="295">
        <f>(IF('Water Report'!$AF$14&gt;0,'Water Report'!$AF$14,0))</f>
        <v>18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10</v>
      </c>
      <c r="AW30" s="295">
        <f>(IF('Water Report'!$AF$19&gt;0,'Water Report'!$AF$19,0))</f>
        <v>12</v>
      </c>
      <c r="AX30" s="301">
        <f>(IF('Water Report'!$AF$21&gt;0,'Water Report'!$AF$21,0))</f>
        <v>95</v>
      </c>
      <c r="AY30" s="301">
        <f>(IF('Water Report'!$AF$22&gt;0,'Water Report'!$AF$22,0))</f>
        <v>0</v>
      </c>
      <c r="AZ30" s="301">
        <f>(IF('Water Report'!$AF$23&gt;0,'Water Report'!$AF$23,0))</f>
        <v>8</v>
      </c>
      <c r="BA30" s="301">
        <f>(IF('Water Report'!$AF$14&gt;0,'Water Report'!$AF$14,0))</f>
        <v>18</v>
      </c>
      <c r="BB30" s="301">
        <f>(IF('Water Report'!$AF$15&gt;0,'Water Report'!$AF$15,0))</f>
        <v>6</v>
      </c>
      <c r="BC30" s="301">
        <f>(IF('Water Report'!$AF$13&gt;0,'Water Report'!$AF$13,0))</f>
        <v>40</v>
      </c>
      <c r="BD30" s="301">
        <f>(IF('Water Report'!$AF$24&gt;0,'Water Report'!$AF$24,0))</f>
        <v>2605</v>
      </c>
      <c r="BE30" s="301">
        <f>(IF('Water Report'!$AF$25&gt;0,'Water Report'!$AF$25,0))</f>
        <v>176</v>
      </c>
      <c r="BF30" s="301">
        <f>(IF('Water Report'!$AF$27&gt;0,'Water Report'!$AF$27,0))</f>
        <v>143</v>
      </c>
      <c r="BG30" s="296">
        <f>(IF('Section Load'!AN33&gt;0,'Section Load'!AN33,0))</f>
        <v>1100</v>
      </c>
      <c r="BH30" s="296">
        <f>(IF('Section Load'!AO33&gt;0,'Section Load'!AO33,0))</f>
        <v>326.39899999997579</v>
      </c>
      <c r="BI30" s="296">
        <f>(IF('Section Load'!AP33&gt;0,'Section Load'!AP33,0))</f>
        <v>0</v>
      </c>
      <c r="BJ30" s="296">
        <f>(IF('Section Load'!AQ33&gt;0,'Section Load'!AQ33,0))</f>
        <v>93.589999999996508</v>
      </c>
      <c r="BK30" s="296">
        <f>(IF('Section Load'!AR33&gt;0,'Section Load'!AR33,0))</f>
        <v>36</v>
      </c>
      <c r="BL30" s="296">
        <f>(IF('Section Load'!AS33&gt;0,'Section Load'!AS33,0))</f>
        <v>1.3000000000010914</v>
      </c>
      <c r="BM30" s="296">
        <f>(IF('Section Load'!AT33&gt;0,'Section Load'!AT33,0))</f>
        <v>642.71100000002662</v>
      </c>
    </row>
    <row r="31" spans="1:65" x14ac:dyDescent="0.25">
      <c r="A31" s="287" t="s">
        <v>268</v>
      </c>
      <c r="B31" s="288">
        <f t="shared" si="0"/>
        <v>30</v>
      </c>
      <c r="C31" s="288">
        <v>1</v>
      </c>
      <c r="D31" s="288">
        <v>2022</v>
      </c>
      <c r="E31" s="294">
        <f>(IF('Section Load'!F34&gt;0,'Section Load'!F34,0))</f>
        <v>3495.7600000000093</v>
      </c>
      <c r="F31" s="294">
        <f>(IF('Section Load'!G34&gt;0,'Section Load'!G34,0))</f>
        <v>1598.2900000000081</v>
      </c>
      <c r="G31" s="294">
        <f>(IF('Section Load'!H34&gt;0,'Section Load'!H34,0))</f>
        <v>1908.929999999993</v>
      </c>
      <c r="H31" s="294">
        <f>(IF('Section Load'!I34&gt;0,'Section Load'!I34,0))</f>
        <v>2712.25</v>
      </c>
      <c r="I31" s="294">
        <f>(IF('Section Load'!J34&gt;0,'Section Load'!J34,0))</f>
        <v>4162.6300000000047</v>
      </c>
      <c r="J31" s="294">
        <f>(IF('Section Load'!K34&gt;0,'Section Load'!K34,0))</f>
        <v>2662.010000000002</v>
      </c>
      <c r="K31" s="294">
        <f>(IF('Section Load'!L34&gt;0,'Section Load'!L34,0))</f>
        <v>1046.4000000000015</v>
      </c>
      <c r="L31" s="294">
        <f>(IF('Section Load'!M34&gt;0,'Section Load'!M34,0))</f>
        <v>847.83000000000175</v>
      </c>
      <c r="M31" s="294">
        <f>(IF('Section Load'!N34&gt;0,'Section Load'!N34,0))</f>
        <v>96</v>
      </c>
      <c r="N31" s="294">
        <f>(IF('Section Load'!O34&gt;0,'Section Load'!O34,0))</f>
        <v>1</v>
      </c>
      <c r="O31" s="294">
        <f>(IF('Section Load'!P34&gt;0,'Section Load'!P34,0))</f>
        <v>0</v>
      </c>
      <c r="P31" s="294">
        <f>(IF('Section Load'!Q34&gt;0,'Section Load'!Q34,0))</f>
        <v>179.41999999999825</v>
      </c>
      <c r="Q31" s="294">
        <f>(IF('Section Load'!R34&gt;0,'Section Load'!R34,0))</f>
        <v>75.259999999998399</v>
      </c>
      <c r="R31" s="294">
        <f>(IF('Section Load'!S34&gt;0,'Section Load'!S34,0))</f>
        <v>14</v>
      </c>
      <c r="S31" s="294">
        <f>(IF('Section Load'!T34&gt;0,'Section Load'!T34,0))</f>
        <v>481</v>
      </c>
      <c r="T31" s="294">
        <f>(IF('Section Load'!U34&gt;0,'Section Load'!U34,0))</f>
        <v>228</v>
      </c>
      <c r="U31" s="294">
        <f>(IF('Section Load'!V34&gt;0,'Section Load'!V34,0))</f>
        <v>404.71999999997206</v>
      </c>
      <c r="V31" s="294">
        <f>(IF('Section Load'!W34&gt;0,'Section Load'!W34,0))</f>
        <v>282.04000000003725</v>
      </c>
      <c r="W31" s="294">
        <f>(IF('Section Load'!X34&gt;0,'Section Load'!X34,0))</f>
        <v>23.099999999999909</v>
      </c>
      <c r="X31" s="294">
        <f>(IF('Section Load'!Y34&gt;0,'Section Load'!Y34,0))</f>
        <v>187.39999999999418</v>
      </c>
      <c r="Y31" s="294">
        <f>(IF('Section Load'!Z34&gt;0,'Section Load'!Z34,0))</f>
        <v>241</v>
      </c>
      <c r="Z31" s="294">
        <f>(IF('Section Load'!AA34&gt;0,'Section Load'!AA34,0))</f>
        <v>0.96000000002095476</v>
      </c>
      <c r="AA31" s="294">
        <f>(IF('Section Load'!AB34&gt;0,'Section Load'!AB34,0))</f>
        <v>33.399999999994179</v>
      </c>
      <c r="AB31" s="294">
        <f>(IF('Section Load'!AC34&gt;0,'Section Load'!AC34,0))</f>
        <v>0</v>
      </c>
      <c r="AC31" s="294">
        <f>(IF('Section Load'!AD34&gt;0,'Section Load'!AD34,0))</f>
        <v>37.999999999997272</v>
      </c>
      <c r="AD31" s="294">
        <f>(IF('Section Load'!AE34&gt;0,'Section Load'!AE34,0))</f>
        <v>0</v>
      </c>
      <c r="AE31" s="294">
        <f>(IF('Section Load'!AF34&gt;0,'Section Load'!AF34,0))</f>
        <v>21.989999999999782</v>
      </c>
      <c r="AF31" s="294">
        <f>(IF('Section Load'!AG34&gt;0,'Section Load'!AG34,0))</f>
        <v>363.29000000000815</v>
      </c>
      <c r="AG31" s="294">
        <f>(IF('Section Load'!AH34&gt;0,'Section Load'!AH34,0))</f>
        <v>408.70999999999185</v>
      </c>
      <c r="AH31" s="294">
        <f>(IF('Section Load'!AI34&gt;0,'Section Load'!AI34,0))</f>
        <v>421.4900000000016</v>
      </c>
      <c r="AI31" s="294">
        <f>(IF('Section Load'!AJ34&gt;0,'Section Load'!AJ34,0))</f>
        <v>771.39000000001397</v>
      </c>
      <c r="AJ31" s="294">
        <f>(IF('Section Load'!AK34&gt;0,'Section Load'!AK34,0))</f>
        <v>215.92999999999302</v>
      </c>
      <c r="AK31" s="294">
        <f>(IF('Section Load'!AL34&gt;0,'Section Load'!AL34,0))</f>
        <v>324.36999999999534</v>
      </c>
      <c r="AL31" s="294">
        <f>(IF('Section Load'!AM34&gt;0,'Section Load'!AM34,0))</f>
        <v>587.7100000000064</v>
      </c>
      <c r="AM31" s="295">
        <f>(IF('Water Report'!$AG$7&gt;0,'Water Report'!$AG$7,0))</f>
        <v>120</v>
      </c>
      <c r="AN31" s="295">
        <f>(IF('Water Report'!$AG$8&gt;0,'Water Report'!$AG$8,0))</f>
        <v>97</v>
      </c>
      <c r="AO31" s="295">
        <f>(IF('Water Report'!$AG$9&gt;0,'Water Report'!$AG$9,0))</f>
        <v>103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306.68000000005122</v>
      </c>
      <c r="BI31" s="296">
        <f>(IF('Section Load'!AP34&gt;0,'Section Load'!AP34,0))</f>
        <v>0</v>
      </c>
      <c r="BJ31" s="296">
        <f>(IF('Section Load'!AQ34&gt;0,'Section Load'!AQ34,0))</f>
        <v>92.470000000001164</v>
      </c>
      <c r="BK31" s="296">
        <f>(IF('Section Load'!AR34&gt;0,'Section Load'!AR34,0))</f>
        <v>41</v>
      </c>
      <c r="BL31" s="296">
        <f>(IF('Section Load'!AS34&gt;0,'Section Load'!AS34,0))</f>
        <v>0.7999999999992724</v>
      </c>
      <c r="BM31" s="296">
        <f>(IF('Section Load'!AT34&gt;0,'Section Load'!AT34,0))</f>
        <v>659.04999999994834</v>
      </c>
    </row>
    <row r="32" spans="1:65" x14ac:dyDescent="0.25">
      <c r="A32" s="287" t="s">
        <v>268</v>
      </c>
      <c r="B32" s="288">
        <f t="shared" si="0"/>
        <v>31</v>
      </c>
      <c r="C32" s="288">
        <v>1</v>
      </c>
      <c r="D32" s="288">
        <v>2022</v>
      </c>
      <c r="E32" s="294">
        <f>(IF('Section Load'!F35&gt;0,'Section Load'!F35,0))</f>
        <v>3325</v>
      </c>
      <c r="F32" s="294">
        <f>(IF('Section Load'!G35&gt;0,'Section Load'!G35,0))</f>
        <v>1605</v>
      </c>
      <c r="G32" s="294">
        <f>(IF('Section Load'!H35&gt;0,'Section Load'!H35,0))</f>
        <v>1751</v>
      </c>
      <c r="H32" s="294">
        <f>(IF('Section Load'!I35&gt;0,'Section Load'!I35,0))</f>
        <v>2762</v>
      </c>
      <c r="I32" s="294">
        <f>(IF('Section Load'!J35&gt;0,'Section Load'!J35,0))</f>
        <v>3511</v>
      </c>
      <c r="J32" s="294">
        <f>(IF('Section Load'!K35&gt;0,'Section Load'!K35,0))</f>
        <v>2607</v>
      </c>
      <c r="K32" s="294">
        <f>(IF('Section Load'!L35&gt;0,'Section Load'!L35,0))</f>
        <v>1079</v>
      </c>
      <c r="L32" s="294">
        <f>(IF('Section Load'!M35&gt;0,'Section Load'!M35,0))</f>
        <v>857</v>
      </c>
      <c r="M32" s="294">
        <f>(IF('Section Load'!N35&gt;0,'Section Load'!N35,0))</f>
        <v>102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208</v>
      </c>
      <c r="Q32" s="294">
        <f>(IF('Section Load'!R35&gt;0,'Section Load'!R35,0))</f>
        <v>78</v>
      </c>
      <c r="R32" s="294">
        <f>(IF('Section Load'!S35&gt;0,'Section Load'!S35,0))</f>
        <v>14</v>
      </c>
      <c r="S32" s="294">
        <f>(IF('Section Load'!T35&gt;0,'Section Load'!T35,0))</f>
        <v>462</v>
      </c>
      <c r="T32" s="294">
        <f>(IF('Section Load'!U35&gt;0,'Section Load'!U35,0))</f>
        <v>229</v>
      </c>
      <c r="U32" s="294">
        <f>(IF('Section Load'!V35&gt;0,'Section Load'!V35,0))</f>
        <v>427</v>
      </c>
      <c r="V32" s="294">
        <f>(IF('Section Load'!W35&gt;0,'Section Load'!W35,0))</f>
        <v>300.11999999999534</v>
      </c>
      <c r="W32" s="294">
        <f>(IF('Section Load'!X35&gt;0,'Section Load'!X35,0))</f>
        <v>21</v>
      </c>
      <c r="X32" s="294">
        <f>(IF('Section Load'!Y35&gt;0,'Section Load'!Y35,0))</f>
        <v>214</v>
      </c>
      <c r="Y32" s="294">
        <f>(IF('Section Load'!Z35&gt;0,'Section Load'!Z35,0))</f>
        <v>273</v>
      </c>
      <c r="Z32" s="294">
        <f>(IF('Section Load'!AA35&gt;0,'Section Load'!AA35,0))</f>
        <v>10.159999999974389</v>
      </c>
      <c r="AA32" s="294">
        <f>(IF('Section Load'!AB35&gt;0,'Section Load'!AB35,0))</f>
        <v>25</v>
      </c>
      <c r="AB32" s="294">
        <f>(IF('Section Load'!AC35&gt;0,'Section Load'!AC35,0))</f>
        <v>2</v>
      </c>
      <c r="AC32" s="294">
        <f>(IF('Section Load'!AD35&gt;0,'Section Load'!AD35,0))</f>
        <v>34</v>
      </c>
      <c r="AD32" s="294">
        <f>(IF('Section Load'!AE35&gt;0,'Section Load'!AE35,0))</f>
        <v>0</v>
      </c>
      <c r="AE32" s="294">
        <f>(IF('Section Load'!AF35&gt;0,'Section Load'!AF35,0))</f>
        <v>21</v>
      </c>
      <c r="AF32" s="294">
        <f>(IF('Section Load'!AG35&gt;0,'Section Load'!AG35,0))</f>
        <v>353</v>
      </c>
      <c r="AG32" s="294">
        <f>(IF('Section Load'!AH35&gt;0,'Section Load'!AH35,0))</f>
        <v>424</v>
      </c>
      <c r="AH32" s="294">
        <f>(IF('Section Load'!AI35&gt;0,'Section Load'!AI35,0))</f>
        <v>413</v>
      </c>
      <c r="AI32" s="294">
        <f>(IF('Section Load'!AJ35&gt;0,'Section Load'!AJ35,0))</f>
        <v>799</v>
      </c>
      <c r="AJ32" s="294">
        <f>(IF('Section Load'!AK35&gt;0,'Section Load'!AK35,0))</f>
        <v>246</v>
      </c>
      <c r="AK32" s="294">
        <f>(IF('Section Load'!AL35&gt;0,'Section Load'!AL35,0))</f>
        <v>338</v>
      </c>
      <c r="AL32" s="294">
        <f>(IF('Section Load'!AM35&gt;0,'Section Load'!AM35,0))</f>
        <v>647</v>
      </c>
      <c r="AM32" s="295">
        <f>(IF('Water Report'!$AH$7&gt;0,'Water Report'!$AH$7,0))</f>
        <v>6</v>
      </c>
      <c r="AN32" s="295">
        <f>(IF('Water Report'!$AH$8&gt;0,'Water Report'!$AH$8,0))</f>
        <v>86</v>
      </c>
      <c r="AO32" s="295">
        <f>(IF('Water Report'!$AH$9&gt;0,'Water Report'!$AH$9,0))</f>
        <v>94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269</v>
      </c>
      <c r="BI32" s="296">
        <f>(IF('Section Load'!AP35&gt;0,'Section Load'!AP35,0))</f>
        <v>0</v>
      </c>
      <c r="BJ32" s="296">
        <f>(IF('Section Load'!AQ35&gt;0,'Section Load'!AQ35,0))</f>
        <v>114</v>
      </c>
      <c r="BK32" s="296">
        <f>(IF('Section Load'!AR35&gt;0,'Section Load'!AR35,0))</f>
        <v>49</v>
      </c>
      <c r="BL32" s="296">
        <f>(IF('Section Load'!AS35&gt;0,'Section Load'!AS35,0))</f>
        <v>4</v>
      </c>
      <c r="BM32" s="296">
        <f>(IF('Section Load'!AT35&gt;0,'Section Load'!AT35,0))</f>
        <v>664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11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  <c r="AA1" s="711"/>
      <c r="AB1" s="711"/>
      <c r="AC1" s="711"/>
      <c r="AD1" s="711"/>
      <c r="AE1" s="711"/>
      <c r="AF1" s="711"/>
      <c r="AG1" s="711"/>
      <c r="AH1" s="711"/>
      <c r="AI1" s="711"/>
      <c r="AJ1" s="711"/>
      <c r="AK1" s="711"/>
      <c r="AL1" s="711"/>
      <c r="AM1" s="711"/>
      <c r="AN1" s="711"/>
      <c r="AO1" s="711"/>
      <c r="AP1" s="711"/>
      <c r="AQ1" s="711"/>
      <c r="AR1" s="711"/>
      <c r="AS1" s="711"/>
      <c r="AT1" s="711"/>
      <c r="AU1" s="711"/>
      <c r="AV1" s="711"/>
      <c r="AW1" s="711"/>
      <c r="AX1" s="711"/>
      <c r="AY1" s="711"/>
      <c r="AZ1" s="711"/>
      <c r="BA1" s="711"/>
      <c r="BB1" s="711"/>
      <c r="BC1" s="711"/>
      <c r="BD1" s="711"/>
      <c r="BE1" s="711"/>
      <c r="BF1" s="711"/>
      <c r="BG1" s="711"/>
      <c r="BH1" s="711"/>
      <c r="BI1" s="711"/>
      <c r="BJ1" s="711"/>
      <c r="BK1" s="711"/>
      <c r="BL1" s="711"/>
      <c r="BM1" s="711"/>
      <c r="BN1" s="711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12" t="s">
        <v>5</v>
      </c>
      <c r="I2" s="712"/>
      <c r="J2" s="712"/>
      <c r="K2" s="44"/>
      <c r="L2" s="713" t="s">
        <v>6</v>
      </c>
      <c r="M2" s="713"/>
      <c r="N2" s="713"/>
      <c r="O2" s="714" t="s">
        <v>7</v>
      </c>
      <c r="P2" s="714"/>
      <c r="Q2" s="714"/>
      <c r="R2" s="44" t="s">
        <v>8</v>
      </c>
      <c r="S2" s="715" t="s">
        <v>9</v>
      </c>
      <c r="T2" s="715"/>
      <c r="U2" s="715"/>
      <c r="V2" s="716" t="s">
        <v>10</v>
      </c>
      <c r="W2" s="717"/>
      <c r="X2" s="718"/>
      <c r="Y2" s="263"/>
      <c r="Z2" s="719" t="s">
        <v>11</v>
      </c>
      <c r="AA2" s="719"/>
      <c r="AB2" s="719"/>
      <c r="AC2" s="719"/>
      <c r="AD2" s="264"/>
      <c r="AE2" s="264" t="s">
        <v>12</v>
      </c>
      <c r="AF2" s="264" t="s">
        <v>13</v>
      </c>
      <c r="AG2" s="719" t="s">
        <v>14</v>
      </c>
      <c r="AH2" s="719"/>
      <c r="AI2" s="719"/>
      <c r="AJ2" s="264" t="s">
        <v>15</v>
      </c>
      <c r="AK2" s="719" t="s">
        <v>16</v>
      </c>
      <c r="AL2" s="719"/>
      <c r="AM2" s="719"/>
      <c r="AN2" s="264" t="s">
        <v>17</v>
      </c>
      <c r="AO2" s="5" t="s">
        <v>18</v>
      </c>
      <c r="AP2" s="720" t="s">
        <v>19</v>
      </c>
      <c r="AQ2" s="721"/>
      <c r="AR2" s="721"/>
      <c r="AS2" s="721"/>
      <c r="AT2" s="721"/>
      <c r="AU2" s="721"/>
      <c r="AV2" s="721"/>
      <c r="AW2" s="721"/>
      <c r="AX2" s="721"/>
      <c r="AY2" s="722"/>
      <c r="AZ2" s="720" t="s">
        <v>20</v>
      </c>
      <c r="BA2" s="721"/>
      <c r="BB2" s="721"/>
      <c r="BC2" s="721"/>
      <c r="BD2" s="721"/>
      <c r="BE2" s="721"/>
      <c r="BF2" s="721"/>
      <c r="BG2" s="721"/>
      <c r="BH2" s="721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22</v>
      </c>
      <c r="E4" s="50">
        <f>'1'!D4</f>
        <v>0.76</v>
      </c>
      <c r="F4" s="50">
        <f>'1'!D2</f>
        <v>0.96</v>
      </c>
      <c r="G4" s="19">
        <f>'1'!G7</f>
        <v>20006.53</v>
      </c>
      <c r="H4" s="19">
        <f>'1'!G8</f>
        <v>20449</v>
      </c>
      <c r="I4" s="19">
        <v>9</v>
      </c>
      <c r="J4" s="49">
        <f>H4*I4</f>
        <v>184041</v>
      </c>
      <c r="K4" s="45">
        <f>H4/202</f>
        <v>101.23267326732673</v>
      </c>
      <c r="L4" s="19">
        <f>'1'!G15</f>
        <v>1070.0859999998938</v>
      </c>
      <c r="M4" s="19">
        <v>56.2</v>
      </c>
      <c r="N4" s="45">
        <f>L4*M4</f>
        <v>60138.833199994035</v>
      </c>
      <c r="O4" s="19">
        <f>'1'!G20</f>
        <v>54</v>
      </c>
      <c r="P4" s="19">
        <v>108</v>
      </c>
      <c r="Q4" s="46">
        <f t="shared" ref="Q4:Q33" si="0">O4*P4</f>
        <v>5832</v>
      </c>
      <c r="R4" s="47">
        <f t="shared" ref="R4:R34" si="1">O4/(F4*202/100)</f>
        <v>27.846534653465348</v>
      </c>
      <c r="S4" s="19">
        <f>'1'!G24</f>
        <v>0</v>
      </c>
      <c r="T4" s="19">
        <v>69</v>
      </c>
      <c r="U4" s="48">
        <f>S4*T4</f>
        <v>0</v>
      </c>
      <c r="V4" s="22">
        <f>'1'!G65</f>
        <v>98</v>
      </c>
      <c r="W4" s="22">
        <f>'1'!G66</f>
        <v>28</v>
      </c>
      <c r="X4" s="22">
        <f>'1'!G67</f>
        <v>40</v>
      </c>
      <c r="Y4" s="22">
        <f>V4+W4+X4</f>
        <v>166</v>
      </c>
      <c r="Z4" s="19">
        <f>'1'!G84</f>
        <v>0</v>
      </c>
      <c r="AA4" s="19">
        <f>'1'!G85</f>
        <v>0</v>
      </c>
      <c r="AB4" s="19">
        <f>'1'!G86</f>
        <v>24</v>
      </c>
      <c r="AC4" s="19">
        <f>'1'!G87</f>
        <v>0</v>
      </c>
      <c r="AD4" s="19">
        <f>Z4+AA4+AB4+AC4</f>
        <v>24</v>
      </c>
      <c r="AE4" s="23">
        <f t="shared" ref="AE4:AE33" si="2">AU4+AV4+BE4+BF4</f>
        <v>2431.4200000000055</v>
      </c>
      <c r="AF4" s="23">
        <f>AE4/AD4</f>
        <v>101.3091666666669</v>
      </c>
      <c r="AG4" s="19">
        <f>'1'!G88</f>
        <v>6.3800000000010186</v>
      </c>
      <c r="AH4" s="19">
        <f>'1'!G89</f>
        <v>4.0900000000001455</v>
      </c>
      <c r="AI4" s="19">
        <f>'1'!G90</f>
        <v>5.6100000000005821</v>
      </c>
      <c r="AJ4" s="19">
        <f>AG4+AH4+AI4</f>
        <v>16.080000000001746</v>
      </c>
      <c r="AK4" s="19">
        <f>'1'!G91</f>
        <v>0</v>
      </c>
      <c r="AL4" s="19">
        <f>'1'!G92</f>
        <v>9.6599999999998545</v>
      </c>
      <c r="AM4" s="19"/>
      <c r="AN4" s="19">
        <f>AK4+AL4</f>
        <v>9.6599999999998545</v>
      </c>
      <c r="AO4" s="52">
        <f>'1'!G74</f>
        <v>267.77000000001863</v>
      </c>
      <c r="AP4" s="55">
        <f>'1'!G35</f>
        <v>2052.1199999999953</v>
      </c>
      <c r="AQ4" s="19">
        <f>'1'!G37</f>
        <v>1573.5100000000093</v>
      </c>
      <c r="AR4" s="19">
        <f>'1'!G38</f>
        <v>1665.429999999993</v>
      </c>
      <c r="AS4" s="19">
        <f>'1'!G39</f>
        <v>2724.390000000014</v>
      </c>
      <c r="AT4" s="19">
        <f>'1'!G40</f>
        <v>-2.9999999999745341E-2</v>
      </c>
      <c r="AU4" s="19">
        <f>'1'!G41</f>
        <v>0</v>
      </c>
      <c r="AV4" s="19">
        <f>'1'!G42</f>
        <v>-0.39999999999417923</v>
      </c>
      <c r="AW4" s="19">
        <f>'1'!G43</f>
        <v>2561.2300000000032</v>
      </c>
      <c r="AX4" s="19">
        <f>'1'!G44</f>
        <v>0</v>
      </c>
      <c r="AY4" s="56">
        <f>'1'!G36</f>
        <v>885.33000000000175</v>
      </c>
      <c r="AZ4" s="55">
        <f>'1'!G49</f>
        <v>1618.8300000000163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5.1300000000001091</v>
      </c>
      <c r="BE4" s="19">
        <f>'1'!G55</f>
        <v>2431.8199999999997</v>
      </c>
      <c r="BF4" s="19">
        <f>'1'!G56</f>
        <v>0</v>
      </c>
      <c r="BG4" s="19">
        <f>'1'!G57</f>
        <v>0</v>
      </c>
      <c r="BH4" s="56">
        <f>'1'!G50</f>
        <v>1236.0200000000004</v>
      </c>
      <c r="BI4" s="60">
        <f>SUM(AU4,AV4,BE4,BF4)</f>
        <v>2431.4200000000055</v>
      </c>
      <c r="BJ4" s="60">
        <f>'1'!G133</f>
        <v>833.86000000000058</v>
      </c>
      <c r="BK4" s="23">
        <f>SUM(AP4,AU4,AV4,AW4,AZ4,BE4,BF4,BG4)/H4%</f>
        <v>42.366863905325545</v>
      </c>
      <c r="BL4" s="23">
        <f>SUM(AS4,BC4)/H4%</f>
        <v>13.322851973201692</v>
      </c>
      <c r="BM4" s="24">
        <f>(AR4+BB4)/H4</f>
        <v>8.1443102352192917E-2</v>
      </c>
      <c r="BN4" s="25">
        <f>J4+N4+Q4+U4</f>
        <v>250011.83319999403</v>
      </c>
      <c r="BO4" s="38">
        <f>SUM(AU4,AV4,AW4,BE4,BF4,BG4,BJ4)</f>
        <v>5826.5100000000093</v>
      </c>
      <c r="BP4">
        <f>BO4/(AD4*280)</f>
        <v>0.86704017857143001</v>
      </c>
      <c r="BQ4" s="38">
        <f>SUM(AU4,AV4,BE4,BF4)/(AD4*400)</f>
        <v>0.25327291666666724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0.43559999999999999</v>
      </c>
      <c r="G5" s="19">
        <f>'2'!G7</f>
        <v>19489.369999999995</v>
      </c>
      <c r="H5" s="19">
        <f>'2'!G8</f>
        <v>19893</v>
      </c>
      <c r="I5" s="19">
        <v>9</v>
      </c>
      <c r="J5" s="49">
        <f t="shared" ref="J5:J34" si="3">H5*I5</f>
        <v>179037</v>
      </c>
      <c r="K5" s="45">
        <f t="shared" ref="K5:K33" si="4">H5/202</f>
        <v>98.480198019801975</v>
      </c>
      <c r="L5" s="19">
        <f>'2'!G15</f>
        <v>808.52700000000186</v>
      </c>
      <c r="M5" s="19">
        <v>56.2</v>
      </c>
      <c r="N5" s="45">
        <f t="shared" ref="N5:N33" si="5">L5*M5</f>
        <v>45439.217400000111</v>
      </c>
      <c r="O5" s="19">
        <f>'2'!G20</f>
        <v>56</v>
      </c>
      <c r="P5" s="19">
        <v>108</v>
      </c>
      <c r="Q5" s="46">
        <f t="shared" si="0"/>
        <v>6048</v>
      </c>
      <c r="R5" s="47">
        <f t="shared" si="1"/>
        <v>63.642727909154559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432772</v>
      </c>
      <c r="W5" s="22">
        <f>'2'!G66</f>
        <v>27</v>
      </c>
      <c r="X5" s="22">
        <f>'2'!G67</f>
        <v>39</v>
      </c>
      <c r="Y5" s="22">
        <f t="shared" ref="Y5:Y33" si="7">V5+W5+X5</f>
        <v>432838</v>
      </c>
      <c r="Z5" s="19">
        <f>'2'!G84</f>
        <v>0</v>
      </c>
      <c r="AA5" s="19">
        <f>'2'!G85</f>
        <v>0</v>
      </c>
      <c r="AB5" s="19">
        <f>'2'!G86</f>
        <v>24.110000000000582</v>
      </c>
      <c r="AC5" s="19">
        <f>'2'!G87</f>
        <v>0</v>
      </c>
      <c r="AD5" s="19">
        <f t="shared" ref="AD5:AD33" si="8">Z5+AA5+AB5+AC5</f>
        <v>24.110000000000582</v>
      </c>
      <c r="AE5" s="23">
        <f t="shared" si="2"/>
        <v>3100</v>
      </c>
      <c r="AF5" s="23">
        <f t="shared" ref="AF5:AF33" si="9">AE5/AD5</f>
        <v>128.57735379510265</v>
      </c>
      <c r="AG5" s="19">
        <f>'2'!G88</f>
        <v>2.6899999999986903</v>
      </c>
      <c r="AH5" s="19">
        <f>'2'!G89</f>
        <v>0.47000000000116415</v>
      </c>
      <c r="AI5" s="19">
        <f>'2'!G90</f>
        <v>9.1499999999941792</v>
      </c>
      <c r="AJ5" s="19">
        <f t="shared" ref="AJ5:AJ33" si="10">AG5+AH5+AI5</f>
        <v>12.309999999994034</v>
      </c>
      <c r="AK5" s="19">
        <f>'2'!G91</f>
        <v>0</v>
      </c>
      <c r="AL5" s="19">
        <f>'2'!G92</f>
        <v>9.0100000000002183</v>
      </c>
      <c r="AM5" s="19"/>
      <c r="AN5" s="19">
        <f t="shared" ref="AN5:AN33" si="11">AK5+AL5</f>
        <v>9.0100000000002183</v>
      </c>
      <c r="AO5" s="52">
        <f>'2'!G74</f>
        <v>258.03000000002794</v>
      </c>
      <c r="AP5" s="55">
        <f>'2'!G35</f>
        <v>2014.5200000000186</v>
      </c>
      <c r="AQ5" s="19">
        <f>'2'!G37</f>
        <v>1509.2399999999907</v>
      </c>
      <c r="AR5" s="19">
        <f>'2'!G38</f>
        <v>1563.0599999999977</v>
      </c>
      <c r="AS5" s="19">
        <f>'2'!G39</f>
        <v>2721.7999999999884</v>
      </c>
      <c r="AT5" s="19">
        <f>'2'!G40</f>
        <v>9.999999999308784E-3</v>
      </c>
      <c r="AU5" s="19">
        <f>'2'!G41</f>
        <v>0</v>
      </c>
      <c r="AV5" s="19">
        <f>'2'!G42</f>
        <v>0</v>
      </c>
      <c r="AW5" s="19">
        <f>'2'!G43</f>
        <v>2437.1699999999983</v>
      </c>
      <c r="AX5" s="19">
        <f>'2'!G44</f>
        <v>0</v>
      </c>
      <c r="AY5" s="56">
        <f>'2'!G36</f>
        <v>756.53999999999724</v>
      </c>
      <c r="AZ5" s="55">
        <f>'2'!G49</f>
        <v>1627.1699999999837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4.4600000000000364</v>
      </c>
      <c r="BE5" s="19">
        <f>'2'!G55</f>
        <v>3100</v>
      </c>
      <c r="BF5" s="19">
        <f>'2'!G56</f>
        <v>0</v>
      </c>
      <c r="BG5" s="19">
        <f>'2'!G57</f>
        <v>0</v>
      </c>
      <c r="BH5" s="56">
        <f>'2'!G50</f>
        <v>1150.7200000000012</v>
      </c>
      <c r="BI5" s="60">
        <f t="shared" ref="BI5:BI32" si="12">SUM(AU5,AV5,BE5,BF5)</f>
        <v>3100</v>
      </c>
      <c r="BJ5" s="60">
        <f>'2'!G133</f>
        <v>832.02000000000407</v>
      </c>
      <c r="BK5" s="23">
        <f t="shared" ref="BK5:BK33" si="13">SUM(AP5,AU5,AV5,AW5,AZ5,BE5,BF5,BG5)/H5%</f>
        <v>46.141155180214149</v>
      </c>
      <c r="BL5" s="23">
        <f t="shared" ref="BL5:BL33" si="14">SUM(AS5,BC5)/H5%</f>
        <v>13.682199768762823</v>
      </c>
      <c r="BM5" s="24">
        <f t="shared" ref="BM5:BM33" si="15">(AR5+BB5)/H5</f>
        <v>7.857336751621162E-2</v>
      </c>
      <c r="BN5" s="25">
        <f t="shared" ref="BN5:BN33" si="16">J5+N5+Q5+U5</f>
        <v>230524.21740000011</v>
      </c>
      <c r="BO5" s="38">
        <f t="shared" ref="BO5:BO35" si="17">SUM(AU5,AV5,AW5,BE5,BF5,BG5,BJ5)</f>
        <v>6369.1900000000023</v>
      </c>
      <c r="BP5">
        <f t="shared" ref="BP5:BP35" si="18">BO5/(AD5*280)</f>
        <v>0.94347188481362931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19192.100000000006</v>
      </c>
      <c r="H6" s="19">
        <f>'3'!G8</f>
        <v>19529</v>
      </c>
      <c r="I6" s="19">
        <v>9</v>
      </c>
      <c r="J6" s="49">
        <f t="shared" si="3"/>
        <v>175761</v>
      </c>
      <c r="K6" s="45">
        <f t="shared" si="4"/>
        <v>96.678217821782184</v>
      </c>
      <c r="L6" s="19">
        <f>'3'!G15</f>
        <v>524.78700000001118</v>
      </c>
      <c r="M6" s="19">
        <v>56.2</v>
      </c>
      <c r="N6" s="45">
        <f t="shared" si="5"/>
        <v>29493.029400000629</v>
      </c>
      <c r="O6" s="19">
        <f>'3'!G20</f>
        <v>356</v>
      </c>
      <c r="P6" s="19">
        <v>108</v>
      </c>
      <c r="Q6" s="46">
        <f t="shared" si="0"/>
        <v>38448</v>
      </c>
      <c r="R6" s="47">
        <f t="shared" si="1"/>
        <v>345.56396816152204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40</v>
      </c>
      <c r="W6" s="22">
        <f>'3'!G66</f>
        <v>18</v>
      </c>
      <c r="X6" s="22">
        <f>'3'!G67</f>
        <v>20</v>
      </c>
      <c r="Y6" s="22">
        <f>V6+W6+X6</f>
        <v>78</v>
      </c>
      <c r="Z6" s="19">
        <f>'3'!G84</f>
        <v>0</v>
      </c>
      <c r="AA6" s="19">
        <f>'3'!G85</f>
        <v>0</v>
      </c>
      <c r="AB6" s="19">
        <f>'3'!G86</f>
        <v>24.040000000000873</v>
      </c>
      <c r="AC6" s="19">
        <f>'3'!G87</f>
        <v>0</v>
      </c>
      <c r="AD6" s="19">
        <f t="shared" si="8"/>
        <v>24.040000000000873</v>
      </c>
      <c r="AE6" s="23">
        <f t="shared" si="2"/>
        <v>3094.6399999999994</v>
      </c>
      <c r="AF6" s="23">
        <f t="shared" si="9"/>
        <v>128.72878535773239</v>
      </c>
      <c r="AG6" s="19">
        <f>'3'!G88</f>
        <v>0</v>
      </c>
      <c r="AH6" s="19">
        <f>'3'!G89</f>
        <v>0</v>
      </c>
      <c r="AI6" s="19">
        <f>'3'!G90</f>
        <v>3.2400000000052387</v>
      </c>
      <c r="AJ6" s="19">
        <f t="shared" si="10"/>
        <v>3.2400000000052387</v>
      </c>
      <c r="AK6" s="19">
        <f>'3'!G91</f>
        <v>0</v>
      </c>
      <c r="AL6" s="19">
        <f>'3'!G92</f>
        <v>8.5399999999999636</v>
      </c>
      <c r="AM6" s="19"/>
      <c r="AN6" s="19">
        <f t="shared" si="11"/>
        <v>8.5399999999999636</v>
      </c>
      <c r="AO6" s="52">
        <f>'3'!G74</f>
        <v>240.55999999993946</v>
      </c>
      <c r="AP6" s="55">
        <f>'3'!G35</f>
        <v>1878.3099999999977</v>
      </c>
      <c r="AQ6" s="19">
        <f>'3'!G37</f>
        <v>1514.2000000000116</v>
      </c>
      <c r="AR6" s="19">
        <f>'3'!G38</f>
        <v>1476.640000000014</v>
      </c>
      <c r="AS6" s="19">
        <f>'3'!G39</f>
        <v>2758.7999999999884</v>
      </c>
      <c r="AT6" s="19">
        <f>'3'!G40</f>
        <v>0</v>
      </c>
      <c r="AU6" s="19">
        <f>'3'!G41</f>
        <v>0</v>
      </c>
      <c r="AV6" s="19">
        <f>'3'!G42</f>
        <v>0</v>
      </c>
      <c r="AW6" s="19">
        <f>'3'!G43</f>
        <v>2419.6699999999983</v>
      </c>
      <c r="AX6" s="19">
        <f>'3'!G44</f>
        <v>0</v>
      </c>
      <c r="AY6" s="56">
        <f>'3'!G36</f>
        <v>783.35000000000218</v>
      </c>
      <c r="AZ6" s="55">
        <f>'3'!G49</f>
        <v>1895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4.4899999999997817</v>
      </c>
      <c r="BE6" s="19">
        <f>'3'!G55</f>
        <v>3094.6399999999994</v>
      </c>
      <c r="BF6" s="19">
        <f>'3'!G56</f>
        <v>0</v>
      </c>
      <c r="BG6" s="19">
        <f>'3'!G57</f>
        <v>0</v>
      </c>
      <c r="BH6" s="56">
        <f>'3'!G50</f>
        <v>965.46999999999753</v>
      </c>
      <c r="BI6" s="60">
        <f t="shared" si="12"/>
        <v>3094.6399999999994</v>
      </c>
      <c r="BJ6" s="60">
        <f>'3'!G133</f>
        <v>837.55999999999767</v>
      </c>
      <c r="BK6" s="23">
        <f t="shared" si="13"/>
        <v>47.558093092324214</v>
      </c>
      <c r="BL6" s="23">
        <f t="shared" si="14"/>
        <v>14.126683393926921</v>
      </c>
      <c r="BM6" s="24">
        <f t="shared" si="15"/>
        <v>7.5612678580573203E-2</v>
      </c>
      <c r="BN6" s="25">
        <f t="shared" si="16"/>
        <v>243702.02940000064</v>
      </c>
      <c r="BO6" s="38">
        <f t="shared" si="17"/>
        <v>6351.8699999999953</v>
      </c>
      <c r="BP6">
        <f t="shared" si="18"/>
        <v>0.9436460066555391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19783.089999999997</v>
      </c>
      <c r="H7" s="19">
        <f>'4'!G8</f>
        <v>20218.950000000012</v>
      </c>
      <c r="I7" s="19">
        <v>9</v>
      </c>
      <c r="J7" s="49">
        <f t="shared" si="3"/>
        <v>181970.5500000001</v>
      </c>
      <c r="K7" s="45">
        <f t="shared" si="4"/>
        <v>100.09381188118817</v>
      </c>
      <c r="L7" s="19">
        <f>'4'!G15</f>
        <v>1035.25</v>
      </c>
      <c r="M7" s="19">
        <v>56.2</v>
      </c>
      <c r="N7" s="45">
        <f t="shared" si="5"/>
        <v>58181.05</v>
      </c>
      <c r="O7" s="19">
        <f>'4'!G20</f>
        <v>219</v>
      </c>
      <c r="P7" s="19">
        <v>108</v>
      </c>
      <c r="Q7" s="46">
        <f t="shared" si="0"/>
        <v>23652</v>
      </c>
      <c r="R7" s="47">
        <f t="shared" si="1"/>
        <v>120.98632025907646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81</v>
      </c>
      <c r="W7" s="22">
        <f>'4'!G66</f>
        <v>21</v>
      </c>
      <c r="X7" s="22">
        <f>'4'!G67</f>
        <v>27</v>
      </c>
      <c r="Y7" s="22">
        <f t="shared" si="7"/>
        <v>129</v>
      </c>
      <c r="Z7" s="19">
        <f>'4'!G84</f>
        <v>0.26000000000203727</v>
      </c>
      <c r="AA7" s="19">
        <f>'4'!G85</f>
        <v>0</v>
      </c>
      <c r="AB7" s="19">
        <f>'4'!G86</f>
        <v>24.419999999998254</v>
      </c>
      <c r="AC7" s="19">
        <f>'4'!G87</f>
        <v>0</v>
      </c>
      <c r="AD7" s="19">
        <f t="shared" si="8"/>
        <v>24.680000000000291</v>
      </c>
      <c r="AE7" s="23">
        <f t="shared" si="2"/>
        <v>3146.7900000000009</v>
      </c>
      <c r="AF7" s="23">
        <f t="shared" si="9"/>
        <v>127.50364667747017</v>
      </c>
      <c r="AG7" s="19">
        <f>'4'!G88</f>
        <v>1.9900000000016007</v>
      </c>
      <c r="AH7" s="19">
        <f>'4'!G89</f>
        <v>8.7199999999975262</v>
      </c>
      <c r="AI7" s="19">
        <f>'4'!G90</f>
        <v>4.1399999999994179</v>
      </c>
      <c r="AJ7" s="19">
        <f t="shared" si="10"/>
        <v>14.849999999998545</v>
      </c>
      <c r="AK7" s="19">
        <f>'4'!G91</f>
        <v>0</v>
      </c>
      <c r="AL7" s="19">
        <f>'4'!G92</f>
        <v>11.090000000000146</v>
      </c>
      <c r="AM7" s="19"/>
      <c r="AN7" s="19">
        <f t="shared" si="11"/>
        <v>11.090000000000146</v>
      </c>
      <c r="AO7" s="52">
        <f>'4'!G74</f>
        <v>317.86999999999534</v>
      </c>
      <c r="AP7" s="55">
        <f>'4'!G35</f>
        <v>1887.8299999999872</v>
      </c>
      <c r="AQ7" s="19">
        <f>'4'!G37</f>
        <v>1526.8799999999756</v>
      </c>
      <c r="AR7" s="19">
        <f>'4'!G38</f>
        <v>1752.359999999986</v>
      </c>
      <c r="AS7" s="19">
        <f>'4'!G39</f>
        <v>2740.5200000000186</v>
      </c>
      <c r="AT7" s="19">
        <f>'4'!G40</f>
        <v>0</v>
      </c>
      <c r="AU7" s="19">
        <f>'4'!G41</f>
        <v>0</v>
      </c>
      <c r="AV7" s="19">
        <f>'4'!G42</f>
        <v>0</v>
      </c>
      <c r="AW7" s="19">
        <f>'4'!G43</f>
        <v>2444.6500000000015</v>
      </c>
      <c r="AX7" s="19">
        <f>'4'!G44</f>
        <v>0</v>
      </c>
      <c r="AY7" s="56">
        <f>'4'!G36</f>
        <v>727.02999999999884</v>
      </c>
      <c r="AZ7" s="55">
        <f>'4'!G49</f>
        <v>1435.0300000000279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198.08</v>
      </c>
      <c r="BE7" s="19">
        <f>'4'!G55</f>
        <v>3146.7900000000009</v>
      </c>
      <c r="BF7" s="19">
        <f>'4'!G56</f>
        <v>0</v>
      </c>
      <c r="BG7" s="19">
        <f>'4'!G57</f>
        <v>0</v>
      </c>
      <c r="BH7" s="56">
        <f>'4'!G50</f>
        <v>1036.4099999999999</v>
      </c>
      <c r="BI7" s="60">
        <f t="shared" si="12"/>
        <v>3146.7900000000009</v>
      </c>
      <c r="BJ7" s="60">
        <f>'3'!G133</f>
        <v>837.55999999999767</v>
      </c>
      <c r="BK7" s="23">
        <f t="shared" si="13"/>
        <v>44.088837451994351</v>
      </c>
      <c r="BL7" s="23">
        <f t="shared" si="14"/>
        <v>13.554215228782983</v>
      </c>
      <c r="BM7" s="24">
        <f t="shared" si="15"/>
        <v>8.6669189052843251E-2</v>
      </c>
      <c r="BN7" s="25">
        <f t="shared" si="16"/>
        <v>263803.60000000009</v>
      </c>
      <c r="BO7" s="38">
        <f t="shared" si="17"/>
        <v>6429</v>
      </c>
      <c r="BP7">
        <f t="shared" si="18"/>
        <v>0.93033688353784505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19899.910000000003</v>
      </c>
      <c r="H8" s="19">
        <f>'5'!G8</f>
        <v>20335.049999999988</v>
      </c>
      <c r="I8" s="19">
        <v>9</v>
      </c>
      <c r="J8" s="49">
        <f t="shared" si="3"/>
        <v>183015.4499999999</v>
      </c>
      <c r="K8" s="45">
        <f t="shared" si="4"/>
        <v>100.66856435643558</v>
      </c>
      <c r="L8" s="19">
        <f>'5'!G15</f>
        <v>1002.0500000000466</v>
      </c>
      <c r="M8" s="19">
        <v>56.2</v>
      </c>
      <c r="N8" s="45">
        <f t="shared" si="5"/>
        <v>56315.210000002618</v>
      </c>
      <c r="O8" s="19">
        <f>'5'!G20</f>
        <v>171</v>
      </c>
      <c r="P8" s="19">
        <v>108</v>
      </c>
      <c r="Q8" s="46">
        <f t="shared" si="0"/>
        <v>18468</v>
      </c>
      <c r="R8" s="47">
        <f t="shared" si="1"/>
        <v>151.32904066237873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74</v>
      </c>
      <c r="W8" s="22">
        <f>'5'!G66</f>
        <v>19</v>
      </c>
      <c r="X8" s="22">
        <f>'5'!G67</f>
        <v>22</v>
      </c>
      <c r="Y8" s="22">
        <f t="shared" si="7"/>
        <v>115</v>
      </c>
      <c r="Z8" s="19">
        <f>'5'!G84</f>
        <v>-0.26000000000203727</v>
      </c>
      <c r="AA8" s="19">
        <f>'5'!G85</f>
        <v>0</v>
      </c>
      <c r="AB8" s="19">
        <f>'5'!G86</f>
        <v>23.75</v>
      </c>
      <c r="AC8" s="19">
        <f>'5'!G87</f>
        <v>0</v>
      </c>
      <c r="AD8" s="19">
        <f t="shared" si="8"/>
        <v>23.489999999997963</v>
      </c>
      <c r="AE8" s="23">
        <f t="shared" si="2"/>
        <v>3314.6699999999983</v>
      </c>
      <c r="AF8" s="23">
        <f t="shared" si="9"/>
        <v>141.10983397191509</v>
      </c>
      <c r="AG8" s="19">
        <f>'5'!G88</f>
        <v>0</v>
      </c>
      <c r="AH8" s="19">
        <f>'5'!G89</f>
        <v>9.6200000000026193</v>
      </c>
      <c r="AI8" s="19">
        <f>'5'!G90</f>
        <v>4.0399999999935972</v>
      </c>
      <c r="AJ8" s="19">
        <f t="shared" si="10"/>
        <v>13.659999999996217</v>
      </c>
      <c r="AK8" s="19">
        <f>'5'!G91</f>
        <v>0</v>
      </c>
      <c r="AL8" s="19">
        <f>'5'!G92</f>
        <v>9.8599999999996726</v>
      </c>
      <c r="AM8" s="19"/>
      <c r="AN8" s="19">
        <f t="shared" si="11"/>
        <v>9.8599999999996726</v>
      </c>
      <c r="AO8" s="52">
        <f>'5'!G74</f>
        <v>282.26000000000931</v>
      </c>
      <c r="AP8" s="55">
        <f>'5'!G35</f>
        <v>1878.8500000000058</v>
      </c>
      <c r="AQ8" s="19">
        <f>'5'!G37</f>
        <v>1513.0600000000268</v>
      </c>
      <c r="AR8" s="19">
        <f>'5'!G38</f>
        <v>1672.4000000000233</v>
      </c>
      <c r="AS8" s="19">
        <f>'5'!G39</f>
        <v>2669.0800000000163</v>
      </c>
      <c r="AT8" s="19">
        <f>'5'!G40</f>
        <v>417.76000000000022</v>
      </c>
      <c r="AU8" s="19">
        <f>'5'!G41</f>
        <v>0</v>
      </c>
      <c r="AV8" s="19">
        <f>'5'!G42</f>
        <v>0</v>
      </c>
      <c r="AW8" s="19">
        <f>'5'!G43</f>
        <v>2407.4700000000012</v>
      </c>
      <c r="AX8" s="19">
        <f>'5'!G44</f>
        <v>0</v>
      </c>
      <c r="AY8" s="56">
        <f>'5'!G36</f>
        <v>802.54000000000087</v>
      </c>
      <c r="AZ8" s="55">
        <f>'5'!G49</f>
        <v>1608.859999999986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461.61</v>
      </c>
      <c r="BE8" s="19">
        <f>'5'!G55</f>
        <v>3314.6699999999983</v>
      </c>
      <c r="BF8" s="19">
        <f>'5'!G56</f>
        <v>0</v>
      </c>
      <c r="BG8" s="19">
        <f>'5'!G57</f>
        <v>0</v>
      </c>
      <c r="BH8" s="56">
        <f>'5'!G50</f>
        <v>989.63999999999942</v>
      </c>
      <c r="BI8" s="60">
        <f t="shared" si="12"/>
        <v>3314.6699999999983</v>
      </c>
      <c r="BJ8" s="60">
        <f>'5'!G133</f>
        <v>846.25</v>
      </c>
      <c r="BK8" s="23">
        <f t="shared" si="13"/>
        <v>45.29052055441219</v>
      </c>
      <c r="BL8" s="23">
        <f t="shared" si="14"/>
        <v>13.125514813093735</v>
      </c>
      <c r="BM8" s="24">
        <f t="shared" si="15"/>
        <v>8.2242236925900075E-2</v>
      </c>
      <c r="BN8" s="25">
        <f t="shared" si="16"/>
        <v>257798.66000000251</v>
      </c>
      <c r="BO8" s="38">
        <f t="shared" si="17"/>
        <v>6568.3899999999994</v>
      </c>
      <c r="BP8">
        <f t="shared" si="18"/>
        <v>0.99866052423532337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0.78</v>
      </c>
      <c r="G9" s="19">
        <f>'6'!G7</f>
        <v>20272</v>
      </c>
      <c r="H9" s="19">
        <f>'6'!G8</f>
        <v>20708</v>
      </c>
      <c r="I9" s="19">
        <v>9</v>
      </c>
      <c r="J9" s="49">
        <f t="shared" si="3"/>
        <v>186372</v>
      </c>
      <c r="K9" s="45">
        <f t="shared" si="4"/>
        <v>102.51485148514851</v>
      </c>
      <c r="L9" s="19">
        <f>'6'!G15</f>
        <v>933.30000000004657</v>
      </c>
      <c r="M9" s="19">
        <v>56.2</v>
      </c>
      <c r="N9" s="45">
        <f t="shared" si="5"/>
        <v>52451.460000002618</v>
      </c>
      <c r="O9" s="19">
        <f>'6'!G20</f>
        <v>204</v>
      </c>
      <c r="P9" s="19">
        <v>108</v>
      </c>
      <c r="Q9" s="46">
        <f t="shared" si="0"/>
        <v>22032</v>
      </c>
      <c r="R9" s="47">
        <f t="shared" si="1"/>
        <v>129.47448591012946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69</v>
      </c>
      <c r="W9" s="22">
        <f>'6'!G66</f>
        <v>15</v>
      </c>
      <c r="X9" s="22">
        <f>'6'!G67</f>
        <v>21</v>
      </c>
      <c r="Y9" s="22">
        <f t="shared" si="7"/>
        <v>105</v>
      </c>
      <c r="Z9" s="19">
        <f>'6'!G84</f>
        <v>0</v>
      </c>
      <c r="AA9" s="19">
        <f>'6'!G85</f>
        <v>0</v>
      </c>
      <c r="AB9" s="19">
        <f>'6'!G86</f>
        <v>24.160000000003492</v>
      </c>
      <c r="AC9" s="19">
        <f>'6'!G87</f>
        <v>0</v>
      </c>
      <c r="AD9" s="19">
        <f t="shared" si="8"/>
        <v>24.160000000003492</v>
      </c>
      <c r="AE9" s="23">
        <f t="shared" si="2"/>
        <v>3311.0800000000017</v>
      </c>
      <c r="AF9" s="23">
        <f t="shared" si="9"/>
        <v>137.04801324501338</v>
      </c>
      <c r="AG9" s="19">
        <f>'6'!G88</f>
        <v>-6.0000000001309672E-2</v>
      </c>
      <c r="AH9" s="19">
        <f>'6'!G89</f>
        <v>9.0999999999985448</v>
      </c>
      <c r="AI9" s="19">
        <f>'6'!G90</f>
        <v>2.8200000000069849</v>
      </c>
      <c r="AJ9" s="19">
        <f t="shared" si="10"/>
        <v>11.86000000000422</v>
      </c>
      <c r="AK9" s="19">
        <f>'6'!G91</f>
        <v>0</v>
      </c>
      <c r="AL9" s="19">
        <f>'6'!G92</f>
        <v>10.650000000000546</v>
      </c>
      <c r="AM9" s="19"/>
      <c r="AN9" s="19">
        <f t="shared" si="11"/>
        <v>10.650000000000546</v>
      </c>
      <c r="AO9" s="52">
        <f>'6'!G74</f>
        <v>304.51000000000931</v>
      </c>
      <c r="AP9" s="55">
        <f>'6'!G35</f>
        <v>1804.3699999999953</v>
      </c>
      <c r="AQ9" s="19">
        <f>'6'!G37</f>
        <v>1517.109999999986</v>
      </c>
      <c r="AR9" s="19">
        <f>'6'!G38</f>
        <v>1687.109999999986</v>
      </c>
      <c r="AS9" s="19">
        <f>'6'!G39</f>
        <v>2707.4099999999744</v>
      </c>
      <c r="AT9" s="19">
        <f>'6'!G40</f>
        <v>665.26000000000022</v>
      </c>
      <c r="AU9" s="19">
        <f>'6'!G41</f>
        <v>0</v>
      </c>
      <c r="AV9" s="19">
        <f>'6'!G42</f>
        <v>0</v>
      </c>
      <c r="AW9" s="19">
        <f>'6'!G43</f>
        <v>2434.8099999999977</v>
      </c>
      <c r="AX9" s="19">
        <f>'6'!G44</f>
        <v>0</v>
      </c>
      <c r="AY9" s="56">
        <f>'6'!G36</f>
        <v>1049.2099999999991</v>
      </c>
      <c r="AZ9" s="55">
        <f>'6'!G49</f>
        <v>1677.109999999986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471.30999999999995</v>
      </c>
      <c r="BE9" s="19">
        <f>'6'!G55</f>
        <v>3311.0800000000017</v>
      </c>
      <c r="BF9" s="19">
        <f>'6'!G56</f>
        <v>0</v>
      </c>
      <c r="BG9" s="19">
        <f>'6'!G57</f>
        <v>0</v>
      </c>
      <c r="BH9" s="56">
        <f>'6'!G50</f>
        <v>1030.7400000000016</v>
      </c>
      <c r="BI9" s="60">
        <f t="shared" si="12"/>
        <v>3311.0800000000017</v>
      </c>
      <c r="BJ9" s="60">
        <f>'6'!G133</f>
        <v>813.13000000000466</v>
      </c>
      <c r="BK9" s="23">
        <f t="shared" si="13"/>
        <v>44.559445624879181</v>
      </c>
      <c r="BL9" s="23">
        <f t="shared" si="14"/>
        <v>13.074222522696418</v>
      </c>
      <c r="BM9" s="24">
        <f t="shared" si="15"/>
        <v>8.1471412014679639E-2</v>
      </c>
      <c r="BN9" s="25">
        <f t="shared" si="16"/>
        <v>260855.46000000261</v>
      </c>
      <c r="BO9" s="38">
        <f t="shared" si="17"/>
        <v>6559.0200000000041</v>
      </c>
      <c r="BP9">
        <f t="shared" si="18"/>
        <v>0.9695807710500024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0.71</v>
      </c>
      <c r="G10" s="19">
        <f>'7'!G7</f>
        <v>19831</v>
      </c>
      <c r="H10" s="19">
        <f>'7'!G8</f>
        <v>20261</v>
      </c>
      <c r="I10" s="19">
        <v>9</v>
      </c>
      <c r="J10" s="49">
        <f t="shared" si="3"/>
        <v>182349</v>
      </c>
      <c r="K10" s="45">
        <f t="shared" si="4"/>
        <v>100.30198019801981</v>
      </c>
      <c r="L10" s="19">
        <f>'7'!G15</f>
        <v>963</v>
      </c>
      <c r="M10" s="19">
        <v>56.2</v>
      </c>
      <c r="N10" s="45">
        <f t="shared" si="5"/>
        <v>54120.600000000006</v>
      </c>
      <c r="O10" s="19">
        <f>'7'!G20</f>
        <v>214</v>
      </c>
      <c r="P10" s="19">
        <v>108</v>
      </c>
      <c r="Q10" s="46">
        <f t="shared" si="0"/>
        <v>23112</v>
      </c>
      <c r="R10" s="47">
        <f t="shared" si="1"/>
        <v>149.21210430902246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79</v>
      </c>
      <c r="W10" s="22">
        <f>'7'!G66</f>
        <v>17</v>
      </c>
      <c r="X10" s="22">
        <f>'7'!G67</f>
        <v>23</v>
      </c>
      <c r="Y10" s="22">
        <f t="shared" si="7"/>
        <v>119</v>
      </c>
      <c r="Z10" s="19">
        <f>'7'!G84</f>
        <v>0</v>
      </c>
      <c r="AA10" s="19">
        <f>'7'!G85</f>
        <v>0</v>
      </c>
      <c r="AB10" s="19">
        <f>'7'!G86</f>
        <v>24.439999999995052</v>
      </c>
      <c r="AC10" s="19">
        <f>'7'!G87</f>
        <v>0</v>
      </c>
      <c r="AD10" s="19">
        <f t="shared" si="8"/>
        <v>24.439999999995052</v>
      </c>
      <c r="AE10" s="23">
        <f t="shared" si="2"/>
        <v>3369</v>
      </c>
      <c r="AF10" s="23">
        <f t="shared" si="9"/>
        <v>137.84779050739289</v>
      </c>
      <c r="AG10" s="19">
        <f>'7'!G88</f>
        <v>0</v>
      </c>
      <c r="AH10" s="19">
        <f>'7'!G89</f>
        <v>10</v>
      </c>
      <c r="AI10" s="19">
        <f>'7'!G90</f>
        <v>5</v>
      </c>
      <c r="AJ10" s="19">
        <f t="shared" si="10"/>
        <v>15</v>
      </c>
      <c r="AK10" s="19">
        <f>'7'!G91</f>
        <v>0</v>
      </c>
      <c r="AL10" s="19">
        <f>'7'!G92</f>
        <v>10.529999999999745</v>
      </c>
      <c r="AM10" s="19"/>
      <c r="AN10" s="19">
        <f t="shared" si="11"/>
        <v>10.529999999999745</v>
      </c>
      <c r="AO10" s="52">
        <f>'7'!G74</f>
        <v>301</v>
      </c>
      <c r="AP10" s="55">
        <f>'7'!G35</f>
        <v>1888</v>
      </c>
      <c r="AQ10" s="19">
        <f>'7'!G37</f>
        <v>1524</v>
      </c>
      <c r="AR10" s="19">
        <f>'7'!G38</f>
        <v>1668</v>
      </c>
      <c r="AS10" s="19">
        <f>'7'!G39</f>
        <v>2675</v>
      </c>
      <c r="AT10" s="19">
        <f>'7'!G40</f>
        <v>608</v>
      </c>
      <c r="AU10" s="19">
        <f>'7'!G41</f>
        <v>0</v>
      </c>
      <c r="AV10" s="19">
        <f>'7'!G42</f>
        <v>0</v>
      </c>
      <c r="AW10" s="19">
        <f>'7'!G43</f>
        <v>2246</v>
      </c>
      <c r="AX10" s="19">
        <f>'7'!G44</f>
        <v>0</v>
      </c>
      <c r="AY10" s="56">
        <f>'7'!G36</f>
        <v>698</v>
      </c>
      <c r="AZ10" s="55">
        <f>'7'!G49</f>
        <v>1639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</v>
      </c>
      <c r="BE10" s="19">
        <f>'7'!G55</f>
        <v>3369</v>
      </c>
      <c r="BF10" s="19">
        <f>'7'!G56</f>
        <v>0</v>
      </c>
      <c r="BG10" s="19">
        <f>'7'!G57</f>
        <v>0</v>
      </c>
      <c r="BH10" s="56">
        <f>'7'!G50</f>
        <v>1043</v>
      </c>
      <c r="BI10" s="60">
        <f t="shared" si="12"/>
        <v>3369</v>
      </c>
      <c r="BJ10" s="60">
        <f>'7'!G133</f>
        <v>756</v>
      </c>
      <c r="BK10" s="23">
        <f t="shared" si="13"/>
        <v>45.121168747840677</v>
      </c>
      <c r="BL10" s="23">
        <f t="shared" si="14"/>
        <v>13.202704703617787</v>
      </c>
      <c r="BM10" s="24">
        <f t="shared" si="15"/>
        <v>8.2325650264054098E-2</v>
      </c>
      <c r="BN10" s="25">
        <f t="shared" si="16"/>
        <v>259581.6</v>
      </c>
      <c r="BO10" s="38">
        <f t="shared" si="17"/>
        <v>6371</v>
      </c>
      <c r="BP10">
        <f t="shared" si="18"/>
        <v>0.93099719429525507</v>
      </c>
    </row>
    <row r="11" spans="1:69" x14ac:dyDescent="0.25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0.71</v>
      </c>
      <c r="G11" s="19">
        <f>'8'!G7</f>
        <v>19232</v>
      </c>
      <c r="H11" s="19">
        <f>'8'!G8</f>
        <v>19647</v>
      </c>
      <c r="I11" s="19">
        <v>9</v>
      </c>
      <c r="J11" s="49">
        <f t="shared" si="3"/>
        <v>176823</v>
      </c>
      <c r="K11" s="45">
        <f t="shared" si="4"/>
        <v>97.262376237623769</v>
      </c>
      <c r="L11" s="19">
        <f>'8'!G15</f>
        <v>925</v>
      </c>
      <c r="M11" s="19">
        <v>56.2</v>
      </c>
      <c r="N11" s="45">
        <f t="shared" si="5"/>
        <v>51985</v>
      </c>
      <c r="O11" s="19">
        <f>'8'!G20</f>
        <v>211</v>
      </c>
      <c r="P11" s="19">
        <v>108</v>
      </c>
      <c r="Q11" s="46">
        <f t="shared" si="0"/>
        <v>22788</v>
      </c>
      <c r="R11" s="47">
        <f t="shared" si="1"/>
        <v>147.12034583740066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92</v>
      </c>
      <c r="W11" s="22">
        <f>'8'!G66</f>
        <v>20</v>
      </c>
      <c r="X11" s="22">
        <f>'8'!G67</f>
        <v>21</v>
      </c>
      <c r="Y11" s="22">
        <f t="shared" si="7"/>
        <v>133</v>
      </c>
      <c r="Z11" s="19">
        <f>'8'!G84</f>
        <v>0</v>
      </c>
      <c r="AA11" s="19">
        <f>'8'!G85</f>
        <v>0</v>
      </c>
      <c r="AB11" s="19">
        <f>'8'!G86</f>
        <v>24.080000000001746</v>
      </c>
      <c r="AC11" s="19">
        <f>'8'!G87</f>
        <v>0</v>
      </c>
      <c r="AD11" s="19">
        <f t="shared" si="8"/>
        <v>24.080000000001746</v>
      </c>
      <c r="AE11" s="23">
        <f t="shared" si="2"/>
        <v>3190</v>
      </c>
      <c r="AF11" s="23">
        <f t="shared" si="9"/>
        <v>132.4750830564688</v>
      </c>
      <c r="AG11" s="19">
        <f>'8'!G88</f>
        <v>0</v>
      </c>
      <c r="AH11" s="19">
        <f>'8'!G89</f>
        <v>9</v>
      </c>
      <c r="AI11" s="19">
        <f>'8'!G90</f>
        <v>4</v>
      </c>
      <c r="AJ11" s="19">
        <f t="shared" si="10"/>
        <v>13</v>
      </c>
      <c r="AK11" s="19">
        <f>'8'!G91</f>
        <v>0</v>
      </c>
      <c r="AL11" s="19">
        <f>'8'!G92</f>
        <v>10.659999999999854</v>
      </c>
      <c r="AM11" s="19"/>
      <c r="AN11" s="19">
        <f t="shared" si="11"/>
        <v>10.659999999999854</v>
      </c>
      <c r="AO11" s="52">
        <f>'8'!G74</f>
        <v>306</v>
      </c>
      <c r="AP11" s="55">
        <f>'8'!G35</f>
        <v>1796</v>
      </c>
      <c r="AQ11" s="19">
        <f>'8'!G37</f>
        <v>1534</v>
      </c>
      <c r="AR11" s="19">
        <f>'8'!G38</f>
        <v>1715</v>
      </c>
      <c r="AS11" s="19">
        <f>'8'!G39</f>
        <v>2685</v>
      </c>
      <c r="AT11" s="19">
        <f>'8'!G40</f>
        <v>562</v>
      </c>
      <c r="AU11" s="19">
        <f>'8'!G41</f>
        <v>0</v>
      </c>
      <c r="AV11" s="19">
        <f>'8'!G42</f>
        <v>0</v>
      </c>
      <c r="AW11" s="19">
        <f>'8'!G43</f>
        <v>2170</v>
      </c>
      <c r="AX11" s="23">
        <f>'8'!G44</f>
        <v>0</v>
      </c>
      <c r="AY11" s="56">
        <f>'8'!G36</f>
        <v>742</v>
      </c>
      <c r="AZ11" s="55">
        <f>'8'!G49</f>
        <v>1620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466</v>
      </c>
      <c r="BE11" s="19">
        <f>'8'!G55</f>
        <v>3190</v>
      </c>
      <c r="BF11" s="19">
        <f>'8'!G56</f>
        <v>0</v>
      </c>
      <c r="BG11" s="19">
        <f>'8'!G57</f>
        <v>0</v>
      </c>
      <c r="BH11" s="56">
        <f>'8'!G50</f>
        <v>974</v>
      </c>
      <c r="BI11" s="60">
        <f t="shared" si="12"/>
        <v>3190</v>
      </c>
      <c r="BJ11" s="60">
        <f>'8'!G133</f>
        <v>767</v>
      </c>
      <c r="BK11" s="23">
        <f t="shared" si="13"/>
        <v>44.668397210770095</v>
      </c>
      <c r="BL11" s="23">
        <f t="shared" si="14"/>
        <v>13.666208581462818</v>
      </c>
      <c r="BM11" s="24">
        <f t="shared" si="15"/>
        <v>8.72906805110195E-2</v>
      </c>
      <c r="BN11" s="25">
        <f t="shared" si="16"/>
        <v>251596</v>
      </c>
      <c r="BO11" s="38">
        <f t="shared" si="17"/>
        <v>6127</v>
      </c>
      <c r="BP11">
        <f t="shared" si="18"/>
        <v>0.90872686283809267</v>
      </c>
    </row>
    <row r="12" spans="1:69" x14ac:dyDescent="0.25">
      <c r="A12" s="16">
        <v>9</v>
      </c>
      <c r="B12" s="27">
        <v>9</v>
      </c>
      <c r="C12" s="26"/>
      <c r="D12" s="19">
        <f>'9'!D3</f>
        <v>23</v>
      </c>
      <c r="E12" s="50">
        <f>'9'!D4</f>
        <v>0.77</v>
      </c>
      <c r="F12" s="50">
        <f>'9'!D2</f>
        <v>0.7</v>
      </c>
      <c r="G12" s="19">
        <f>'9'!G7</f>
        <v>17711</v>
      </c>
      <c r="H12" s="19">
        <f>'9'!G8</f>
        <v>18011</v>
      </c>
      <c r="I12" s="19">
        <v>9</v>
      </c>
      <c r="J12" s="49">
        <f t="shared" si="3"/>
        <v>162099</v>
      </c>
      <c r="K12" s="45">
        <f t="shared" si="4"/>
        <v>89.163366336633658</v>
      </c>
      <c r="L12" s="19">
        <f>'9'!G15</f>
        <v>907</v>
      </c>
      <c r="M12" s="19">
        <v>56.2</v>
      </c>
      <c r="N12" s="45">
        <f t="shared" si="5"/>
        <v>50973.4</v>
      </c>
      <c r="O12" s="19">
        <f>'9'!G20</f>
        <v>205</v>
      </c>
      <c r="P12" s="19">
        <v>108</v>
      </c>
      <c r="Q12" s="46">
        <f t="shared" si="0"/>
        <v>22140</v>
      </c>
      <c r="R12" s="47">
        <f t="shared" si="1"/>
        <v>144.97878359264502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78</v>
      </c>
      <c r="W12" s="22">
        <f>'9'!G66</f>
        <v>17</v>
      </c>
      <c r="X12" s="22">
        <f>'9'!G67</f>
        <v>24</v>
      </c>
      <c r="Y12" s="22">
        <f t="shared" si="7"/>
        <v>119</v>
      </c>
      <c r="Z12" s="19">
        <f>'9'!G84</f>
        <v>0</v>
      </c>
      <c r="AA12" s="19">
        <f>'9'!G85</f>
        <v>0</v>
      </c>
      <c r="AB12" s="19">
        <f>'9'!G86</f>
        <v>24</v>
      </c>
      <c r="AC12" s="19">
        <f>'9'!G87</f>
        <v>0</v>
      </c>
      <c r="AD12" s="19">
        <f t="shared" si="8"/>
        <v>24</v>
      </c>
      <c r="AE12" s="23">
        <f t="shared" si="2"/>
        <v>2762.4599999999991</v>
      </c>
      <c r="AF12" s="23">
        <f t="shared" si="9"/>
        <v>115.10249999999996</v>
      </c>
      <c r="AG12" s="19">
        <f>'9'!G88</f>
        <v>0</v>
      </c>
      <c r="AH12" s="19">
        <f>'9'!G89</f>
        <v>9</v>
      </c>
      <c r="AI12" s="19">
        <f>'9'!G90</f>
        <v>2</v>
      </c>
      <c r="AJ12" s="19">
        <f t="shared" si="10"/>
        <v>11</v>
      </c>
      <c r="AK12" s="19">
        <f>'9'!G91</f>
        <v>0</v>
      </c>
      <c r="AL12" s="19">
        <f>'9'!G92</f>
        <v>11</v>
      </c>
      <c r="AM12" s="19"/>
      <c r="AN12" s="19">
        <f t="shared" si="11"/>
        <v>11</v>
      </c>
      <c r="AO12" s="52">
        <f>'9'!G74</f>
        <v>305</v>
      </c>
      <c r="AP12" s="55">
        <f>'9'!G35</f>
        <v>1783</v>
      </c>
      <c r="AQ12" s="19">
        <f>'9'!G37</f>
        <v>1472</v>
      </c>
      <c r="AR12" s="19">
        <f>'9'!G38</f>
        <v>1658</v>
      </c>
      <c r="AS12" s="19">
        <f>'9'!G39</f>
        <v>2610</v>
      </c>
      <c r="AT12" s="19">
        <f>'9'!G40</f>
        <v>620</v>
      </c>
      <c r="AU12" s="19">
        <f>'9'!G41</f>
        <v>0</v>
      </c>
      <c r="AV12" s="19">
        <f>'9'!G42</f>
        <v>0</v>
      </c>
      <c r="AW12" s="19">
        <f>'9'!G43</f>
        <v>2151</v>
      </c>
      <c r="AX12" s="23">
        <f>'9'!G44</f>
        <v>0</v>
      </c>
      <c r="AY12" s="56">
        <f>'9'!G36</f>
        <v>704</v>
      </c>
      <c r="AZ12" s="55">
        <f>'9'!G49</f>
        <v>1306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471</v>
      </c>
      <c r="BE12" s="19">
        <f>'9'!G55</f>
        <v>2762</v>
      </c>
      <c r="BF12" s="19">
        <f>'9'!G56</f>
        <v>0.45999999999912689</v>
      </c>
      <c r="BG12" s="19">
        <f>'9'!G57</f>
        <v>0</v>
      </c>
      <c r="BH12" s="56">
        <f>'9'!G50</f>
        <v>969</v>
      </c>
      <c r="BI12" s="60">
        <f t="shared" si="12"/>
        <v>2762.4599999999991</v>
      </c>
      <c r="BJ12" s="60">
        <f>'8'!G133</f>
        <v>767</v>
      </c>
      <c r="BK12" s="23">
        <f t="shared" si="13"/>
        <v>44.430958858475371</v>
      </c>
      <c r="BL12" s="23">
        <f t="shared" si="14"/>
        <v>14.491144300705123</v>
      </c>
      <c r="BM12" s="24">
        <f t="shared" si="15"/>
        <v>9.2054855366165117E-2</v>
      </c>
      <c r="BN12" s="25">
        <f t="shared" si="16"/>
        <v>235212.4</v>
      </c>
      <c r="BO12" s="38">
        <f t="shared" si="17"/>
        <v>5680.4599999999991</v>
      </c>
      <c r="BP12">
        <f t="shared" si="18"/>
        <v>0.84530654761904744</v>
      </c>
    </row>
    <row r="13" spans="1:69" x14ac:dyDescent="0.25">
      <c r="A13" s="16">
        <v>10</v>
      </c>
      <c r="B13" s="27">
        <v>10</v>
      </c>
      <c r="C13" s="26"/>
      <c r="D13" s="19">
        <f>'10'!D3</f>
        <v>26</v>
      </c>
      <c r="E13" s="50">
        <f>'10'!D4</f>
        <v>0.78</v>
      </c>
      <c r="F13" s="50">
        <f>'10'!D2</f>
        <v>0.91</v>
      </c>
      <c r="G13" s="19">
        <f>'10'!G7</f>
        <v>23500</v>
      </c>
      <c r="H13" s="19">
        <f>'10'!G8</f>
        <v>23500</v>
      </c>
      <c r="I13" s="19">
        <v>9</v>
      </c>
      <c r="J13" s="49">
        <f t="shared" si="3"/>
        <v>211500</v>
      </c>
      <c r="K13" s="45">
        <f t="shared" si="4"/>
        <v>116.33663366336634</v>
      </c>
      <c r="L13" s="19">
        <f>'10'!G15</f>
        <v>1100</v>
      </c>
      <c r="M13" s="19">
        <v>56.2</v>
      </c>
      <c r="N13" s="45">
        <f t="shared" si="5"/>
        <v>61820</v>
      </c>
      <c r="O13" s="19">
        <f>'10'!G20</f>
        <v>325</v>
      </c>
      <c r="P13" s="19">
        <v>108</v>
      </c>
      <c r="Q13" s="46">
        <f t="shared" si="0"/>
        <v>35100</v>
      </c>
      <c r="R13" s="47">
        <f t="shared" si="1"/>
        <v>176.80339462517682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-2894</v>
      </c>
      <c r="W13" s="22">
        <f>'10'!G66</f>
        <v>-596</v>
      </c>
      <c r="X13" s="22">
        <f>'10'!G67</f>
        <v>-860</v>
      </c>
      <c r="Y13" s="22">
        <f t="shared" si="7"/>
        <v>-4350</v>
      </c>
      <c r="Z13" s="19">
        <f>'10'!G84</f>
        <v>0.76000000000203727</v>
      </c>
      <c r="AA13" s="19">
        <f>'10'!G85</f>
        <v>-451.55999999999995</v>
      </c>
      <c r="AB13" s="19">
        <f>'10'!G86</f>
        <v>-253.52999999999884</v>
      </c>
      <c r="AC13" s="19">
        <f>'10'!G87</f>
        <v>-65.55000000000291</v>
      </c>
      <c r="AD13" s="19">
        <f t="shared" si="8"/>
        <v>-769.87999999999965</v>
      </c>
      <c r="AE13" s="23">
        <f t="shared" si="2"/>
        <v>1043261.4</v>
      </c>
      <c r="AF13" s="23">
        <f t="shared" si="9"/>
        <v>-1355.0961188756696</v>
      </c>
      <c r="AG13" s="19">
        <f>'10'!G88</f>
        <v>-64</v>
      </c>
      <c r="AH13" s="19">
        <f>'10'!G89</f>
        <v>-229</v>
      </c>
      <c r="AI13" s="19">
        <f>'10'!G90</f>
        <v>-173</v>
      </c>
      <c r="AJ13" s="19">
        <f t="shared" si="10"/>
        <v>-466</v>
      </c>
      <c r="AK13" s="19">
        <f>'10'!G91</f>
        <v>0</v>
      </c>
      <c r="AL13" s="19">
        <f>'10'!G92</f>
        <v>-322.5</v>
      </c>
      <c r="AM13" s="19"/>
      <c r="AN13" s="19">
        <f t="shared" si="11"/>
        <v>-322.5</v>
      </c>
      <c r="AO13" s="52">
        <f>'10'!G74</f>
        <v>-9207</v>
      </c>
      <c r="AP13" s="55">
        <f>'10'!G35</f>
        <v>112804</v>
      </c>
      <c r="AQ13" s="19">
        <f>'10'!G37</f>
        <v>160616</v>
      </c>
      <c r="AR13" s="19">
        <f>'10'!G38</f>
        <v>189042</v>
      </c>
      <c r="AS13" s="19">
        <f>'10'!G39</f>
        <v>348084</v>
      </c>
      <c r="AT13" s="19">
        <f>'10'!G40</f>
        <v>-8367</v>
      </c>
      <c r="AU13" s="19">
        <f>'10'!G41</f>
        <v>599900</v>
      </c>
      <c r="AV13" s="19">
        <f>'10'!G42</f>
        <v>270185.40000000002</v>
      </c>
      <c r="AW13" s="19">
        <f>'10'!G43</f>
        <v>1487030</v>
      </c>
      <c r="AX13" s="23">
        <f>'10'!G44</f>
        <v>0</v>
      </c>
      <c r="AY13" s="56">
        <f>'10'!G36</f>
        <v>61055</v>
      </c>
      <c r="AZ13" s="55">
        <f>'10'!G49</f>
        <v>236649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2307</v>
      </c>
      <c r="BE13" s="19">
        <f>'10'!G55</f>
        <v>-31231</v>
      </c>
      <c r="BF13" s="19">
        <f>'10'!G56</f>
        <v>204407</v>
      </c>
      <c r="BG13" s="19">
        <f>'10'!G57</f>
        <v>0</v>
      </c>
      <c r="BH13" s="56">
        <f>'10'!G50</f>
        <v>703513</v>
      </c>
      <c r="BI13" s="60">
        <f t="shared" si="12"/>
        <v>1043261.4</v>
      </c>
      <c r="BJ13" s="60">
        <f>'8'!G133</f>
        <v>767</v>
      </c>
      <c r="BK13" s="23">
        <f t="shared" si="13"/>
        <v>12254.231489361702</v>
      </c>
      <c r="BL13" s="23">
        <f t="shared" si="14"/>
        <v>1481.2085106382979</v>
      </c>
      <c r="BM13" s="24">
        <f t="shared" si="15"/>
        <v>8.0443404255319155</v>
      </c>
      <c r="BN13" s="25">
        <f t="shared" si="16"/>
        <v>308420</v>
      </c>
      <c r="BO13" s="38">
        <f t="shared" si="17"/>
        <v>2531058.4</v>
      </c>
      <c r="BP13">
        <f t="shared" si="18"/>
        <v>-11.741432802143567</v>
      </c>
    </row>
    <row r="14" spans="1:69" x14ac:dyDescent="0.25">
      <c r="A14" s="16">
        <v>11</v>
      </c>
      <c r="B14" s="17">
        <v>11</v>
      </c>
      <c r="C14" s="27"/>
      <c r="D14" s="19">
        <f>'11'!D3</f>
        <v>27</v>
      </c>
      <c r="E14" s="50">
        <f>'11'!D4</f>
        <v>0.78</v>
      </c>
      <c r="F14" s="50">
        <f>'11'!D2</f>
        <v>0.76</v>
      </c>
      <c r="G14" s="19">
        <f>'11'!G7</f>
        <v>23500</v>
      </c>
      <c r="H14" s="19">
        <f>'11'!G8</f>
        <v>23500</v>
      </c>
      <c r="I14" s="19">
        <v>9</v>
      </c>
      <c r="J14" s="49">
        <f t="shared" si="3"/>
        <v>211500</v>
      </c>
      <c r="K14" s="45">
        <f t="shared" si="4"/>
        <v>116.33663366336634</v>
      </c>
      <c r="L14" s="19">
        <f>'11'!G15</f>
        <v>1100</v>
      </c>
      <c r="M14" s="19">
        <v>56.2</v>
      </c>
      <c r="N14" s="45">
        <f t="shared" si="5"/>
        <v>61820</v>
      </c>
      <c r="O14" s="19">
        <f>'11'!G20</f>
        <v>445</v>
      </c>
      <c r="P14" s="19">
        <v>108</v>
      </c>
      <c r="Q14" s="46">
        <f t="shared" si="0"/>
        <v>48060</v>
      </c>
      <c r="R14" s="47">
        <f t="shared" si="1"/>
        <v>289.86451276706617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20</v>
      </c>
      <c r="X14" s="22">
        <f>'11'!G67</f>
        <v>34</v>
      </c>
      <c r="Y14" s="22">
        <f t="shared" si="7"/>
        <v>158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8.5199999999967986</v>
      </c>
      <c r="AD14" s="19">
        <f t="shared" si="8"/>
        <v>32.519999999996799</v>
      </c>
      <c r="AE14" s="23">
        <f t="shared" si="2"/>
        <v>5467</v>
      </c>
      <c r="AF14" s="23">
        <f t="shared" si="9"/>
        <v>168.11193111932775</v>
      </c>
      <c r="AG14" s="19">
        <f>'11'!G88</f>
        <v>0</v>
      </c>
      <c r="AH14" s="19">
        <f>'11'!G89</f>
        <v>13</v>
      </c>
      <c r="AI14" s="19">
        <f>'11'!G90</f>
        <v>5</v>
      </c>
      <c r="AJ14" s="19">
        <f t="shared" si="10"/>
        <v>18</v>
      </c>
      <c r="AK14" s="19">
        <f>'11'!G91</f>
        <v>0</v>
      </c>
      <c r="AL14" s="19">
        <f>'11'!G92</f>
        <v>10.5</v>
      </c>
      <c r="AM14" s="19"/>
      <c r="AN14" s="19">
        <f t="shared" si="11"/>
        <v>10.5</v>
      </c>
      <c r="AO14" s="52">
        <f>'11'!G74</f>
        <v>309</v>
      </c>
      <c r="AP14" s="55">
        <f>'11'!G35</f>
        <v>2136</v>
      </c>
      <c r="AQ14" s="19">
        <f>'11'!G37</f>
        <v>1605</v>
      </c>
      <c r="AR14" s="19">
        <f>'11'!G38</f>
        <v>2162</v>
      </c>
      <c r="AS14" s="19">
        <f>'11'!G39</f>
        <v>2960</v>
      </c>
      <c r="AT14" s="19">
        <f>'11'!G40</f>
        <v>0</v>
      </c>
      <c r="AU14" s="19">
        <f>'11'!G41</f>
        <v>0</v>
      </c>
      <c r="AV14" s="19">
        <f>'11'!G42</f>
        <v>4505</v>
      </c>
      <c r="AW14" s="19">
        <f>'11'!G43</f>
        <v>2753</v>
      </c>
      <c r="AX14" s="23">
        <f>'11'!G44</f>
        <v>0</v>
      </c>
      <c r="AY14" s="56">
        <f>'11'!G36</f>
        <v>806</v>
      </c>
      <c r="AZ14" s="55">
        <f>'11'!G49</f>
        <v>1730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</v>
      </c>
      <c r="BE14" s="19">
        <f>'11'!G55</f>
        <v>0</v>
      </c>
      <c r="BF14" s="19">
        <f>'11'!G56</f>
        <v>962</v>
      </c>
      <c r="BG14" s="19">
        <f>'11'!G57</f>
        <v>0</v>
      </c>
      <c r="BH14" s="56">
        <f>'11'!G50</f>
        <v>1517</v>
      </c>
      <c r="BI14" s="60">
        <f t="shared" si="12"/>
        <v>5467</v>
      </c>
      <c r="BJ14" s="60">
        <f>'11'!G133</f>
        <v>857</v>
      </c>
      <c r="BK14" s="23">
        <f t="shared" si="13"/>
        <v>51.42978723404255</v>
      </c>
      <c r="BL14" s="23">
        <f t="shared" si="14"/>
        <v>12.595744680851064</v>
      </c>
      <c r="BM14" s="24">
        <f t="shared" si="15"/>
        <v>9.1999999999999998E-2</v>
      </c>
      <c r="BN14" s="25">
        <f t="shared" si="16"/>
        <v>321380</v>
      </c>
      <c r="BO14" s="38">
        <f t="shared" si="17"/>
        <v>9077</v>
      </c>
      <c r="BP14">
        <f t="shared" si="18"/>
        <v>0.99685907573371257</v>
      </c>
    </row>
    <row r="15" spans="1:69" x14ac:dyDescent="0.25">
      <c r="A15" s="16">
        <v>12</v>
      </c>
      <c r="B15" s="26">
        <v>12</v>
      </c>
      <c r="C15" s="27"/>
      <c r="D15" s="19">
        <f>'12'!D3</f>
        <v>27</v>
      </c>
      <c r="E15" s="50">
        <f>'12'!D4</f>
        <v>0.78</v>
      </c>
      <c r="F15" s="50">
        <f>'12'!D2</f>
        <v>0.75</v>
      </c>
      <c r="G15" s="19">
        <f>'12'!G7</f>
        <v>23500</v>
      </c>
      <c r="H15" s="19">
        <f>'12'!G8</f>
        <v>23500</v>
      </c>
      <c r="I15" s="19">
        <v>9</v>
      </c>
      <c r="J15" s="49">
        <f t="shared" si="3"/>
        <v>211500</v>
      </c>
      <c r="K15" s="45">
        <f t="shared" si="4"/>
        <v>116.33663366336634</v>
      </c>
      <c r="L15" s="19">
        <f>'12'!G15</f>
        <v>1100</v>
      </c>
      <c r="M15" s="19">
        <v>56.2</v>
      </c>
      <c r="N15" s="41">
        <f t="shared" si="5"/>
        <v>61820</v>
      </c>
      <c r="O15" s="19">
        <f>'12'!G20</f>
        <v>565</v>
      </c>
      <c r="P15" s="19">
        <v>108</v>
      </c>
      <c r="Q15" s="46">
        <f t="shared" si="0"/>
        <v>61020</v>
      </c>
      <c r="R15" s="47">
        <f t="shared" si="1"/>
        <v>372.93729372937298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105</v>
      </c>
      <c r="W15" s="22">
        <f>'12'!G66</f>
        <v>21</v>
      </c>
      <c r="X15" s="22">
        <f>'12'!G67</f>
        <v>33</v>
      </c>
      <c r="Y15" s="22">
        <f t="shared" si="7"/>
        <v>159</v>
      </c>
      <c r="Z15" s="19">
        <f>'12'!G84</f>
        <v>0</v>
      </c>
      <c r="AA15" s="19">
        <f>'12'!G85</f>
        <v>24</v>
      </c>
      <c r="AB15" s="19">
        <f>'12'!G86</f>
        <v>0</v>
      </c>
      <c r="AC15" s="19">
        <f>'12'!G87</f>
        <v>10.930000000000291</v>
      </c>
      <c r="AD15" s="19">
        <f t="shared" si="8"/>
        <v>34.930000000000291</v>
      </c>
      <c r="AE15" s="23">
        <f t="shared" si="2"/>
        <v>5511</v>
      </c>
      <c r="AF15" s="23">
        <f t="shared" si="9"/>
        <v>157.77268823360876</v>
      </c>
      <c r="AG15" s="19">
        <f>'12'!G88</f>
        <v>11.529999999998836</v>
      </c>
      <c r="AH15" s="19">
        <f>'12'!G89</f>
        <v>-0.36000000000058208</v>
      </c>
      <c r="AI15" s="19">
        <f>'12'!G90</f>
        <v>8</v>
      </c>
      <c r="AJ15" s="19">
        <f t="shared" si="10"/>
        <v>19.169999999998254</v>
      </c>
      <c r="AK15" s="19">
        <f>'12'!G91</f>
        <v>0</v>
      </c>
      <c r="AL15" s="19">
        <f>'12'!G92</f>
        <v>10.75</v>
      </c>
      <c r="AM15" s="19"/>
      <c r="AN15" s="19">
        <f t="shared" si="11"/>
        <v>10.75</v>
      </c>
      <c r="AO15" s="52">
        <f>'12'!G74</f>
        <v>300</v>
      </c>
      <c r="AP15" s="55">
        <f>'12'!G35</f>
        <v>2138</v>
      </c>
      <c r="AQ15" s="19">
        <f>'12'!G37</f>
        <v>1688</v>
      </c>
      <c r="AR15" s="19">
        <f>'12'!G38</f>
        <v>2175</v>
      </c>
      <c r="AS15" s="19">
        <f>'12'!G39</f>
        <v>3054</v>
      </c>
      <c r="AT15" s="19">
        <f>'12'!G40</f>
        <v>0</v>
      </c>
      <c r="AU15" s="19">
        <f>'12'!G41</f>
        <v>0</v>
      </c>
      <c r="AV15" s="19">
        <f>'12'!G42</f>
        <v>4329</v>
      </c>
      <c r="AW15" s="19">
        <f>'12'!G43</f>
        <v>2634</v>
      </c>
      <c r="AX15" s="23">
        <f>'12'!G44</f>
        <v>0</v>
      </c>
      <c r="AY15" s="56">
        <f>'12'!G36</f>
        <v>1141</v>
      </c>
      <c r="AZ15" s="55">
        <f>'12'!G49</f>
        <v>1760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1182</v>
      </c>
      <c r="BG15" s="19">
        <f>'12'!G57</f>
        <v>0</v>
      </c>
      <c r="BH15" s="56">
        <f>'12'!G50</f>
        <v>1046</v>
      </c>
      <c r="BI15" s="60">
        <f t="shared" si="12"/>
        <v>5511</v>
      </c>
      <c r="BJ15" s="60">
        <f>'12'!G133</f>
        <v>852</v>
      </c>
      <c r="BK15" s="23">
        <f t="shared" si="13"/>
        <v>51.246808510638296</v>
      </c>
      <c r="BL15" s="23">
        <f t="shared" si="14"/>
        <v>12.995744680851065</v>
      </c>
      <c r="BM15" s="24">
        <f t="shared" si="15"/>
        <v>9.2553191489361697E-2</v>
      </c>
      <c r="BN15" s="25">
        <f t="shared" si="16"/>
        <v>334340</v>
      </c>
      <c r="BO15" s="38">
        <f t="shared" si="17"/>
        <v>8997</v>
      </c>
      <c r="BP15">
        <f t="shared" si="18"/>
        <v>0.91990102654287398</v>
      </c>
    </row>
    <row r="16" spans="1:69" x14ac:dyDescent="0.25">
      <c r="A16" s="16">
        <v>13</v>
      </c>
      <c r="B16" s="26">
        <v>13</v>
      </c>
      <c r="C16" s="26"/>
      <c r="D16" s="19">
        <f>'13'!D3</f>
        <v>27</v>
      </c>
      <c r="E16" s="50">
        <f>'13'!D4</f>
        <v>0.72</v>
      </c>
      <c r="F16" s="50">
        <f>'13'!D2</f>
        <v>0.5</v>
      </c>
      <c r="G16" s="19">
        <f>'13'!G7</f>
        <v>23500</v>
      </c>
      <c r="H16" s="19">
        <f>'13'!G8</f>
        <v>23500</v>
      </c>
      <c r="I16" s="19">
        <v>9</v>
      </c>
      <c r="J16" s="49">
        <f t="shared" si="3"/>
        <v>211500</v>
      </c>
      <c r="K16" s="45">
        <f t="shared" si="4"/>
        <v>116.33663366336634</v>
      </c>
      <c r="L16" s="19">
        <f>'13'!G15</f>
        <v>1100</v>
      </c>
      <c r="M16" s="19">
        <v>56.2</v>
      </c>
      <c r="N16" s="41">
        <f t="shared" si="5"/>
        <v>61820</v>
      </c>
      <c r="O16" s="19">
        <f>'13'!G20</f>
        <v>685</v>
      </c>
      <c r="P16" s="19">
        <v>108</v>
      </c>
      <c r="Q16" s="46">
        <f t="shared" si="0"/>
        <v>73980</v>
      </c>
      <c r="R16" s="47">
        <f t="shared" si="1"/>
        <v>678.21782178217825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152</v>
      </c>
      <c r="W16" s="22">
        <f>'13'!G66</f>
        <v>19</v>
      </c>
      <c r="X16" s="22">
        <f>'13'!G67</f>
        <v>30</v>
      </c>
      <c r="Y16" s="22">
        <f t="shared" si="7"/>
        <v>201</v>
      </c>
      <c r="Z16" s="19">
        <f>'13'!G84</f>
        <v>0</v>
      </c>
      <c r="AA16" s="19">
        <f>'13'!G85</f>
        <v>24</v>
      </c>
      <c r="AB16" s="19">
        <f>'13'!G86</f>
        <v>0</v>
      </c>
      <c r="AC16" s="19">
        <f>'13'!G87</f>
        <v>2.8100000000049477</v>
      </c>
      <c r="AD16" s="19">
        <f t="shared" si="8"/>
        <v>26.810000000004948</v>
      </c>
      <c r="AE16" s="23">
        <f t="shared" si="2"/>
        <v>5072</v>
      </c>
      <c r="AF16" s="23">
        <f t="shared" si="9"/>
        <v>189.18314061913705</v>
      </c>
      <c r="AG16" s="19">
        <f>'13'!G88</f>
        <v>0</v>
      </c>
      <c r="AH16" s="19">
        <f>'13'!G89</f>
        <v>11.529999999998836</v>
      </c>
      <c r="AI16" s="19">
        <f>'13'!G90</f>
        <v>7.0299999999988358</v>
      </c>
      <c r="AJ16" s="19">
        <f t="shared" si="10"/>
        <v>18.559999999997672</v>
      </c>
      <c r="AK16" s="19">
        <f>'13'!G91</f>
        <v>0</v>
      </c>
      <c r="AL16" s="19">
        <f>'13'!G92</f>
        <v>11.529999999999745</v>
      </c>
      <c r="AM16" s="19"/>
      <c r="AN16" s="19">
        <f t="shared" si="11"/>
        <v>11.529999999999745</v>
      </c>
      <c r="AO16" s="52">
        <f>'13'!G74</f>
        <v>329</v>
      </c>
      <c r="AP16" s="55">
        <f>'13'!G35</f>
        <v>2004</v>
      </c>
      <c r="AQ16" s="19">
        <f>'13'!G37</f>
        <v>1431</v>
      </c>
      <c r="AR16" s="19">
        <f>'13'!G38</f>
        <v>2095</v>
      </c>
      <c r="AS16" s="19">
        <f>'13'!G39</f>
        <v>3101</v>
      </c>
      <c r="AT16" s="19">
        <f>'13'!G40</f>
        <v>0</v>
      </c>
      <c r="AU16" s="19">
        <f>'13'!G41</f>
        <v>0</v>
      </c>
      <c r="AV16" s="19">
        <f>'13'!G42</f>
        <v>4832</v>
      </c>
      <c r="AW16" s="19">
        <f>'13'!G43</f>
        <v>2771</v>
      </c>
      <c r="AX16" s="23">
        <f>'13'!G44</f>
        <v>0</v>
      </c>
      <c r="AY16" s="56">
        <f>'13'!G36</f>
        <v>1205</v>
      </c>
      <c r="AZ16" s="55">
        <f>'13'!G49</f>
        <v>1763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240</v>
      </c>
      <c r="BG16" s="19">
        <f>'13'!G57</f>
        <v>0</v>
      </c>
      <c r="BH16" s="56">
        <f>'13'!G50</f>
        <v>1701</v>
      </c>
      <c r="BI16" s="60">
        <f t="shared" si="12"/>
        <v>5072</v>
      </c>
      <c r="BJ16" s="60">
        <f>'13'!G133</f>
        <v>828</v>
      </c>
      <c r="BK16" s="23">
        <f t="shared" si="13"/>
        <v>49.404255319148938</v>
      </c>
      <c r="BL16" s="23">
        <f t="shared" si="14"/>
        <v>13.195744680851064</v>
      </c>
      <c r="BM16" s="24">
        <f t="shared" si="15"/>
        <v>8.9148936170212773E-2</v>
      </c>
      <c r="BN16" s="25">
        <f t="shared" si="16"/>
        <v>347300</v>
      </c>
      <c r="BO16" s="38">
        <f t="shared" si="17"/>
        <v>8671</v>
      </c>
      <c r="BP16">
        <f t="shared" si="18"/>
        <v>1.1550860553096391</v>
      </c>
    </row>
    <row r="17" spans="1:68" x14ac:dyDescent="0.25">
      <c r="A17" s="16">
        <v>14</v>
      </c>
      <c r="B17" s="17">
        <v>14</v>
      </c>
      <c r="C17" s="27"/>
      <c r="D17" s="19">
        <f>'14'!D3</f>
        <v>26</v>
      </c>
      <c r="E17" s="50">
        <f>'14'!D4</f>
        <v>0.65</v>
      </c>
      <c r="F17" s="50">
        <f>'14'!D2</f>
        <v>0.54</v>
      </c>
      <c r="G17" s="19">
        <f>'14'!G7</f>
        <v>23500</v>
      </c>
      <c r="H17" s="19">
        <f>'14'!G8</f>
        <v>23500</v>
      </c>
      <c r="I17" s="19">
        <v>9</v>
      </c>
      <c r="J17" s="49">
        <f t="shared" si="3"/>
        <v>211500</v>
      </c>
      <c r="K17" s="45">
        <f t="shared" si="4"/>
        <v>116.33663366336634</v>
      </c>
      <c r="L17" s="19">
        <f>'14'!G15</f>
        <v>1100</v>
      </c>
      <c r="M17" s="19">
        <v>56.2</v>
      </c>
      <c r="N17" s="41">
        <f t="shared" si="5"/>
        <v>61820</v>
      </c>
      <c r="O17" s="19">
        <f>'14'!G20</f>
        <v>805</v>
      </c>
      <c r="P17" s="19">
        <v>108</v>
      </c>
      <c r="Q17" s="46">
        <f t="shared" si="0"/>
        <v>86940</v>
      </c>
      <c r="R17" s="47">
        <f t="shared" si="1"/>
        <v>737.99046571323788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105</v>
      </c>
      <c r="W17" s="22">
        <f>'14'!G66</f>
        <v>18</v>
      </c>
      <c r="X17" s="22">
        <f>'14'!G67</f>
        <v>32</v>
      </c>
      <c r="Y17" s="22">
        <f>V17+W17+X17</f>
        <v>155</v>
      </c>
      <c r="Z17" s="19">
        <f>'14'!G84</f>
        <v>0</v>
      </c>
      <c r="AA17" s="19">
        <f>'14'!G85</f>
        <v>7</v>
      </c>
      <c r="AB17" s="19">
        <f>'14'!G86</f>
        <v>0</v>
      </c>
      <c r="AC17" s="19">
        <f>'14'!G87</f>
        <v>19.739999999997963</v>
      </c>
      <c r="AD17" s="19">
        <f t="shared" si="8"/>
        <v>26.739999999997963</v>
      </c>
      <c r="AE17" s="23">
        <f t="shared" si="2"/>
        <v>3919</v>
      </c>
      <c r="AF17" s="23">
        <f t="shared" si="9"/>
        <v>146.55946148093861</v>
      </c>
      <c r="AG17" s="19">
        <f>'14'!G88</f>
        <v>0</v>
      </c>
      <c r="AH17" s="19">
        <f>'14'!G89</f>
        <v>11.720000000001164</v>
      </c>
      <c r="AI17" s="19">
        <f>'14'!G90</f>
        <v>6.1699999999982538</v>
      </c>
      <c r="AJ17" s="19">
        <f t="shared" si="10"/>
        <v>17.889999999999418</v>
      </c>
      <c r="AK17" s="19">
        <f>'14'!G91</f>
        <v>0</v>
      </c>
      <c r="AL17" s="19">
        <f>'14'!G92</f>
        <v>11.230000000000473</v>
      </c>
      <c r="AM17" s="19"/>
      <c r="AN17" s="19">
        <f t="shared" si="11"/>
        <v>11.230000000000473</v>
      </c>
      <c r="AO17" s="52">
        <f>'14'!G44</f>
        <v>0</v>
      </c>
      <c r="AP17" s="55">
        <f>'14'!G35</f>
        <v>2110</v>
      </c>
      <c r="AQ17" s="19">
        <f>'14'!G37</f>
        <v>1598</v>
      </c>
      <c r="AR17" s="19">
        <f>'14'!G38</f>
        <v>2029</v>
      </c>
      <c r="AS17" s="19">
        <f>'14'!G39</f>
        <v>3022</v>
      </c>
      <c r="AT17" s="19">
        <f>'14'!G40</f>
        <v>4</v>
      </c>
      <c r="AU17" s="19">
        <f>'14'!G41</f>
        <v>0</v>
      </c>
      <c r="AV17" s="19">
        <f>'14'!G42</f>
        <v>1294</v>
      </c>
      <c r="AW17" s="19">
        <f>'14'!G43</f>
        <v>2768</v>
      </c>
      <c r="AX17" s="23">
        <f>'14'!G44</f>
        <v>0</v>
      </c>
      <c r="AY17" s="56">
        <f>'14'!G36</f>
        <v>1164</v>
      </c>
      <c r="AZ17" s="55">
        <f>'14'!G49</f>
        <v>1780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</v>
      </c>
      <c r="BE17" s="19">
        <f>'14'!G55</f>
        <v>0</v>
      </c>
      <c r="BF17" s="19">
        <f>'14'!G56</f>
        <v>2625</v>
      </c>
      <c r="BG17" s="19">
        <f>'14'!G57</f>
        <v>0</v>
      </c>
      <c r="BH17" s="56">
        <f>'14'!G50</f>
        <v>1163</v>
      </c>
      <c r="BI17" s="60">
        <f t="shared" si="12"/>
        <v>3919</v>
      </c>
      <c r="BJ17" s="60">
        <f>'14'!G133</f>
        <v>833</v>
      </c>
      <c r="BK17" s="23">
        <f t="shared" si="13"/>
        <v>45.008510638297871</v>
      </c>
      <c r="BL17" s="23">
        <f t="shared" si="14"/>
        <v>12.859574468085107</v>
      </c>
      <c r="BM17" s="24">
        <f t="shared" si="15"/>
        <v>8.6340425531914899E-2</v>
      </c>
      <c r="BN17" s="25">
        <f t="shared" si="16"/>
        <v>360260</v>
      </c>
      <c r="BO17" s="38">
        <f t="shared" si="17"/>
        <v>7520</v>
      </c>
      <c r="BP17">
        <f t="shared" si="18"/>
        <v>1.0043808099156657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23500</v>
      </c>
      <c r="H18" s="19">
        <f>'15'!G8</f>
        <v>23500</v>
      </c>
      <c r="I18" s="19">
        <v>9</v>
      </c>
      <c r="J18" s="49">
        <f t="shared" si="3"/>
        <v>211500</v>
      </c>
      <c r="K18" s="45">
        <f t="shared" si="4"/>
        <v>116.33663366336634</v>
      </c>
      <c r="L18" s="19">
        <f>'15'!G15</f>
        <v>1100</v>
      </c>
      <c r="M18" s="19">
        <v>56.2</v>
      </c>
      <c r="N18" s="41">
        <f t="shared" si="5"/>
        <v>61820</v>
      </c>
      <c r="O18" s="19">
        <f>'15'!G20</f>
        <v>925</v>
      </c>
      <c r="P18" s="19">
        <v>108</v>
      </c>
      <c r="Q18" s="46">
        <f t="shared" si="0"/>
        <v>99900</v>
      </c>
      <c r="R18" s="47">
        <f t="shared" si="1"/>
        <v>915.8415841584158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106</v>
      </c>
      <c r="W18" s="22">
        <f>'15'!G66</f>
        <v>13</v>
      </c>
      <c r="X18" s="22">
        <f>'15'!G67</f>
        <v>20</v>
      </c>
      <c r="Y18" s="22">
        <f t="shared" si="7"/>
        <v>139</v>
      </c>
      <c r="Z18" s="19">
        <f>'15'!G84</f>
        <v>0</v>
      </c>
      <c r="AA18" s="19">
        <f>'15'!G85</f>
        <v>24</v>
      </c>
      <c r="AB18" s="19">
        <f>'15'!G86</f>
        <v>0</v>
      </c>
      <c r="AC18" s="19">
        <f>'15'!G87</f>
        <v>7</v>
      </c>
      <c r="AD18" s="19">
        <f t="shared" si="8"/>
        <v>31</v>
      </c>
      <c r="AE18" s="23">
        <f t="shared" si="2"/>
        <v>5187</v>
      </c>
      <c r="AF18" s="23">
        <f t="shared" si="9"/>
        <v>167.32258064516128</v>
      </c>
      <c r="AG18" s="19">
        <f>'15'!G88</f>
        <v>0</v>
      </c>
      <c r="AH18" s="19">
        <f>'15'!G89</f>
        <v>10.209999999999127</v>
      </c>
      <c r="AI18" s="19">
        <f>'15'!G90</f>
        <v>9.7700000000040745</v>
      </c>
      <c r="AJ18" s="19">
        <f t="shared" si="10"/>
        <v>19.980000000003201</v>
      </c>
      <c r="AK18" s="19">
        <f>'15'!G91</f>
        <v>0</v>
      </c>
      <c r="AL18" s="19">
        <f>'15'!G92</f>
        <v>11.260000000000218</v>
      </c>
      <c r="AM18" s="19"/>
      <c r="AN18" s="19">
        <f t="shared" si="11"/>
        <v>11.260000000000218</v>
      </c>
      <c r="AO18" s="52">
        <f>'15'!G74</f>
        <v>322</v>
      </c>
      <c r="AP18" s="55">
        <f>'15'!G35</f>
        <v>2025</v>
      </c>
      <c r="AQ18" s="19">
        <f>'15'!G37</f>
        <v>1543</v>
      </c>
      <c r="AR18" s="19">
        <f>'15'!G38</f>
        <v>1931</v>
      </c>
      <c r="AS18" s="19">
        <f>'15'!G39</f>
        <v>2939</v>
      </c>
      <c r="AT18" s="19">
        <f>'15'!G40</f>
        <v>0</v>
      </c>
      <c r="AU18" s="19">
        <f>'15'!G41</f>
        <v>0</v>
      </c>
      <c r="AV18" s="19">
        <f>'15'!G42</f>
        <v>4436</v>
      </c>
      <c r="AW18" s="19">
        <f>'15'!G43</f>
        <v>2748</v>
      </c>
      <c r="AX18" s="23">
        <f>'15'!G44</f>
        <v>0</v>
      </c>
      <c r="AY18" s="56">
        <f>'15'!G36</f>
        <v>1099</v>
      </c>
      <c r="AZ18" s="55">
        <f>'15'!G49</f>
        <v>1772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</v>
      </c>
      <c r="BE18" s="19">
        <f>'15'!G55</f>
        <v>0</v>
      </c>
      <c r="BF18" s="19">
        <f>'15'!G56</f>
        <v>751</v>
      </c>
      <c r="BG18" s="19">
        <f>'15'!G57</f>
        <v>0</v>
      </c>
      <c r="BH18" s="56">
        <f>'15'!G50</f>
        <v>1582</v>
      </c>
      <c r="BI18" s="60">
        <f t="shared" si="12"/>
        <v>5187</v>
      </c>
      <c r="BJ18" s="60">
        <f>'15'!G133</f>
        <v>818</v>
      </c>
      <c r="BK18" s="23">
        <f t="shared" si="13"/>
        <v>49.923404255319149</v>
      </c>
      <c r="BL18" s="23">
        <f t="shared" si="14"/>
        <v>12.506382978723405</v>
      </c>
      <c r="BM18" s="24">
        <f t="shared" si="15"/>
        <v>8.2170212765957443E-2</v>
      </c>
      <c r="BN18" s="25">
        <f t="shared" si="16"/>
        <v>373220</v>
      </c>
      <c r="BO18" s="38">
        <f t="shared" si="17"/>
        <v>8753</v>
      </c>
      <c r="BP18">
        <f t="shared" si="18"/>
        <v>1.008410138248848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0.62</v>
      </c>
      <c r="F19" s="50">
        <f>'16'!D2</f>
        <v>0.57420000000000004</v>
      </c>
      <c r="G19" s="19">
        <f>'16'!G7</f>
        <v>23500</v>
      </c>
      <c r="H19" s="19">
        <f>'16'!G8</f>
        <v>23500</v>
      </c>
      <c r="I19" s="19">
        <v>9</v>
      </c>
      <c r="J19" s="49">
        <f t="shared" si="3"/>
        <v>211500</v>
      </c>
      <c r="K19" s="45">
        <f t="shared" si="4"/>
        <v>116.33663366336634</v>
      </c>
      <c r="L19" s="19">
        <f>'16'!G15</f>
        <v>1100</v>
      </c>
      <c r="M19" s="19">
        <v>56.2</v>
      </c>
      <c r="N19" s="41">
        <f t="shared" si="5"/>
        <v>61820</v>
      </c>
      <c r="O19" s="19">
        <f>'16'!G20</f>
        <v>1045</v>
      </c>
      <c r="P19" s="19">
        <v>108</v>
      </c>
      <c r="Q19" s="46">
        <f t="shared" si="0"/>
        <v>112860</v>
      </c>
      <c r="R19" s="47">
        <f t="shared" si="1"/>
        <v>900.95216418193536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93</v>
      </c>
      <c r="W19" s="22">
        <f>'16'!G66</f>
        <v>19</v>
      </c>
      <c r="X19" s="22">
        <f>'16'!G67</f>
        <v>23</v>
      </c>
      <c r="Y19" s="22">
        <f t="shared" si="7"/>
        <v>135</v>
      </c>
      <c r="Z19" s="19">
        <f>'16'!G84</f>
        <v>-0.5</v>
      </c>
      <c r="AA19" s="19">
        <f>'16'!G85</f>
        <v>24.069999999999936</v>
      </c>
      <c r="AB19" s="19">
        <f>'16'!G86</f>
        <v>0</v>
      </c>
      <c r="AC19" s="19">
        <f>'16'!G87</f>
        <v>3.0999999999985448</v>
      </c>
      <c r="AD19" s="19">
        <f t="shared" si="8"/>
        <v>26.669999999998481</v>
      </c>
      <c r="AE19" s="23">
        <f t="shared" si="2"/>
        <v>5082.5300000000007</v>
      </c>
      <c r="AF19" s="23">
        <f t="shared" si="9"/>
        <v>190.57105361830858</v>
      </c>
      <c r="AG19" s="19">
        <f>'16'!G88</f>
        <v>-0.39999999999781721</v>
      </c>
      <c r="AH19" s="19">
        <f>'16'!G89</f>
        <v>10.530000000002474</v>
      </c>
      <c r="AI19" s="19">
        <f>'16'!G90</f>
        <v>6.3899999999994179</v>
      </c>
      <c r="AJ19" s="19">
        <f t="shared" si="10"/>
        <v>16.520000000004075</v>
      </c>
      <c r="AK19" s="19">
        <f>'16'!G91</f>
        <v>0</v>
      </c>
      <c r="AL19" s="19">
        <f>'16'!G92</f>
        <v>11.819999999999709</v>
      </c>
      <c r="AM19" s="19"/>
      <c r="AN19" s="19">
        <f t="shared" si="11"/>
        <v>11.819999999999709</v>
      </c>
      <c r="AO19" s="52">
        <f>'16'!G74</f>
        <v>330.4100000000326</v>
      </c>
      <c r="AP19" s="55">
        <f>'16'!G35</f>
        <v>1939.7899999999936</v>
      </c>
      <c r="AQ19" s="19">
        <f>'16'!G37</f>
        <v>1565.3299999999872</v>
      </c>
      <c r="AR19" s="19">
        <f>'16'!G38</f>
        <v>1985.609999999986</v>
      </c>
      <c r="AS19" s="19">
        <f>'16'!G39</f>
        <v>2949.8699999999953</v>
      </c>
      <c r="AT19" s="19">
        <f>'16'!G40</f>
        <v>-1.9999999999996021E-2</v>
      </c>
      <c r="AU19" s="19">
        <f>'16'!G41</f>
        <v>0</v>
      </c>
      <c r="AV19" s="19">
        <f>'16'!G42</f>
        <v>4793.7900000000009</v>
      </c>
      <c r="AW19" s="19">
        <f>'16'!G43</f>
        <v>2590.1999999999998</v>
      </c>
      <c r="AX19" s="23">
        <f>'16'!G44</f>
        <v>0</v>
      </c>
      <c r="AY19" s="56">
        <f>'16'!G36</f>
        <v>1204.2600000000002</v>
      </c>
      <c r="AZ19" s="55">
        <f>'16'!G49</f>
        <v>1791.890000000014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4.7199999999997999</v>
      </c>
      <c r="BE19" s="19">
        <f>'16'!G55</f>
        <v>0</v>
      </c>
      <c r="BF19" s="19">
        <f>'16'!G56</f>
        <v>288.73999999999978</v>
      </c>
      <c r="BG19" s="19">
        <f>'16'!G57</f>
        <v>0</v>
      </c>
      <c r="BH19" s="56">
        <f>'16'!G50</f>
        <v>1041.3800000000001</v>
      </c>
      <c r="BI19" s="60">
        <f t="shared" si="12"/>
        <v>5082.5300000000007</v>
      </c>
      <c r="BJ19" s="60">
        <f>'16'!G133</f>
        <v>835.41000000000349</v>
      </c>
      <c r="BK19" s="23">
        <f t="shared" si="13"/>
        <v>48.529404255319186</v>
      </c>
      <c r="BL19" s="23">
        <f t="shared" si="14"/>
        <v>12.552638297872321</v>
      </c>
      <c r="BM19" s="24">
        <f t="shared" si="15"/>
        <v>8.4494042553190901E-2</v>
      </c>
      <c r="BN19" s="25">
        <f t="shared" si="16"/>
        <v>386180</v>
      </c>
      <c r="BO19" s="38">
        <f t="shared" si="17"/>
        <v>8508.1400000000031</v>
      </c>
      <c r="BP19">
        <f t="shared" si="18"/>
        <v>1.139340618137084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23500</v>
      </c>
      <c r="H20" s="19">
        <f>'17'!G8</f>
        <v>23500</v>
      </c>
      <c r="I20" s="19">
        <v>9</v>
      </c>
      <c r="J20" s="49">
        <f t="shared" si="3"/>
        <v>211500</v>
      </c>
      <c r="K20" s="45">
        <f t="shared" si="4"/>
        <v>116.33663366336634</v>
      </c>
      <c r="L20" s="19">
        <f>'17'!G15</f>
        <v>1100</v>
      </c>
      <c r="M20" s="19">
        <v>56.2</v>
      </c>
      <c r="N20" s="41">
        <f t="shared" si="5"/>
        <v>61820</v>
      </c>
      <c r="O20" s="19">
        <f>'17'!G20</f>
        <v>1165</v>
      </c>
      <c r="P20" s="19">
        <v>108</v>
      </c>
      <c r="Q20" s="46">
        <f t="shared" si="0"/>
        <v>125820</v>
      </c>
      <c r="R20" s="47">
        <f t="shared" si="1"/>
        <v>1130.8483789555426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111</v>
      </c>
      <c r="W20" s="22">
        <f>'17'!G66</f>
        <v>19</v>
      </c>
      <c r="X20" s="22">
        <f>'17'!G67</f>
        <v>31</v>
      </c>
      <c r="Y20" s="22">
        <f t="shared" si="7"/>
        <v>161</v>
      </c>
      <c r="Z20" s="19">
        <f>'17'!G84</f>
        <v>0</v>
      </c>
      <c r="AA20" s="19">
        <f>'17'!G85</f>
        <v>24.039999999999964</v>
      </c>
      <c r="AB20" s="19">
        <f>'17'!G86</f>
        <v>0</v>
      </c>
      <c r="AC20" s="19">
        <f>'17'!G87</f>
        <v>8.1200000000026193</v>
      </c>
      <c r="AD20" s="19">
        <f t="shared" si="8"/>
        <v>32.160000000002583</v>
      </c>
      <c r="AE20" s="23">
        <f t="shared" si="2"/>
        <v>5645.2099999999991</v>
      </c>
      <c r="AF20" s="23">
        <f t="shared" si="9"/>
        <v>175.53513681590627</v>
      </c>
      <c r="AG20" s="19">
        <f>'17'!G88</f>
        <v>0.39999999999781721</v>
      </c>
      <c r="AH20" s="19">
        <f>'17'!G89</f>
        <v>10.93999999999869</v>
      </c>
      <c r="AI20" s="19">
        <f>'17'!G90</f>
        <v>6.6199999999953434</v>
      </c>
      <c r="AJ20" s="19">
        <f t="shared" si="10"/>
        <v>17.959999999991851</v>
      </c>
      <c r="AK20" s="19">
        <f>'17'!G91</f>
        <v>0</v>
      </c>
      <c r="AL20" s="19">
        <f>'17'!G92</f>
        <v>10.970000000000255</v>
      </c>
      <c r="AM20" s="19"/>
      <c r="AN20" s="19">
        <f t="shared" si="11"/>
        <v>10.970000000000255</v>
      </c>
      <c r="AO20" s="52">
        <f>'17'!G74</f>
        <v>317.41999999992549</v>
      </c>
      <c r="AP20" s="55">
        <f>'17'!G35</f>
        <v>1791.2700000000041</v>
      </c>
      <c r="AQ20" s="19">
        <f>'17'!G37</f>
        <v>1583.5400000000081</v>
      </c>
      <c r="AR20" s="19">
        <f>'17'!G38</f>
        <v>2168.1600000000035</v>
      </c>
      <c r="AS20" s="19">
        <f>'17'!G39</f>
        <v>3084.4799999999814</v>
      </c>
      <c r="AT20" s="19">
        <f>'17'!G40</f>
        <v>468.37</v>
      </c>
      <c r="AU20" s="19">
        <f>'17'!G41</f>
        <v>0</v>
      </c>
      <c r="AV20" s="19">
        <f>'17'!G42</f>
        <v>4689.3599999999988</v>
      </c>
      <c r="AW20" s="19">
        <f>'17'!G43</f>
        <v>2782.7300000000005</v>
      </c>
      <c r="AX20" s="23">
        <f>'17'!G44</f>
        <v>0</v>
      </c>
      <c r="AY20" s="56">
        <f>'17'!G36</f>
        <v>1285.6300000000001</v>
      </c>
      <c r="AZ20" s="55">
        <f>'17'!G49</f>
        <v>1760.539999999979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4.2800000000002001</v>
      </c>
      <c r="BE20" s="19">
        <f>'17'!G55</f>
        <v>0</v>
      </c>
      <c r="BF20" s="19">
        <f>'17'!G56</f>
        <v>955.85000000000036</v>
      </c>
      <c r="BG20" s="19">
        <f>'17'!G57</f>
        <v>0</v>
      </c>
      <c r="BH20" s="56">
        <f>'17'!G50</f>
        <v>1241.5</v>
      </c>
      <c r="BI20" s="60">
        <f t="shared" si="12"/>
        <v>5645.2099999999991</v>
      </c>
      <c r="BJ20" s="60">
        <f>'17'!G133</f>
        <v>869.19999999999709</v>
      </c>
      <c r="BK20" s="23">
        <f t="shared" si="13"/>
        <v>50.977659574468014</v>
      </c>
      <c r="BL20" s="23">
        <f t="shared" si="14"/>
        <v>13.125446808510558</v>
      </c>
      <c r="BM20" s="24">
        <f t="shared" si="15"/>
        <v>9.2262127659574616E-2</v>
      </c>
      <c r="BN20" s="25">
        <f t="shared" si="16"/>
        <v>399140</v>
      </c>
      <c r="BO20" s="38">
        <f t="shared" si="17"/>
        <v>9297.1399999999958</v>
      </c>
      <c r="BP20">
        <f t="shared" si="18"/>
        <v>1.0324649076047496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23500</v>
      </c>
      <c r="H21" s="19">
        <f>'18 '!G8</f>
        <v>23500</v>
      </c>
      <c r="I21" s="19">
        <v>9</v>
      </c>
      <c r="J21" s="49">
        <f t="shared" si="3"/>
        <v>211500</v>
      </c>
      <c r="K21" s="45">
        <f t="shared" si="4"/>
        <v>116.33663366336634</v>
      </c>
      <c r="L21" s="19">
        <f>'18 '!G15</f>
        <v>1100</v>
      </c>
      <c r="M21" s="19">
        <v>56.2</v>
      </c>
      <c r="N21" s="41">
        <f t="shared" si="5"/>
        <v>61820</v>
      </c>
      <c r="O21" s="19">
        <f>'18 '!G20</f>
        <v>1285</v>
      </c>
      <c r="P21" s="19">
        <v>108</v>
      </c>
      <c r="Q21" s="46">
        <f t="shared" si="0"/>
        <v>138780</v>
      </c>
      <c r="R21" s="47">
        <f t="shared" si="1"/>
        <v>1247.3306154144825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125</v>
      </c>
      <c r="W21" s="22">
        <f>'18 '!G66</f>
        <v>21</v>
      </c>
      <c r="X21" s="22">
        <f>'18 '!G67</f>
        <v>30</v>
      </c>
      <c r="Y21" s="22">
        <f t="shared" si="7"/>
        <v>176</v>
      </c>
      <c r="Z21" s="19">
        <f>'18 '!G84</f>
        <v>-6.0000000004947651E-2</v>
      </c>
      <c r="AA21" s="19">
        <f>'18 '!G85</f>
        <v>23.8900000000001</v>
      </c>
      <c r="AB21" s="19">
        <f>'18 '!G86</f>
        <v>0</v>
      </c>
      <c r="AC21" s="19">
        <f>'18 '!G87</f>
        <v>3.180000000000291</v>
      </c>
      <c r="AD21" s="19">
        <f t="shared" si="8"/>
        <v>27.009999999995443</v>
      </c>
      <c r="AE21" s="23">
        <f t="shared" si="2"/>
        <v>5311.51</v>
      </c>
      <c r="AF21" s="23">
        <f t="shared" si="9"/>
        <v>196.64975934842266</v>
      </c>
      <c r="AG21" s="19">
        <f>'18 '!G88</f>
        <v>0</v>
      </c>
      <c r="AH21" s="19">
        <f>'18 '!G89</f>
        <v>12.590000000000146</v>
      </c>
      <c r="AI21" s="19">
        <f>'18 '!G90</f>
        <v>6.2900000000081491</v>
      </c>
      <c r="AJ21" s="19">
        <f t="shared" si="10"/>
        <v>18.880000000008295</v>
      </c>
      <c r="AK21" s="19">
        <f>'18 '!G91</f>
        <v>0</v>
      </c>
      <c r="AL21" s="19">
        <f>'18 '!G92</f>
        <v>10.710000000000036</v>
      </c>
      <c r="AM21" s="19"/>
      <c r="AN21" s="19">
        <f t="shared" si="11"/>
        <v>10.710000000000036</v>
      </c>
      <c r="AO21" s="52">
        <f>'18 '!G74</f>
        <v>305.65000000002328</v>
      </c>
      <c r="AP21" s="55">
        <f>'18 '!G35</f>
        <v>1585.0299999999988</v>
      </c>
      <c r="AQ21" s="19">
        <f>'18 '!G37</f>
        <v>1564.6000000000058</v>
      </c>
      <c r="AR21" s="19">
        <f>'18 '!G38</f>
        <v>2082.2200000000012</v>
      </c>
      <c r="AS21" s="19">
        <f>'18 '!G39</f>
        <v>2894.0400000000373</v>
      </c>
      <c r="AT21" s="19">
        <f>'18 '!G40</f>
        <v>0</v>
      </c>
      <c r="AU21" s="19">
        <f>'18 '!G41</f>
        <v>0</v>
      </c>
      <c r="AV21" s="19">
        <f>'18 '!G42</f>
        <v>4895.51</v>
      </c>
      <c r="AW21" s="19">
        <f>'18 '!G43</f>
        <v>2787.9400000000005</v>
      </c>
      <c r="AX21" s="23">
        <f>'18 '!G44</f>
        <v>0</v>
      </c>
      <c r="AY21" s="56">
        <f>'18 '!G36</f>
        <v>1224.04</v>
      </c>
      <c r="AZ21" s="55">
        <f>'18 '!G49</f>
        <v>1794.9400000000023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4.5199999999999818</v>
      </c>
      <c r="BE21" s="19">
        <f>'18 '!G55</f>
        <v>0</v>
      </c>
      <c r="BF21" s="19">
        <f>'18 '!G56</f>
        <v>416</v>
      </c>
      <c r="BG21" s="19">
        <f>'18 '!G57</f>
        <v>0</v>
      </c>
      <c r="BH21" s="56">
        <f>'18 '!G50</f>
        <v>1452.4299999999994</v>
      </c>
      <c r="BI21" s="60">
        <f t="shared" si="12"/>
        <v>5311.51</v>
      </c>
      <c r="BJ21" s="60">
        <f>'18 '!G133</f>
        <v>832.86999999999534</v>
      </c>
      <c r="BK21" s="23">
        <f t="shared" si="13"/>
        <v>48.848595744680857</v>
      </c>
      <c r="BL21" s="23">
        <f t="shared" si="14"/>
        <v>12.315063829787393</v>
      </c>
      <c r="BM21" s="24">
        <f t="shared" si="15"/>
        <v>8.8605106382978777E-2</v>
      </c>
      <c r="BN21" s="25">
        <f t="shared" si="16"/>
        <v>412100</v>
      </c>
      <c r="BO21" s="38">
        <f t="shared" si="17"/>
        <v>8932.3199999999961</v>
      </c>
      <c r="BP21">
        <f t="shared" si="18"/>
        <v>1.1810863701276648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23500</v>
      </c>
      <c r="H22" s="19">
        <f>'19'!G8</f>
        <v>23500</v>
      </c>
      <c r="I22" s="19">
        <v>9</v>
      </c>
      <c r="J22" s="49">
        <f t="shared" si="3"/>
        <v>211500</v>
      </c>
      <c r="K22" s="45">
        <f t="shared" si="4"/>
        <v>116.33663366336634</v>
      </c>
      <c r="L22" s="19">
        <f>'19'!G15</f>
        <v>1100</v>
      </c>
      <c r="M22" s="19">
        <v>56.2</v>
      </c>
      <c r="N22" s="41">
        <f t="shared" si="5"/>
        <v>61820</v>
      </c>
      <c r="O22" s="19">
        <f>'19'!G20</f>
        <v>1405</v>
      </c>
      <c r="P22" s="19">
        <v>108</v>
      </c>
      <c r="Q22" s="46">
        <f t="shared" si="0"/>
        <v>151740</v>
      </c>
      <c r="R22" s="47">
        <f t="shared" si="1"/>
        <v>748.05824312265611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117</v>
      </c>
      <c r="W22" s="22">
        <f>'19'!G66</f>
        <v>23</v>
      </c>
      <c r="X22" s="22">
        <f>'19'!G67</f>
        <v>34</v>
      </c>
      <c r="Y22" s="22">
        <f t="shared" si="7"/>
        <v>174</v>
      </c>
      <c r="Z22" s="19">
        <f>'19'!G84</f>
        <v>0.20000000000436557</v>
      </c>
      <c r="AA22" s="19">
        <f>'19'!G85</f>
        <v>24</v>
      </c>
      <c r="AB22" s="19">
        <f>'19'!G86</f>
        <v>0</v>
      </c>
      <c r="AC22" s="19">
        <f>'19'!G87</f>
        <v>2.1500000000014552</v>
      </c>
      <c r="AD22" s="19">
        <f t="shared" si="8"/>
        <v>26.350000000005821</v>
      </c>
      <c r="AE22" s="23">
        <f t="shared" si="2"/>
        <v>5180.5400000000009</v>
      </c>
      <c r="AF22" s="23">
        <f t="shared" si="9"/>
        <v>196.60493358629435</v>
      </c>
      <c r="AG22" s="19">
        <f>'19'!G88</f>
        <v>0</v>
      </c>
      <c r="AH22" s="19">
        <f>'19'!G89</f>
        <v>9.7900000000008731</v>
      </c>
      <c r="AI22" s="19">
        <f>'19'!G90</f>
        <v>6.6799999999930151</v>
      </c>
      <c r="AJ22" s="19">
        <f t="shared" si="10"/>
        <v>16.469999999993888</v>
      </c>
      <c r="AK22" s="19">
        <f>'19'!G91</f>
        <v>0</v>
      </c>
      <c r="AL22" s="19">
        <f>'19'!G92</f>
        <v>10.989999999999782</v>
      </c>
      <c r="AM22" s="19"/>
      <c r="AN22" s="19">
        <f t="shared" si="11"/>
        <v>10.989999999999782</v>
      </c>
      <c r="AO22" s="52">
        <f>'19'!G74</f>
        <v>312.83000000007451</v>
      </c>
      <c r="AP22" s="55">
        <f>'19'!G35</f>
        <v>1656.7399999999907</v>
      </c>
      <c r="AQ22" s="19">
        <f>'19'!G37</f>
        <v>1585.359999999986</v>
      </c>
      <c r="AR22" s="19">
        <f>'19'!G38</f>
        <v>2024.9400000000023</v>
      </c>
      <c r="AS22" s="19">
        <f>'19'!G39</f>
        <v>3077.5599999999977</v>
      </c>
      <c r="AT22" s="19">
        <f>'19'!G40</f>
        <v>0</v>
      </c>
      <c r="AU22" s="19">
        <f>'19'!G41</f>
        <v>0</v>
      </c>
      <c r="AV22" s="19">
        <f>'19'!G42</f>
        <v>4943.59</v>
      </c>
      <c r="AW22" s="19">
        <f>'19'!G43</f>
        <v>2794.7599999999984</v>
      </c>
      <c r="AX22" s="23">
        <f>'19'!G44</f>
        <v>0</v>
      </c>
      <c r="AY22" s="56">
        <f>'19'!G36</f>
        <v>1132.0699999999997</v>
      </c>
      <c r="AZ22" s="55">
        <f>'19'!G49</f>
        <v>1763.3000000000175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4.3000000000001819</v>
      </c>
      <c r="BE22" s="19">
        <f>'19'!G55</f>
        <v>0</v>
      </c>
      <c r="BF22" s="19">
        <f>'19'!G56</f>
        <v>236.95000000000073</v>
      </c>
      <c r="BG22" s="19">
        <f>'19'!G57</f>
        <v>0</v>
      </c>
      <c r="BH22" s="56">
        <f>'19'!G50</f>
        <v>1631.1800000000003</v>
      </c>
      <c r="BI22" s="60">
        <f t="shared" si="12"/>
        <v>5180.5400000000009</v>
      </c>
      <c r="BJ22" s="60">
        <f>'19'!G133</f>
        <v>858.88000000000466</v>
      </c>
      <c r="BK22" s="23">
        <f t="shared" si="13"/>
        <v>48.490808510638331</v>
      </c>
      <c r="BL22" s="23">
        <f t="shared" si="14"/>
        <v>13.095999999999989</v>
      </c>
      <c r="BM22" s="24">
        <f t="shared" si="15"/>
        <v>8.6167659574468189E-2</v>
      </c>
      <c r="BN22" s="25">
        <f t="shared" si="16"/>
        <v>425060</v>
      </c>
      <c r="BO22" s="38">
        <f t="shared" si="17"/>
        <v>8834.1800000000039</v>
      </c>
      <c r="BP22">
        <f t="shared" si="18"/>
        <v>1.1973678503656888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23500</v>
      </c>
      <c r="H23" s="19">
        <f>'20'!G8</f>
        <v>23500</v>
      </c>
      <c r="I23" s="19">
        <v>9</v>
      </c>
      <c r="J23" s="49">
        <f t="shared" si="3"/>
        <v>211500</v>
      </c>
      <c r="K23" s="45">
        <f t="shared" si="4"/>
        <v>116.33663366336634</v>
      </c>
      <c r="L23" s="19">
        <f>'20'!G15</f>
        <v>1100</v>
      </c>
      <c r="M23" s="19">
        <v>56.2</v>
      </c>
      <c r="N23" s="41">
        <f t="shared" si="5"/>
        <v>61820</v>
      </c>
      <c r="O23" s="19">
        <f>'20'!G20</f>
        <v>1525</v>
      </c>
      <c r="P23" s="19">
        <v>108</v>
      </c>
      <c r="Q23" s="46">
        <f t="shared" si="0"/>
        <v>164700</v>
      </c>
      <c r="R23" s="47">
        <f t="shared" si="1"/>
        <v>754.95049504950498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77</v>
      </c>
      <c r="W23" s="22">
        <f>'20'!G66</f>
        <v>17</v>
      </c>
      <c r="X23" s="22">
        <f>'20'!G67</f>
        <v>26</v>
      </c>
      <c r="Y23" s="22">
        <f t="shared" si="7"/>
        <v>120</v>
      </c>
      <c r="Z23" s="19">
        <f>'20'!G84</f>
        <v>0</v>
      </c>
      <c r="AA23" s="19">
        <f>'20'!G85</f>
        <v>24</v>
      </c>
      <c r="AB23" s="19">
        <f>'20'!G86</f>
        <v>0</v>
      </c>
      <c r="AC23" s="19">
        <f>'20'!G87</f>
        <v>0</v>
      </c>
      <c r="AD23" s="19">
        <f t="shared" si="8"/>
        <v>24</v>
      </c>
      <c r="AE23" s="23">
        <f t="shared" si="2"/>
        <v>4532.2599999999984</v>
      </c>
      <c r="AF23" s="23">
        <f t="shared" si="9"/>
        <v>188.84416666666661</v>
      </c>
      <c r="AG23" s="19">
        <f>'20'!G88</f>
        <v>0</v>
      </c>
      <c r="AH23" s="19">
        <f>'20'!G89</f>
        <v>11.680000000000291</v>
      </c>
      <c r="AI23" s="19">
        <f>'20'!G90</f>
        <v>6.1600000000034925</v>
      </c>
      <c r="AJ23" s="19">
        <f t="shared" si="10"/>
        <v>17.840000000003783</v>
      </c>
      <c r="AK23" s="19">
        <f>'20'!G91</f>
        <v>0</v>
      </c>
      <c r="AL23" s="19">
        <f>'20'!G92</f>
        <v>11.139999999999418</v>
      </c>
      <c r="AM23" s="19"/>
      <c r="AN23" s="19">
        <f t="shared" si="11"/>
        <v>11.139999999999418</v>
      </c>
      <c r="AO23" s="52">
        <f>'20'!G74</f>
        <v>318.68999999994412</v>
      </c>
      <c r="AP23" s="55">
        <f>'20'!G35</f>
        <v>1742.8000000000175</v>
      </c>
      <c r="AQ23" s="19">
        <f>'20'!G37</f>
        <v>1629.820000000007</v>
      </c>
      <c r="AR23" s="19">
        <f>'20'!G38</f>
        <v>1975.1000000000058</v>
      </c>
      <c r="AS23" s="19">
        <f>'20'!G39</f>
        <v>2849.679999999993</v>
      </c>
      <c r="AT23" s="19">
        <f>'20'!G40</f>
        <v>158.48000000000002</v>
      </c>
      <c r="AU23" s="19">
        <f>'20'!G41</f>
        <v>0</v>
      </c>
      <c r="AV23" s="19">
        <f>'20'!G42</f>
        <v>4532.2599999999984</v>
      </c>
      <c r="AW23" s="19">
        <f>'20'!G43</f>
        <v>2718.9600000000009</v>
      </c>
      <c r="AX23" s="23">
        <f>'20'!G44</f>
        <v>0</v>
      </c>
      <c r="AY23" s="56">
        <f>'20'!G36</f>
        <v>926.36000000000058</v>
      </c>
      <c r="AZ23" s="55">
        <f>'20'!G49</f>
        <v>1742.7799999999988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4.4600000000000364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1114.7100000000009</v>
      </c>
      <c r="BI23" s="60">
        <f t="shared" si="12"/>
        <v>4532.2599999999984</v>
      </c>
      <c r="BJ23" s="60">
        <f>'20'!G133</f>
        <v>846.91000000000349</v>
      </c>
      <c r="BK23" s="23">
        <f t="shared" si="13"/>
        <v>45.688510638297942</v>
      </c>
      <c r="BL23" s="23">
        <f t="shared" si="14"/>
        <v>12.126297872340396</v>
      </c>
      <c r="BM23" s="24">
        <f t="shared" si="15"/>
        <v>8.4046808510638546E-2</v>
      </c>
      <c r="BN23" s="25">
        <f t="shared" si="16"/>
        <v>438020</v>
      </c>
      <c r="BO23" s="38">
        <f t="shared" si="17"/>
        <v>8098.1300000000028</v>
      </c>
      <c r="BP23">
        <f t="shared" si="18"/>
        <v>1.2050788690476195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23500</v>
      </c>
      <c r="H24" s="19">
        <f>'21'!G8</f>
        <v>23500</v>
      </c>
      <c r="I24" s="19">
        <v>9</v>
      </c>
      <c r="J24" s="49">
        <f t="shared" si="3"/>
        <v>211500</v>
      </c>
      <c r="K24" s="45">
        <f t="shared" si="4"/>
        <v>116.33663366336634</v>
      </c>
      <c r="L24" s="19">
        <f>'21'!G15</f>
        <v>1100</v>
      </c>
      <c r="M24" s="19">
        <v>56.2</v>
      </c>
      <c r="N24" s="41">
        <f t="shared" si="5"/>
        <v>61820</v>
      </c>
      <c r="O24" s="19">
        <f>'21'!G20</f>
        <v>1645</v>
      </c>
      <c r="P24" s="19">
        <v>108</v>
      </c>
      <c r="Q24" s="46">
        <f t="shared" si="0"/>
        <v>177660</v>
      </c>
      <c r="R24" s="47">
        <f t="shared" si="1"/>
        <v>1017.9455445544553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97</v>
      </c>
      <c r="W24" s="22">
        <f>'21'!G66</f>
        <v>17</v>
      </c>
      <c r="X24" s="22">
        <f>'21'!G67</f>
        <v>27</v>
      </c>
      <c r="Y24" s="22">
        <f t="shared" si="7"/>
        <v>141</v>
      </c>
      <c r="Z24" s="19">
        <f>'21'!G84</f>
        <v>0</v>
      </c>
      <c r="AA24" s="19">
        <f>'21'!G85</f>
        <v>24.369999999999891</v>
      </c>
      <c r="AB24" s="19">
        <f>'21'!G86</f>
        <v>0</v>
      </c>
      <c r="AC24" s="19">
        <f>'21'!G87</f>
        <v>0</v>
      </c>
      <c r="AD24" s="19">
        <f t="shared" si="8"/>
        <v>24.369999999999891</v>
      </c>
      <c r="AE24" s="23">
        <f t="shared" si="2"/>
        <v>4666.0799999999981</v>
      </c>
      <c r="AF24" s="23">
        <f t="shared" si="9"/>
        <v>191.4681986048428</v>
      </c>
      <c r="AG24" s="19">
        <f>'21'!G88</f>
        <v>0</v>
      </c>
      <c r="AH24" s="19">
        <f>'21'!G89</f>
        <v>10.629999999997381</v>
      </c>
      <c r="AI24" s="19">
        <f>'21'!G90</f>
        <v>6.3099999999976717</v>
      </c>
      <c r="AJ24" s="19">
        <f t="shared" si="10"/>
        <v>16.939999999995052</v>
      </c>
      <c r="AK24" s="19">
        <f>'21'!G91</f>
        <v>0</v>
      </c>
      <c r="AL24" s="19">
        <f>'21'!G92</f>
        <v>11.170000000000073</v>
      </c>
      <c r="AM24" s="19"/>
      <c r="AN24" s="19">
        <f t="shared" si="11"/>
        <v>11.170000000000073</v>
      </c>
      <c r="AO24" s="52">
        <f>'21'!G74</f>
        <v>321.20999999996275</v>
      </c>
      <c r="AP24" s="55">
        <f>'21'!G35</f>
        <v>1616.5499999999884</v>
      </c>
      <c r="AQ24" s="19">
        <f>'21'!G37</f>
        <v>1625.5</v>
      </c>
      <c r="AR24" s="19">
        <f>'21'!G38</f>
        <v>1893.8399999999965</v>
      </c>
      <c r="AS24" s="19">
        <f>'21'!G39</f>
        <v>2810.5999999999767</v>
      </c>
      <c r="AT24" s="19">
        <f>'21'!G40</f>
        <v>656.36999999999989</v>
      </c>
      <c r="AU24" s="19">
        <f>'21'!G41</f>
        <v>0</v>
      </c>
      <c r="AV24" s="19">
        <f>'21'!G42</f>
        <v>4666.0799999999981</v>
      </c>
      <c r="AW24" s="19">
        <f>'21'!G43</f>
        <v>2692.16</v>
      </c>
      <c r="AX24" s="23">
        <f>'21'!G44</f>
        <v>0</v>
      </c>
      <c r="AY24" s="56">
        <f>'21'!G36</f>
        <v>1038.0299999999988</v>
      </c>
      <c r="AZ24" s="55">
        <f>'21'!G49</f>
        <v>1532.6599999999744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4.4800000000000182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1116.6799999999985</v>
      </c>
      <c r="BI24" s="60">
        <f t="shared" si="12"/>
        <v>4666.0799999999981</v>
      </c>
      <c r="BJ24" s="60">
        <f>'21'!G133</f>
        <v>706.69000000000233</v>
      </c>
      <c r="BK24" s="23">
        <f t="shared" si="13"/>
        <v>44.712553191489192</v>
      </c>
      <c r="BL24" s="23">
        <f t="shared" si="14"/>
        <v>11.959999999999901</v>
      </c>
      <c r="BM24" s="24">
        <f t="shared" si="15"/>
        <v>8.0588936170212622E-2</v>
      </c>
      <c r="BN24" s="25">
        <f t="shared" si="16"/>
        <v>450980</v>
      </c>
      <c r="BO24" s="38">
        <f t="shared" si="17"/>
        <v>8064.93</v>
      </c>
      <c r="BP24">
        <f t="shared" si="18"/>
        <v>1.1819171698223865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23500</v>
      </c>
      <c r="H25" s="19">
        <f>'22'!G8</f>
        <v>23500</v>
      </c>
      <c r="I25" s="19">
        <v>9</v>
      </c>
      <c r="J25" s="49">
        <f t="shared" si="3"/>
        <v>211500</v>
      </c>
      <c r="K25" s="45">
        <f t="shared" si="4"/>
        <v>116.33663366336634</v>
      </c>
      <c r="L25" s="19">
        <f>'22'!G15</f>
        <v>1100</v>
      </c>
      <c r="M25" s="19">
        <v>56.2</v>
      </c>
      <c r="N25" s="41">
        <f t="shared" si="5"/>
        <v>61820</v>
      </c>
      <c r="O25" s="19">
        <f>'22'!G20</f>
        <v>1765</v>
      </c>
      <c r="P25" s="19">
        <v>108</v>
      </c>
      <c r="Q25" s="46">
        <f t="shared" si="0"/>
        <v>190620</v>
      </c>
      <c r="R25" s="47">
        <f t="shared" si="1"/>
        <v>900.78595488414817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105</v>
      </c>
      <c r="W25" s="22">
        <f>'22'!G66</f>
        <v>18</v>
      </c>
      <c r="X25" s="22">
        <f>'22'!G67</f>
        <v>27</v>
      </c>
      <c r="Y25" s="22">
        <f t="shared" si="7"/>
        <v>150</v>
      </c>
      <c r="Z25" s="19">
        <f>'22'!G84</f>
        <v>0</v>
      </c>
      <c r="AA25" s="19">
        <f>'22'!G85</f>
        <v>24</v>
      </c>
      <c r="AB25" s="19">
        <f>'22'!G86</f>
        <v>0</v>
      </c>
      <c r="AC25" s="19">
        <f>'22'!G87</f>
        <v>0</v>
      </c>
      <c r="AD25" s="19">
        <f t="shared" si="8"/>
        <v>24</v>
      </c>
      <c r="AE25" s="23">
        <f t="shared" si="2"/>
        <v>4737.3100000000049</v>
      </c>
      <c r="AF25" s="23">
        <f t="shared" si="9"/>
        <v>197.38791666666688</v>
      </c>
      <c r="AG25" s="19">
        <f>'22'!G88</f>
        <v>0</v>
      </c>
      <c r="AH25" s="19">
        <f>'22'!G89</f>
        <v>10.010000000002037</v>
      </c>
      <c r="AI25" s="19">
        <f>'22'!G90</f>
        <v>5.6600000000034925</v>
      </c>
      <c r="AJ25" s="19">
        <f t="shared" si="10"/>
        <v>15.67000000000553</v>
      </c>
      <c r="AK25" s="19">
        <f>'22'!G91</f>
        <v>0</v>
      </c>
      <c r="AL25" s="19">
        <f>'22'!G92</f>
        <v>11.440000000000509</v>
      </c>
      <c r="AM25" s="19"/>
      <c r="AN25" s="19">
        <f t="shared" si="11"/>
        <v>11.440000000000509</v>
      </c>
      <c r="AO25" s="52">
        <f>'22'!G74</f>
        <v>332.31000000005588</v>
      </c>
      <c r="AP25" s="55">
        <f>'22'!G35</f>
        <v>1523.0299999999988</v>
      </c>
      <c r="AQ25" s="19">
        <f>'22'!G37</f>
        <v>1590.140000000014</v>
      </c>
      <c r="AR25" s="19">
        <f>'22'!G38</f>
        <v>1914.5800000000163</v>
      </c>
      <c r="AS25" s="19">
        <f>'22'!G39</f>
        <v>2775.9200000000419</v>
      </c>
      <c r="AT25" s="19">
        <f>'22'!G40</f>
        <v>365.56999999999994</v>
      </c>
      <c r="AU25" s="19">
        <f>'22'!G41</f>
        <v>0</v>
      </c>
      <c r="AV25" s="19">
        <f>'22'!G42</f>
        <v>4737.3100000000049</v>
      </c>
      <c r="AW25" s="19">
        <f>'22'!G43</f>
        <v>2692.75</v>
      </c>
      <c r="AX25" s="23">
        <f>'22'!G44</f>
        <v>0</v>
      </c>
      <c r="AY25" s="56">
        <f>'22'!G36</f>
        <v>919.97000000000116</v>
      </c>
      <c r="AZ25" s="55">
        <f>'22'!G49</f>
        <v>1561.460000000021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4.4399999999995998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1108.0100000000002</v>
      </c>
      <c r="BI25" s="60">
        <f t="shared" si="12"/>
        <v>4737.3100000000049</v>
      </c>
      <c r="BJ25" s="60">
        <f>'22'!G133</f>
        <v>649.09999999999127</v>
      </c>
      <c r="BK25" s="23">
        <f t="shared" si="13"/>
        <v>44.742765957446913</v>
      </c>
      <c r="BL25" s="23">
        <f t="shared" si="14"/>
        <v>11.812425531915071</v>
      </c>
      <c r="BM25" s="24">
        <f t="shared" si="15"/>
        <v>8.1471489361702815E-2</v>
      </c>
      <c r="BN25" s="25">
        <f t="shared" si="16"/>
        <v>463940</v>
      </c>
      <c r="BO25" s="38">
        <f t="shared" si="17"/>
        <v>8079.1599999999962</v>
      </c>
      <c r="BP25">
        <f t="shared" si="18"/>
        <v>1.2022559523809517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0.85</v>
      </c>
      <c r="G26" s="19">
        <f>'23'!G7</f>
        <v>23500</v>
      </c>
      <c r="H26" s="19">
        <f>'23'!G8</f>
        <v>23500</v>
      </c>
      <c r="I26" s="19">
        <v>9</v>
      </c>
      <c r="J26" s="49">
        <f t="shared" si="3"/>
        <v>211500</v>
      </c>
      <c r="K26" s="45">
        <f t="shared" si="4"/>
        <v>116.33663366336634</v>
      </c>
      <c r="L26" s="19">
        <f>'23'!G15</f>
        <v>1100</v>
      </c>
      <c r="M26" s="19">
        <v>56.2</v>
      </c>
      <c r="N26" s="41">
        <f t="shared" si="5"/>
        <v>61820</v>
      </c>
      <c r="O26" s="19">
        <f>'23'!G20</f>
        <v>1885</v>
      </c>
      <c r="P26" s="19">
        <v>108</v>
      </c>
      <c r="Q26" s="46">
        <f t="shared" si="0"/>
        <v>203580</v>
      </c>
      <c r="R26" s="47">
        <f t="shared" si="1"/>
        <v>1097.8450786255096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99</v>
      </c>
      <c r="W26" s="22">
        <f>'23'!G66</f>
        <v>25</v>
      </c>
      <c r="X26" s="22">
        <f>'23'!G67</f>
        <v>28</v>
      </c>
      <c r="Y26" s="22">
        <f t="shared" si="7"/>
        <v>152</v>
      </c>
      <c r="Z26" s="19">
        <f>'23'!G84</f>
        <v>0</v>
      </c>
      <c r="AA26" s="19">
        <f>'23'!G85</f>
        <v>23.630000000000109</v>
      </c>
      <c r="AB26" s="19">
        <f>'23'!G86</f>
        <v>0</v>
      </c>
      <c r="AC26" s="19">
        <f>'23'!G87</f>
        <v>0</v>
      </c>
      <c r="AD26" s="19">
        <f t="shared" si="8"/>
        <v>23.630000000000109</v>
      </c>
      <c r="AE26" s="23">
        <f t="shared" si="2"/>
        <v>4454.0999999999985</v>
      </c>
      <c r="AF26" s="23">
        <f t="shared" si="9"/>
        <v>188.49344054168336</v>
      </c>
      <c r="AG26" s="19">
        <f>'23'!G88</f>
        <v>0</v>
      </c>
      <c r="AH26" s="19">
        <f>'23'!G89</f>
        <v>10.419999999998254</v>
      </c>
      <c r="AI26" s="19">
        <f>'23'!G90</f>
        <v>5.5399999999935972</v>
      </c>
      <c r="AJ26" s="19">
        <f t="shared" si="10"/>
        <v>15.959999999991851</v>
      </c>
      <c r="AK26" s="19">
        <f>'23'!G91</f>
        <v>0</v>
      </c>
      <c r="AL26" s="19">
        <f>'23'!G92</f>
        <v>10.729999999999563</v>
      </c>
      <c r="AM26" s="19"/>
      <c r="AN26" s="19">
        <f t="shared" si="11"/>
        <v>10.729999999999563</v>
      </c>
      <c r="AO26" s="52">
        <f>'23'!G74</f>
        <v>301.47999999998137</v>
      </c>
      <c r="AP26" s="55">
        <f>'23'!G35</f>
        <v>1488.7900000000081</v>
      </c>
      <c r="AQ26" s="19">
        <f>'23'!G37</f>
        <v>1586.7099999999919</v>
      </c>
      <c r="AR26" s="19">
        <f>'23'!G38</f>
        <v>1933.5499999999884</v>
      </c>
      <c r="AS26" s="19">
        <f>'23'!G39</f>
        <v>2743.8499999999767</v>
      </c>
      <c r="AT26" s="19">
        <f>'23'!G40</f>
        <v>588.38000000000011</v>
      </c>
      <c r="AU26" s="19">
        <f>'23'!G41</f>
        <v>0</v>
      </c>
      <c r="AV26" s="19">
        <f>'23'!G42</f>
        <v>4454.0999999999985</v>
      </c>
      <c r="AW26" s="19">
        <f>'23'!G43</f>
        <v>2677.5</v>
      </c>
      <c r="AX26" s="23">
        <f>'23'!G44</f>
        <v>0</v>
      </c>
      <c r="AY26" s="56">
        <f>'23'!G36</f>
        <v>821.63999999999942</v>
      </c>
      <c r="AZ26" s="55">
        <f>'23'!G49</f>
        <v>1537.429999999993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3.8000000000001819</v>
      </c>
      <c r="BE26" s="19">
        <f>'23'!G55</f>
        <v>0</v>
      </c>
      <c r="BF26" s="19">
        <f>'23'!G56</f>
        <v>0</v>
      </c>
      <c r="BG26" s="19">
        <f>'23'!G57</f>
        <v>0</v>
      </c>
      <c r="BH26" s="56">
        <f>'23'!G50</f>
        <v>1077.1100000000006</v>
      </c>
      <c r="BI26" s="60">
        <f t="shared" si="12"/>
        <v>4454.0999999999985</v>
      </c>
      <c r="BJ26" s="60">
        <f>'23'!G133</f>
        <v>663.94000000000233</v>
      </c>
      <c r="BK26" s="23">
        <f t="shared" si="13"/>
        <v>43.224765957446806</v>
      </c>
      <c r="BL26" s="23">
        <f t="shared" si="14"/>
        <v>11.675957446808411</v>
      </c>
      <c r="BM26" s="24">
        <f t="shared" si="15"/>
        <v>8.2278723404254822E-2</v>
      </c>
      <c r="BN26" s="25">
        <f t="shared" si="16"/>
        <v>476900</v>
      </c>
      <c r="BO26" s="38">
        <f t="shared" si="17"/>
        <v>7795.5400000000009</v>
      </c>
      <c r="BP26">
        <f t="shared" si="18"/>
        <v>1.178214739133058</v>
      </c>
    </row>
    <row r="27" spans="1:68" x14ac:dyDescent="0.25">
      <c r="A27" s="16">
        <v>24</v>
      </c>
      <c r="B27" s="17">
        <v>24</v>
      </c>
      <c r="C27" s="28"/>
      <c r="D27" s="19">
        <f>'24'!D3</f>
        <v>24</v>
      </c>
      <c r="E27" s="50">
        <f>'24'!D4</f>
        <v>0.77</v>
      </c>
      <c r="F27" s="50">
        <f>'24'!D2</f>
        <v>0.9</v>
      </c>
      <c r="G27" s="19">
        <f>'24'!G7</f>
        <v>23500</v>
      </c>
      <c r="H27" s="19">
        <f>'24'!G8</f>
        <v>23500</v>
      </c>
      <c r="I27" s="19">
        <v>9</v>
      </c>
      <c r="J27" s="49">
        <f t="shared" si="3"/>
        <v>211500</v>
      </c>
      <c r="K27" s="45">
        <f t="shared" si="4"/>
        <v>116.33663366336634</v>
      </c>
      <c r="L27" s="19">
        <f>'24'!G15</f>
        <v>1100</v>
      </c>
      <c r="M27" s="19">
        <v>56.2</v>
      </c>
      <c r="N27" s="41">
        <f t="shared" si="5"/>
        <v>61820</v>
      </c>
      <c r="O27" s="19">
        <f>'24'!G20</f>
        <v>2005</v>
      </c>
      <c r="P27" s="19">
        <v>108</v>
      </c>
      <c r="Q27" s="46">
        <f t="shared" si="0"/>
        <v>216540</v>
      </c>
      <c r="R27" s="47">
        <f t="shared" si="1"/>
        <v>1102.8602860286028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89</v>
      </c>
      <c r="W27" s="22">
        <f>'24'!G66</f>
        <v>20</v>
      </c>
      <c r="X27" s="22">
        <f>'24'!G67</f>
        <v>31</v>
      </c>
      <c r="Y27" s="22">
        <f t="shared" si="7"/>
        <v>140</v>
      </c>
      <c r="Z27" s="19">
        <f>'24'!G84</f>
        <v>0</v>
      </c>
      <c r="AA27" s="19">
        <f>'24'!G85</f>
        <v>24</v>
      </c>
      <c r="AB27" s="19">
        <f>'24'!G86</f>
        <v>0</v>
      </c>
      <c r="AC27" s="19">
        <f>'24'!G87</f>
        <v>0</v>
      </c>
      <c r="AD27" s="19">
        <f t="shared" si="8"/>
        <v>24</v>
      </c>
      <c r="AE27" s="23">
        <f t="shared" si="2"/>
        <v>4621</v>
      </c>
      <c r="AF27" s="23">
        <f t="shared" si="9"/>
        <v>192.54166666666666</v>
      </c>
      <c r="AG27" s="19">
        <f>'24'!G88</f>
        <v>2.4400000000023283</v>
      </c>
      <c r="AH27" s="19">
        <f>'24'!G89</f>
        <v>7.3100000000013097</v>
      </c>
      <c r="AI27" s="19">
        <f>'24'!G90</f>
        <v>5.180000000007567</v>
      </c>
      <c r="AJ27" s="19">
        <f t="shared" si="10"/>
        <v>14.930000000011205</v>
      </c>
      <c r="AK27" s="19">
        <f>'24'!G91</f>
        <v>0</v>
      </c>
      <c r="AL27" s="19">
        <f>'24'!G92</f>
        <v>10.260000000000218</v>
      </c>
      <c r="AM27" s="19"/>
      <c r="AN27" s="19">
        <f t="shared" si="11"/>
        <v>10.260000000000218</v>
      </c>
      <c r="AO27" s="52">
        <f>'24'!G74</f>
        <v>299</v>
      </c>
      <c r="AP27" s="55">
        <f>'24'!G35</f>
        <v>1535</v>
      </c>
      <c r="AQ27" s="19">
        <f>'24'!G37</f>
        <v>1616</v>
      </c>
      <c r="AR27" s="19">
        <f>'24'!G38</f>
        <v>1954</v>
      </c>
      <c r="AS27" s="19">
        <f>'24'!G39</f>
        <v>2746</v>
      </c>
      <c r="AT27" s="19">
        <f>'24'!G40</f>
        <v>589</v>
      </c>
      <c r="AU27" s="19">
        <f>'24'!G41</f>
        <v>0</v>
      </c>
      <c r="AV27" s="19">
        <f>'24'!G42</f>
        <v>4621</v>
      </c>
      <c r="AW27" s="19">
        <f>'24'!G43</f>
        <v>2687</v>
      </c>
      <c r="AX27" s="23">
        <f>'24'!G44</f>
        <v>0</v>
      </c>
      <c r="AY27" s="56">
        <f>'24'!G36</f>
        <v>955</v>
      </c>
      <c r="AZ27" s="55">
        <f>'24'!G49</f>
        <v>1560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5</v>
      </c>
      <c r="BE27" s="19">
        <f>'24'!G55</f>
        <v>0</v>
      </c>
      <c r="BF27" s="19">
        <f>'24'!G56</f>
        <v>0</v>
      </c>
      <c r="BG27" s="19">
        <f>'24'!G57</f>
        <v>0</v>
      </c>
      <c r="BH27" s="56">
        <f>'24'!G50</f>
        <v>1032</v>
      </c>
      <c r="BI27" s="60">
        <f t="shared" si="12"/>
        <v>4621</v>
      </c>
      <c r="BJ27" s="60">
        <f>'24'!G133</f>
        <v>679</v>
      </c>
      <c r="BK27" s="23">
        <f t="shared" si="13"/>
        <v>44.268085106382976</v>
      </c>
      <c r="BL27" s="23">
        <f t="shared" si="14"/>
        <v>11.685106382978724</v>
      </c>
      <c r="BM27" s="24">
        <f t="shared" si="15"/>
        <v>8.3148936170212767E-2</v>
      </c>
      <c r="BN27" s="25">
        <f t="shared" si="16"/>
        <v>489860</v>
      </c>
      <c r="BO27" s="38">
        <f t="shared" si="17"/>
        <v>7987</v>
      </c>
      <c r="BP27">
        <f t="shared" si="18"/>
        <v>1.1885416666666666</v>
      </c>
    </row>
    <row r="28" spans="1:68" x14ac:dyDescent="0.25">
      <c r="A28" s="16">
        <v>25</v>
      </c>
      <c r="B28" s="26">
        <v>25</v>
      </c>
      <c r="C28" s="28"/>
      <c r="D28" s="19">
        <f>'25'!D3</f>
        <v>24</v>
      </c>
      <c r="E28" s="50">
        <f>'25'!D4</f>
        <v>0.77</v>
      </c>
      <c r="F28" s="50">
        <f>'25'!D2</f>
        <v>0.9</v>
      </c>
      <c r="G28" s="19">
        <f>'25'!G7</f>
        <v>23500</v>
      </c>
      <c r="H28" s="19">
        <f>'25'!G8</f>
        <v>23500</v>
      </c>
      <c r="I28" s="19">
        <v>9</v>
      </c>
      <c r="J28" s="49">
        <f t="shared" si="3"/>
        <v>211500</v>
      </c>
      <c r="K28" s="45">
        <f t="shared" si="4"/>
        <v>116.33663366336634</v>
      </c>
      <c r="L28" s="19">
        <f>'25'!G15</f>
        <v>1100</v>
      </c>
      <c r="M28" s="19">
        <v>56.2</v>
      </c>
      <c r="N28" s="41">
        <f t="shared" si="5"/>
        <v>61820</v>
      </c>
      <c r="O28" s="19">
        <f>'25'!G20</f>
        <v>2125</v>
      </c>
      <c r="P28" s="19">
        <v>108</v>
      </c>
      <c r="Q28" s="46">
        <f t="shared" si="0"/>
        <v>229500</v>
      </c>
      <c r="R28" s="47">
        <f t="shared" si="1"/>
        <v>1168.8668866886687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91</v>
      </c>
      <c r="W28" s="22">
        <f>'25'!G66</f>
        <v>24</v>
      </c>
      <c r="X28" s="22">
        <f>'25'!G67</f>
        <v>38</v>
      </c>
      <c r="Y28" s="22">
        <f t="shared" si="7"/>
        <v>153</v>
      </c>
      <c r="Z28" s="19">
        <f>'25'!G84</f>
        <v>0</v>
      </c>
      <c r="AA28" s="19">
        <f>'25'!G85</f>
        <v>24</v>
      </c>
      <c r="AB28" s="19">
        <f>'25'!G86</f>
        <v>0</v>
      </c>
      <c r="AC28" s="19">
        <f>'25'!G87</f>
        <v>0</v>
      </c>
      <c r="AD28" s="19">
        <f t="shared" si="8"/>
        <v>24</v>
      </c>
      <c r="AE28" s="23">
        <f t="shared" si="2"/>
        <v>0</v>
      </c>
      <c r="AF28" s="23">
        <f t="shared" si="9"/>
        <v>0</v>
      </c>
      <c r="AG28" s="19">
        <f>'25'!G88</f>
        <v>9.0299999999988358</v>
      </c>
      <c r="AH28" s="19">
        <f>'25'!G89</f>
        <v>0</v>
      </c>
      <c r="AI28" s="19">
        <f>'25'!G90</f>
        <v>7.8499999999912689</v>
      </c>
      <c r="AJ28" s="19">
        <f t="shared" si="10"/>
        <v>16.879999999990105</v>
      </c>
      <c r="AK28" s="19">
        <f>'25'!G91</f>
        <v>-0.32000000000016371</v>
      </c>
      <c r="AL28" s="19">
        <f>'25'!G92</f>
        <v>12</v>
      </c>
      <c r="AM28" s="19"/>
      <c r="AN28" s="19">
        <f t="shared" si="11"/>
        <v>11.679999999999836</v>
      </c>
      <c r="AO28" s="52">
        <f>'25'!G74</f>
        <v>329</v>
      </c>
      <c r="AP28" s="55">
        <f>'25'!G35</f>
        <v>1650</v>
      </c>
      <c r="AQ28" s="19">
        <f>'25'!G37</f>
        <v>1632</v>
      </c>
      <c r="AR28" s="19">
        <f>'25'!G38</f>
        <v>2035</v>
      </c>
      <c r="AS28" s="19">
        <f>'25'!G39</f>
        <v>2850</v>
      </c>
      <c r="AT28" s="19">
        <f>'25'!G40</f>
        <v>481</v>
      </c>
      <c r="AU28" s="19">
        <f>'25'!G41</f>
        <v>0</v>
      </c>
      <c r="AV28" s="19"/>
      <c r="AW28" s="19">
        <f>'25'!G43</f>
        <v>2685</v>
      </c>
      <c r="AX28" s="23">
        <f>'25'!G44</f>
        <v>0</v>
      </c>
      <c r="AY28" s="56">
        <f>'25'!G36</f>
        <v>1168</v>
      </c>
      <c r="AZ28" s="55">
        <f>'25'!G49</f>
        <v>1593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5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1393</v>
      </c>
      <c r="BI28" s="60">
        <f t="shared" si="12"/>
        <v>0</v>
      </c>
      <c r="BJ28" s="60">
        <f>'25'!G133</f>
        <v>702</v>
      </c>
      <c r="BK28" s="23">
        <f t="shared" si="13"/>
        <v>25.225531914893619</v>
      </c>
      <c r="BL28" s="23">
        <f t="shared" si="14"/>
        <v>12.127659574468085</v>
      </c>
      <c r="BM28" s="24">
        <f t="shared" si="15"/>
        <v>8.6595744680851058E-2</v>
      </c>
      <c r="BN28" s="25">
        <f t="shared" si="16"/>
        <v>502820</v>
      </c>
      <c r="BO28" s="38">
        <f t="shared" si="17"/>
        <v>3387</v>
      </c>
      <c r="BP28">
        <f t="shared" si="18"/>
        <v>0.50401785714285718</v>
      </c>
    </row>
    <row r="29" spans="1:68" x14ac:dyDescent="0.25">
      <c r="A29" s="16">
        <v>26</v>
      </c>
      <c r="B29" s="26">
        <v>26</v>
      </c>
      <c r="C29" s="29"/>
      <c r="D29" s="19">
        <f>'26'!D3</f>
        <v>24</v>
      </c>
      <c r="E29" s="50">
        <f>'26'!D4</f>
        <v>0.77</v>
      </c>
      <c r="F29" s="50">
        <f>'26'!D2</f>
        <v>0.83</v>
      </c>
      <c r="G29" s="19">
        <f>'26'!G7</f>
        <v>23500</v>
      </c>
      <c r="H29" s="19">
        <f>'26'!G8</f>
        <v>23500</v>
      </c>
      <c r="I29" s="19">
        <v>9</v>
      </c>
      <c r="J29" s="49">
        <f t="shared" si="3"/>
        <v>211500</v>
      </c>
      <c r="K29" s="45">
        <f t="shared" si="4"/>
        <v>116.33663366336634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2245</v>
      </c>
      <c r="P29" s="19">
        <v>108</v>
      </c>
      <c r="Q29" s="46">
        <f t="shared" si="0"/>
        <v>242460</v>
      </c>
      <c r="R29" s="47">
        <f t="shared" si="1"/>
        <v>1339.0194441130861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117</v>
      </c>
      <c r="W29" s="22">
        <f>'26'!G66</f>
        <v>28</v>
      </c>
      <c r="X29" s="22">
        <f>'26'!G67</f>
        <v>31</v>
      </c>
      <c r="Y29" s="22">
        <f t="shared" si="7"/>
        <v>176</v>
      </c>
      <c r="Z29" s="19">
        <f>'26'!G84</f>
        <v>0</v>
      </c>
      <c r="AA29" s="19">
        <f>'26'!G85</f>
        <v>24.319999999999936</v>
      </c>
      <c r="AB29" s="19">
        <f>'26'!G86</f>
        <v>0</v>
      </c>
      <c r="AC29" s="19">
        <f>'26'!G87</f>
        <v>0</v>
      </c>
      <c r="AD29" s="19">
        <f t="shared" si="8"/>
        <v>24.319999999999936</v>
      </c>
      <c r="AE29" s="23">
        <f t="shared" si="2"/>
        <v>5089</v>
      </c>
      <c r="AF29" s="23">
        <f t="shared" si="9"/>
        <v>209.25164473684265</v>
      </c>
      <c r="AG29" s="19">
        <f>'26'!G88</f>
        <v>11</v>
      </c>
      <c r="AH29" s="19">
        <f>'26'!G89</f>
        <v>0</v>
      </c>
      <c r="AI29" s="19">
        <f>'26'!G90</f>
        <v>5.8899999999994179</v>
      </c>
      <c r="AJ29" s="19">
        <f t="shared" si="10"/>
        <v>16.889999999999418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336</v>
      </c>
      <c r="AP29" s="55">
        <f>'26'!G35</f>
        <v>1816</v>
      </c>
      <c r="AQ29" s="19">
        <f>'26'!G37</f>
        <v>1597</v>
      </c>
      <c r="AR29" s="19">
        <f>'26'!G38</f>
        <v>1966</v>
      </c>
      <c r="AS29" s="19">
        <f>'26'!G39</f>
        <v>2728</v>
      </c>
      <c r="AT29" s="19">
        <f>'26'!G40</f>
        <v>424</v>
      </c>
      <c r="AU29" s="19">
        <f>'26'!G41</f>
        <v>0</v>
      </c>
      <c r="AV29" s="19">
        <f>'26'!G42</f>
        <v>5089</v>
      </c>
      <c r="AW29" s="19">
        <f>'26'!G43</f>
        <v>2682</v>
      </c>
      <c r="AX29" s="23">
        <f>'26'!G44</f>
        <v>0</v>
      </c>
      <c r="AY29" s="56">
        <f>'26'!G36</f>
        <v>1268</v>
      </c>
      <c r="AZ29" s="55">
        <f>'26'!G49</f>
        <v>1527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1428</v>
      </c>
      <c r="BI29" s="60">
        <f t="shared" si="12"/>
        <v>5089</v>
      </c>
      <c r="BJ29" s="60">
        <f>'26'!G133</f>
        <v>673</v>
      </c>
      <c r="BK29" s="23">
        <f t="shared" si="13"/>
        <v>47.293617021276596</v>
      </c>
      <c r="BL29" s="23">
        <f t="shared" si="14"/>
        <v>11.608510638297872</v>
      </c>
      <c r="BM29" s="24">
        <f t="shared" si="15"/>
        <v>8.3659574468085113E-2</v>
      </c>
      <c r="BN29" s="25">
        <f t="shared" si="16"/>
        <v>515780</v>
      </c>
      <c r="BO29" s="38">
        <f t="shared" si="17"/>
        <v>8444</v>
      </c>
      <c r="BP29">
        <f t="shared" si="18"/>
        <v>1.2400140977443641</v>
      </c>
    </row>
    <row r="30" spans="1:68" x14ac:dyDescent="0.25">
      <c r="A30" s="16">
        <v>27</v>
      </c>
      <c r="B30" s="17">
        <v>27</v>
      </c>
      <c r="C30" s="28"/>
      <c r="D30" s="19">
        <f>'27'!D3</f>
        <v>25</v>
      </c>
      <c r="E30" s="50">
        <f>'27'!D4</f>
        <v>0.77</v>
      </c>
      <c r="F30" s="50">
        <f>'27'!D2</f>
        <v>0.76</v>
      </c>
      <c r="G30" s="19">
        <f>'27'!G7</f>
        <v>23500</v>
      </c>
      <c r="H30" s="19">
        <f>'27'!G8</f>
        <v>23500</v>
      </c>
      <c r="I30" s="19">
        <v>9</v>
      </c>
      <c r="J30" s="49">
        <f t="shared" si="3"/>
        <v>211500</v>
      </c>
      <c r="K30" s="45">
        <f t="shared" si="4"/>
        <v>116.33663366336634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2365</v>
      </c>
      <c r="P30" s="19">
        <v>108</v>
      </c>
      <c r="Q30" s="46">
        <f t="shared" si="0"/>
        <v>255420</v>
      </c>
      <c r="R30" s="47">
        <f t="shared" si="1"/>
        <v>1540.5158936946325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95</v>
      </c>
      <c r="W30" s="22">
        <f>'27'!G66</f>
        <v>19</v>
      </c>
      <c r="X30" s="22">
        <f>'27'!G67</f>
        <v>28</v>
      </c>
      <c r="Y30" s="22">
        <f t="shared" si="7"/>
        <v>142</v>
      </c>
      <c r="Z30" s="19">
        <f>'27'!G84</f>
        <v>0</v>
      </c>
      <c r="AA30" s="19">
        <f>'27'!G85</f>
        <v>23.680000000000064</v>
      </c>
      <c r="AB30" s="19">
        <f>'27'!G86</f>
        <v>0</v>
      </c>
      <c r="AC30" s="19">
        <f>'27'!G87</f>
        <v>0</v>
      </c>
      <c r="AD30" s="19">
        <f t="shared" si="8"/>
        <v>23.680000000000064</v>
      </c>
      <c r="AE30" s="23">
        <f t="shared" si="2"/>
        <v>4970</v>
      </c>
      <c r="AF30" s="23">
        <f t="shared" si="9"/>
        <v>209.8817567567562</v>
      </c>
      <c r="AG30" s="19">
        <f>'27'!G88</f>
        <v>11</v>
      </c>
      <c r="AH30" s="19">
        <f>'27'!G89</f>
        <v>0</v>
      </c>
      <c r="AI30" s="19">
        <f>'27'!G90</f>
        <v>5.4600000000064028</v>
      </c>
      <c r="AJ30" s="19">
        <f t="shared" si="10"/>
        <v>16.460000000006403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311</v>
      </c>
      <c r="AP30" s="55">
        <f>'27'!G35</f>
        <v>1834</v>
      </c>
      <c r="AQ30" s="19">
        <f>'27'!G37</f>
        <v>1580</v>
      </c>
      <c r="AR30" s="19">
        <f>'27'!G38</f>
        <v>1959</v>
      </c>
      <c r="AS30" s="19">
        <f>'27'!G39</f>
        <v>2857</v>
      </c>
      <c r="AT30" s="19">
        <f>'27'!G40</f>
        <v>773</v>
      </c>
      <c r="AU30" s="19">
        <f>'27'!G41</f>
        <v>0</v>
      </c>
      <c r="AV30" s="19">
        <f>'27'!G42</f>
        <v>4970</v>
      </c>
      <c r="AW30" s="19">
        <f>'27'!G43</f>
        <v>2703</v>
      </c>
      <c r="AX30" s="23">
        <f>'27'!G44</f>
        <v>0</v>
      </c>
      <c r="AY30" s="56">
        <f>'27'!G36</f>
        <v>880</v>
      </c>
      <c r="AZ30" s="55">
        <f>'27'!G49</f>
        <v>1531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4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1298</v>
      </c>
      <c r="BI30" s="60">
        <f t="shared" si="12"/>
        <v>4970</v>
      </c>
      <c r="BJ30" s="60">
        <f>'27'!G133</f>
        <v>657</v>
      </c>
      <c r="BK30" s="23">
        <f t="shared" si="13"/>
        <v>46.970212765957449</v>
      </c>
      <c r="BL30" s="23">
        <f t="shared" si="14"/>
        <v>12.157446808510638</v>
      </c>
      <c r="BM30" s="24">
        <f t="shared" si="15"/>
        <v>8.3361702127659573E-2</v>
      </c>
      <c r="BN30" s="25">
        <f t="shared" si="16"/>
        <v>528740</v>
      </c>
      <c r="BO30" s="38">
        <f t="shared" si="17"/>
        <v>8330</v>
      </c>
      <c r="BP30">
        <f t="shared" si="18"/>
        <v>1.2563344594594561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30714</v>
      </c>
      <c r="H31" s="19">
        <f>'28'!G8</f>
        <v>23500</v>
      </c>
      <c r="I31" s="19">
        <v>9</v>
      </c>
      <c r="J31" s="49">
        <f t="shared" si="3"/>
        <v>211500</v>
      </c>
      <c r="K31" s="45">
        <f t="shared" si="4"/>
        <v>116.33663366336634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2485</v>
      </c>
      <c r="P31" s="19">
        <v>108</v>
      </c>
      <c r="Q31" s="46">
        <f t="shared" si="0"/>
        <v>268380</v>
      </c>
      <c r="R31" s="47">
        <f t="shared" si="1"/>
        <v>1337.1717606543264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134</v>
      </c>
      <c r="W31" s="22">
        <f>'28'!G66</f>
        <v>16</v>
      </c>
      <c r="X31" s="22">
        <f>'28'!G67</f>
        <v>26</v>
      </c>
      <c r="Y31" s="22">
        <f t="shared" si="7"/>
        <v>176</v>
      </c>
      <c r="Z31" s="19">
        <f>'28'!G84</f>
        <v>-0.15000000000145519</v>
      </c>
      <c r="AA31" s="19">
        <f>'28'!G85</f>
        <v>24.070000000000164</v>
      </c>
      <c r="AB31" s="19">
        <f>'28'!G86</f>
        <v>-0.47000000000116415</v>
      </c>
      <c r="AC31" s="19">
        <f>'28'!G87</f>
        <v>0</v>
      </c>
      <c r="AD31" s="19">
        <f t="shared" si="8"/>
        <v>23.449999999997544</v>
      </c>
      <c r="AE31" s="23">
        <f t="shared" si="2"/>
        <v>4561.429999999993</v>
      </c>
      <c r="AF31" s="23">
        <f t="shared" si="9"/>
        <v>194.51727078893265</v>
      </c>
      <c r="AG31" s="19">
        <f>'28'!G88</f>
        <v>1.8699999999989814</v>
      </c>
      <c r="AH31" s="19">
        <f>'28'!G89</f>
        <v>7.9399999999986903</v>
      </c>
      <c r="AI31" s="19">
        <f>'28'!G90</f>
        <v>5.9299999999930151</v>
      </c>
      <c r="AJ31" s="19">
        <f t="shared" si="10"/>
        <v>15.739999999990687</v>
      </c>
      <c r="AK31" s="19">
        <f>'28'!G91</f>
        <v>0</v>
      </c>
      <c r="AL31" s="19">
        <f>'28'!G92</f>
        <v>11.680000000000291</v>
      </c>
      <c r="AM31" s="19"/>
      <c r="AN31" s="19">
        <f t="shared" si="11"/>
        <v>11.680000000000291</v>
      </c>
      <c r="AO31" s="52">
        <f>'28'!G74</f>
        <v>325.92099999997299</v>
      </c>
      <c r="AP31" s="55">
        <f>'28'!G35</f>
        <v>1836.2699999999895</v>
      </c>
      <c r="AQ31" s="19">
        <f>'28'!G37</f>
        <v>1536.2300000000105</v>
      </c>
      <c r="AR31" s="19">
        <f>'28'!G38</f>
        <v>1967.4899999999907</v>
      </c>
      <c r="AS31" s="19">
        <f>'28'!G39</f>
        <v>2740.429999999993</v>
      </c>
      <c r="AT31" s="19">
        <f>'28'!G40</f>
        <v>982.77000000000044</v>
      </c>
      <c r="AU31" s="19">
        <f>'28'!G41</f>
        <v>0</v>
      </c>
      <c r="AV31" s="19">
        <f>'28'!G42</f>
        <v>4561.429999999993</v>
      </c>
      <c r="AW31" s="86">
        <f>'28'!G43</f>
        <v>2482.0699999999997</v>
      </c>
      <c r="AX31" s="23">
        <f>'28'!G44</f>
        <v>0</v>
      </c>
      <c r="AY31" s="56">
        <f>'28'!G36</f>
        <v>766.93999999999869</v>
      </c>
      <c r="AZ31" s="55">
        <f>'28'!G49</f>
        <v>1484.4099999999744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4.4000000000000909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1148.2000000000007</v>
      </c>
      <c r="BI31" s="60">
        <f t="shared" si="12"/>
        <v>4561.429999999993</v>
      </c>
      <c r="BJ31" s="60">
        <f>'28'!G133</f>
        <v>658.92999999999302</v>
      </c>
      <c r="BK31" s="23">
        <f>SUM(AP31,AU31,AV31,AW31,AZ31,BE31,BF31,BG31)/H31%</f>
        <v>44.102893617021095</v>
      </c>
      <c r="BL31" s="23">
        <f t="shared" si="14"/>
        <v>11.66140425531912</v>
      </c>
      <c r="BM31" s="24">
        <f t="shared" si="15"/>
        <v>8.3722978723403854E-2</v>
      </c>
      <c r="BN31" s="25">
        <f t="shared" si="16"/>
        <v>541700</v>
      </c>
      <c r="BO31" s="38">
        <f t="shared" si="17"/>
        <v>7702.4299999999857</v>
      </c>
      <c r="BP31">
        <f t="shared" si="18"/>
        <v>1.1730779774597613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0.45</v>
      </c>
      <c r="G32" s="19">
        <f>'29'!G7</f>
        <v>23500</v>
      </c>
      <c r="H32" s="19">
        <f>'29'!G8</f>
        <v>23500</v>
      </c>
      <c r="I32" s="19">
        <v>9</v>
      </c>
      <c r="J32" s="49">
        <f t="shared" si="3"/>
        <v>211500</v>
      </c>
      <c r="K32" s="45">
        <f t="shared" si="4"/>
        <v>116.33663366336634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2605</v>
      </c>
      <c r="P32" s="19">
        <v>108</v>
      </c>
      <c r="Q32" s="46">
        <f t="shared" si="0"/>
        <v>281340</v>
      </c>
      <c r="R32" s="47">
        <f t="shared" si="1"/>
        <v>2865.7865786578659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104</v>
      </c>
      <c r="W32" s="22">
        <f>'29'!G66</f>
        <v>20</v>
      </c>
      <c r="X32" s="22">
        <f>'29'!G67</f>
        <v>28</v>
      </c>
      <c r="Y32" s="22">
        <f t="shared" si="7"/>
        <v>152</v>
      </c>
      <c r="Z32" s="19">
        <f>'29'!G84</f>
        <v>1.0000000002037268E-2</v>
      </c>
      <c r="AA32" s="19">
        <f>'29'!G85</f>
        <v>23.519999999999982</v>
      </c>
      <c r="AB32" s="19">
        <f>'29'!G86</f>
        <v>6.9999999999708962E-2</v>
      </c>
      <c r="AC32" s="19">
        <f>'29'!G87</f>
        <v>0</v>
      </c>
      <c r="AD32" s="19">
        <f t="shared" si="8"/>
        <v>23.600000000001728</v>
      </c>
      <c r="AE32" s="23">
        <f t="shared" si="2"/>
        <v>4224.9400000000023</v>
      </c>
      <c r="AF32" s="23">
        <f t="shared" si="9"/>
        <v>179.0228813559192</v>
      </c>
      <c r="AG32" s="19">
        <f>'29'!G88</f>
        <v>0.19000000000232831</v>
      </c>
      <c r="AH32" s="19">
        <f>'29'!G89</f>
        <v>9.319999999999709</v>
      </c>
      <c r="AI32" s="19">
        <f>'29'!G90</f>
        <v>5.1000000000058208</v>
      </c>
      <c r="AJ32" s="19">
        <f t="shared" si="10"/>
        <v>14.610000000007858</v>
      </c>
      <c r="AK32" s="19">
        <f>'29'!G91</f>
        <v>0</v>
      </c>
      <c r="AL32" s="19">
        <f>'29'!G92</f>
        <v>11.449999999999818</v>
      </c>
      <c r="AM32" s="19"/>
      <c r="AN32" s="19">
        <f t="shared" si="11"/>
        <v>11.449999999999818</v>
      </c>
      <c r="AO32" s="52">
        <f>'29'!G74</f>
        <v>326.39899999997579</v>
      </c>
      <c r="AP32" s="55">
        <f>'29'!G35</f>
        <v>1871.7200000000012</v>
      </c>
      <c r="AQ32" s="19">
        <f>'29'!G37</f>
        <v>1544.4799999999814</v>
      </c>
      <c r="AR32" s="19">
        <f>'29'!G38</f>
        <v>1870.5800000000163</v>
      </c>
      <c r="AS32" s="19">
        <f>'29'!G39</f>
        <v>2727.320000000007</v>
      </c>
      <c r="AT32" s="19">
        <f>'29'!G40</f>
        <v>381.89999999999964</v>
      </c>
      <c r="AU32" s="19">
        <f>'29'!G41</f>
        <v>0</v>
      </c>
      <c r="AV32" s="19">
        <f>'29'!G42</f>
        <v>4224.9400000000023</v>
      </c>
      <c r="AW32" s="19">
        <f>'29'!G43</f>
        <v>2459.9199999999983</v>
      </c>
      <c r="AX32" s="23">
        <f>'29'!G44</f>
        <v>0</v>
      </c>
      <c r="AY32" s="56">
        <f>'29'!G36</f>
        <v>817.22999999999956</v>
      </c>
      <c r="AZ32" s="55">
        <f>'29'!G49</f>
        <v>1433.8400000000256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4.3600000000001273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950.39999999999782</v>
      </c>
      <c r="BI32" s="60">
        <f t="shared" si="12"/>
        <v>4224.9400000000023</v>
      </c>
      <c r="BJ32" s="60">
        <f>'29'!G133</f>
        <v>707.36000000000058</v>
      </c>
      <c r="BK32" s="23">
        <f t="shared" si="13"/>
        <v>42.512425531915007</v>
      </c>
      <c r="BL32" s="23">
        <f t="shared" si="14"/>
        <v>11.605617021276625</v>
      </c>
      <c r="BM32" s="24">
        <f t="shared" si="15"/>
        <v>7.9599148936170913E-2</v>
      </c>
      <c r="BN32" s="25">
        <f t="shared" si="16"/>
        <v>554660</v>
      </c>
      <c r="BO32" s="38">
        <f t="shared" si="17"/>
        <v>7392.2200000000012</v>
      </c>
      <c r="BP32">
        <f t="shared" si="18"/>
        <v>1.1186773607747367</v>
      </c>
    </row>
    <row r="33" spans="1:68" x14ac:dyDescent="0.25">
      <c r="A33" s="16">
        <v>30</v>
      </c>
      <c r="B33" s="27">
        <v>30</v>
      </c>
      <c r="C33" s="28"/>
      <c r="D33" s="19">
        <f>'30'!D3</f>
        <v>25</v>
      </c>
      <c r="E33" s="50">
        <f>'30'!D4</f>
        <v>0.8</v>
      </c>
      <c r="F33" s="50">
        <f>'30'!D2</f>
        <v>0.61</v>
      </c>
      <c r="G33" s="19">
        <f>'30'!G7</f>
        <v>23500</v>
      </c>
      <c r="H33" s="19">
        <f>'30'!G8</f>
        <v>23500</v>
      </c>
      <c r="I33" s="19">
        <v>9</v>
      </c>
      <c r="J33" s="49">
        <f t="shared" si="3"/>
        <v>211500</v>
      </c>
      <c r="K33" s="45">
        <f t="shared" si="4"/>
        <v>116.33663366336634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2725</v>
      </c>
      <c r="P33" s="19">
        <v>108</v>
      </c>
      <c r="Q33" s="46">
        <f t="shared" si="0"/>
        <v>294300</v>
      </c>
      <c r="R33" s="47">
        <f t="shared" si="1"/>
        <v>2211.4916409673756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103</v>
      </c>
      <c r="W33" s="22">
        <f>'30'!G66</f>
        <v>18</v>
      </c>
      <c r="X33" s="22">
        <f>'30'!G67</f>
        <v>35</v>
      </c>
      <c r="Y33" s="22">
        <f t="shared" si="7"/>
        <v>156</v>
      </c>
      <c r="Z33" s="19">
        <f>'30'!G84</f>
        <v>0</v>
      </c>
      <c r="AA33" s="19">
        <f>'30'!G85</f>
        <v>12.9699999999998</v>
      </c>
      <c r="AB33" s="19">
        <f>'30'!G86</f>
        <v>12.930000000000291</v>
      </c>
      <c r="AC33" s="19">
        <f>'30'!G87</f>
        <v>0</v>
      </c>
      <c r="AD33" s="19">
        <f t="shared" si="8"/>
        <v>25.900000000000091</v>
      </c>
      <c r="AE33" s="23">
        <f t="shared" si="2"/>
        <v>4162.6300000000047</v>
      </c>
      <c r="AF33" s="23">
        <f t="shared" si="9"/>
        <v>160.71930501930464</v>
      </c>
      <c r="AG33" s="19">
        <f>'30'!G88</f>
        <v>-6.0000000001309672E-2</v>
      </c>
      <c r="AH33" s="19">
        <f>'30'!G89</f>
        <v>9.7400000000016007</v>
      </c>
      <c r="AI33" s="19">
        <f>'30'!G90</f>
        <v>4.9700000000011642</v>
      </c>
      <c r="AJ33" s="19">
        <f t="shared" si="10"/>
        <v>14.650000000001455</v>
      </c>
      <c r="AK33" s="19">
        <f>'30'!G91</f>
        <v>0</v>
      </c>
      <c r="AL33" s="19">
        <f>'30'!G92</f>
        <v>10.869999999999891</v>
      </c>
      <c r="AM33" s="19"/>
      <c r="AN33" s="19">
        <f t="shared" si="11"/>
        <v>10.869999999999891</v>
      </c>
      <c r="AO33" s="52">
        <f>'30'!G74</f>
        <v>306.68000000005122</v>
      </c>
      <c r="AP33" s="55">
        <f>'30'!G35</f>
        <v>2062.0100000000093</v>
      </c>
      <c r="AQ33" s="19">
        <f>'30'!G37</f>
        <v>1598.2900000000081</v>
      </c>
      <c r="AR33" s="19">
        <f>'30'!G38</f>
        <v>1908.929999999993</v>
      </c>
      <c r="AS33" s="19">
        <f>'30'!G39</f>
        <v>2712.25</v>
      </c>
      <c r="AT33" s="19">
        <f>'30'!G40</f>
        <v>160.32999999999993</v>
      </c>
      <c r="AU33" s="19">
        <f>'30'!G41</f>
        <v>0</v>
      </c>
      <c r="AV33" s="19">
        <f>'30'!G42</f>
        <v>1908.6300000000047</v>
      </c>
      <c r="AW33" s="19">
        <f>'30'!G43</f>
        <v>2662.010000000002</v>
      </c>
      <c r="AX33" s="23">
        <f>'30'!G44</f>
        <v>0</v>
      </c>
      <c r="AY33" s="56">
        <f>'30'!G36</f>
        <v>847.83000000000175</v>
      </c>
      <c r="AZ33" s="55">
        <f>'30'!G49</f>
        <v>1433.75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4.2399999999997817</v>
      </c>
      <c r="BE33" s="19">
        <f>'30'!G55</f>
        <v>2254</v>
      </c>
      <c r="BF33" s="19">
        <f>'30'!G56</f>
        <v>0</v>
      </c>
      <c r="BG33" s="19">
        <f>'30'!G57</f>
        <v>0</v>
      </c>
      <c r="BH33" s="56">
        <f>'30'!G50</f>
        <v>1046.4000000000015</v>
      </c>
      <c r="BI33" s="60">
        <f t="shared" ref="BI33" si="19">SUM(AU33,AV33,BE33,BF33)</f>
        <v>4162.6300000000047</v>
      </c>
      <c r="BJ33" s="60">
        <f>'30'!G133</f>
        <v>587.7100000000064</v>
      </c>
      <c r="BK33" s="23">
        <f t="shared" si="13"/>
        <v>43.916595744680919</v>
      </c>
      <c r="BL33" s="23">
        <f t="shared" si="14"/>
        <v>11.541489361702128</v>
      </c>
      <c r="BM33" s="24">
        <f t="shared" si="15"/>
        <v>8.123106382978694E-2</v>
      </c>
      <c r="BN33" s="25">
        <f t="shared" si="16"/>
        <v>567620</v>
      </c>
      <c r="BO33" s="38">
        <f t="shared" si="17"/>
        <v>7412.3500000000131</v>
      </c>
      <c r="BP33">
        <f t="shared" si="18"/>
        <v>1.0221111417539972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25</v>
      </c>
      <c r="G34" s="19">
        <f>'31'!G7</f>
        <v>23500</v>
      </c>
      <c r="H34" s="19">
        <f>'31'!G8</f>
        <v>23500</v>
      </c>
      <c r="I34" s="19">
        <v>9</v>
      </c>
      <c r="J34" s="49">
        <f t="shared" si="3"/>
        <v>211500</v>
      </c>
      <c r="K34" s="45">
        <f t="shared" ref="K34" si="20">H34/202</f>
        <v>116.33663366336634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2845</v>
      </c>
      <c r="P34" s="19">
        <v>108</v>
      </c>
      <c r="Q34" s="46">
        <f t="shared" ref="Q34" si="22">O34*P34</f>
        <v>307260</v>
      </c>
      <c r="R34" s="47">
        <f t="shared" si="1"/>
        <v>56.336633663366335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94</v>
      </c>
      <c r="W34" s="22">
        <f>'31'!G66</f>
        <v>19</v>
      </c>
      <c r="X34" s="22">
        <f>'31'!G67</f>
        <v>31</v>
      </c>
      <c r="Y34" s="22">
        <f t="shared" ref="Y34" si="24">V34+W34+X34</f>
        <v>144</v>
      </c>
      <c r="Z34" s="19">
        <f>'31'!G84</f>
        <v>-0.26000000000203727</v>
      </c>
      <c r="AA34" s="19">
        <f>'31'!G85</f>
        <v>0</v>
      </c>
      <c r="AB34" s="19">
        <f>'31'!G86</f>
        <v>24</v>
      </c>
      <c r="AC34" s="19">
        <f>'31'!G87</f>
        <v>0</v>
      </c>
      <c r="AD34" s="19">
        <f t="shared" ref="AD34" si="25">Z34+AA34+AB34+AC34</f>
        <v>23.739999999997963</v>
      </c>
      <c r="AE34" s="23">
        <f t="shared" ref="AE34" si="26">AU34+AV34+BE34+BF34</f>
        <v>3511</v>
      </c>
      <c r="AF34" s="23">
        <f t="shared" ref="AF34" si="27">AE34/AD34</f>
        <v>147.89385004213568</v>
      </c>
      <c r="AG34" s="19">
        <f>'31'!G88</f>
        <v>6</v>
      </c>
      <c r="AH34" s="19">
        <f>'31'!G89</f>
        <v>2</v>
      </c>
      <c r="AI34" s="19">
        <f>'31'!G90</f>
        <v>7</v>
      </c>
      <c r="AJ34" s="19">
        <f t="shared" ref="AJ34" si="28">AG34+AH34+AI34</f>
        <v>15</v>
      </c>
      <c r="AK34" s="19">
        <f>'31'!G91</f>
        <v>0.32000000000016371</v>
      </c>
      <c r="AL34" s="19">
        <f>'31'!G92</f>
        <v>9</v>
      </c>
      <c r="AM34" s="19"/>
      <c r="AN34" s="19">
        <f t="shared" ref="AN34" si="29">AK34+AL34</f>
        <v>9.3200000000001637</v>
      </c>
      <c r="AO34" s="52">
        <f>'31'!G74</f>
        <v>269</v>
      </c>
      <c r="AP34" s="55">
        <f>'31'!G35</f>
        <v>1893</v>
      </c>
      <c r="AQ34" s="19">
        <f>'31'!G37</f>
        <v>1605</v>
      </c>
      <c r="AR34" s="19">
        <f>'31'!G38</f>
        <v>1751</v>
      </c>
      <c r="AS34" s="19">
        <f>'31'!G39</f>
        <v>2762</v>
      </c>
      <c r="AT34" s="19">
        <f>'31'!G40</f>
        <v>1</v>
      </c>
      <c r="AU34" s="19">
        <f>'31'!G41</f>
        <v>0</v>
      </c>
      <c r="AV34" s="19">
        <f>'31'!G42</f>
        <v>0</v>
      </c>
      <c r="AW34" s="19">
        <f>'31'!G43</f>
        <v>2607</v>
      </c>
      <c r="AX34" s="23">
        <f>'31'!G44</f>
        <v>0</v>
      </c>
      <c r="AY34" s="56">
        <f>'31'!G36</f>
        <v>857</v>
      </c>
      <c r="AZ34" s="55">
        <f>'31'!G49</f>
        <v>1432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</v>
      </c>
      <c r="BE34" s="19">
        <f>'31'!G55</f>
        <v>3511</v>
      </c>
      <c r="BF34" s="19">
        <f>'31'!G56</f>
        <v>0</v>
      </c>
      <c r="BG34" s="19">
        <f>'31'!G57</f>
        <v>0</v>
      </c>
      <c r="BH34" s="56">
        <f>'31'!G50</f>
        <v>1079</v>
      </c>
      <c r="BI34" s="60">
        <f t="shared" ref="BI34" si="30">SUM(AU34,AV34,BE34,BF34)</f>
        <v>3511</v>
      </c>
      <c r="BJ34" s="60">
        <f>'31'!G133</f>
        <v>647</v>
      </c>
      <c r="BK34" s="23">
        <f t="shared" ref="BK34" si="31">SUM(AP34,AU34,AV34,AW34,AZ34,BE34,BF34,BG34)/H34%</f>
        <v>40.182978723404254</v>
      </c>
      <c r="BL34" s="23">
        <f t="shared" ref="BL34" si="32">SUM(AS34,BC34)/H34%</f>
        <v>11.753191489361702</v>
      </c>
      <c r="BM34" s="24">
        <f t="shared" ref="BM34" si="33">(AR34+BB34)/H34</f>
        <v>7.4510638297872342E-2</v>
      </c>
      <c r="BN34" s="25">
        <f t="shared" ref="BN34" si="34">J34+N34+Q34+U34</f>
        <v>580580</v>
      </c>
      <c r="BO34" s="38">
        <f t="shared" ref="BO34" si="35">SUM(AU34,AV34,AW34,BE34,BF34,BG34,BJ34)</f>
        <v>6765</v>
      </c>
      <c r="BP34">
        <f t="shared" ref="BP34" si="36">BO34/(AD34*280)</f>
        <v>1.0177217475027953</v>
      </c>
    </row>
    <row r="35" spans="1:68" x14ac:dyDescent="0.25">
      <c r="A35" s="16" t="s">
        <v>196</v>
      </c>
      <c r="B35" s="30"/>
      <c r="C35" s="31"/>
      <c r="D35" s="32">
        <f>AVERAGE(D4:D34)</f>
        <v>26.225806451612904</v>
      </c>
      <c r="E35" s="33"/>
      <c r="F35" s="73">
        <f>AVERAGE(F4:F34)</f>
        <v>1.507583870967742</v>
      </c>
      <c r="G35" s="34">
        <f>SUM(G4:G34)</f>
        <v>699631</v>
      </c>
      <c r="H35" s="34">
        <f t="shared" ref="H35:BN35" si="37">SUM(H4:H34)</f>
        <v>696052</v>
      </c>
      <c r="I35" s="19">
        <v>9</v>
      </c>
      <c r="J35" s="34">
        <f t="shared" si="37"/>
        <v>6264468</v>
      </c>
      <c r="K35" s="34">
        <f t="shared" si="37"/>
        <v>3445.8019801980176</v>
      </c>
      <c r="L35" s="34">
        <f t="shared" si="37"/>
        <v>32369</v>
      </c>
      <c r="M35" s="34">
        <f t="shared" si="37"/>
        <v>1742.200000000001</v>
      </c>
      <c r="N35" s="34">
        <f t="shared" si="37"/>
        <v>1819137.8</v>
      </c>
      <c r="O35" s="34">
        <f t="shared" si="37"/>
        <v>36560</v>
      </c>
      <c r="P35" s="34">
        <f t="shared" si="37"/>
        <v>3348</v>
      </c>
      <c r="Q35" s="34">
        <f t="shared" si="37"/>
        <v>3948480</v>
      </c>
      <c r="R35" s="34">
        <f t="shared" si="37"/>
        <v>23872.574983326402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432712</v>
      </c>
      <c r="W35" s="34">
        <f t="shared" si="37"/>
        <v>0</v>
      </c>
      <c r="X35" s="34">
        <f t="shared" si="37"/>
        <v>0</v>
      </c>
      <c r="Y35" s="34">
        <f t="shared" si="37"/>
        <v>432712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1166887</v>
      </c>
      <c r="AF35" s="34">
        <f t="shared" si="37"/>
        <v>3442.9388377156147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-321</v>
      </c>
      <c r="AP35" s="34">
        <f t="shared" si="37"/>
        <v>168042</v>
      </c>
      <c r="AQ35" s="34">
        <f t="shared" si="37"/>
        <v>207605</v>
      </c>
      <c r="AR35" s="34">
        <f t="shared" si="37"/>
        <v>245682</v>
      </c>
      <c r="AS35" s="34">
        <f t="shared" si="37"/>
        <v>432761</v>
      </c>
      <c r="AT35" s="34">
        <f t="shared" si="37"/>
        <v>540.14999999999964</v>
      </c>
      <c r="AU35" s="34">
        <f t="shared" si="37"/>
        <v>599900</v>
      </c>
      <c r="AV35" s="34">
        <f t="shared" si="37"/>
        <v>352668</v>
      </c>
      <c r="AW35" s="34">
        <f t="shared" si="37"/>
        <v>1564680.9999999998</v>
      </c>
      <c r="AX35" s="34">
        <f t="shared" si="37"/>
        <v>0</v>
      </c>
      <c r="AY35" s="34">
        <f t="shared" si="37"/>
        <v>89730</v>
      </c>
      <c r="AZ35" s="34">
        <f t="shared" si="37"/>
        <v>285361.00000000006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4951.08</v>
      </c>
      <c r="BE35" s="34">
        <f t="shared" si="37"/>
        <v>2254</v>
      </c>
      <c r="BF35" s="34">
        <f t="shared" si="37"/>
        <v>212065</v>
      </c>
      <c r="BG35" s="34">
        <f t="shared" si="37"/>
        <v>0</v>
      </c>
      <c r="BH35" s="34">
        <f t="shared" si="37"/>
        <v>739075.00000000012</v>
      </c>
      <c r="BI35" s="34">
        <f t="shared" si="37"/>
        <v>1166887</v>
      </c>
      <c r="BJ35" s="34">
        <f t="shared" si="37"/>
        <v>23820.380000000005</v>
      </c>
      <c r="BK35" s="34">
        <f t="shared" si="37"/>
        <v>13615.157100200702</v>
      </c>
      <c r="BL35" s="34">
        <f t="shared" si="37"/>
        <v>1860.4117027330592</v>
      </c>
      <c r="BM35" s="34">
        <f t="shared" si="37"/>
        <v>10.569981044924065</v>
      </c>
      <c r="BN35" s="34">
        <f t="shared" si="37"/>
        <v>12032085.800000001</v>
      </c>
      <c r="BO35" s="38">
        <f t="shared" si="17"/>
        <v>2755388.38</v>
      </c>
      <c r="BP35" t="e">
        <f t="shared" si="18"/>
        <v>#DIV/0!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-5.0000000000000044E-2</v>
      </c>
      <c r="F36" s="35">
        <f t="shared" si="38"/>
        <v>-4.0000000000000036E-2</v>
      </c>
      <c r="G36" s="35"/>
      <c r="H36" s="35">
        <f t="shared" ref="H36:AN36" si="39">H18-H17</f>
        <v>0</v>
      </c>
      <c r="I36" s="35">
        <f t="shared" si="39"/>
        <v>0</v>
      </c>
      <c r="J36" s="42">
        <f t="shared" si="39"/>
        <v>0</v>
      </c>
      <c r="K36" s="42">
        <f t="shared" si="39"/>
        <v>0</v>
      </c>
      <c r="L36" s="35">
        <f t="shared" si="39"/>
        <v>0</v>
      </c>
      <c r="M36" s="35">
        <f t="shared" si="39"/>
        <v>0</v>
      </c>
      <c r="N36" s="42">
        <f t="shared" si="39"/>
        <v>0</v>
      </c>
      <c r="O36" s="35">
        <f t="shared" si="39"/>
        <v>120</v>
      </c>
      <c r="P36" s="35">
        <f t="shared" si="39"/>
        <v>0</v>
      </c>
      <c r="Q36" s="42">
        <f t="shared" si="39"/>
        <v>12960</v>
      </c>
      <c r="R36" s="42">
        <f t="shared" si="39"/>
        <v>177.85111844517792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</v>
      </c>
      <c r="W36" s="35">
        <f t="shared" si="39"/>
        <v>-5</v>
      </c>
      <c r="X36" s="35">
        <f t="shared" si="39"/>
        <v>-12</v>
      </c>
      <c r="Y36" s="35">
        <f t="shared" si="39"/>
        <v>-16</v>
      </c>
      <c r="Z36" s="35">
        <f t="shared" si="39"/>
        <v>0</v>
      </c>
      <c r="AA36" s="35">
        <f t="shared" si="39"/>
        <v>17</v>
      </c>
      <c r="AB36" s="35">
        <f t="shared" si="39"/>
        <v>0</v>
      </c>
      <c r="AC36" s="35">
        <f t="shared" si="39"/>
        <v>-12.739999999997963</v>
      </c>
      <c r="AD36" s="35">
        <f t="shared" si="39"/>
        <v>4.2600000000020373</v>
      </c>
      <c r="AE36" s="35">
        <f t="shared" si="39"/>
        <v>1268</v>
      </c>
      <c r="AF36" s="35">
        <f t="shared" si="39"/>
        <v>20.763119164222672</v>
      </c>
      <c r="AG36" s="35">
        <f t="shared" si="39"/>
        <v>0</v>
      </c>
      <c r="AH36" s="35">
        <f t="shared" si="39"/>
        <v>-1.5100000000020373</v>
      </c>
      <c r="AI36" s="35">
        <f t="shared" si="39"/>
        <v>3.6000000000058208</v>
      </c>
      <c r="AJ36" s="35">
        <f t="shared" si="39"/>
        <v>2.0900000000037835</v>
      </c>
      <c r="AK36" s="35">
        <f t="shared" si="39"/>
        <v>0</v>
      </c>
      <c r="AL36" s="35">
        <f t="shared" si="39"/>
        <v>2.9999999999745341E-2</v>
      </c>
      <c r="AM36" s="35">
        <f t="shared" si="39"/>
        <v>0</v>
      </c>
      <c r="AN36" s="35">
        <f t="shared" si="39"/>
        <v>2.9999999999745341E-2</v>
      </c>
      <c r="AO36" s="35"/>
      <c r="AP36" s="35">
        <f t="shared" ref="AP36:AW36" si="40">AP18-AP17</f>
        <v>-85</v>
      </c>
      <c r="AQ36" s="35">
        <f t="shared" si="40"/>
        <v>-55</v>
      </c>
      <c r="AR36" s="35">
        <f t="shared" si="40"/>
        <v>-98</v>
      </c>
      <c r="AS36" s="35">
        <f t="shared" si="40"/>
        <v>-83</v>
      </c>
      <c r="AT36" s="35">
        <f t="shared" si="40"/>
        <v>-4</v>
      </c>
      <c r="AU36" s="35">
        <f t="shared" si="40"/>
        <v>0</v>
      </c>
      <c r="AV36" s="35">
        <f t="shared" si="40"/>
        <v>3142</v>
      </c>
      <c r="AW36" s="35">
        <f t="shared" si="40"/>
        <v>-20</v>
      </c>
      <c r="AX36" s="35"/>
      <c r="AY36" s="35"/>
      <c r="AZ36" s="35">
        <f t="shared" ref="AZ36:BG36" si="41">AZ18-AZ17</f>
        <v>-8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1</v>
      </c>
      <c r="BE36" s="35">
        <f t="shared" si="41"/>
        <v>0</v>
      </c>
      <c r="BF36" s="35">
        <f t="shared" si="41"/>
        <v>-1874</v>
      </c>
      <c r="BG36" s="35">
        <f t="shared" si="41"/>
        <v>0</v>
      </c>
      <c r="BH36" s="35"/>
      <c r="BI36" s="35"/>
      <c r="BJ36" s="35"/>
      <c r="BK36" s="35">
        <f>BK18-BK17</f>
        <v>4.9148936170212778</v>
      </c>
      <c r="BL36" s="35">
        <f>BL18-BL17</f>
        <v>-0.35319148936170208</v>
      </c>
      <c r="BM36" s="35"/>
      <c r="BN36" s="35">
        <f>BN18-BN17</f>
        <v>12960</v>
      </c>
      <c r="BO36" s="35">
        <f>BO18-BO17</f>
        <v>1233</v>
      </c>
    </row>
    <row r="37" spans="1:68" x14ac:dyDescent="0.25">
      <c r="F37" s="38">
        <f>AVERAGE(F4:F35)</f>
        <v>1.507583870967742</v>
      </c>
      <c r="G37" s="38"/>
      <c r="H37" s="38">
        <f>AVERAGE(H4:H35)</f>
        <v>43503.25</v>
      </c>
    </row>
    <row r="38" spans="1:68" x14ac:dyDescent="0.25">
      <c r="B38" s="36" t="s">
        <v>66</v>
      </c>
      <c r="F38" s="72">
        <f>AVERAGE(F4:F35)</f>
        <v>1.507583870967742</v>
      </c>
      <c r="G38" s="72"/>
    </row>
    <row r="41" spans="1:68" x14ac:dyDescent="0.25">
      <c r="BI41">
        <f>(BI31+BJ31)/400</f>
        <v>13.050899999999965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F2" sqref="F2:F10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6" t="s">
        <v>355</v>
      </c>
    </row>
    <row r="2" spans="1:17" x14ac:dyDescent="0.25">
      <c r="A2" s="248">
        <v>1</v>
      </c>
      <c r="B2" s="467">
        <f>C2/202%</f>
        <v>77.227722772277232</v>
      </c>
      <c r="C2" s="467">
        <v>156</v>
      </c>
      <c r="D2" s="467">
        <v>5</v>
      </c>
      <c r="E2" s="467">
        <v>80</v>
      </c>
      <c r="F2" s="468">
        <v>614</v>
      </c>
      <c r="G2" s="468">
        <f>C2+D2</f>
        <v>161</v>
      </c>
      <c r="H2" s="469">
        <f>C2/202%</f>
        <v>77.227722772277232</v>
      </c>
      <c r="I2" s="470"/>
      <c r="J2" s="469">
        <f>'Section Load'!C5/G2</f>
        <v>127.01242236024845</v>
      </c>
      <c r="K2">
        <f>10/202</f>
        <v>4.9504950495049507E-2</v>
      </c>
    </row>
    <row r="3" spans="1:17" x14ac:dyDescent="0.25">
      <c r="A3" s="248">
        <v>2</v>
      </c>
      <c r="B3" s="467">
        <f t="shared" ref="B3:B32" si="0">C3/202%</f>
        <v>53.465346534653463</v>
      </c>
      <c r="C3" s="467">
        <v>108</v>
      </c>
      <c r="D3" s="467">
        <v>5</v>
      </c>
      <c r="E3" s="467">
        <v>56</v>
      </c>
      <c r="F3" s="468">
        <v>516</v>
      </c>
      <c r="G3" s="468">
        <f t="shared" ref="G3:G31" si="1">C3+D3</f>
        <v>113</v>
      </c>
      <c r="H3" s="469">
        <f t="shared" ref="H3:H32" si="2">C3/202%</f>
        <v>53.465346534653463</v>
      </c>
      <c r="I3" s="470"/>
      <c r="J3" s="469">
        <f>'Section Load'!C6/G3</f>
        <v>176.04424778761063</v>
      </c>
    </row>
    <row r="4" spans="1:17" x14ac:dyDescent="0.25">
      <c r="A4" s="248">
        <v>3</v>
      </c>
      <c r="B4" s="467">
        <f t="shared" si="0"/>
        <v>54.455445544554458</v>
      </c>
      <c r="C4" s="467">
        <v>110</v>
      </c>
      <c r="D4" s="467">
        <v>5</v>
      </c>
      <c r="E4" s="467">
        <v>57</v>
      </c>
      <c r="F4" s="468">
        <v>306</v>
      </c>
      <c r="G4" s="468">
        <f t="shared" si="1"/>
        <v>115</v>
      </c>
      <c r="H4" s="469">
        <f t="shared" si="2"/>
        <v>54.455445544554458</v>
      </c>
      <c r="I4" s="470"/>
      <c r="J4" s="469">
        <f>'Section Load'!C7/G4</f>
        <v>169.81739130434784</v>
      </c>
      <c r="Q4" s="489">
        <f>C2/202</f>
        <v>0.7722772277227723</v>
      </c>
    </row>
    <row r="5" spans="1:17" x14ac:dyDescent="0.25">
      <c r="A5" s="248">
        <v>4</v>
      </c>
      <c r="B5" s="467">
        <f t="shared" si="0"/>
        <v>62.376237623762378</v>
      </c>
      <c r="C5" s="467">
        <v>126</v>
      </c>
      <c r="D5" s="467">
        <v>6</v>
      </c>
      <c r="E5" s="467">
        <v>65</v>
      </c>
      <c r="F5" s="468">
        <v>385</v>
      </c>
      <c r="G5" s="468">
        <f t="shared" si="1"/>
        <v>132</v>
      </c>
      <c r="H5" s="469">
        <f t="shared" si="2"/>
        <v>62.376237623762378</v>
      </c>
      <c r="I5" s="470"/>
      <c r="J5" s="469">
        <f>'Section Load'!C8/G5</f>
        <v>153.17386363636373</v>
      </c>
    </row>
    <row r="6" spans="1:17" x14ac:dyDescent="0.25">
      <c r="A6" s="248">
        <v>5</v>
      </c>
      <c r="B6" s="467">
        <f t="shared" si="0"/>
        <v>59.900990099009903</v>
      </c>
      <c r="C6" s="467">
        <v>121</v>
      </c>
      <c r="D6" s="467">
        <v>6</v>
      </c>
      <c r="E6" s="467">
        <v>63</v>
      </c>
      <c r="F6" s="468">
        <v>417</v>
      </c>
      <c r="G6" s="468">
        <f t="shared" si="1"/>
        <v>127</v>
      </c>
      <c r="H6" s="469">
        <f t="shared" si="2"/>
        <v>59.900990099009903</v>
      </c>
      <c r="I6" s="470"/>
      <c r="J6" s="469">
        <f>'Section Load'!C9/G6</f>
        <v>160.11850393700777</v>
      </c>
    </row>
    <row r="7" spans="1:17" x14ac:dyDescent="0.25">
      <c r="A7" s="248">
        <v>6</v>
      </c>
      <c r="B7" s="467">
        <f t="shared" si="0"/>
        <v>58.415841584158414</v>
      </c>
      <c r="C7" s="467">
        <v>118</v>
      </c>
      <c r="D7" s="467">
        <v>10</v>
      </c>
      <c r="E7" s="467">
        <v>63</v>
      </c>
      <c r="F7" s="468">
        <v>477</v>
      </c>
      <c r="G7" s="468">
        <f t="shared" si="1"/>
        <v>128</v>
      </c>
      <c r="H7" s="469">
        <f t="shared" si="2"/>
        <v>58.415841584158414</v>
      </c>
      <c r="I7" s="470"/>
      <c r="J7" s="469">
        <f>'Section Load'!C10/G7</f>
        <v>161.78125</v>
      </c>
    </row>
    <row r="8" spans="1:17" x14ac:dyDescent="0.25">
      <c r="A8" s="248">
        <v>7</v>
      </c>
      <c r="B8" s="467">
        <f t="shared" si="0"/>
        <v>50.990099009900987</v>
      </c>
      <c r="C8" s="467">
        <v>103</v>
      </c>
      <c r="D8" s="467">
        <v>12</v>
      </c>
      <c r="E8" s="467">
        <v>57</v>
      </c>
      <c r="F8" s="468">
        <v>355</v>
      </c>
      <c r="G8" s="468">
        <f t="shared" si="1"/>
        <v>115</v>
      </c>
      <c r="H8" s="469">
        <f t="shared" si="2"/>
        <v>50.990099009900987</v>
      </c>
      <c r="I8" s="470"/>
      <c r="J8" s="469">
        <f>'Section Load'!C11/G8</f>
        <v>176.18260869565216</v>
      </c>
      <c r="K8">
        <f>30*202</f>
        <v>6060</v>
      </c>
      <c r="L8">
        <f>1638*(69/202%)</f>
        <v>55951.485148514854</v>
      </c>
    </row>
    <row r="9" spans="1:17" x14ac:dyDescent="0.25">
      <c r="A9" s="248">
        <v>8</v>
      </c>
      <c r="B9" s="467">
        <f t="shared" si="0"/>
        <v>50.495049504950494</v>
      </c>
      <c r="C9" s="467">
        <v>102</v>
      </c>
      <c r="D9" s="467">
        <v>10</v>
      </c>
      <c r="E9" s="467">
        <f t="shared" ref="E9:E31" si="3">SUM(C9:D9)/202%</f>
        <v>55.445544554455445</v>
      </c>
      <c r="F9" s="468">
        <v>301</v>
      </c>
      <c r="G9" s="468">
        <f t="shared" si="1"/>
        <v>112</v>
      </c>
      <c r="H9" s="469">
        <f t="shared" si="2"/>
        <v>50.495049504950494</v>
      </c>
      <c r="I9" s="470"/>
      <c r="J9" s="469">
        <f>'Section Load'!C12/G9</f>
        <v>175.41964285714286</v>
      </c>
    </row>
    <row r="10" spans="1:17" x14ac:dyDescent="0.25">
      <c r="A10" s="248">
        <v>9</v>
      </c>
      <c r="B10" s="467">
        <f t="shared" si="0"/>
        <v>49.009900990099013</v>
      </c>
      <c r="C10" s="467">
        <v>99</v>
      </c>
      <c r="D10" s="467">
        <v>11</v>
      </c>
      <c r="E10" s="467">
        <f t="shared" si="3"/>
        <v>54.455445544554458</v>
      </c>
      <c r="F10" s="468">
        <v>349</v>
      </c>
      <c r="G10" s="468">
        <f t="shared" si="1"/>
        <v>110</v>
      </c>
      <c r="H10" s="469">
        <f t="shared" si="2"/>
        <v>49.009900990099013</v>
      </c>
      <c r="I10" s="470"/>
      <c r="J10" s="469">
        <f>'Section Load'!C13/G10</f>
        <v>163.73636363636365</v>
      </c>
    </row>
    <row r="11" spans="1:17" x14ac:dyDescent="0.25">
      <c r="A11" s="248">
        <v>10</v>
      </c>
      <c r="B11" s="467">
        <f t="shared" si="0"/>
        <v>0</v>
      </c>
      <c r="C11" s="467"/>
      <c r="D11" s="467"/>
      <c r="E11" s="467">
        <f t="shared" si="3"/>
        <v>0</v>
      </c>
      <c r="F11" s="468"/>
      <c r="G11" s="468">
        <f t="shared" si="1"/>
        <v>0</v>
      </c>
      <c r="H11" s="469">
        <f t="shared" si="2"/>
        <v>0</v>
      </c>
      <c r="I11" s="470"/>
      <c r="J11" s="469" t="e">
        <f>'Section Load'!C14/G11</f>
        <v>#DIV/0!</v>
      </c>
    </row>
    <row r="12" spans="1:17" x14ac:dyDescent="0.25">
      <c r="A12" s="248">
        <v>11</v>
      </c>
      <c r="B12" s="467">
        <f t="shared" si="0"/>
        <v>0</v>
      </c>
      <c r="C12" s="467"/>
      <c r="D12" s="467"/>
      <c r="E12" s="467">
        <f t="shared" si="3"/>
        <v>0</v>
      </c>
      <c r="F12" s="468"/>
      <c r="G12" s="468">
        <f t="shared" si="1"/>
        <v>0</v>
      </c>
      <c r="H12" s="469">
        <f t="shared" si="2"/>
        <v>0</v>
      </c>
      <c r="I12" s="470"/>
      <c r="J12" s="469" t="e">
        <f>'Section Load'!C15/G12</f>
        <v>#DIV/0!</v>
      </c>
    </row>
    <row r="13" spans="1:17" x14ac:dyDescent="0.25">
      <c r="A13" s="248">
        <v>12</v>
      </c>
      <c r="B13" s="467">
        <f t="shared" si="0"/>
        <v>0</v>
      </c>
      <c r="C13" s="467"/>
      <c r="D13" s="467"/>
      <c r="E13" s="467">
        <f t="shared" si="3"/>
        <v>0</v>
      </c>
      <c r="F13" s="467"/>
      <c r="G13" s="468">
        <f t="shared" si="1"/>
        <v>0</v>
      </c>
      <c r="H13" s="469">
        <f t="shared" si="2"/>
        <v>0</v>
      </c>
      <c r="I13" s="470"/>
      <c r="J13" s="469" t="e">
        <f>'Section Load'!C16/G13</f>
        <v>#DIV/0!</v>
      </c>
    </row>
    <row r="14" spans="1:17" x14ac:dyDescent="0.25">
      <c r="A14" s="248">
        <v>13</v>
      </c>
      <c r="B14" s="467">
        <f t="shared" si="0"/>
        <v>0</v>
      </c>
      <c r="C14" s="467"/>
      <c r="D14" s="467"/>
      <c r="E14" s="467">
        <f t="shared" si="3"/>
        <v>0</v>
      </c>
      <c r="F14" s="467"/>
      <c r="G14" s="468">
        <f t="shared" si="1"/>
        <v>0</v>
      </c>
      <c r="H14" s="469">
        <f t="shared" si="2"/>
        <v>0</v>
      </c>
      <c r="I14" s="470"/>
      <c r="J14" s="469" t="e">
        <f>'Section Load'!C17/G14</f>
        <v>#DIV/0!</v>
      </c>
    </row>
    <row r="15" spans="1:17" x14ac:dyDescent="0.25">
      <c r="A15" s="248">
        <v>14</v>
      </c>
      <c r="B15" s="467">
        <f t="shared" si="0"/>
        <v>0</v>
      </c>
      <c r="C15" s="467"/>
      <c r="D15" s="467"/>
      <c r="E15" s="467">
        <f t="shared" si="3"/>
        <v>0</v>
      </c>
      <c r="F15" s="467"/>
      <c r="G15" s="468">
        <f t="shared" si="1"/>
        <v>0</v>
      </c>
      <c r="H15" s="469">
        <f t="shared" si="2"/>
        <v>0</v>
      </c>
      <c r="I15" s="470"/>
      <c r="J15" s="469" t="e">
        <f>'Section Load'!C18/G15</f>
        <v>#DIV/0!</v>
      </c>
    </row>
    <row r="16" spans="1:17" x14ac:dyDescent="0.25">
      <c r="A16" s="248">
        <v>15</v>
      </c>
      <c r="B16" s="467">
        <f t="shared" si="0"/>
        <v>0</v>
      </c>
      <c r="C16" s="467"/>
      <c r="D16" s="467"/>
      <c r="E16" s="467">
        <f t="shared" si="3"/>
        <v>0</v>
      </c>
      <c r="F16" s="467"/>
      <c r="G16" s="468">
        <f t="shared" si="1"/>
        <v>0</v>
      </c>
      <c r="H16" s="469">
        <f t="shared" si="2"/>
        <v>0</v>
      </c>
      <c r="I16" s="470"/>
      <c r="J16" s="469" t="e">
        <f>'Section Load'!C19/G16</f>
        <v>#DIV/0!</v>
      </c>
    </row>
    <row r="17" spans="1:10" x14ac:dyDescent="0.25">
      <c r="A17" s="248">
        <v>16</v>
      </c>
      <c r="B17" s="467">
        <f t="shared" si="0"/>
        <v>0</v>
      </c>
      <c r="C17" s="467"/>
      <c r="D17" s="467"/>
      <c r="E17" s="467">
        <f>SUM(C17:D17)/202%</f>
        <v>0</v>
      </c>
      <c r="F17" s="467"/>
      <c r="G17" s="468">
        <f t="shared" si="1"/>
        <v>0</v>
      </c>
      <c r="H17" s="469">
        <f t="shared" si="2"/>
        <v>0</v>
      </c>
      <c r="I17" s="470"/>
      <c r="J17" s="469" t="e">
        <f>'Section Load'!C20/G17</f>
        <v>#DIV/0!</v>
      </c>
    </row>
    <row r="18" spans="1:10" x14ac:dyDescent="0.25">
      <c r="A18" s="248">
        <v>17</v>
      </c>
      <c r="B18" s="467">
        <f t="shared" si="0"/>
        <v>0</v>
      </c>
      <c r="C18" s="467"/>
      <c r="D18" s="467"/>
      <c r="E18" s="467">
        <f t="shared" si="3"/>
        <v>0</v>
      </c>
      <c r="F18" s="467"/>
      <c r="G18" s="468">
        <f t="shared" si="1"/>
        <v>0</v>
      </c>
      <c r="H18" s="469">
        <f t="shared" si="2"/>
        <v>0</v>
      </c>
      <c r="I18" s="470"/>
      <c r="J18" s="469" t="e">
        <f>'Section Load'!C21/G18</f>
        <v>#DIV/0!</v>
      </c>
    </row>
    <row r="19" spans="1:10" x14ac:dyDescent="0.25">
      <c r="A19" s="248">
        <v>18</v>
      </c>
      <c r="B19" s="467">
        <f t="shared" si="0"/>
        <v>0</v>
      </c>
      <c r="C19" s="471"/>
      <c r="D19" s="471"/>
      <c r="E19" s="467">
        <f t="shared" si="3"/>
        <v>0</v>
      </c>
      <c r="F19" s="471"/>
      <c r="G19" s="468">
        <f t="shared" si="1"/>
        <v>0</v>
      </c>
      <c r="H19" s="469">
        <f t="shared" si="2"/>
        <v>0</v>
      </c>
      <c r="I19" s="470"/>
      <c r="J19" s="469" t="e">
        <f>'Section Load'!C22/G19</f>
        <v>#DIV/0!</v>
      </c>
    </row>
    <row r="20" spans="1:10" x14ac:dyDescent="0.25">
      <c r="A20" s="248">
        <v>19</v>
      </c>
      <c r="B20" s="467">
        <f t="shared" si="0"/>
        <v>0</v>
      </c>
      <c r="C20" s="467"/>
      <c r="D20" s="467"/>
      <c r="E20" s="467">
        <f t="shared" si="3"/>
        <v>0</v>
      </c>
      <c r="F20" s="467"/>
      <c r="G20" s="468">
        <f t="shared" si="1"/>
        <v>0</v>
      </c>
      <c r="H20" s="469">
        <f t="shared" si="2"/>
        <v>0</v>
      </c>
      <c r="I20" s="470"/>
      <c r="J20" s="469" t="e">
        <f>'Section Load'!C23/G20</f>
        <v>#DIV/0!</v>
      </c>
    </row>
    <row r="21" spans="1:10" x14ac:dyDescent="0.25">
      <c r="A21" s="248">
        <v>20</v>
      </c>
      <c r="B21" s="467">
        <f t="shared" si="0"/>
        <v>0</v>
      </c>
      <c r="C21" s="467"/>
      <c r="D21" s="467"/>
      <c r="E21" s="467">
        <f t="shared" si="3"/>
        <v>0</v>
      </c>
      <c r="F21" s="467"/>
      <c r="G21" s="468">
        <f t="shared" si="1"/>
        <v>0</v>
      </c>
      <c r="H21" s="469">
        <f t="shared" si="2"/>
        <v>0</v>
      </c>
      <c r="I21" s="470"/>
      <c r="J21" s="469" t="e">
        <f>'Section Load'!C24/G21</f>
        <v>#DIV/0!</v>
      </c>
    </row>
    <row r="22" spans="1:10" x14ac:dyDescent="0.25">
      <c r="A22" s="248">
        <v>21</v>
      </c>
      <c r="B22" s="467">
        <f t="shared" si="0"/>
        <v>0</v>
      </c>
      <c r="C22" s="467"/>
      <c r="D22" s="467"/>
      <c r="E22" s="467">
        <f t="shared" si="3"/>
        <v>0</v>
      </c>
      <c r="F22" s="467"/>
      <c r="G22" s="468">
        <f t="shared" si="1"/>
        <v>0</v>
      </c>
      <c r="H22" s="469">
        <f t="shared" si="2"/>
        <v>0</v>
      </c>
      <c r="I22" s="470"/>
      <c r="J22" s="469" t="e">
        <f>'Section Load'!C25/G22</f>
        <v>#DIV/0!</v>
      </c>
    </row>
    <row r="23" spans="1:10" x14ac:dyDescent="0.25">
      <c r="A23" s="248">
        <v>22</v>
      </c>
      <c r="B23" s="467">
        <v>83</v>
      </c>
      <c r="C23" s="467"/>
      <c r="D23" s="467"/>
      <c r="E23" s="467">
        <f t="shared" si="3"/>
        <v>0</v>
      </c>
      <c r="F23" s="467"/>
      <c r="G23" s="468">
        <f t="shared" si="1"/>
        <v>0</v>
      </c>
      <c r="H23" s="469">
        <f t="shared" si="2"/>
        <v>0</v>
      </c>
      <c r="I23" s="470"/>
      <c r="J23" s="469" t="e">
        <f>'Section Load'!C26/G23</f>
        <v>#DIV/0!</v>
      </c>
    </row>
    <row r="24" spans="1:10" x14ac:dyDescent="0.25">
      <c r="A24" s="248">
        <v>23</v>
      </c>
      <c r="B24" s="467">
        <v>98</v>
      </c>
      <c r="C24" s="467"/>
      <c r="D24" s="467"/>
      <c r="E24" s="467">
        <f t="shared" si="3"/>
        <v>0</v>
      </c>
      <c r="F24" s="467"/>
      <c r="G24" s="468">
        <f t="shared" si="1"/>
        <v>0</v>
      </c>
      <c r="H24" s="469">
        <f t="shared" si="2"/>
        <v>0</v>
      </c>
      <c r="I24" s="470"/>
      <c r="J24" s="469" t="e">
        <f>'Section Load'!C27/G24</f>
        <v>#DIV/0!</v>
      </c>
    </row>
    <row r="25" spans="1:10" x14ac:dyDescent="0.25">
      <c r="A25" s="248">
        <v>24</v>
      </c>
      <c r="B25" s="467">
        <f t="shared" si="0"/>
        <v>0</v>
      </c>
      <c r="C25" s="467"/>
      <c r="D25" s="467"/>
      <c r="E25" s="467">
        <f t="shared" si="3"/>
        <v>0</v>
      </c>
      <c r="F25" s="467"/>
      <c r="G25" s="468">
        <f t="shared" si="1"/>
        <v>0</v>
      </c>
      <c r="H25" s="469">
        <f t="shared" si="2"/>
        <v>0</v>
      </c>
      <c r="I25" s="470"/>
      <c r="J25" s="469" t="e">
        <f>'Section Load'!C28/G25</f>
        <v>#DIV/0!</v>
      </c>
    </row>
    <row r="26" spans="1:10" x14ac:dyDescent="0.25">
      <c r="A26" s="248">
        <v>25</v>
      </c>
      <c r="B26" s="467">
        <f t="shared" si="0"/>
        <v>0</v>
      </c>
      <c r="C26" s="467"/>
      <c r="D26" s="467"/>
      <c r="E26" s="467">
        <f t="shared" si="3"/>
        <v>0</v>
      </c>
      <c r="F26" s="467"/>
      <c r="G26" s="468">
        <f t="shared" si="1"/>
        <v>0</v>
      </c>
      <c r="H26" s="469">
        <f t="shared" si="2"/>
        <v>0</v>
      </c>
      <c r="I26" s="470"/>
      <c r="J26" s="469" t="e">
        <f>'Section Load'!C29/G26</f>
        <v>#DIV/0!</v>
      </c>
    </row>
    <row r="27" spans="1:10" x14ac:dyDescent="0.25">
      <c r="A27" s="248">
        <v>26</v>
      </c>
      <c r="B27" s="467">
        <f t="shared" si="0"/>
        <v>0</v>
      </c>
      <c r="C27" s="467"/>
      <c r="D27" s="467"/>
      <c r="E27" s="467">
        <f t="shared" si="3"/>
        <v>0</v>
      </c>
      <c r="F27" s="467"/>
      <c r="G27" s="468">
        <f t="shared" si="1"/>
        <v>0</v>
      </c>
      <c r="H27" s="469">
        <f t="shared" si="2"/>
        <v>0</v>
      </c>
      <c r="I27" s="470"/>
      <c r="J27" s="469" t="e">
        <f>'Section Load'!C30/G27</f>
        <v>#DIV/0!</v>
      </c>
    </row>
    <row r="28" spans="1:10" x14ac:dyDescent="0.25">
      <c r="A28" s="248">
        <v>27</v>
      </c>
      <c r="B28" s="467">
        <f t="shared" si="0"/>
        <v>0</v>
      </c>
      <c r="C28" s="467"/>
      <c r="D28" s="467"/>
      <c r="E28" s="467">
        <f t="shared" si="3"/>
        <v>0</v>
      </c>
      <c r="F28" s="467"/>
      <c r="G28" s="468">
        <f t="shared" si="1"/>
        <v>0</v>
      </c>
      <c r="H28" s="469">
        <f t="shared" si="2"/>
        <v>0</v>
      </c>
      <c r="I28" s="470"/>
      <c r="J28" s="469" t="e">
        <f>'Section Load'!C31/G28</f>
        <v>#DIV/0!</v>
      </c>
    </row>
    <row r="29" spans="1:10" x14ac:dyDescent="0.25">
      <c r="A29" s="248">
        <v>28</v>
      </c>
      <c r="B29" s="467">
        <f t="shared" si="0"/>
        <v>0</v>
      </c>
      <c r="C29" s="467"/>
      <c r="D29" s="467"/>
      <c r="E29" s="467">
        <f t="shared" si="3"/>
        <v>0</v>
      </c>
      <c r="F29" s="467"/>
      <c r="G29" s="468">
        <f t="shared" si="1"/>
        <v>0</v>
      </c>
      <c r="H29" s="469">
        <f t="shared" si="2"/>
        <v>0</v>
      </c>
      <c r="I29" s="470"/>
      <c r="J29" s="469" t="e">
        <f>'Section Load'!C32/G29</f>
        <v>#DIV/0!</v>
      </c>
    </row>
    <row r="30" spans="1:10" x14ac:dyDescent="0.25">
      <c r="A30" s="248">
        <v>29</v>
      </c>
      <c r="B30" s="467">
        <f>C30/202%</f>
        <v>0</v>
      </c>
      <c r="C30" s="467"/>
      <c r="D30" s="467"/>
      <c r="E30" s="467">
        <f t="shared" si="3"/>
        <v>0</v>
      </c>
      <c r="F30" s="467"/>
      <c r="G30" s="468">
        <f t="shared" si="1"/>
        <v>0</v>
      </c>
      <c r="H30" s="469">
        <f>C30/202%</f>
        <v>0</v>
      </c>
      <c r="I30" s="470"/>
      <c r="J30" s="469" t="e">
        <f>'Section Load'!C33/G30</f>
        <v>#DIV/0!</v>
      </c>
    </row>
    <row r="31" spans="1:10" x14ac:dyDescent="0.25">
      <c r="A31" s="248">
        <v>30</v>
      </c>
      <c r="B31" s="467">
        <f t="shared" si="0"/>
        <v>0</v>
      </c>
      <c r="C31" s="467"/>
      <c r="D31" s="467"/>
      <c r="E31" s="467">
        <f t="shared" si="3"/>
        <v>0</v>
      </c>
      <c r="F31" s="467"/>
      <c r="G31" s="472">
        <f t="shared" si="1"/>
        <v>0</v>
      </c>
      <c r="H31" s="469">
        <f t="shared" si="2"/>
        <v>0</v>
      </c>
      <c r="I31" s="470"/>
      <c r="J31" s="469" t="e">
        <f>'Section Load'!C34/G31</f>
        <v>#DIV/0!</v>
      </c>
    </row>
    <row r="32" spans="1:10" x14ac:dyDescent="0.25">
      <c r="A32" s="248">
        <v>31</v>
      </c>
      <c r="B32" s="467">
        <f t="shared" si="0"/>
        <v>0</v>
      </c>
      <c r="C32" s="467"/>
      <c r="D32" s="467"/>
      <c r="E32" s="467"/>
      <c r="F32" s="467"/>
      <c r="G32" s="472"/>
      <c r="H32" s="469">
        <f t="shared" si="2"/>
        <v>0</v>
      </c>
      <c r="I32" s="470"/>
      <c r="J32" s="469" t="e">
        <f>'Section Load'!C35/G32</f>
        <v>#DIV/0!</v>
      </c>
    </row>
    <row r="33" spans="1:8" x14ac:dyDescent="0.25">
      <c r="A33" t="s">
        <v>316</v>
      </c>
      <c r="B33" s="275">
        <f>AVERAGE(B2:B31)</f>
        <v>23.244554455445542</v>
      </c>
      <c r="C33" s="275">
        <f t="shared" ref="C33:H33" si="4">AVERAGE(C2:C31)</f>
        <v>115.88888888888889</v>
      </c>
      <c r="D33" s="275">
        <f t="shared" si="4"/>
        <v>7.7777777777777777</v>
      </c>
      <c r="E33" s="275">
        <f t="shared" si="4"/>
        <v>18.363366336633664</v>
      </c>
      <c r="F33" s="275">
        <f t="shared" si="4"/>
        <v>413.33333333333331</v>
      </c>
      <c r="G33" s="275">
        <f t="shared" si="4"/>
        <v>37.1</v>
      </c>
      <c r="H33" s="275">
        <f t="shared" si="4"/>
        <v>17.211221122112207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C1" zoomScale="90" zoomScaleNormal="90" workbookViewId="0">
      <selection activeCell="T18" sqref="T18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77.227722772277232</v>
      </c>
      <c r="E4" s="91">
        <f>Occupancy!B3</f>
        <v>53.465346534653463</v>
      </c>
      <c r="F4" s="91">
        <f>Occupancy!C3</f>
        <v>108</v>
      </c>
      <c r="G4" s="91">
        <f>Occupancy!D3</f>
        <v>5</v>
      </c>
      <c r="H4" s="91">
        <f>Occupancy!E3</f>
        <v>56</v>
      </c>
      <c r="I4" s="91">
        <f>Occupancy!F3</f>
        <v>516</v>
      </c>
      <c r="J4" s="91">
        <f>Occupancy!G3</f>
        <v>113</v>
      </c>
      <c r="K4" s="91">
        <f>Occupancy!H3</f>
        <v>53.465346534653463</v>
      </c>
      <c r="L4" s="91">
        <f>Occupancy!I3</f>
        <v>0</v>
      </c>
      <c r="M4" s="91">
        <f>Occupancy!J3</f>
        <v>176.04424778761063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0</v>
      </c>
      <c r="E5" s="91">
        <f>'2'!G18</f>
        <v>0</v>
      </c>
      <c r="F5" s="91">
        <f>'3'!G18</f>
        <v>300</v>
      </c>
      <c r="G5" s="91">
        <f>'4'!G18</f>
        <v>170</v>
      </c>
      <c r="H5" s="91">
        <f>'5'!G18</f>
        <v>120</v>
      </c>
      <c r="I5" s="91">
        <f>'6'!G18</f>
        <v>160</v>
      </c>
      <c r="J5" s="91">
        <f>'7'!G18</f>
        <v>160</v>
      </c>
      <c r="K5" s="91">
        <f>'8'!G18</f>
        <v>160</v>
      </c>
      <c r="L5" s="91">
        <f>'9'!G18</f>
        <v>150</v>
      </c>
      <c r="M5" s="91">
        <f>'10'!G18</f>
        <v>270</v>
      </c>
      <c r="N5" s="91">
        <f>'11'!G18</f>
        <v>390</v>
      </c>
      <c r="O5" s="91">
        <f>'12'!G18</f>
        <v>510</v>
      </c>
      <c r="P5" s="91">
        <f>'13'!G18</f>
        <v>630</v>
      </c>
      <c r="Q5" s="91">
        <f>'14'!G18</f>
        <v>750</v>
      </c>
      <c r="R5" s="91">
        <f>'15'!G18</f>
        <v>870</v>
      </c>
      <c r="S5" s="91">
        <f>'16'!G18</f>
        <v>990</v>
      </c>
      <c r="T5" s="91">
        <f>'17'!G18</f>
        <v>1110</v>
      </c>
      <c r="U5" s="91">
        <f>'18 '!G18</f>
        <v>1230</v>
      </c>
      <c r="V5" s="91">
        <f>'19'!G18</f>
        <v>1350</v>
      </c>
      <c r="W5" s="91">
        <f>'20'!G18</f>
        <v>1470</v>
      </c>
      <c r="X5" s="91">
        <f>'21'!G18</f>
        <v>1590</v>
      </c>
      <c r="Y5" s="91">
        <f>'22'!G18</f>
        <v>1710</v>
      </c>
      <c r="Z5" s="91">
        <f>'23'!G18</f>
        <v>1830</v>
      </c>
      <c r="AA5" s="91">
        <f>'24'!G18</f>
        <v>1950</v>
      </c>
      <c r="AB5" s="91">
        <f>'25'!G18</f>
        <v>2070</v>
      </c>
      <c r="AC5" s="91">
        <f>'26'!G18</f>
        <v>2190</v>
      </c>
      <c r="AD5" s="91">
        <f>'27'!G18</f>
        <v>2310</v>
      </c>
      <c r="AE5" s="91">
        <f>'28'!G18</f>
        <v>2430</v>
      </c>
      <c r="AF5" s="91">
        <f>'29'!G18</f>
        <v>2550</v>
      </c>
      <c r="AG5" s="91">
        <f>'30'!G18</f>
        <v>2670</v>
      </c>
      <c r="AH5" s="91">
        <f>'31'!G18</f>
        <v>2790</v>
      </c>
      <c r="AI5" s="90"/>
    </row>
    <row r="6" spans="2:35" x14ac:dyDescent="0.25">
      <c r="B6" s="93"/>
      <c r="C6" s="90" t="s">
        <v>69</v>
      </c>
      <c r="D6" s="91">
        <f>'1'!G19</f>
        <v>54</v>
      </c>
      <c r="E6" s="91">
        <f>'2'!G19</f>
        <v>56</v>
      </c>
      <c r="F6" s="91">
        <f>'3'!G19</f>
        <v>56</v>
      </c>
      <c r="G6" s="91">
        <f>'4'!G19</f>
        <v>49</v>
      </c>
      <c r="H6" s="91">
        <f>'5'!G19</f>
        <v>51</v>
      </c>
      <c r="I6" s="91">
        <f>'6'!G19</f>
        <v>44</v>
      </c>
      <c r="J6" s="91">
        <f>'7'!G19</f>
        <v>54</v>
      </c>
      <c r="K6" s="91">
        <f>'8'!G19</f>
        <v>51</v>
      </c>
      <c r="L6" s="91">
        <f>'9'!G19</f>
        <v>55</v>
      </c>
      <c r="M6" s="91">
        <f>'10'!G19</f>
        <v>55</v>
      </c>
      <c r="N6" s="91">
        <f>'11'!G19</f>
        <v>55</v>
      </c>
      <c r="O6" s="91">
        <f>'12'!G19</f>
        <v>55</v>
      </c>
      <c r="P6" s="91">
        <f>'13'!G19</f>
        <v>55</v>
      </c>
      <c r="Q6" s="91">
        <f>'14'!G19</f>
        <v>55</v>
      </c>
      <c r="R6" s="91">
        <f>'15'!G19</f>
        <v>55</v>
      </c>
      <c r="S6" s="91">
        <f>'16'!G19</f>
        <v>55</v>
      </c>
      <c r="T6" s="91">
        <f>'17'!G19</f>
        <v>55</v>
      </c>
      <c r="U6" s="91">
        <f>'18 '!G19</f>
        <v>55</v>
      </c>
      <c r="V6" s="91">
        <f>'19'!G19</f>
        <v>55</v>
      </c>
      <c r="W6" s="91">
        <f>'20'!G19</f>
        <v>55</v>
      </c>
      <c r="X6" s="91">
        <f>'21'!G19</f>
        <v>55</v>
      </c>
      <c r="Y6" s="91">
        <f>'22'!G19</f>
        <v>55</v>
      </c>
      <c r="Z6" s="91">
        <f>'23'!G19</f>
        <v>55</v>
      </c>
      <c r="AA6" s="91">
        <f>'24'!G19</f>
        <v>55</v>
      </c>
      <c r="AB6" s="91">
        <f>'25'!G19</f>
        <v>55</v>
      </c>
      <c r="AC6" s="91">
        <f>'26'!G19</f>
        <v>55</v>
      </c>
      <c r="AD6" s="91">
        <f>'27'!G19</f>
        <v>55</v>
      </c>
      <c r="AE6" s="91">
        <f>'28'!G19</f>
        <v>55</v>
      </c>
      <c r="AF6" s="91">
        <f>'29'!G19</f>
        <v>55</v>
      </c>
      <c r="AG6" s="91">
        <f>'30'!G19</f>
        <v>55</v>
      </c>
      <c r="AH6" s="91">
        <f>'31'!G19</f>
        <v>55</v>
      </c>
      <c r="AI6" s="90"/>
    </row>
    <row r="7" spans="2:35" x14ac:dyDescent="0.25">
      <c r="B7" s="93"/>
      <c r="C7" s="90" t="s">
        <v>70</v>
      </c>
      <c r="D7" s="91">
        <f>'1'!G62</f>
        <v>0</v>
      </c>
      <c r="E7" s="91">
        <f>'2'!G62</f>
        <v>0</v>
      </c>
      <c r="F7" s="91">
        <f>'3'!G62</f>
        <v>30</v>
      </c>
      <c r="G7" s="91">
        <f>'4'!G62</f>
        <v>100</v>
      </c>
      <c r="H7" s="91">
        <f>'5'!G62</f>
        <v>86</v>
      </c>
      <c r="I7" s="91">
        <f>'6'!G62</f>
        <v>81</v>
      </c>
      <c r="J7" s="91">
        <f>'7'!G62</f>
        <v>57</v>
      </c>
      <c r="K7" s="91">
        <f>'8'!G62</f>
        <v>103</v>
      </c>
      <c r="L7" s="91">
        <f>'9'!G62</f>
        <v>80</v>
      </c>
      <c r="M7" s="91">
        <f>'10'!G62</f>
        <v>-3069</v>
      </c>
      <c r="N7" s="91">
        <f>'11'!G62</f>
        <v>116</v>
      </c>
      <c r="O7" s="91">
        <f>'12'!G62</f>
        <v>144</v>
      </c>
      <c r="P7" s="91">
        <f>'13'!G62</f>
        <v>146</v>
      </c>
      <c r="Q7" s="91">
        <f>'14'!G62</f>
        <v>143</v>
      </c>
      <c r="R7" s="91">
        <f>'15'!G62</f>
        <v>106</v>
      </c>
      <c r="S7" s="91">
        <f>'16'!G62</f>
        <v>112</v>
      </c>
      <c r="T7" s="91">
        <f>'17'!G62</f>
        <v>126</v>
      </c>
      <c r="U7" s="91">
        <f>'18 '!G62</f>
        <v>134</v>
      </c>
      <c r="V7" s="91">
        <f>'19'!G62</f>
        <v>130</v>
      </c>
      <c r="W7" s="91">
        <f>'20'!G62</f>
        <v>124</v>
      </c>
      <c r="X7" s="91">
        <f>'21'!G62</f>
        <v>117</v>
      </c>
      <c r="Y7" s="91">
        <f>'22'!G62</f>
        <v>120</v>
      </c>
      <c r="Z7" s="91">
        <f>'23'!G62</f>
        <v>120</v>
      </c>
      <c r="AA7" s="91">
        <f>'24'!G62</f>
        <v>110</v>
      </c>
      <c r="AB7" s="91">
        <f>'25'!G62</f>
        <v>121</v>
      </c>
      <c r="AC7" s="91">
        <f>'26'!G62</f>
        <v>145</v>
      </c>
      <c r="AD7" s="91">
        <f>'27'!G62</f>
        <v>123</v>
      </c>
      <c r="AE7" s="91">
        <f>'28'!G62</f>
        <v>138</v>
      </c>
      <c r="AF7" s="91">
        <f>'29'!G62</f>
        <v>131</v>
      </c>
      <c r="AG7" s="91">
        <f>'30'!G62</f>
        <v>120</v>
      </c>
      <c r="AH7" s="91">
        <f>'31'!G62</f>
        <v>6</v>
      </c>
      <c r="AI7" s="90"/>
    </row>
    <row r="8" spans="2:35" x14ac:dyDescent="0.25">
      <c r="B8" s="93"/>
      <c r="C8" s="90" t="s">
        <v>299</v>
      </c>
      <c r="D8" s="91">
        <f>'1'!G63</f>
        <v>133</v>
      </c>
      <c r="E8" s="91">
        <f>'2'!G63</f>
        <v>114</v>
      </c>
      <c r="F8" s="91">
        <f>'3'!G63</f>
        <v>61</v>
      </c>
      <c r="G8" s="91">
        <f>'4'!G63</f>
        <v>152</v>
      </c>
      <c r="H8" s="91">
        <f>'5'!G63</f>
        <v>119</v>
      </c>
      <c r="I8" s="91">
        <f>'6'!G63</f>
        <v>119</v>
      </c>
      <c r="J8" s="91">
        <f>'7'!G63</f>
        <v>95</v>
      </c>
      <c r="K8" s="91">
        <f>'8'!G63</f>
        <v>112</v>
      </c>
      <c r="L8" s="91">
        <f>'9'!G63</f>
        <v>67</v>
      </c>
      <c r="M8" s="91">
        <f>'10'!G63</f>
        <v>-2966</v>
      </c>
      <c r="N8" s="91">
        <f>'11'!G63</f>
        <v>126</v>
      </c>
      <c r="O8" s="91">
        <f>'12'!G63</f>
        <v>130</v>
      </c>
      <c r="P8" s="91">
        <f>'13'!G63</f>
        <v>125</v>
      </c>
      <c r="Q8" s="91">
        <f>'14'!G63</f>
        <v>82</v>
      </c>
      <c r="R8" s="91">
        <f>'15'!G63</f>
        <v>81</v>
      </c>
      <c r="S8" s="91">
        <f>'16'!G63</f>
        <v>88</v>
      </c>
      <c r="T8" s="91">
        <f>'17'!G63</f>
        <v>120</v>
      </c>
      <c r="U8" s="91">
        <f>'18 '!G63</f>
        <v>108</v>
      </c>
      <c r="V8" s="91">
        <f>'19'!G63</f>
        <v>86</v>
      </c>
      <c r="W8" s="91">
        <f>'20'!G63</f>
        <v>119</v>
      </c>
      <c r="X8" s="91">
        <f>'21'!G63</f>
        <v>72</v>
      </c>
      <c r="Y8" s="91">
        <f>'22'!G63</f>
        <v>80</v>
      </c>
      <c r="Z8" s="91">
        <f>'23'!G63</f>
        <v>66</v>
      </c>
      <c r="AA8" s="91">
        <f>'24'!G63</f>
        <v>71</v>
      </c>
      <c r="AB8" s="91">
        <f>'25'!G63</f>
        <v>125</v>
      </c>
      <c r="AC8" s="91">
        <f>'26'!G63</f>
        <v>94</v>
      </c>
      <c r="AD8" s="91">
        <f>'27'!G63</f>
        <v>58</v>
      </c>
      <c r="AE8" s="91">
        <f>'28'!G63</f>
        <v>104.10000000000582</v>
      </c>
      <c r="AF8" s="91">
        <f>'29'!G63</f>
        <v>75.899999999994179</v>
      </c>
      <c r="AG8" s="91">
        <f>'30'!G63</f>
        <v>97</v>
      </c>
      <c r="AH8" s="91">
        <f>'31'!G63</f>
        <v>86</v>
      </c>
      <c r="AI8" s="90"/>
    </row>
    <row r="9" spans="2:35" x14ac:dyDescent="0.25">
      <c r="B9" s="723" t="s">
        <v>71</v>
      </c>
      <c r="C9" s="90" t="s">
        <v>31</v>
      </c>
      <c r="D9" s="91">
        <f>'1'!G65</f>
        <v>98</v>
      </c>
      <c r="E9" s="91">
        <f>'2'!G65</f>
        <v>60</v>
      </c>
      <c r="F9" s="91">
        <f>'3'!G65</f>
        <v>40</v>
      </c>
      <c r="G9" s="91">
        <f>'4'!G65</f>
        <v>81</v>
      </c>
      <c r="H9" s="91">
        <f>'5'!G65</f>
        <v>74</v>
      </c>
      <c r="I9" s="91">
        <f>'6'!G65</f>
        <v>69</v>
      </c>
      <c r="J9" s="91">
        <f>'7'!G65</f>
        <v>79</v>
      </c>
      <c r="K9" s="91">
        <f>'8'!G65</f>
        <v>92</v>
      </c>
      <c r="L9" s="91">
        <f>'9'!G65</f>
        <v>78</v>
      </c>
      <c r="M9" s="91">
        <f>'10'!G65</f>
        <v>-2894</v>
      </c>
      <c r="N9" s="91">
        <f>'11'!G65</f>
        <v>104</v>
      </c>
      <c r="O9" s="91">
        <f>'12'!G65</f>
        <v>105</v>
      </c>
      <c r="P9" s="91">
        <f>'13'!G65</f>
        <v>152</v>
      </c>
      <c r="Q9" s="91">
        <f>'14'!G65</f>
        <v>105</v>
      </c>
      <c r="R9" s="91">
        <f>'15'!G65</f>
        <v>106</v>
      </c>
      <c r="S9" s="91">
        <f>'16'!G65</f>
        <v>93</v>
      </c>
      <c r="T9" s="91">
        <f>'17'!G65</f>
        <v>111</v>
      </c>
      <c r="U9" s="91">
        <f>'18 '!G65</f>
        <v>125</v>
      </c>
      <c r="V9" s="91">
        <f>'19'!G65</f>
        <v>117</v>
      </c>
      <c r="W9" s="91">
        <f>'20'!G65</f>
        <v>77</v>
      </c>
      <c r="X9" s="91">
        <f>'21'!G65</f>
        <v>97</v>
      </c>
      <c r="Y9" s="91">
        <f>'22'!G65</f>
        <v>105</v>
      </c>
      <c r="Z9" s="91">
        <f>'23'!G65</f>
        <v>99</v>
      </c>
      <c r="AA9" s="91">
        <f>'24'!G65</f>
        <v>89</v>
      </c>
      <c r="AB9" s="91">
        <f>'25'!G65</f>
        <v>91</v>
      </c>
      <c r="AC9" s="91">
        <f>'26'!G65</f>
        <v>117</v>
      </c>
      <c r="AD9" s="91">
        <f>'27'!G65</f>
        <v>95</v>
      </c>
      <c r="AE9" s="91">
        <f>'28'!G65</f>
        <v>134</v>
      </c>
      <c r="AF9" s="91">
        <f>'29'!G65</f>
        <v>104</v>
      </c>
      <c r="AG9" s="91">
        <f>'30'!G65</f>
        <v>103</v>
      </c>
      <c r="AH9" s="91">
        <f>'31'!G65</f>
        <v>94</v>
      </c>
      <c r="AI9" s="90"/>
    </row>
    <row r="10" spans="2:35" x14ac:dyDescent="0.25">
      <c r="B10" s="723"/>
      <c r="C10" s="90" t="s">
        <v>32</v>
      </c>
      <c r="D10" s="91">
        <f>'1'!G66</f>
        <v>28</v>
      </c>
      <c r="E10" s="91">
        <f>'2'!G66</f>
        <v>27</v>
      </c>
      <c r="F10" s="91">
        <f>'3'!G66</f>
        <v>18</v>
      </c>
      <c r="G10" s="91">
        <f>'4'!G66</f>
        <v>21</v>
      </c>
      <c r="H10" s="91">
        <f>'5'!G66</f>
        <v>19</v>
      </c>
      <c r="I10" s="91">
        <f>'6'!G66</f>
        <v>15</v>
      </c>
      <c r="J10" s="91">
        <f>'7'!G66</f>
        <v>17</v>
      </c>
      <c r="K10" s="91">
        <f>'8'!G66</f>
        <v>20</v>
      </c>
      <c r="L10" s="91">
        <f>'9'!G66</f>
        <v>17</v>
      </c>
      <c r="M10" s="91">
        <f>'10'!G66</f>
        <v>-596</v>
      </c>
      <c r="N10" s="91">
        <f>'11'!G66</f>
        <v>20</v>
      </c>
      <c r="O10" s="91">
        <f>'12'!G66</f>
        <v>21</v>
      </c>
      <c r="P10" s="91">
        <f>'13'!G66</f>
        <v>19</v>
      </c>
      <c r="Q10" s="91">
        <f>'14'!G66</f>
        <v>18</v>
      </c>
      <c r="R10" s="91">
        <f>'15'!G66</f>
        <v>13</v>
      </c>
      <c r="S10" s="91">
        <f>'16'!G66</f>
        <v>19</v>
      </c>
      <c r="T10" s="91">
        <f>'17'!G66</f>
        <v>19</v>
      </c>
      <c r="U10" s="91">
        <f>'18 '!G66</f>
        <v>21</v>
      </c>
      <c r="V10" s="91">
        <f>'19'!G66</f>
        <v>23</v>
      </c>
      <c r="W10" s="91">
        <f>'20'!G66</f>
        <v>17</v>
      </c>
      <c r="X10" s="91">
        <f>'21'!G66</f>
        <v>17</v>
      </c>
      <c r="Y10" s="91">
        <f>'22'!G66</f>
        <v>18</v>
      </c>
      <c r="Z10" s="91">
        <f>'23'!G66</f>
        <v>25</v>
      </c>
      <c r="AA10" s="91">
        <f>'24'!G66</f>
        <v>20</v>
      </c>
      <c r="AB10" s="91">
        <f>'25'!G66</f>
        <v>24</v>
      </c>
      <c r="AC10" s="91">
        <f>'26'!G66</f>
        <v>28</v>
      </c>
      <c r="AD10" s="91">
        <f>'27'!G66</f>
        <v>19</v>
      </c>
      <c r="AE10" s="91">
        <f>'28'!G66</f>
        <v>16</v>
      </c>
      <c r="AF10" s="91">
        <f>'29'!G66</f>
        <v>20</v>
      </c>
      <c r="AG10" s="91">
        <f>'30'!G66</f>
        <v>18</v>
      </c>
      <c r="AH10" s="91">
        <f>'31'!G66</f>
        <v>19</v>
      </c>
      <c r="AI10" s="90"/>
    </row>
    <row r="11" spans="2:35" x14ac:dyDescent="0.25">
      <c r="B11" s="723"/>
      <c r="C11" s="90" t="s">
        <v>33</v>
      </c>
      <c r="D11" s="91">
        <f>'1'!G67</f>
        <v>40</v>
      </c>
      <c r="E11" s="91">
        <f>'2'!G67</f>
        <v>39</v>
      </c>
      <c r="F11" s="91">
        <f>'3'!G67</f>
        <v>20</v>
      </c>
      <c r="G11" s="91">
        <f>'4'!G67</f>
        <v>27</v>
      </c>
      <c r="H11" s="91">
        <f>'5'!G67</f>
        <v>22</v>
      </c>
      <c r="I11" s="91">
        <f>'6'!G67</f>
        <v>21</v>
      </c>
      <c r="J11" s="91">
        <f>'7'!G67</f>
        <v>23</v>
      </c>
      <c r="K11" s="91">
        <f>'8'!G67</f>
        <v>21</v>
      </c>
      <c r="L11" s="91">
        <f>'9'!G67</f>
        <v>24</v>
      </c>
      <c r="M11" s="91">
        <f>'10'!G67</f>
        <v>-860</v>
      </c>
      <c r="N11" s="91">
        <f>'11'!G67</f>
        <v>34</v>
      </c>
      <c r="O11" s="91">
        <f>'12'!G67</f>
        <v>33</v>
      </c>
      <c r="P11" s="91">
        <f>'13'!G67</f>
        <v>30</v>
      </c>
      <c r="Q11" s="91">
        <f>'14'!G67</f>
        <v>32</v>
      </c>
      <c r="R11" s="91">
        <f>'15'!G67</f>
        <v>20</v>
      </c>
      <c r="S11" s="91">
        <f>'16'!G67</f>
        <v>23</v>
      </c>
      <c r="T11" s="91">
        <f>'17'!G67</f>
        <v>31</v>
      </c>
      <c r="U11" s="91">
        <f>'18 '!G67</f>
        <v>30</v>
      </c>
      <c r="V11" s="91">
        <f>'19'!G67</f>
        <v>34</v>
      </c>
      <c r="W11" s="91">
        <f>'20'!G67</f>
        <v>26</v>
      </c>
      <c r="X11" s="91">
        <f>'21'!G67</f>
        <v>27</v>
      </c>
      <c r="Y11" s="91">
        <f>'22'!G67</f>
        <v>27</v>
      </c>
      <c r="Z11" s="91">
        <f>'23'!G67</f>
        <v>28</v>
      </c>
      <c r="AA11" s="91">
        <f>'24'!G67</f>
        <v>31</v>
      </c>
      <c r="AB11" s="91">
        <f>'25'!G67</f>
        <v>38</v>
      </c>
      <c r="AC11" s="91">
        <f>'26'!G67</f>
        <v>31</v>
      </c>
      <c r="AD11" s="91">
        <f>'27'!G67</f>
        <v>28</v>
      </c>
      <c r="AE11" s="91">
        <f>'28'!G67</f>
        <v>26</v>
      </c>
      <c r="AF11" s="91">
        <f>'29'!G67</f>
        <v>28</v>
      </c>
      <c r="AG11" s="91">
        <f>'30'!G67</f>
        <v>35</v>
      </c>
      <c r="AH11" s="91">
        <f>'31'!G67</f>
        <v>31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23" t="s">
        <v>72</v>
      </c>
      <c r="C13" s="90" t="s">
        <v>31</v>
      </c>
      <c r="D13" s="91">
        <f>'1'!G68</f>
        <v>14</v>
      </c>
      <c r="E13" s="91">
        <f>'2'!G68</f>
        <v>10</v>
      </c>
      <c r="F13" s="91">
        <f>'3'!G68</f>
        <v>9</v>
      </c>
      <c r="G13" s="91">
        <f>'4'!G68</f>
        <v>27</v>
      </c>
      <c r="H13" s="91">
        <f>'5'!G68</f>
        <v>27</v>
      </c>
      <c r="I13" s="91">
        <f>'6'!G68</f>
        <v>47</v>
      </c>
      <c r="J13" s="91">
        <f>'7'!G68</f>
        <v>42</v>
      </c>
      <c r="K13" s="91">
        <f>'8'!G68</f>
        <v>30</v>
      </c>
      <c r="L13" s="91">
        <f>'9'!G68</f>
        <v>27</v>
      </c>
      <c r="M13" s="91">
        <f>'10'!G68</f>
        <v>-1014</v>
      </c>
      <c r="N13" s="91">
        <f>'11'!G68</f>
        <v>39</v>
      </c>
      <c r="O13" s="91">
        <f>'12'!G68</f>
        <v>44</v>
      </c>
      <c r="P13" s="91">
        <f>'13'!G68</f>
        <v>46</v>
      </c>
      <c r="Q13" s="91">
        <f>'14'!G68</f>
        <v>41</v>
      </c>
      <c r="R13" s="91">
        <f>'15'!G68</f>
        <v>38</v>
      </c>
      <c r="S13" s="91">
        <f>'16'!G68</f>
        <v>29</v>
      </c>
      <c r="T13" s="91">
        <f>'17'!G68</f>
        <v>49</v>
      </c>
      <c r="U13" s="91">
        <f>'18 '!G68</f>
        <v>56</v>
      </c>
      <c r="V13" s="91">
        <f>'19'!G68</f>
        <v>0</v>
      </c>
      <c r="W13" s="91">
        <f>'20'!G68</f>
        <v>68</v>
      </c>
      <c r="X13" s="91">
        <f>'21'!G68</f>
        <v>35</v>
      </c>
      <c r="Y13" s="91">
        <f>'22'!G68</f>
        <v>32</v>
      </c>
      <c r="Z13" s="91">
        <f>'23'!G68</f>
        <v>29</v>
      </c>
      <c r="AA13" s="508">
        <f>'24'!G68</f>
        <v>41</v>
      </c>
      <c r="AB13" s="91">
        <f>'25'!G68</f>
        <v>28</v>
      </c>
      <c r="AC13" s="91">
        <f>'26'!G68</f>
        <v>32</v>
      </c>
      <c r="AD13" s="91">
        <f>'27'!G68</f>
        <v>34</v>
      </c>
      <c r="AE13" s="91">
        <f>'28'!G68</f>
        <v>40</v>
      </c>
      <c r="AF13" s="91">
        <f>'29'!G68</f>
        <v>40</v>
      </c>
      <c r="AG13" s="91">
        <f>'30'!G68</f>
        <v>36</v>
      </c>
      <c r="AH13" s="91">
        <f>'31'!G68</f>
        <v>24</v>
      </c>
      <c r="AI13" s="90"/>
    </row>
    <row r="14" spans="2:35" x14ac:dyDescent="0.25">
      <c r="B14" s="723"/>
      <c r="C14" s="90" t="s">
        <v>32</v>
      </c>
      <c r="D14" s="91">
        <f>'1'!G69</f>
        <v>25</v>
      </c>
      <c r="E14" s="91">
        <f>'2'!G69</f>
        <v>11</v>
      </c>
      <c r="F14" s="91">
        <f>'3'!G69</f>
        <v>22</v>
      </c>
      <c r="G14" s="91">
        <f>'4'!G69</f>
        <v>7</v>
      </c>
      <c r="H14" s="91">
        <f>'5'!G69</f>
        <v>11</v>
      </c>
      <c r="I14" s="91">
        <f>'6'!G69</f>
        <v>8</v>
      </c>
      <c r="J14" s="91">
        <f>'7'!G69</f>
        <v>7</v>
      </c>
      <c r="K14" s="91">
        <f>'8'!G69</f>
        <v>6</v>
      </c>
      <c r="L14" s="91">
        <f>'9'!G69</f>
        <v>7</v>
      </c>
      <c r="M14" s="91">
        <f>'10'!G69</f>
        <v>-349</v>
      </c>
      <c r="N14" s="91">
        <f>'11'!G69</f>
        <v>8</v>
      </c>
      <c r="O14" s="91">
        <f>'12'!G69</f>
        <v>7</v>
      </c>
      <c r="P14" s="91">
        <f>'13'!G69</f>
        <v>16</v>
      </c>
      <c r="Q14" s="91">
        <f>'14'!G69</f>
        <v>8</v>
      </c>
      <c r="R14" s="91">
        <f>'15'!G69</f>
        <v>8</v>
      </c>
      <c r="S14" s="91">
        <f>'16'!G69</f>
        <v>10</v>
      </c>
      <c r="T14" s="91">
        <f>'17'!G69</f>
        <v>8</v>
      </c>
      <c r="U14" s="91">
        <f>'18 '!G69</f>
        <v>9</v>
      </c>
      <c r="V14" s="91">
        <f>'19'!G69</f>
        <v>28</v>
      </c>
      <c r="W14" s="91">
        <f>'20'!G69</f>
        <v>7</v>
      </c>
      <c r="X14" s="91">
        <f>'21'!G69</f>
        <v>9</v>
      </c>
      <c r="Y14" s="91">
        <f>'22'!G69</f>
        <v>8</v>
      </c>
      <c r="Z14" s="91">
        <f>'23'!G69</f>
        <v>11</v>
      </c>
      <c r="AA14" s="91">
        <f>'24'!G69</f>
        <v>12</v>
      </c>
      <c r="AB14" s="91">
        <f>'25'!G69</f>
        <v>14</v>
      </c>
      <c r="AC14" s="91">
        <f>'26'!G69</f>
        <v>19</v>
      </c>
      <c r="AD14" s="91">
        <f>'27'!G69</f>
        <v>8</v>
      </c>
      <c r="AE14" s="91">
        <f>'28'!G69</f>
        <v>17</v>
      </c>
      <c r="AF14" s="91">
        <f>'29'!G69</f>
        <v>18</v>
      </c>
      <c r="AG14" s="91">
        <f>'30'!G69</f>
        <v>12</v>
      </c>
      <c r="AH14" s="91">
        <f>'31'!G69</f>
        <v>8</v>
      </c>
      <c r="AI14" s="90"/>
    </row>
    <row r="15" spans="2:35" x14ac:dyDescent="0.25">
      <c r="B15" s="723"/>
      <c r="C15" s="90" t="s">
        <v>33</v>
      </c>
      <c r="D15" s="91">
        <f>'1'!G70</f>
        <v>13</v>
      </c>
      <c r="E15" s="91">
        <f>'2'!G70</f>
        <v>12</v>
      </c>
      <c r="F15" s="91">
        <f>'3'!G70</f>
        <v>7</v>
      </c>
      <c r="G15" s="91">
        <f>'4'!G70</f>
        <v>6</v>
      </c>
      <c r="H15" s="91">
        <f>'5'!G70</f>
        <v>6</v>
      </c>
      <c r="I15" s="91">
        <f>'6'!G70</f>
        <v>6</v>
      </c>
      <c r="J15" s="91">
        <f>'7'!G70</f>
        <v>9</v>
      </c>
      <c r="K15" s="91">
        <f>'8'!G70</f>
        <v>8</v>
      </c>
      <c r="L15" s="91">
        <f>'9'!G70</f>
        <v>14</v>
      </c>
      <c r="M15" s="91">
        <f>'10'!G70</f>
        <v>-295</v>
      </c>
      <c r="N15" s="91">
        <f>'11'!G70</f>
        <v>11</v>
      </c>
      <c r="O15" s="91">
        <f>'12'!G70</f>
        <v>9</v>
      </c>
      <c r="P15" s="91">
        <f>'13'!G70</f>
        <v>14</v>
      </c>
      <c r="Q15" s="91">
        <f>'14'!G70</f>
        <v>9</v>
      </c>
      <c r="R15" s="91">
        <f>'15'!G70</f>
        <v>5</v>
      </c>
      <c r="S15" s="91">
        <f>'16'!G70</f>
        <v>14</v>
      </c>
      <c r="T15" s="91">
        <f>'17'!G70</f>
        <v>13</v>
      </c>
      <c r="U15" s="91">
        <f>'18 '!G70</f>
        <v>19</v>
      </c>
      <c r="V15" s="91">
        <f>'19'!G70</f>
        <v>12</v>
      </c>
      <c r="W15" s="91">
        <f>'20'!G70</f>
        <v>9</v>
      </c>
      <c r="X15" s="91">
        <f>'21'!G70</f>
        <v>8</v>
      </c>
      <c r="Y15" s="91">
        <f>'22'!G70</f>
        <v>9</v>
      </c>
      <c r="Z15" s="91">
        <f>'23'!G70</f>
        <v>11</v>
      </c>
      <c r="AA15" s="91">
        <f>'24'!G70</f>
        <v>10</v>
      </c>
      <c r="AB15" s="91">
        <f>'25'!G70</f>
        <v>10</v>
      </c>
      <c r="AC15" s="91">
        <f>'26'!G70</f>
        <v>12</v>
      </c>
      <c r="AD15" s="91">
        <f>'27'!G70</f>
        <v>14</v>
      </c>
      <c r="AE15" s="91">
        <f>'28'!G70</f>
        <v>6</v>
      </c>
      <c r="AF15" s="91">
        <f>'29'!G70</f>
        <v>6</v>
      </c>
      <c r="AG15" s="91">
        <f>'30'!G70</f>
        <v>6</v>
      </c>
      <c r="AH15" s="91">
        <f>'31'!G70</f>
        <v>7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23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-19</v>
      </c>
      <c r="N17" s="91">
        <f>'11'!G173</f>
        <v>0</v>
      </c>
      <c r="O17" s="91">
        <f>'12'!G173</f>
        <v>3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16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23"/>
      <c r="C18" s="90" t="s">
        <v>75</v>
      </c>
      <c r="D18" s="90">
        <f>'1'!G174</f>
        <v>15</v>
      </c>
      <c r="E18" s="91">
        <f>'2'!G174</f>
        <v>0</v>
      </c>
      <c r="F18" s="91">
        <f>'3'!G174</f>
        <v>0</v>
      </c>
      <c r="G18" s="91">
        <f>'4'!G174</f>
        <v>14</v>
      </c>
      <c r="H18" s="91">
        <f>'5'!G174</f>
        <v>14</v>
      </c>
      <c r="I18" s="91">
        <f>'6'!G174</f>
        <v>11</v>
      </c>
      <c r="J18" s="91">
        <f>'7'!G174</f>
        <v>11</v>
      </c>
      <c r="K18" s="91">
        <f>'8'!G174</f>
        <v>12</v>
      </c>
      <c r="L18" s="91">
        <f>'9'!G174</f>
        <v>18</v>
      </c>
      <c r="M18" s="91">
        <f>'10'!G174</f>
        <v>-419</v>
      </c>
      <c r="N18" s="91">
        <f>'11'!G174</f>
        <v>20</v>
      </c>
      <c r="O18" s="91">
        <f>'12'!G174</f>
        <v>19</v>
      </c>
      <c r="P18" s="91">
        <f>'13'!G174</f>
        <v>19</v>
      </c>
      <c r="Q18" s="91">
        <f>'14'!G174</f>
        <v>16</v>
      </c>
      <c r="R18" s="91">
        <f>'15'!G174</f>
        <v>19</v>
      </c>
      <c r="S18" s="91">
        <f>'16'!G174</f>
        <v>12</v>
      </c>
      <c r="T18" s="91">
        <f>'17'!G174</f>
        <v>17</v>
      </c>
      <c r="U18" s="91">
        <f>'18 '!G174</f>
        <v>14</v>
      </c>
      <c r="V18" s="91">
        <f>'19'!G174</f>
        <v>15</v>
      </c>
      <c r="W18" s="91">
        <f>'20'!G174</f>
        <v>17</v>
      </c>
      <c r="X18" s="91">
        <f>'21'!G174</f>
        <v>16</v>
      </c>
      <c r="Y18" s="91">
        <f>'22'!G174</f>
        <v>14</v>
      </c>
      <c r="Z18" s="91">
        <f>'23'!G174</f>
        <v>15</v>
      </c>
      <c r="AA18" s="91">
        <f>'24'!G174</f>
        <v>14</v>
      </c>
      <c r="AB18" s="91">
        <f>'25'!G174</f>
        <v>15</v>
      </c>
      <c r="AC18" s="91">
        <f>'26'!G174</f>
        <v>16</v>
      </c>
      <c r="AD18" s="91">
        <f>'27'!G174</f>
        <v>15</v>
      </c>
      <c r="AE18" s="91">
        <f>'28'!G174</f>
        <v>16</v>
      </c>
      <c r="AF18" s="91">
        <f>'29'!G174</f>
        <v>10</v>
      </c>
      <c r="AG18" s="91">
        <f>'30'!G174</f>
        <v>17</v>
      </c>
      <c r="AH18" s="91">
        <f>'31'!G174</f>
        <v>14</v>
      </c>
      <c r="AI18" s="90"/>
    </row>
    <row r="19" spans="2:35" x14ac:dyDescent="0.25">
      <c r="B19" s="723"/>
      <c r="C19" s="90" t="s">
        <v>76</v>
      </c>
      <c r="D19" s="90">
        <f>'1'!G175</f>
        <v>12</v>
      </c>
      <c r="E19" s="91">
        <f>'2'!G175</f>
        <v>7</v>
      </c>
      <c r="F19" s="91">
        <f>'3'!G175</f>
        <v>2</v>
      </c>
      <c r="G19" s="91">
        <f>'4'!G175</f>
        <v>17</v>
      </c>
      <c r="H19" s="91">
        <f>'5'!G175</f>
        <v>11</v>
      </c>
      <c r="I19" s="91">
        <f>'6'!G175</f>
        <v>9</v>
      </c>
      <c r="J19" s="91">
        <f>'7'!G175</f>
        <v>11</v>
      </c>
      <c r="K19" s="91">
        <f>'8'!G175</f>
        <v>9</v>
      </c>
      <c r="L19" s="91">
        <f>'9'!G175</f>
        <v>10</v>
      </c>
      <c r="M19" s="91">
        <f>'10'!G175</f>
        <v>-341</v>
      </c>
      <c r="N19" s="91">
        <f>'11'!G175</f>
        <v>14</v>
      </c>
      <c r="O19" s="91">
        <f>'12'!G175</f>
        <v>14</v>
      </c>
      <c r="P19" s="91">
        <f>'13'!G175</f>
        <v>12</v>
      </c>
      <c r="Q19" s="91">
        <f>'14'!G175</f>
        <v>14</v>
      </c>
      <c r="R19" s="91">
        <f>'15'!G175</f>
        <v>13</v>
      </c>
      <c r="S19" s="91">
        <f>'16'!G175</f>
        <v>12</v>
      </c>
      <c r="T19" s="91">
        <f>'17'!G175</f>
        <v>12</v>
      </c>
      <c r="U19" s="91">
        <f>'18 '!G175</f>
        <v>13</v>
      </c>
      <c r="V19" s="91">
        <f>'19'!G175</f>
        <v>11</v>
      </c>
      <c r="W19" s="91">
        <f>'20'!G175</f>
        <v>12</v>
      </c>
      <c r="X19" s="91">
        <f>'21'!G175</f>
        <v>13</v>
      </c>
      <c r="Y19" s="91">
        <f>'22'!G175</f>
        <v>10</v>
      </c>
      <c r="Z19" s="91">
        <f>'23'!G175</f>
        <v>12</v>
      </c>
      <c r="AA19" s="91">
        <f>'24'!G175</f>
        <v>11</v>
      </c>
      <c r="AB19" s="91">
        <f>'25'!G175</f>
        <v>13</v>
      </c>
      <c r="AC19" s="91">
        <f>'26'!G175</f>
        <v>12</v>
      </c>
      <c r="AD19" s="91">
        <f>'27'!G175</f>
        <v>12</v>
      </c>
      <c r="AE19" s="91">
        <f>'28'!G175</f>
        <v>11</v>
      </c>
      <c r="AF19" s="91">
        <f>'29'!G175</f>
        <v>12</v>
      </c>
      <c r="AG19" s="91">
        <f>'30'!G175</f>
        <v>12</v>
      </c>
      <c r="AH19" s="91">
        <f>'31'!G175</f>
        <v>8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23" t="s">
        <v>77</v>
      </c>
      <c r="C21" s="90" t="s">
        <v>78</v>
      </c>
      <c r="D21" s="90">
        <f>'1'!G178</f>
        <v>62</v>
      </c>
      <c r="E21" s="91">
        <f>'2'!G178</f>
        <v>64</v>
      </c>
      <c r="F21" s="91">
        <f>'3'!G178</f>
        <v>58</v>
      </c>
      <c r="G21" s="91">
        <f>'4'!G178</f>
        <v>79</v>
      </c>
      <c r="H21" s="91">
        <f>'5'!G178</f>
        <v>97</v>
      </c>
      <c r="I21" s="91">
        <f>'6'!G178</f>
        <v>72</v>
      </c>
      <c r="J21" s="91">
        <f>'7'!G178</f>
        <v>62</v>
      </c>
      <c r="K21" s="91">
        <f>'8'!G178</f>
        <v>60</v>
      </c>
      <c r="L21" s="91">
        <f>'9'!G178</f>
        <v>61</v>
      </c>
      <c r="M21" s="91">
        <f>'10'!G178</f>
        <v>-2131</v>
      </c>
      <c r="N21" s="91">
        <f>'11'!G178</f>
        <v>83</v>
      </c>
      <c r="O21" s="91">
        <f>'12'!G178</f>
        <v>109</v>
      </c>
      <c r="P21" s="91">
        <f>'13'!G178</f>
        <v>68</v>
      </c>
      <c r="Q21" s="91">
        <f>'14'!G178</f>
        <v>55</v>
      </c>
      <c r="R21" s="91">
        <f>'15'!G178</f>
        <v>80</v>
      </c>
      <c r="S21" s="91">
        <f>'16'!G178</f>
        <v>65</v>
      </c>
      <c r="T21" s="91">
        <f>'17'!G178</f>
        <v>115</v>
      </c>
      <c r="U21" s="91">
        <f>'18 '!G178</f>
        <v>41</v>
      </c>
      <c r="V21" s="91">
        <f>'19'!G178</f>
        <v>74</v>
      </c>
      <c r="W21" s="91">
        <f>'20'!G178</f>
        <v>67</v>
      </c>
      <c r="X21" s="91">
        <f>'21'!G178</f>
        <v>60</v>
      </c>
      <c r="Y21" s="91">
        <f>'22'!G178</f>
        <v>57</v>
      </c>
      <c r="Z21" s="91">
        <f>'23'!G178</f>
        <v>56</v>
      </c>
      <c r="AA21" s="91">
        <f>'24'!G178</f>
        <v>99</v>
      </c>
      <c r="AB21" s="91">
        <f>'25'!G178</f>
        <v>85</v>
      </c>
      <c r="AC21" s="91">
        <f>'26'!G178</f>
        <v>64</v>
      </c>
      <c r="AD21" s="91">
        <f>'27'!G178</f>
        <v>62</v>
      </c>
      <c r="AE21" s="91">
        <f>'28'!G178</f>
        <v>64</v>
      </c>
      <c r="AF21" s="91">
        <f>'29'!G178</f>
        <v>95</v>
      </c>
      <c r="AG21" s="91">
        <f>'30'!G178</f>
        <v>72</v>
      </c>
      <c r="AH21" s="91">
        <f>'31'!G178</f>
        <v>45</v>
      </c>
      <c r="AI21" s="90"/>
    </row>
    <row r="22" spans="2:35" x14ac:dyDescent="0.25">
      <c r="B22" s="723"/>
      <c r="C22" s="90" t="s">
        <v>79</v>
      </c>
      <c r="D22" s="90">
        <f>'1'!G179</f>
        <v>42</v>
      </c>
      <c r="E22" s="91">
        <f>'2'!G179</f>
        <v>1</v>
      </c>
      <c r="F22" s="91">
        <f>'3'!G179</f>
        <v>15</v>
      </c>
      <c r="G22" s="91">
        <f>'4'!G179</f>
        <v>35</v>
      </c>
      <c r="H22" s="91">
        <f>'5'!G179</f>
        <v>16</v>
      </c>
      <c r="I22" s="91">
        <f>'6'!G179</f>
        <v>5</v>
      </c>
      <c r="J22" s="91">
        <f>'7'!G179</f>
        <v>9</v>
      </c>
      <c r="K22" s="91">
        <f>'8'!G179</f>
        <v>14</v>
      </c>
      <c r="L22" s="91">
        <f>'9'!G179</f>
        <v>18</v>
      </c>
      <c r="M22" s="91">
        <f>'10'!G179</f>
        <v>-182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13</v>
      </c>
      <c r="U22" s="91">
        <f>'18 '!G179</f>
        <v>14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 x14ac:dyDescent="0.25">
      <c r="B23" s="723"/>
      <c r="C23" s="90" t="s">
        <v>80</v>
      </c>
      <c r="D23" s="90">
        <f>'1'!G180</f>
        <v>4</v>
      </c>
      <c r="E23" s="91">
        <f>'2'!G180</f>
        <v>3</v>
      </c>
      <c r="F23" s="91">
        <f>'3'!G180</f>
        <v>4</v>
      </c>
      <c r="G23" s="91">
        <f>'4'!G180</f>
        <v>16</v>
      </c>
      <c r="H23" s="91">
        <f>'5'!G180</f>
        <v>1</v>
      </c>
      <c r="I23" s="91">
        <f>'6'!G180</f>
        <v>20</v>
      </c>
      <c r="J23" s="91">
        <f>'7'!G180</f>
        <v>3</v>
      </c>
      <c r="K23" s="91">
        <f>'8'!G180</f>
        <v>15</v>
      </c>
      <c r="L23" s="91">
        <f>'9'!G180</f>
        <v>1</v>
      </c>
      <c r="M23" s="91">
        <f>'10'!G180</f>
        <v>-209</v>
      </c>
      <c r="N23" s="91">
        <f>'11'!G180</f>
        <v>12</v>
      </c>
      <c r="O23" s="91">
        <f>'12'!G180</f>
        <v>1</v>
      </c>
      <c r="P23" s="91">
        <f>'13'!G180</f>
        <v>3</v>
      </c>
      <c r="Q23" s="91">
        <f>'14'!G180</f>
        <v>12</v>
      </c>
      <c r="R23" s="91">
        <f>'15'!G180</f>
        <v>6</v>
      </c>
      <c r="S23" s="91">
        <f>'16'!G180</f>
        <v>14</v>
      </c>
      <c r="T23" s="91">
        <f>'17'!G180</f>
        <v>2</v>
      </c>
      <c r="U23" s="91">
        <f>'18 '!G180</f>
        <v>11</v>
      </c>
      <c r="V23" s="91">
        <f>'19'!G180</f>
        <v>1</v>
      </c>
      <c r="W23" s="91">
        <f>'20'!G180</f>
        <v>1</v>
      </c>
      <c r="X23" s="91">
        <f>'21'!G180</f>
        <v>11</v>
      </c>
      <c r="Y23" s="91">
        <f>'22'!G180</f>
        <v>12</v>
      </c>
      <c r="Z23" s="91">
        <f>'23'!G180</f>
        <v>7</v>
      </c>
      <c r="AA23" s="91">
        <f>'24'!G180</f>
        <v>9</v>
      </c>
      <c r="AB23" s="91">
        <f>'25'!G180</f>
        <v>11</v>
      </c>
      <c r="AC23" s="91">
        <f>'26'!G180</f>
        <v>1</v>
      </c>
      <c r="AD23" s="91">
        <f>'27'!G180</f>
        <v>8</v>
      </c>
      <c r="AE23" s="91">
        <f>'28'!G180</f>
        <v>6</v>
      </c>
      <c r="AF23" s="91">
        <f>'29'!G180</f>
        <v>8</v>
      </c>
      <c r="AG23" s="91">
        <f>'30'!G180</f>
        <v>0</v>
      </c>
      <c r="AH23" s="91">
        <f>'31'!G180</f>
        <v>6</v>
      </c>
      <c r="AI23" s="90"/>
    </row>
    <row r="24" spans="2:35" ht="30" x14ac:dyDescent="0.25">
      <c r="B24" s="93" t="s">
        <v>301</v>
      </c>
      <c r="C24" s="90"/>
      <c r="D24" s="91">
        <f>SUM(D5:D6)</f>
        <v>54</v>
      </c>
      <c r="E24" s="91">
        <f t="shared" ref="E24:AH24" si="0">SUM(E5:E6)</f>
        <v>56</v>
      </c>
      <c r="F24" s="91">
        <f t="shared" si="0"/>
        <v>356</v>
      </c>
      <c r="G24" s="91">
        <f t="shared" si="0"/>
        <v>219</v>
      </c>
      <c r="H24" s="91">
        <f t="shared" si="0"/>
        <v>171</v>
      </c>
      <c r="I24" s="91">
        <f t="shared" si="0"/>
        <v>204</v>
      </c>
      <c r="J24" s="91">
        <f t="shared" si="0"/>
        <v>214</v>
      </c>
      <c r="K24" s="91">
        <f t="shared" si="0"/>
        <v>211</v>
      </c>
      <c r="L24" s="91">
        <f t="shared" si="0"/>
        <v>205</v>
      </c>
      <c r="M24" s="91">
        <f t="shared" si="0"/>
        <v>325</v>
      </c>
      <c r="N24" s="91">
        <f t="shared" si="0"/>
        <v>445</v>
      </c>
      <c r="O24" s="91">
        <f t="shared" si="0"/>
        <v>565</v>
      </c>
      <c r="P24" s="91">
        <f t="shared" si="0"/>
        <v>685</v>
      </c>
      <c r="Q24" s="91">
        <f t="shared" si="0"/>
        <v>805</v>
      </c>
      <c r="R24" s="91">
        <f t="shared" si="0"/>
        <v>925</v>
      </c>
      <c r="S24" s="91">
        <f t="shared" si="0"/>
        <v>1045</v>
      </c>
      <c r="T24" s="91">
        <f t="shared" si="0"/>
        <v>1165</v>
      </c>
      <c r="U24" s="91">
        <f t="shared" si="0"/>
        <v>1285</v>
      </c>
      <c r="V24" s="91">
        <f t="shared" si="0"/>
        <v>1405</v>
      </c>
      <c r="W24" s="91">
        <f t="shared" si="0"/>
        <v>1525</v>
      </c>
      <c r="X24" s="91">
        <f t="shared" si="0"/>
        <v>1645</v>
      </c>
      <c r="Y24" s="91">
        <f t="shared" si="0"/>
        <v>1765</v>
      </c>
      <c r="Z24" s="91">
        <f t="shared" si="0"/>
        <v>1885</v>
      </c>
      <c r="AA24" s="91">
        <f>SUM(AA5:AA6)</f>
        <v>2005</v>
      </c>
      <c r="AB24" s="91">
        <f t="shared" si="0"/>
        <v>2125</v>
      </c>
      <c r="AC24" s="91">
        <f t="shared" si="0"/>
        <v>2245</v>
      </c>
      <c r="AD24" s="91">
        <f t="shared" si="0"/>
        <v>2365</v>
      </c>
      <c r="AE24" s="91">
        <f t="shared" si="0"/>
        <v>2485</v>
      </c>
      <c r="AF24" s="91">
        <f t="shared" si="0"/>
        <v>2605</v>
      </c>
      <c r="AG24" s="91">
        <f t="shared" si="0"/>
        <v>2725</v>
      </c>
      <c r="AH24" s="91">
        <f t="shared" si="0"/>
        <v>2845</v>
      </c>
      <c r="AI24" s="90"/>
    </row>
    <row r="25" spans="2:35" ht="30" x14ac:dyDescent="0.25">
      <c r="B25" s="93" t="s">
        <v>81</v>
      </c>
      <c r="C25" s="90"/>
      <c r="D25" s="91">
        <f>SUM(D9:D11,D14:D15,)</f>
        <v>204</v>
      </c>
      <c r="E25" s="91">
        <f t="shared" ref="E25:AI25" si="1">SUM(E9:E11,E14:E15,)</f>
        <v>149</v>
      </c>
      <c r="F25" s="91">
        <f t="shared" si="1"/>
        <v>107</v>
      </c>
      <c r="G25" s="91">
        <f t="shared" si="1"/>
        <v>142</v>
      </c>
      <c r="H25" s="91">
        <f t="shared" si="1"/>
        <v>132</v>
      </c>
      <c r="I25" s="91">
        <f t="shared" si="1"/>
        <v>119</v>
      </c>
      <c r="J25" s="91">
        <f t="shared" si="1"/>
        <v>135</v>
      </c>
      <c r="K25" s="91">
        <f>SUM(K9:K11,K14:K15,)</f>
        <v>147</v>
      </c>
      <c r="L25" s="91">
        <f t="shared" si="1"/>
        <v>140</v>
      </c>
      <c r="M25" s="91">
        <f t="shared" si="1"/>
        <v>-4994</v>
      </c>
      <c r="N25" s="91">
        <f t="shared" si="1"/>
        <v>177</v>
      </c>
      <c r="O25" s="91">
        <f t="shared" si="1"/>
        <v>175</v>
      </c>
      <c r="P25" s="91">
        <f t="shared" si="1"/>
        <v>231</v>
      </c>
      <c r="Q25" s="91">
        <f t="shared" si="1"/>
        <v>172</v>
      </c>
      <c r="R25" s="91">
        <f t="shared" si="1"/>
        <v>152</v>
      </c>
      <c r="S25" s="91">
        <f t="shared" si="1"/>
        <v>159</v>
      </c>
      <c r="T25" s="91">
        <f>SUM(T9:T11,T14:T15,)</f>
        <v>182</v>
      </c>
      <c r="U25" s="91">
        <f t="shared" si="1"/>
        <v>204</v>
      </c>
      <c r="V25" s="91">
        <f t="shared" si="1"/>
        <v>214</v>
      </c>
      <c r="W25" s="91">
        <f t="shared" si="1"/>
        <v>136</v>
      </c>
      <c r="X25" s="91">
        <f t="shared" si="1"/>
        <v>158</v>
      </c>
      <c r="Y25" s="91">
        <f t="shared" si="1"/>
        <v>167</v>
      </c>
      <c r="Z25" s="91">
        <f t="shared" si="1"/>
        <v>174</v>
      </c>
      <c r="AA25" s="91">
        <f t="shared" si="1"/>
        <v>162</v>
      </c>
      <c r="AB25" s="91">
        <f t="shared" si="1"/>
        <v>177</v>
      </c>
      <c r="AC25" s="91">
        <f t="shared" si="1"/>
        <v>207</v>
      </c>
      <c r="AD25" s="91">
        <f t="shared" si="1"/>
        <v>164</v>
      </c>
      <c r="AE25" s="91">
        <f t="shared" si="1"/>
        <v>199</v>
      </c>
      <c r="AF25" s="91">
        <f t="shared" si="1"/>
        <v>176</v>
      </c>
      <c r="AG25" s="91">
        <f t="shared" si="1"/>
        <v>174</v>
      </c>
      <c r="AH25" s="91">
        <f t="shared" si="1"/>
        <v>159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80</v>
      </c>
      <c r="E27" s="91">
        <f t="shared" ref="E27:AH27" si="2">SUM(E13,E21,E23)</f>
        <v>77</v>
      </c>
      <c r="F27" s="91">
        <f>SUM(F13,F21,F23)</f>
        <v>71</v>
      </c>
      <c r="G27" s="91">
        <f t="shared" si="2"/>
        <v>122</v>
      </c>
      <c r="H27" s="91">
        <f t="shared" si="2"/>
        <v>125</v>
      </c>
      <c r="I27" s="91">
        <f t="shared" si="2"/>
        <v>139</v>
      </c>
      <c r="J27" s="91">
        <f t="shared" si="2"/>
        <v>107</v>
      </c>
      <c r="K27" s="91">
        <f t="shared" si="2"/>
        <v>105</v>
      </c>
      <c r="L27" s="91">
        <f t="shared" si="2"/>
        <v>89</v>
      </c>
      <c r="M27" s="91">
        <f t="shared" si="2"/>
        <v>-3354</v>
      </c>
      <c r="N27" s="91">
        <f t="shared" si="2"/>
        <v>134</v>
      </c>
      <c r="O27" s="91">
        <f t="shared" si="2"/>
        <v>154</v>
      </c>
      <c r="P27" s="91">
        <f t="shared" si="2"/>
        <v>117</v>
      </c>
      <c r="Q27" s="91">
        <f t="shared" si="2"/>
        <v>108</v>
      </c>
      <c r="R27" s="91">
        <f t="shared" si="2"/>
        <v>124</v>
      </c>
      <c r="S27" s="91">
        <f t="shared" si="2"/>
        <v>108</v>
      </c>
      <c r="T27" s="91">
        <f t="shared" si="2"/>
        <v>166</v>
      </c>
      <c r="U27" s="91">
        <f t="shared" si="2"/>
        <v>108</v>
      </c>
      <c r="V27" s="91">
        <f t="shared" si="2"/>
        <v>75</v>
      </c>
      <c r="W27" s="91">
        <f t="shared" si="2"/>
        <v>136</v>
      </c>
      <c r="X27" s="91">
        <f t="shared" si="2"/>
        <v>106</v>
      </c>
      <c r="Y27" s="91">
        <f t="shared" si="2"/>
        <v>101</v>
      </c>
      <c r="Z27" s="91">
        <f t="shared" si="2"/>
        <v>92</v>
      </c>
      <c r="AA27" s="91">
        <f t="shared" si="2"/>
        <v>149</v>
      </c>
      <c r="AB27" s="91">
        <f t="shared" si="2"/>
        <v>124</v>
      </c>
      <c r="AC27" s="91">
        <f t="shared" si="2"/>
        <v>97</v>
      </c>
      <c r="AD27" s="91">
        <f t="shared" si="2"/>
        <v>104</v>
      </c>
      <c r="AE27" s="91">
        <f t="shared" si="2"/>
        <v>110</v>
      </c>
      <c r="AF27" s="91">
        <f t="shared" si="2"/>
        <v>143</v>
      </c>
      <c r="AG27" s="91">
        <f t="shared" si="2"/>
        <v>108</v>
      </c>
      <c r="AH27" s="91">
        <f t="shared" si="2"/>
        <v>75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98</v>
      </c>
      <c r="E29" s="249">
        <f t="shared" ref="E29:AH29" si="4">E9</f>
        <v>60</v>
      </c>
      <c r="F29" s="249">
        <f t="shared" si="4"/>
        <v>40</v>
      </c>
      <c r="G29" s="249">
        <f t="shared" si="4"/>
        <v>81</v>
      </c>
      <c r="H29" s="249">
        <f t="shared" si="4"/>
        <v>74</v>
      </c>
      <c r="I29" s="249">
        <f t="shared" si="4"/>
        <v>69</v>
      </c>
      <c r="J29" s="249">
        <f t="shared" si="4"/>
        <v>79</v>
      </c>
      <c r="K29" s="249">
        <f t="shared" si="4"/>
        <v>92</v>
      </c>
      <c r="L29" s="249">
        <f t="shared" si="4"/>
        <v>78</v>
      </c>
      <c r="M29" s="249">
        <f t="shared" si="4"/>
        <v>-2894</v>
      </c>
      <c r="N29" s="249">
        <f t="shared" si="4"/>
        <v>104</v>
      </c>
      <c r="O29" s="249">
        <f t="shared" si="4"/>
        <v>105</v>
      </c>
      <c r="P29" s="249">
        <f t="shared" si="4"/>
        <v>152</v>
      </c>
      <c r="Q29" s="249">
        <f t="shared" si="4"/>
        <v>105</v>
      </c>
      <c r="R29" s="249">
        <f t="shared" si="4"/>
        <v>106</v>
      </c>
      <c r="S29" s="249">
        <f t="shared" si="4"/>
        <v>93</v>
      </c>
      <c r="T29" s="249">
        <f t="shared" si="4"/>
        <v>111</v>
      </c>
      <c r="U29" s="249">
        <f t="shared" si="4"/>
        <v>125</v>
      </c>
      <c r="V29" s="249">
        <f t="shared" si="4"/>
        <v>117</v>
      </c>
      <c r="W29" s="249">
        <f t="shared" si="4"/>
        <v>77</v>
      </c>
      <c r="X29" s="249">
        <f t="shared" si="4"/>
        <v>97</v>
      </c>
      <c r="Y29" s="249">
        <f t="shared" si="4"/>
        <v>105</v>
      </c>
      <c r="Z29" s="249">
        <f t="shared" si="4"/>
        <v>99</v>
      </c>
      <c r="AA29" s="249">
        <f t="shared" si="4"/>
        <v>89</v>
      </c>
      <c r="AB29" s="249">
        <f t="shared" si="4"/>
        <v>91</v>
      </c>
      <c r="AC29" s="249">
        <f t="shared" si="4"/>
        <v>117</v>
      </c>
      <c r="AD29" s="249">
        <f t="shared" si="4"/>
        <v>95</v>
      </c>
      <c r="AE29" s="249">
        <f t="shared" si="4"/>
        <v>134</v>
      </c>
      <c r="AF29" s="249">
        <f t="shared" si="4"/>
        <v>104</v>
      </c>
      <c r="AG29" s="249">
        <f t="shared" si="4"/>
        <v>103</v>
      </c>
      <c r="AH29" s="249">
        <f t="shared" si="4"/>
        <v>94</v>
      </c>
      <c r="AI29" s="248"/>
    </row>
    <row r="30" spans="2:35" x14ac:dyDescent="0.25">
      <c r="B30" s="247" t="s">
        <v>84</v>
      </c>
      <c r="C30" s="248"/>
      <c r="D30" s="249">
        <f>SUM(D10:D11,D14:D15)</f>
        <v>106</v>
      </c>
      <c r="E30" s="249">
        <f t="shared" ref="E30:AH30" si="5">SUM(E10:E11,E14:E15)</f>
        <v>89</v>
      </c>
      <c r="F30" s="249">
        <f t="shared" si="5"/>
        <v>67</v>
      </c>
      <c r="G30" s="249">
        <f t="shared" si="5"/>
        <v>61</v>
      </c>
      <c r="H30" s="249">
        <f t="shared" si="5"/>
        <v>58</v>
      </c>
      <c r="I30" s="249">
        <f t="shared" si="5"/>
        <v>50</v>
      </c>
      <c r="J30" s="249">
        <f t="shared" si="5"/>
        <v>56</v>
      </c>
      <c r="K30" s="249">
        <f t="shared" si="5"/>
        <v>55</v>
      </c>
      <c r="L30" s="249">
        <f t="shared" si="5"/>
        <v>62</v>
      </c>
      <c r="M30" s="249">
        <f t="shared" si="5"/>
        <v>-2100</v>
      </c>
      <c r="N30" s="249">
        <f t="shared" si="5"/>
        <v>73</v>
      </c>
      <c r="O30" s="249">
        <f t="shared" si="5"/>
        <v>70</v>
      </c>
      <c r="P30" s="249">
        <f t="shared" si="5"/>
        <v>79</v>
      </c>
      <c r="Q30" s="249">
        <f t="shared" si="5"/>
        <v>67</v>
      </c>
      <c r="R30" s="249">
        <f t="shared" si="5"/>
        <v>46</v>
      </c>
      <c r="S30" s="249">
        <f t="shared" si="5"/>
        <v>66</v>
      </c>
      <c r="T30" s="249">
        <f t="shared" si="5"/>
        <v>71</v>
      </c>
      <c r="U30" s="249">
        <f t="shared" si="5"/>
        <v>79</v>
      </c>
      <c r="V30" s="249">
        <f t="shared" si="5"/>
        <v>97</v>
      </c>
      <c r="W30" s="249">
        <f t="shared" si="5"/>
        <v>59</v>
      </c>
      <c r="X30" s="249">
        <f t="shared" si="5"/>
        <v>61</v>
      </c>
      <c r="Y30" s="249">
        <f t="shared" si="5"/>
        <v>62</v>
      </c>
      <c r="Z30" s="249">
        <f t="shared" si="5"/>
        <v>75</v>
      </c>
      <c r="AA30" s="249">
        <f t="shared" si="5"/>
        <v>73</v>
      </c>
      <c r="AB30" s="249">
        <f t="shared" si="5"/>
        <v>86</v>
      </c>
      <c r="AC30" s="249">
        <f t="shared" si="5"/>
        <v>90</v>
      </c>
      <c r="AD30" s="249">
        <f t="shared" si="5"/>
        <v>69</v>
      </c>
      <c r="AE30" s="249">
        <f t="shared" si="5"/>
        <v>65</v>
      </c>
      <c r="AF30" s="249">
        <f t="shared" si="5"/>
        <v>72</v>
      </c>
      <c r="AG30" s="249">
        <f t="shared" si="5"/>
        <v>71</v>
      </c>
      <c r="AH30" s="249">
        <f t="shared" si="5"/>
        <v>65</v>
      </c>
      <c r="AI30" s="248"/>
    </row>
    <row r="31" spans="2:35" x14ac:dyDescent="0.25">
      <c r="B31" s="247" t="s">
        <v>85</v>
      </c>
      <c r="C31" s="248"/>
      <c r="D31" s="248">
        <f>D30/SUM(D29:D30)%</f>
        <v>51.96078431372549</v>
      </c>
      <c r="E31" s="248">
        <f t="shared" ref="E31:AH31" si="6">E30/SUM(E29:E30)%</f>
        <v>59.731543624161077</v>
      </c>
      <c r="F31" s="248">
        <f t="shared" si="6"/>
        <v>62.616822429906541</v>
      </c>
      <c r="G31" s="248">
        <f t="shared" si="6"/>
        <v>42.95774647887324</v>
      </c>
      <c r="H31" s="248">
        <f t="shared" si="6"/>
        <v>43.939393939393938</v>
      </c>
      <c r="I31" s="248">
        <f t="shared" si="6"/>
        <v>42.016806722689076</v>
      </c>
      <c r="J31" s="248">
        <f t="shared" si="6"/>
        <v>41.481481481481481</v>
      </c>
      <c r="K31" s="248">
        <f t="shared" si="6"/>
        <v>37.414965986394556</v>
      </c>
      <c r="L31" s="248">
        <f t="shared" si="6"/>
        <v>44.285714285714292</v>
      </c>
      <c r="M31" s="248">
        <f t="shared" si="6"/>
        <v>42.050460552663196</v>
      </c>
      <c r="N31" s="248">
        <f t="shared" si="6"/>
        <v>41.242937853107343</v>
      </c>
      <c r="O31" s="248">
        <f t="shared" si="6"/>
        <v>40</v>
      </c>
      <c r="P31" s="248">
        <f t="shared" si="6"/>
        <v>34.1991341991342</v>
      </c>
      <c r="Q31" s="248">
        <f t="shared" si="6"/>
        <v>38.953488372093027</v>
      </c>
      <c r="R31" s="248">
        <f t="shared" si="6"/>
        <v>30.263157894736842</v>
      </c>
      <c r="S31" s="248">
        <f t="shared" si="6"/>
        <v>41.509433962264147</v>
      </c>
      <c r="T31" s="248">
        <f t="shared" si="6"/>
        <v>39.010989010989007</v>
      </c>
      <c r="U31" s="248">
        <f t="shared" si="6"/>
        <v>38.725490196078432</v>
      </c>
      <c r="V31" s="248">
        <f t="shared" si="6"/>
        <v>45.327102803738313</v>
      </c>
      <c r="W31" s="248">
        <f t="shared" si="6"/>
        <v>43.382352941176471</v>
      </c>
      <c r="X31" s="248">
        <f t="shared" si="6"/>
        <v>38.607594936708857</v>
      </c>
      <c r="Y31" s="248">
        <f t="shared" si="6"/>
        <v>37.125748502994014</v>
      </c>
      <c r="Z31" s="248">
        <f t="shared" si="6"/>
        <v>43.103448275862071</v>
      </c>
      <c r="AA31" s="248">
        <f t="shared" si="6"/>
        <v>45.061728395061728</v>
      </c>
      <c r="AB31" s="248">
        <f t="shared" si="6"/>
        <v>48.587570621468927</v>
      </c>
      <c r="AC31" s="248">
        <f t="shared" si="6"/>
        <v>43.478260869565219</v>
      </c>
      <c r="AD31" s="248">
        <f t="shared" si="6"/>
        <v>42.073170731707322</v>
      </c>
      <c r="AE31" s="248">
        <f t="shared" si="6"/>
        <v>32.663316582914575</v>
      </c>
      <c r="AF31" s="248">
        <f t="shared" si="6"/>
        <v>40.909090909090907</v>
      </c>
      <c r="AG31" s="248">
        <f t="shared" si="6"/>
        <v>40.804597701149426</v>
      </c>
      <c r="AH31" s="248">
        <f t="shared" si="6"/>
        <v>40.880503144654085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J5" sqref="J5:J33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27" t="s">
        <v>308</v>
      </c>
      <c r="G2" s="728"/>
      <c r="H2" s="728"/>
      <c r="I2" s="728"/>
      <c r="J2" s="728"/>
      <c r="K2" s="728"/>
      <c r="L2" s="728"/>
      <c r="M2" s="729"/>
      <c r="N2" s="726" t="s">
        <v>86</v>
      </c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  <c r="Z2" s="726"/>
      <c r="AA2" s="726"/>
      <c r="AB2" s="726"/>
      <c r="AC2" s="726"/>
      <c r="AD2" s="726"/>
      <c r="AE2" s="726"/>
      <c r="AF2" s="726"/>
      <c r="AG2" s="726"/>
      <c r="AH2" s="726"/>
      <c r="AI2" s="726"/>
      <c r="AJ2" s="726"/>
      <c r="AK2" s="726"/>
      <c r="AL2" s="726"/>
      <c r="AM2" s="726"/>
      <c r="AN2" s="725"/>
      <c r="AO2" s="725"/>
      <c r="AP2" s="725"/>
      <c r="AQ2" s="725"/>
      <c r="AR2" s="725"/>
      <c r="AS2" s="725"/>
      <c r="AT2" s="725"/>
      <c r="AU2" s="648"/>
      <c r="AV2" s="724" t="s">
        <v>87</v>
      </c>
      <c r="AW2" s="724"/>
      <c r="AX2" s="724"/>
      <c r="AY2" s="724"/>
      <c r="BB2" s="320" t="s">
        <v>334</v>
      </c>
      <c r="BC2" s="320" t="s">
        <v>335</v>
      </c>
    </row>
    <row r="3" spans="1:55" x14ac:dyDescent="0.2">
      <c r="F3" s="650"/>
      <c r="G3" s="651"/>
      <c r="H3" s="651"/>
      <c r="I3" s="651"/>
      <c r="J3" s="651"/>
      <c r="K3" s="651"/>
      <c r="L3" s="651"/>
      <c r="M3" s="652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49"/>
      <c r="AN3" s="730" t="s">
        <v>138</v>
      </c>
      <c r="AO3" s="730"/>
      <c r="AP3" s="730"/>
      <c r="AQ3" s="730"/>
      <c r="AR3" s="730"/>
      <c r="AS3" s="730"/>
      <c r="AT3" s="730"/>
      <c r="AU3" s="731" t="s">
        <v>283</v>
      </c>
      <c r="AV3" s="731"/>
      <c r="AW3" s="731"/>
      <c r="AX3" s="731"/>
      <c r="AY3" s="731"/>
      <c r="BB3" s="320"/>
      <c r="BC3" s="320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53" t="s">
        <v>284</v>
      </c>
      <c r="G4" s="654" t="s">
        <v>285</v>
      </c>
      <c r="H4" s="654" t="s">
        <v>286</v>
      </c>
      <c r="I4" s="654" t="s">
        <v>287</v>
      </c>
      <c r="J4" s="654" t="s">
        <v>282</v>
      </c>
      <c r="K4" s="654" t="s">
        <v>51</v>
      </c>
      <c r="L4" s="655" t="s">
        <v>60</v>
      </c>
      <c r="M4" s="655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20"/>
      <c r="BC4" s="320"/>
    </row>
    <row r="5" spans="1:55" x14ac:dyDescent="0.2">
      <c r="A5" s="361">
        <v>1</v>
      </c>
      <c r="B5" s="656">
        <f>'1'!G7</f>
        <v>20006.53</v>
      </c>
      <c r="C5" s="656">
        <f>'1'!G8</f>
        <v>20449</v>
      </c>
      <c r="D5" s="656">
        <f>'1'!G15</f>
        <v>1070.0859999998938</v>
      </c>
      <c r="E5" s="656">
        <f>'1'!G20</f>
        <v>54</v>
      </c>
      <c r="F5" s="656">
        <f>SUM('1'!G35,'1'!G49)</f>
        <v>3670.9500000000116</v>
      </c>
      <c r="G5" s="656">
        <f>SUM('1'!H37,'1'!H51)</f>
        <v>1573.5100000000093</v>
      </c>
      <c r="H5" s="656">
        <f>SUM('1'!G38,'1'!G52)</f>
        <v>1665.429999999993</v>
      </c>
      <c r="I5" s="656">
        <f>SUM('1'!G39,'1'!G53)</f>
        <v>2724.390000000014</v>
      </c>
      <c r="J5" s="656">
        <f>SUM('1'!G41,'1'!G42,'1'!G55,'1'!G56)</f>
        <v>2431.4200000000055</v>
      </c>
      <c r="K5" s="656">
        <f>SUM('1'!G43,'1'!G57)</f>
        <v>2561.2300000000032</v>
      </c>
      <c r="L5" s="254">
        <f>'1'!G50</f>
        <v>1236.0200000000004</v>
      </c>
      <c r="M5" s="254">
        <f>'1'!G36</f>
        <v>885.33000000000175</v>
      </c>
      <c r="N5" s="254">
        <f>'1'!G138</f>
        <v>49</v>
      </c>
      <c r="O5" s="254">
        <f>'1'!G139</f>
        <v>1</v>
      </c>
      <c r="P5" s="254">
        <f>'1'!G140</f>
        <v>0</v>
      </c>
      <c r="Q5" s="254">
        <f>'1'!G141</f>
        <v>193.59999999999854</v>
      </c>
      <c r="R5" s="254">
        <f>'1'!G142</f>
        <v>73</v>
      </c>
      <c r="S5" s="254">
        <f>'1'!$G$145</f>
        <v>15.25</v>
      </c>
      <c r="T5" s="254">
        <f>'1'!$G$146</f>
        <v>474</v>
      </c>
      <c r="U5" s="254">
        <f>'1'!$G$144</f>
        <v>229</v>
      </c>
      <c r="V5" s="254">
        <f>'1'!$G$147</f>
        <v>437.31999999994878</v>
      </c>
      <c r="W5" s="254">
        <f>'1'!$G$148</f>
        <v>375.11999999999534</v>
      </c>
      <c r="X5" s="254">
        <f>'1'!$G$143</f>
        <v>27.239999999999782</v>
      </c>
      <c r="Y5" s="254">
        <f>'1'!$G$58</f>
        <v>225.94000000000233</v>
      </c>
      <c r="Z5" s="254">
        <f>'1'!$G$151</f>
        <v>293</v>
      </c>
      <c r="AA5" s="254">
        <f>'1'!G161</f>
        <v>0</v>
      </c>
      <c r="AB5" s="254">
        <f>'1'!G162</f>
        <v>22</v>
      </c>
      <c r="AC5" s="254"/>
      <c r="AD5" s="254">
        <f>'1'!G163+'1'!G164</f>
        <v>34</v>
      </c>
      <c r="AE5" s="254">
        <f>'1'!$G$116</f>
        <v>0</v>
      </c>
      <c r="AF5" s="254">
        <f>'1'!$G$117</f>
        <v>21.400000000000091</v>
      </c>
      <c r="AG5" s="254">
        <f>'1'!$G$118</f>
        <v>362.5</v>
      </c>
      <c r="AH5" s="254">
        <f>'1'!$G$119</f>
        <v>431.91000000000349</v>
      </c>
      <c r="AI5" s="254">
        <f>'1'!$G$120</f>
        <v>433.7400000000016</v>
      </c>
      <c r="AJ5" s="254">
        <f>'1'!$G$121</f>
        <v>784.71000000002095</v>
      </c>
      <c r="AK5" s="254">
        <f>'1'!$G$122</f>
        <v>213.74000000000524</v>
      </c>
      <c r="AL5" s="254">
        <f>'1'!$G$123</f>
        <v>346.69000000000233</v>
      </c>
      <c r="AM5" s="254">
        <f>'1'!$G$133</f>
        <v>833.86000000000058</v>
      </c>
      <c r="AN5" s="254">
        <f>'1'!$G$15</f>
        <v>1070.0859999998938</v>
      </c>
      <c r="AO5" s="254">
        <f>'1'!$G$74</f>
        <v>267.77000000001863</v>
      </c>
      <c r="AP5" s="254">
        <f>'1'!$G$75</f>
        <v>0</v>
      </c>
      <c r="AQ5" s="254">
        <f>'1'!$G$76</f>
        <v>102.91000000000349</v>
      </c>
      <c r="AR5" s="254">
        <f>'1'!$G$77</f>
        <v>27.400000000001455</v>
      </c>
      <c r="AS5" s="254">
        <f>'1'!$G$78</f>
        <v>1.8999999999996362</v>
      </c>
      <c r="AT5" s="254">
        <f>AN5-SUM(AO5:AS5)</f>
        <v>670.10599999987062</v>
      </c>
      <c r="AU5" s="254">
        <f>SUM('1'!G91:G92)</f>
        <v>9.6599999999998545</v>
      </c>
      <c r="AV5" s="254">
        <f>'1'!$G$88</f>
        <v>6.3800000000010186</v>
      </c>
      <c r="AW5" s="254">
        <f>'1'!$G$89</f>
        <v>4.0900000000001455</v>
      </c>
      <c r="AX5" s="254">
        <f>'1'!$G$90</f>
        <v>5.6100000000005821</v>
      </c>
      <c r="AY5" s="252">
        <f>SUM(AV5:AX5)</f>
        <v>16.080000000001746</v>
      </c>
      <c r="AZ5" s="311">
        <f>AO5/AU5</f>
        <v>27.719461697724913</v>
      </c>
      <c r="BB5" s="353">
        <f>C5-SUM(F5:K5,Y5)</f>
        <v>5596.129999999961</v>
      </c>
      <c r="BC5" s="353">
        <f>BB5/B5%</f>
        <v>27.971517299601487</v>
      </c>
    </row>
    <row r="6" spans="1:55" x14ac:dyDescent="0.2">
      <c r="A6" s="361">
        <v>2</v>
      </c>
      <c r="B6" s="656">
        <f>'2'!G7</f>
        <v>19489.369999999995</v>
      </c>
      <c r="C6" s="656">
        <f>'2'!G8</f>
        <v>19893</v>
      </c>
      <c r="D6" s="656">
        <f>'2'!G15</f>
        <v>808.52700000000186</v>
      </c>
      <c r="E6" s="656">
        <f>'2'!G20</f>
        <v>56</v>
      </c>
      <c r="F6" s="656">
        <f>SUM('2'!G35,'2'!G49)</f>
        <v>3641.6900000000023</v>
      </c>
      <c r="G6" s="656">
        <f>SUM('2'!G37,'2'!G51)</f>
        <v>1509.2399999999907</v>
      </c>
      <c r="H6" s="656">
        <f>SUM('2'!G38,'2'!G52)</f>
        <v>1563.0599999999977</v>
      </c>
      <c r="I6" s="656">
        <f>SUM('2'!G39,'2'!G53)</f>
        <v>2721.7999999999884</v>
      </c>
      <c r="J6" s="656">
        <f>SUM('2'!G41,'2'!G42,'2'!G55,'2'!G56)</f>
        <v>3100</v>
      </c>
      <c r="K6" s="656">
        <f>SUM('2'!G43,'2'!G57)</f>
        <v>2437.1699999999983</v>
      </c>
      <c r="L6" s="254">
        <f>'2'!G50</f>
        <v>1150.7200000000012</v>
      </c>
      <c r="M6" s="254">
        <f>'2'!G36</f>
        <v>756.53999999999724</v>
      </c>
      <c r="N6" s="254">
        <f>'2'!G138</f>
        <v>103</v>
      </c>
      <c r="O6" s="254">
        <f>'2'!$G$139</f>
        <v>0</v>
      </c>
      <c r="P6" s="254">
        <f>'2'!$G$140</f>
        <v>13.899999999994179</v>
      </c>
      <c r="Q6" s="254">
        <f>'2'!$G$141</f>
        <v>171.09999999999854</v>
      </c>
      <c r="R6" s="254">
        <f>'2'!$G$142</f>
        <v>72.119999999998981</v>
      </c>
      <c r="S6" s="254">
        <f>'2'!$G$145</f>
        <v>16.75</v>
      </c>
      <c r="T6" s="254">
        <f>'2'!$G$146</f>
        <v>508</v>
      </c>
      <c r="U6" s="254">
        <f>'2'!$G$144</f>
        <v>224</v>
      </c>
      <c r="V6" s="254">
        <f>'2'!$G$147</f>
        <v>448.68000000005122</v>
      </c>
      <c r="W6" s="251">
        <f>'2'!$G$148</f>
        <v>258.23999999999069</v>
      </c>
      <c r="X6" s="251">
        <f>'2'!$G$143</f>
        <v>25.0600000000004</v>
      </c>
      <c r="Y6" s="251">
        <f>'2'!$G$58</f>
        <v>92.020000000004075</v>
      </c>
      <c r="Z6" s="251">
        <f>'2'!$G$151</f>
        <v>264</v>
      </c>
      <c r="AA6" s="251">
        <f>'2'!G161</f>
        <v>-0.15999999997438863</v>
      </c>
      <c r="AB6" s="254">
        <f>'2'!G162</f>
        <v>14</v>
      </c>
      <c r="AC6" s="254"/>
      <c r="AD6" s="254">
        <f>'2'!G163+'2'!G164</f>
        <v>36.399999999999636</v>
      </c>
      <c r="AE6" s="254">
        <f>'2'!$G$116</f>
        <v>0</v>
      </c>
      <c r="AF6" s="254">
        <f>'2'!$G$117</f>
        <v>20.809999999999945</v>
      </c>
      <c r="AG6" s="254">
        <f>'2'!$G$118</f>
        <v>364.48999999999069</v>
      </c>
      <c r="AH6" s="254">
        <f>'2'!$G$119</f>
        <v>423.11999999999534</v>
      </c>
      <c r="AI6" s="254">
        <f>'2'!$G$120</f>
        <v>421.32999999999811</v>
      </c>
      <c r="AJ6" s="254">
        <f>'2'!$G$121</f>
        <v>753.75999999995111</v>
      </c>
      <c r="AK6" s="254">
        <f>'2'!$G$122</f>
        <v>213.86000000000058</v>
      </c>
      <c r="AL6" s="254">
        <f>'2'!$G$123</f>
        <v>347.07999999998719</v>
      </c>
      <c r="AM6" s="254">
        <f>'2'!$G$133</f>
        <v>832.02000000000407</v>
      </c>
      <c r="AN6" s="254">
        <f>'2'!$G$15</f>
        <v>808.52700000000186</v>
      </c>
      <c r="AO6" s="254">
        <f>'2'!$G$74</f>
        <v>258.03000000002794</v>
      </c>
      <c r="AP6" s="254">
        <f>'2'!$G$75</f>
        <v>0</v>
      </c>
      <c r="AQ6" s="254">
        <f>'2'!$G$76</f>
        <v>98.589999999996508</v>
      </c>
      <c r="AR6" s="254">
        <f>'2'!$G$77</f>
        <v>40</v>
      </c>
      <c r="AS6" s="254">
        <f>'2'!$G$78</f>
        <v>0.6000000000003638</v>
      </c>
      <c r="AT6" s="254">
        <f t="shared" ref="AT6:AT34" si="0">AN6-SUM(AO6:AS6)</f>
        <v>411.30699999997705</v>
      </c>
      <c r="AU6" s="254">
        <f>SUM('2'!G91:G92)</f>
        <v>9.0100000000002183</v>
      </c>
      <c r="AV6" s="254">
        <f>'2'!$G$88</f>
        <v>2.6899999999986903</v>
      </c>
      <c r="AW6" s="254">
        <f>'2'!$G$89</f>
        <v>0.47000000000116415</v>
      </c>
      <c r="AX6" s="254">
        <f>'2'!$G$90</f>
        <v>9.1499999999941792</v>
      </c>
      <c r="AY6" s="252">
        <f t="shared" ref="AY6:AY34" si="1">SUM(AV6:AX6)</f>
        <v>12.309999999994034</v>
      </c>
      <c r="AZ6" s="311">
        <f t="shared" ref="AZ6:AZ8" si="2">AO6/AU6</f>
        <v>28.638179800224382</v>
      </c>
      <c r="BB6" s="353">
        <f t="shared" ref="BB6:BB35" si="3">C6-SUM(F6:K6,Y6)</f>
        <v>4828.0200000000186</v>
      </c>
      <c r="BC6" s="353">
        <f t="shared" ref="BC6:BC35" si="4">BB6/B6%</f>
        <v>24.772581155778866</v>
      </c>
    </row>
    <row r="7" spans="1:55" s="313" customFormat="1" x14ac:dyDescent="0.2">
      <c r="A7" s="361">
        <v>3</v>
      </c>
      <c r="B7" s="656">
        <f>'3'!G7</f>
        <v>19192.100000000006</v>
      </c>
      <c r="C7" s="656">
        <f>'3'!G8</f>
        <v>19529</v>
      </c>
      <c r="D7" s="656">
        <f>'3'!G15</f>
        <v>524.78700000001118</v>
      </c>
      <c r="E7" s="656">
        <f>'3'!G20</f>
        <v>356</v>
      </c>
      <c r="F7" s="656">
        <f>SUM('3'!G35,'3'!G49)</f>
        <v>3773.3099999999977</v>
      </c>
      <c r="G7" s="656">
        <f>SUM('3'!G37,'3'!G51)</f>
        <v>1514.2000000000116</v>
      </c>
      <c r="H7" s="656">
        <f>SUM('3'!G38,'3'!G52)</f>
        <v>1476.640000000014</v>
      </c>
      <c r="I7" s="656">
        <f>SUM('3'!G39,'3'!G53)</f>
        <v>2758.7999999999884</v>
      </c>
      <c r="J7" s="656">
        <f>SUM('3'!G41,'3'!G42,'3'!G55,'3'!G56)</f>
        <v>3094.6399999999994</v>
      </c>
      <c r="K7" s="656">
        <f>SUM('3'!G43,'3'!G57)</f>
        <v>2419.6699999999983</v>
      </c>
      <c r="L7" s="251">
        <f>'3'!G50</f>
        <v>965.46999999999753</v>
      </c>
      <c r="M7" s="251">
        <f>'3'!G36</f>
        <v>783.35000000000218</v>
      </c>
      <c r="N7" s="251">
        <f>'3'!G138</f>
        <v>84</v>
      </c>
      <c r="O7" s="251">
        <f>'3'!$G$139</f>
        <v>0</v>
      </c>
      <c r="P7" s="251">
        <f>'3'!$G$140</f>
        <v>0</v>
      </c>
      <c r="Q7" s="251">
        <f>'3'!$G$141</f>
        <v>184.10000000000582</v>
      </c>
      <c r="R7" s="251">
        <f>'3'!$G$142</f>
        <v>69.680000000000291</v>
      </c>
      <c r="S7" s="251">
        <f>'3'!$G$145</f>
        <v>16.960000000000036</v>
      </c>
      <c r="T7" s="251">
        <f>'3'!$G$146</f>
        <v>426</v>
      </c>
      <c r="U7" s="251">
        <f>'3'!$G$144</f>
        <v>221</v>
      </c>
      <c r="V7" s="251">
        <f>'3'!$G$147</f>
        <v>395.80000000004657</v>
      </c>
      <c r="W7" s="251">
        <f>'3'!$G$148</f>
        <v>249.04000000003725</v>
      </c>
      <c r="X7" s="251">
        <f>'3'!$G$143</f>
        <v>8.3899999999998727</v>
      </c>
      <c r="Y7" s="251">
        <f>'3'!$G$58</f>
        <v>22.669999999998254</v>
      </c>
      <c r="Z7" s="251">
        <f>'3'!$G$151</f>
        <v>215</v>
      </c>
      <c r="AA7" s="254">
        <f>'3'!G161</f>
        <v>0.55999999999767169</v>
      </c>
      <c r="AB7" s="254">
        <f>'3'!G162</f>
        <v>29.600000000005821</v>
      </c>
      <c r="AC7" s="254"/>
      <c r="AD7" s="254">
        <f>'3'!G163+'3'!G164</f>
        <v>55</v>
      </c>
      <c r="AE7" s="251">
        <f>'3'!$G$116</f>
        <v>0</v>
      </c>
      <c r="AF7" s="251">
        <f>'3'!$G$117</f>
        <v>20.75</v>
      </c>
      <c r="AG7" s="251">
        <f>'3'!$G$118</f>
        <v>392.5</v>
      </c>
      <c r="AH7" s="251">
        <f>'3'!$G$119</f>
        <v>449.51999999998952</v>
      </c>
      <c r="AI7" s="251">
        <f>'3'!$G$120</f>
        <v>429.38000000000102</v>
      </c>
      <c r="AJ7" s="251">
        <f>'3'!$G$121</f>
        <v>774.68000000005122</v>
      </c>
      <c r="AK7" s="251">
        <f>'3'!$G$122</f>
        <v>238.93999999998778</v>
      </c>
      <c r="AL7" s="251">
        <f>'3'!$G$123</f>
        <v>338.12000000002445</v>
      </c>
      <c r="AM7" s="251">
        <f>'3'!$G$133</f>
        <v>837.55999999999767</v>
      </c>
      <c r="AN7" s="251">
        <f>'3'!$G$15</f>
        <v>524.78700000001118</v>
      </c>
      <c r="AO7" s="251">
        <f>'3'!$G$74</f>
        <v>240.55999999993946</v>
      </c>
      <c r="AP7" s="251">
        <f>'3'!$G$75</f>
        <v>0</v>
      </c>
      <c r="AQ7" s="251">
        <f>'3'!$G$76</f>
        <v>90.5</v>
      </c>
      <c r="AR7" s="251">
        <f>'3'!$G$77</f>
        <v>34.69999999999709</v>
      </c>
      <c r="AS7" s="251">
        <f>'3'!$G$78</f>
        <v>0.7999999999992724</v>
      </c>
      <c r="AT7" s="251">
        <f t="shared" si="0"/>
        <v>158.22700000007535</v>
      </c>
      <c r="AU7" s="254">
        <f>SUM('3'!G91:G92)</f>
        <v>8.5399999999999636</v>
      </c>
      <c r="AV7" s="251">
        <f>'3'!$G$88</f>
        <v>0</v>
      </c>
      <c r="AW7" s="251">
        <f>'3'!$G$89</f>
        <v>0</v>
      </c>
      <c r="AX7" s="251">
        <f>'3'!$G$90</f>
        <v>3.2400000000052387</v>
      </c>
      <c r="AY7" s="255">
        <f t="shared" si="1"/>
        <v>3.2400000000052387</v>
      </c>
      <c r="AZ7" s="311">
        <f t="shared" si="2"/>
        <v>28.168618266971954</v>
      </c>
      <c r="BB7" s="353">
        <f t="shared" si="3"/>
        <v>4469.0699999999924</v>
      </c>
      <c r="BC7" s="353">
        <f t="shared" si="4"/>
        <v>23.285987463591745</v>
      </c>
    </row>
    <row r="8" spans="1:55" x14ac:dyDescent="0.2">
      <c r="A8" s="361">
        <v>4</v>
      </c>
      <c r="B8" s="656">
        <f>'4'!G7</f>
        <v>19783.089999999997</v>
      </c>
      <c r="C8" s="656">
        <f>'4'!G8</f>
        <v>20218.950000000012</v>
      </c>
      <c r="D8" s="656">
        <f>'4'!G15</f>
        <v>1035.25</v>
      </c>
      <c r="E8" s="656">
        <f>'4'!G20</f>
        <v>219</v>
      </c>
      <c r="F8" s="656">
        <f>SUM('4'!G35,'4'!G49)</f>
        <v>3322.8600000000151</v>
      </c>
      <c r="G8" s="656">
        <f>SUM('4'!G37,'4'!G51)</f>
        <v>1526.8799999999756</v>
      </c>
      <c r="H8" s="656">
        <f>SUM('4'!G38,'4'!G52)</f>
        <v>1752.359999999986</v>
      </c>
      <c r="I8" s="656">
        <f>SUM('4'!G39,'4'!G53)</f>
        <v>2740.5200000000186</v>
      </c>
      <c r="J8" s="656">
        <f>SUM('4'!G41,'4'!G42,'4'!G55,'4'!G56)</f>
        <v>3146.7900000000009</v>
      </c>
      <c r="K8" s="656">
        <f>SUM('4'!G43,'4'!G57)</f>
        <v>2444.6500000000015</v>
      </c>
      <c r="L8" s="254">
        <f>'4'!G50</f>
        <v>1036.4099999999999</v>
      </c>
      <c r="M8" s="254">
        <f>'4'!G36</f>
        <v>727.02999999999884</v>
      </c>
      <c r="N8" s="254">
        <f>'4'!G138</f>
        <v>70</v>
      </c>
      <c r="O8" s="254">
        <f>'4'!$G$139</f>
        <v>0</v>
      </c>
      <c r="P8" s="254">
        <f>'4'!$G$140</f>
        <v>2.4000000000087311</v>
      </c>
      <c r="Q8" s="254">
        <f>'4'!$G$141</f>
        <v>180.23999999999796</v>
      </c>
      <c r="R8" s="254">
        <f>'4'!$G$142</f>
        <v>67.950000000000728</v>
      </c>
      <c r="S8" s="254">
        <f>'4'!$G$145</f>
        <v>17.269999999999527</v>
      </c>
      <c r="T8" s="254">
        <f>'4'!$G$146</f>
        <v>462</v>
      </c>
      <c r="U8" s="254">
        <f>'4'!$G$144</f>
        <v>225</v>
      </c>
      <c r="V8" s="251">
        <f>'4'!$G$147</f>
        <v>396.03999999992084</v>
      </c>
      <c r="W8" s="251">
        <f>'4'!$G$148</f>
        <v>255.28000000002794</v>
      </c>
      <c r="X8" s="254">
        <f>'4'!$G$143</f>
        <v>30.670000000000073</v>
      </c>
      <c r="Y8" s="254">
        <f>'4'!$G$58</f>
        <v>173.66</v>
      </c>
      <c r="Z8" s="254">
        <f>'4'!$G$151</f>
        <v>268</v>
      </c>
      <c r="AA8" s="254">
        <f>'4'!G161</f>
        <v>0</v>
      </c>
      <c r="AB8" s="254">
        <f>'4'!G162</f>
        <v>25.599999999991269</v>
      </c>
      <c r="AC8" s="254"/>
      <c r="AD8" s="254">
        <f>'4'!G163+'4'!G164</f>
        <v>50.000000000006366</v>
      </c>
      <c r="AE8" s="254">
        <f>'4'!$G$116</f>
        <v>0</v>
      </c>
      <c r="AF8" s="254">
        <f>'4'!$G$117</f>
        <v>31.4699999999998</v>
      </c>
      <c r="AG8" s="254">
        <f>'4'!$G$118</f>
        <v>384.05999999999767</v>
      </c>
      <c r="AH8" s="254">
        <f>'4'!$G$119</f>
        <v>438.76000000000931</v>
      </c>
      <c r="AI8" s="254">
        <f>'4'!$G$120</f>
        <v>413</v>
      </c>
      <c r="AJ8" s="254">
        <f>'4'!$G$121</f>
        <v>784.44000000000233</v>
      </c>
      <c r="AK8" s="254">
        <f>'4'!$G$122</f>
        <v>245.56000000001222</v>
      </c>
      <c r="AL8" s="254">
        <f>'4'!$G$123</f>
        <v>321.77999999999884</v>
      </c>
      <c r="AM8" s="254">
        <f>'4'!$G$133</f>
        <v>840.17999999999302</v>
      </c>
      <c r="AN8" s="254">
        <f>'4'!$G$15</f>
        <v>1035.25</v>
      </c>
      <c r="AO8" s="254">
        <f>'4'!$G$74</f>
        <v>317.86999999999534</v>
      </c>
      <c r="AP8" s="254">
        <f>'4'!$G$75</f>
        <v>0</v>
      </c>
      <c r="AQ8" s="254">
        <f>'4'!$G$76</f>
        <v>94.320000000006985</v>
      </c>
      <c r="AR8" s="254">
        <f>'4'!$G$77</f>
        <v>22.900000000001455</v>
      </c>
      <c r="AS8" s="254">
        <f>'4'!$G$78</f>
        <v>0.7000000000007276</v>
      </c>
      <c r="AT8" s="254">
        <f t="shared" si="0"/>
        <v>599.45999999999549</v>
      </c>
      <c r="AU8" s="254">
        <f>SUM('4'!G91:G92)</f>
        <v>11.090000000000146</v>
      </c>
      <c r="AV8" s="254">
        <f>'4'!$G$88</f>
        <v>1.9900000000016007</v>
      </c>
      <c r="AW8" s="254">
        <f>'4'!$G$89</f>
        <v>8.7199999999975262</v>
      </c>
      <c r="AX8" s="254">
        <f>'4'!$G$90</f>
        <v>4.1399999999994179</v>
      </c>
      <c r="AY8" s="252">
        <f t="shared" si="1"/>
        <v>14.849999999998545</v>
      </c>
      <c r="AZ8" s="311">
        <f t="shared" si="2"/>
        <v>28.662759242560071</v>
      </c>
      <c r="BB8" s="353">
        <f t="shared" si="3"/>
        <v>5111.2300000000141</v>
      </c>
      <c r="BC8" s="353">
        <f t="shared" si="4"/>
        <v>25.836358223108803</v>
      </c>
    </row>
    <row r="9" spans="1:55" x14ac:dyDescent="0.2">
      <c r="A9" s="361">
        <v>5</v>
      </c>
      <c r="B9" s="656">
        <f>'5'!G7</f>
        <v>19899.910000000003</v>
      </c>
      <c r="C9" s="656">
        <f>'5'!G8</f>
        <v>20335.049999999988</v>
      </c>
      <c r="D9" s="656">
        <f>'5'!G15</f>
        <v>1002.0500000000466</v>
      </c>
      <c r="E9" s="656">
        <f>'5'!G20</f>
        <v>171</v>
      </c>
      <c r="F9" s="656">
        <f>SUM('5'!G35,'5'!G49)</f>
        <v>3487.7099999999919</v>
      </c>
      <c r="G9" s="656">
        <f>SUM('5'!G37,'5'!G51)</f>
        <v>1513.0600000000268</v>
      </c>
      <c r="H9" s="656">
        <f>SUM('5'!G38,'5'!G52)</f>
        <v>1672.4000000000233</v>
      </c>
      <c r="I9" s="656">
        <f>SUM('5'!G39,'5'!G53)</f>
        <v>2669.0800000000163</v>
      </c>
      <c r="J9" s="656">
        <f>SUM('5'!G41,'5'!G42,'5'!G55,'5'!G56)</f>
        <v>3314.6699999999983</v>
      </c>
      <c r="K9" s="656">
        <f>SUM('5'!G43,'5'!G57)</f>
        <v>2407.4700000000012</v>
      </c>
      <c r="L9" s="254">
        <f>'5'!G50</f>
        <v>989.63999999999942</v>
      </c>
      <c r="M9" s="254">
        <f>'5'!G36</f>
        <v>802.54000000000087</v>
      </c>
      <c r="N9" s="254">
        <f>'5'!G138</f>
        <v>59</v>
      </c>
      <c r="O9" s="254">
        <f>'5'!$G$139</f>
        <v>0</v>
      </c>
      <c r="P9" s="254">
        <f>'5'!$G$140</f>
        <v>0</v>
      </c>
      <c r="Q9" s="258">
        <f>'5'!$G$141</f>
        <v>171.05999999999767</v>
      </c>
      <c r="R9" s="254">
        <f>'5'!$G$142</f>
        <v>77</v>
      </c>
      <c r="S9" s="251">
        <f>'5'!$G$145</f>
        <v>16.770000000000437</v>
      </c>
      <c r="T9" s="254">
        <f>'5'!$G$146</f>
        <v>450</v>
      </c>
      <c r="U9" s="254">
        <f>'5'!$G$144</f>
        <v>225</v>
      </c>
      <c r="V9" s="256">
        <f>'5'!$G$147</f>
        <v>381.1600000000326</v>
      </c>
      <c r="W9" s="254">
        <f>'5'!$G$148</f>
        <v>231.19999999995343</v>
      </c>
      <c r="X9" s="254">
        <f>'5'!$G$143</f>
        <v>20.339999999999691</v>
      </c>
      <c r="Y9" s="254">
        <f>'5'!$G$58</f>
        <v>76.81</v>
      </c>
      <c r="Z9" s="254">
        <f>'5'!$G$151</f>
        <v>246</v>
      </c>
      <c r="AA9" s="254">
        <f>'5'!G161</f>
        <v>0</v>
      </c>
      <c r="AB9" s="254">
        <f>'5'!G162</f>
        <v>25.80000000000291</v>
      </c>
      <c r="AC9" s="254"/>
      <c r="AD9" s="254">
        <f>'5'!G163+'5'!G164</f>
        <v>54.399999999991451</v>
      </c>
      <c r="AE9" s="254">
        <f>'5'!$G$116</f>
        <v>0</v>
      </c>
      <c r="AF9" s="254">
        <f>'5'!$G$117</f>
        <v>34.360000000000127</v>
      </c>
      <c r="AG9" s="254">
        <f>'5'!$G$118</f>
        <v>378.98000000001048</v>
      </c>
      <c r="AH9" s="254">
        <f>'5'!$G$119</f>
        <v>421.61999999999534</v>
      </c>
      <c r="AI9" s="254">
        <f>'5'!$G$120</f>
        <v>411.54999999999927</v>
      </c>
      <c r="AJ9" s="254">
        <f>'5'!$G$121</f>
        <v>726.40999999997439</v>
      </c>
      <c r="AK9" s="254">
        <f>'5'!$G$122</f>
        <v>241.27999999999884</v>
      </c>
      <c r="AL9" s="254">
        <f>'5'!$G$123</f>
        <v>314.07999999998719</v>
      </c>
      <c r="AM9" s="254">
        <f>'5'!$G$133</f>
        <v>846.25</v>
      </c>
      <c r="AN9" s="254">
        <f>'5'!$G$15</f>
        <v>1002.0500000000466</v>
      </c>
      <c r="AO9" s="256">
        <f>'5'!$G$74</f>
        <v>282.26000000000931</v>
      </c>
      <c r="AP9" s="256">
        <f>'5'!$G$75</f>
        <v>0</v>
      </c>
      <c r="AQ9" s="256">
        <f>'5'!$G$76</f>
        <v>95.679999999993015</v>
      </c>
      <c r="AR9" s="256">
        <f>'5'!$G$77</f>
        <v>52.30000000000291</v>
      </c>
      <c r="AS9" s="256">
        <f>'5'!$G$78</f>
        <v>1</v>
      </c>
      <c r="AT9" s="256">
        <f t="shared" si="0"/>
        <v>570.81000000004133</v>
      </c>
      <c r="AU9" s="254">
        <f>SUM('5'!G91:G92)</f>
        <v>9.8599999999996726</v>
      </c>
      <c r="AV9" s="254">
        <f>'5'!$G$88</f>
        <v>0</v>
      </c>
      <c r="AW9" s="254">
        <f>'5'!$G$89</f>
        <v>9.6200000000026193</v>
      </c>
      <c r="AX9" s="254">
        <f>'5'!$G$90</f>
        <v>4.0399999999935972</v>
      </c>
      <c r="AY9" s="252">
        <f t="shared" si="1"/>
        <v>13.659999999996217</v>
      </c>
      <c r="AZ9" s="311">
        <f>AO9/AU9</f>
        <v>28.626774847872078</v>
      </c>
      <c r="BB9" s="353">
        <f t="shared" si="3"/>
        <v>5193.8499999999312</v>
      </c>
      <c r="BC9" s="353">
        <f t="shared" si="4"/>
        <v>26.099866783316763</v>
      </c>
    </row>
    <row r="10" spans="1:55" x14ac:dyDescent="0.2">
      <c r="A10" s="361">
        <v>6</v>
      </c>
      <c r="B10" s="656">
        <f>'6'!G7</f>
        <v>20272</v>
      </c>
      <c r="C10" s="656">
        <f>'6'!G8</f>
        <v>20708</v>
      </c>
      <c r="D10" s="656">
        <f>'6'!G15</f>
        <v>933.30000000004657</v>
      </c>
      <c r="E10" s="656">
        <f>'6'!G20</f>
        <v>204</v>
      </c>
      <c r="F10" s="656">
        <f>SUM('6'!G35,'6'!G49)</f>
        <v>3481.4799999999814</v>
      </c>
      <c r="G10" s="656">
        <f>SUM('6'!G37,'6'!G51)</f>
        <v>1517.109999999986</v>
      </c>
      <c r="H10" s="656">
        <f>SUM('6'!G38,'6'!G52)</f>
        <v>1687.109999999986</v>
      </c>
      <c r="I10" s="656">
        <f>SUM('6'!G39,'6'!G53)</f>
        <v>2707.4099999999744</v>
      </c>
      <c r="J10" s="656">
        <f>SUM('6'!G41,'6'!G42,'6'!G55,'6'!G56)</f>
        <v>3311.0800000000017</v>
      </c>
      <c r="K10" s="656">
        <f>SUM('6'!G43,'6'!G57)</f>
        <v>2434.8099999999977</v>
      </c>
      <c r="L10" s="254">
        <f>'6'!G50</f>
        <v>1030.7400000000016</v>
      </c>
      <c r="M10" s="254">
        <f>'6'!G36</f>
        <v>1049.2099999999991</v>
      </c>
      <c r="N10" s="254">
        <f>'6'!G138</f>
        <v>63</v>
      </c>
      <c r="O10" s="254">
        <f>'6'!$G$139</f>
        <v>2</v>
      </c>
      <c r="P10" s="254">
        <f>'6'!$G$140</f>
        <v>0</v>
      </c>
      <c r="Q10" s="254">
        <f>'6'!$G$141</f>
        <v>163.90000000000146</v>
      </c>
      <c r="R10" s="254">
        <f>'6'!$G$142</f>
        <v>68.25</v>
      </c>
      <c r="S10" s="254">
        <f>'6'!$G$145</f>
        <v>18</v>
      </c>
      <c r="T10" s="251">
        <f>'6'!$G$146</f>
        <v>438</v>
      </c>
      <c r="U10" s="251">
        <f>'6'!$G$144</f>
        <v>220</v>
      </c>
      <c r="V10" s="251">
        <f>'6'!$G$147</f>
        <v>377</v>
      </c>
      <c r="W10" s="251">
        <f>'6'!$G$148</f>
        <v>288</v>
      </c>
      <c r="X10" s="251">
        <f>'6'!$G$143</f>
        <v>22.300000000000182</v>
      </c>
      <c r="Y10" s="251">
        <f>'6'!$G$58</f>
        <v>203.53</v>
      </c>
      <c r="Z10" s="251">
        <f>'6'!$G$151</f>
        <v>243</v>
      </c>
      <c r="AA10" s="251">
        <f>'6'!G161</f>
        <v>0</v>
      </c>
      <c r="AB10" s="251">
        <f>'6'!G162</f>
        <v>31</v>
      </c>
      <c r="AC10" s="251"/>
      <c r="AD10" s="251">
        <f>'6'!G163+'6'!G164</f>
        <v>37.200000000002547</v>
      </c>
      <c r="AE10" s="254">
        <f>'6'!$G$116</f>
        <v>0</v>
      </c>
      <c r="AF10" s="254">
        <f>'6'!$G$117</f>
        <v>30.210000000000036</v>
      </c>
      <c r="AG10" s="254">
        <f>'6'!$G$118</f>
        <v>356.47000000000116</v>
      </c>
      <c r="AH10" s="254">
        <f>'6'!$G$119</f>
        <v>425.07000000000698</v>
      </c>
      <c r="AI10" s="254">
        <f>'6'!$G$120</f>
        <v>416</v>
      </c>
      <c r="AJ10" s="254">
        <f>'6'!$G$121</f>
        <v>745</v>
      </c>
      <c r="AK10" s="254">
        <f>'6'!$G$122</f>
        <v>238.61999999999534</v>
      </c>
      <c r="AL10" s="254">
        <f>'6'!$G$123</f>
        <v>307.25</v>
      </c>
      <c r="AM10" s="254">
        <f>'6'!$G$133</f>
        <v>813.13000000000466</v>
      </c>
      <c r="AN10" s="254">
        <f>'6'!$G$15</f>
        <v>933.30000000004657</v>
      </c>
      <c r="AO10" s="256">
        <f>'6'!$G$74</f>
        <v>304.51000000000931</v>
      </c>
      <c r="AP10" s="256">
        <f>'6'!$G$75</f>
        <v>0</v>
      </c>
      <c r="AQ10" s="256">
        <f>'6'!$G$76</f>
        <v>80</v>
      </c>
      <c r="AR10" s="256">
        <f>'6'!$G$77</f>
        <v>37.69999999999709</v>
      </c>
      <c r="AS10" s="256">
        <f>'6'!$G$78</f>
        <v>1</v>
      </c>
      <c r="AT10" s="256">
        <f t="shared" si="0"/>
        <v>510.09000000004016</v>
      </c>
      <c r="AU10" s="254">
        <f>SUM('6'!G91:G92)</f>
        <v>10.650000000000546</v>
      </c>
      <c r="AV10" s="254">
        <f>'6'!$G$88</f>
        <v>-6.0000000001309672E-2</v>
      </c>
      <c r="AW10" s="254">
        <f>'6'!$G$89</f>
        <v>9.0999999999985448</v>
      </c>
      <c r="AX10" s="254">
        <f>'6'!$G$90</f>
        <v>2.8200000000069849</v>
      </c>
      <c r="AY10" s="252">
        <f t="shared" si="1"/>
        <v>11.86000000000422</v>
      </c>
      <c r="AZ10" s="311">
        <f t="shared" ref="AZ10:AZ11" si="5">AO10/AU10</f>
        <v>28.592488262910209</v>
      </c>
      <c r="BB10" s="353">
        <f t="shared" si="3"/>
        <v>5365.4700000000721</v>
      </c>
      <c r="BC10" s="353">
        <f t="shared" si="4"/>
        <v>26.4673934490927</v>
      </c>
    </row>
    <row r="11" spans="1:55" x14ac:dyDescent="0.2">
      <c r="A11" s="361">
        <v>7</v>
      </c>
      <c r="B11" s="656">
        <f>'7'!G7</f>
        <v>19831</v>
      </c>
      <c r="C11" s="656">
        <f>'7'!G8</f>
        <v>20261</v>
      </c>
      <c r="D11" s="656">
        <f>'7'!G15</f>
        <v>963</v>
      </c>
      <c r="E11" s="656">
        <f>'7'!G20</f>
        <v>214</v>
      </c>
      <c r="F11" s="656">
        <f>SUM('7'!G35,'7'!G49)</f>
        <v>3527</v>
      </c>
      <c r="G11" s="656">
        <f>SUM('7'!G37,'7'!G51)</f>
        <v>1524</v>
      </c>
      <c r="H11" s="656">
        <f>SUM('7'!G38,'7'!G52)</f>
        <v>1668</v>
      </c>
      <c r="I11" s="656">
        <f>SUM('7'!G39,'7'!G53)</f>
        <v>2675</v>
      </c>
      <c r="J11" s="656">
        <f>SUM('7'!G41,'7'!G42,'7'!G55,'7'!G56)</f>
        <v>3369</v>
      </c>
      <c r="K11" s="656">
        <f>SUM('7'!G43,'7'!G57)</f>
        <v>2246</v>
      </c>
      <c r="L11" s="254">
        <f>'7'!G50</f>
        <v>1043</v>
      </c>
      <c r="M11" s="254">
        <f>'7'!G36</f>
        <v>698</v>
      </c>
      <c r="N11" s="254">
        <f>'7'!G138</f>
        <v>74</v>
      </c>
      <c r="O11" s="254">
        <f>'7'!$G$139</f>
        <v>0</v>
      </c>
      <c r="P11" s="254">
        <f>'7'!$G$140</f>
        <v>-0.30000000000291038</v>
      </c>
      <c r="Q11" s="254">
        <f>'7'!$G$141</f>
        <v>172</v>
      </c>
      <c r="R11" s="254">
        <f>'7'!$G$142</f>
        <v>66</v>
      </c>
      <c r="S11" s="254">
        <f>'7'!$G$145</f>
        <v>17</v>
      </c>
      <c r="T11" s="251">
        <f>'7'!$G$146</f>
        <v>410</v>
      </c>
      <c r="U11" s="251">
        <f>'7'!$G$144</f>
        <v>230</v>
      </c>
      <c r="V11" s="251">
        <f>'7'!$G$147</f>
        <v>368</v>
      </c>
      <c r="W11" s="251">
        <f>'7'!$G$148</f>
        <v>247</v>
      </c>
      <c r="X11" s="251">
        <f>'7'!$G$143</f>
        <v>25</v>
      </c>
      <c r="Y11" s="251">
        <f>'7'!$G$58</f>
        <v>199</v>
      </c>
      <c r="Z11" s="256">
        <f>'7'!$G$151</f>
        <v>215</v>
      </c>
      <c r="AA11" s="256">
        <f>'7'!G161</f>
        <v>65.440000000002328</v>
      </c>
      <c r="AB11" s="251">
        <f>'7'!G162</f>
        <v>34</v>
      </c>
      <c r="AC11" s="251"/>
      <c r="AD11" s="251">
        <f>'7'!G163+'7'!G164</f>
        <v>48</v>
      </c>
      <c r="AE11" s="254">
        <f>'7'!$G$116</f>
        <v>0</v>
      </c>
      <c r="AF11" s="254">
        <f>'7'!$G$117</f>
        <v>29</v>
      </c>
      <c r="AG11" s="254">
        <f>'7'!$G$118</f>
        <v>639</v>
      </c>
      <c r="AH11" s="254">
        <f>'7'!$G$119</f>
        <v>437</v>
      </c>
      <c r="AI11" s="254">
        <f>'7'!$G$120</f>
        <v>428</v>
      </c>
      <c r="AJ11" s="254">
        <f>'7'!$G$121</f>
        <v>720</v>
      </c>
      <c r="AK11" s="256">
        <f>'7'!$G$122</f>
        <v>240</v>
      </c>
      <c r="AL11" s="254">
        <f>'7'!$G$123</f>
        <v>318</v>
      </c>
      <c r="AM11" s="254">
        <f>'7'!$G$133</f>
        <v>756</v>
      </c>
      <c r="AN11" s="254">
        <f>'7'!$G$15</f>
        <v>963</v>
      </c>
      <c r="AO11" s="256">
        <f>'7'!$G$74</f>
        <v>301</v>
      </c>
      <c r="AP11" s="256">
        <f>'7'!$G$75</f>
        <v>0</v>
      </c>
      <c r="AQ11" s="256">
        <f>'7'!$G$76</f>
        <v>72</v>
      </c>
      <c r="AR11" s="256">
        <f>'7'!$G$77</f>
        <v>39</v>
      </c>
      <c r="AS11" s="256">
        <f>'7'!$G$78</f>
        <v>1</v>
      </c>
      <c r="AT11" s="256">
        <f t="shared" si="0"/>
        <v>550</v>
      </c>
      <c r="AU11" s="254">
        <f>SUM('7'!G91:G92)</f>
        <v>10.529999999999745</v>
      </c>
      <c r="AV11" s="254">
        <f>'7'!$G$88</f>
        <v>0</v>
      </c>
      <c r="AW11" s="254">
        <f>'7'!$G$89</f>
        <v>10</v>
      </c>
      <c r="AX11" s="254">
        <f>'7'!$G$90</f>
        <v>5</v>
      </c>
      <c r="AY11" s="252">
        <f t="shared" si="1"/>
        <v>15</v>
      </c>
      <c r="AZ11" s="311">
        <f t="shared" si="5"/>
        <v>28.584995251662608</v>
      </c>
      <c r="BB11" s="353">
        <f t="shared" si="3"/>
        <v>5053</v>
      </c>
      <c r="BC11" s="353">
        <f t="shared" si="4"/>
        <v>25.480308607735363</v>
      </c>
    </row>
    <row r="12" spans="1:55" x14ac:dyDescent="0.2">
      <c r="A12" s="361">
        <v>8</v>
      </c>
      <c r="B12" s="656">
        <f>'8'!G7</f>
        <v>19232</v>
      </c>
      <c r="C12" s="656">
        <f>'8'!G8</f>
        <v>19647</v>
      </c>
      <c r="D12" s="656">
        <f>'8'!G15</f>
        <v>925</v>
      </c>
      <c r="E12" s="656">
        <f>'8'!G20</f>
        <v>211</v>
      </c>
      <c r="F12" s="656">
        <f>SUM('8'!G35,'8'!G49)</f>
        <v>3416</v>
      </c>
      <c r="G12" s="656">
        <f>SUM('8'!G37,'8'!G51)</f>
        <v>1534</v>
      </c>
      <c r="H12" s="656">
        <f>SUM('8'!G38,'8'!G52)</f>
        <v>1715</v>
      </c>
      <c r="I12" s="656">
        <f>SUM('8'!G39,'8'!G53)</f>
        <v>2685</v>
      </c>
      <c r="J12" s="656">
        <f>SUM('8'!G41,'8'!G42,'8'!G55,'8'!G56)</f>
        <v>3190</v>
      </c>
      <c r="K12" s="656">
        <f>SUM('8'!G43,'8'!G57)</f>
        <v>2170</v>
      </c>
      <c r="L12" s="254">
        <f>'8'!G50</f>
        <v>974</v>
      </c>
      <c r="M12" s="254">
        <f>'8'!G36</f>
        <v>742</v>
      </c>
      <c r="N12" s="254">
        <f>'8'!G138</f>
        <v>64</v>
      </c>
      <c r="O12" s="254">
        <f>'8'!$G$139</f>
        <v>0</v>
      </c>
      <c r="P12" s="254">
        <f>'8'!$G$140</f>
        <v>0</v>
      </c>
      <c r="Q12" s="254">
        <f>'8'!$G$141</f>
        <v>172</v>
      </c>
      <c r="R12" s="254">
        <f>'8'!$G$142</f>
        <v>64</v>
      </c>
      <c r="S12" s="254">
        <f>'8'!$G$145</f>
        <v>18</v>
      </c>
      <c r="T12" s="251">
        <f>'8'!$G$146</f>
        <v>408</v>
      </c>
      <c r="U12" s="251">
        <f>'8'!$G$144</f>
        <v>240</v>
      </c>
      <c r="V12" s="251">
        <f>'8'!$G$147</f>
        <v>358</v>
      </c>
      <c r="W12" s="251">
        <f>'8'!$G$148</f>
        <v>265</v>
      </c>
      <c r="X12" s="251">
        <f>'8'!$G$143</f>
        <v>28</v>
      </c>
      <c r="Y12" s="251">
        <f>'8'!$G$58</f>
        <v>181</v>
      </c>
      <c r="Z12" s="251">
        <f>'8'!$G$151</f>
        <v>231</v>
      </c>
      <c r="AA12" s="251">
        <f>'8'!G161</f>
        <v>6</v>
      </c>
      <c r="AB12" s="251">
        <f>'8'!G162</f>
        <v>21</v>
      </c>
      <c r="AC12" s="251"/>
      <c r="AD12" s="251">
        <f>'8'!G163+'8'!G164</f>
        <v>28</v>
      </c>
      <c r="AE12" s="254">
        <f>'8'!$G$116</f>
        <v>0</v>
      </c>
      <c r="AF12" s="254">
        <f>'8'!$G$117</f>
        <v>22</v>
      </c>
      <c r="AG12" s="254">
        <f>'8'!$G$118</f>
        <v>85</v>
      </c>
      <c r="AH12" s="254">
        <f>'8'!$G$119</f>
        <v>453</v>
      </c>
      <c r="AI12" s="254">
        <f>'8'!$G$120</f>
        <v>414</v>
      </c>
      <c r="AJ12" s="254">
        <f>'8'!$G$121</f>
        <v>709</v>
      </c>
      <c r="AK12" s="254">
        <f>'8'!$G$122</f>
        <v>216</v>
      </c>
      <c r="AL12" s="254">
        <f>'8'!$G$123</f>
        <v>319</v>
      </c>
      <c r="AM12" s="254">
        <f>'8'!$G$133</f>
        <v>767</v>
      </c>
      <c r="AN12" s="254">
        <f>'8'!$G$15</f>
        <v>925</v>
      </c>
      <c r="AO12" s="256">
        <f>'8'!$G$74</f>
        <v>306</v>
      </c>
      <c r="AP12" s="256">
        <f>'8'!$G$75</f>
        <v>0</v>
      </c>
      <c r="AQ12" s="256">
        <f>'8'!$G$76</f>
        <v>87</v>
      </c>
      <c r="AR12" s="256">
        <f>'8'!$G$77</f>
        <v>24</v>
      </c>
      <c r="AS12" s="256">
        <f>'8'!$G$78</f>
        <v>0</v>
      </c>
      <c r="AT12" s="256">
        <f t="shared" si="0"/>
        <v>508</v>
      </c>
      <c r="AU12" s="254">
        <f>SUM('8'!G91:G92)</f>
        <v>10.659999999999854</v>
      </c>
      <c r="AV12" s="254">
        <f>'8'!$G$88</f>
        <v>0</v>
      </c>
      <c r="AW12" s="254">
        <f>'8'!$G$89</f>
        <v>9</v>
      </c>
      <c r="AX12" s="254">
        <f>'8'!$G$90</f>
        <v>4</v>
      </c>
      <c r="AY12" s="252">
        <f t="shared" si="1"/>
        <v>13</v>
      </c>
      <c r="BB12" s="353">
        <f t="shared" si="3"/>
        <v>4756</v>
      </c>
      <c r="BC12" s="353">
        <f t="shared" si="4"/>
        <v>24.729617304492514</v>
      </c>
    </row>
    <row r="13" spans="1:55" x14ac:dyDescent="0.2">
      <c r="A13" s="361">
        <v>9</v>
      </c>
      <c r="B13" s="656">
        <f>'9'!G7</f>
        <v>17711</v>
      </c>
      <c r="C13" s="656">
        <f>'9'!G8</f>
        <v>18011</v>
      </c>
      <c r="D13" s="656">
        <f>'9'!G15</f>
        <v>907</v>
      </c>
      <c r="E13" s="656">
        <f>'9'!G20</f>
        <v>205</v>
      </c>
      <c r="F13" s="656">
        <f>SUM('9'!G35,'9'!G49)</f>
        <v>3089</v>
      </c>
      <c r="G13" s="656">
        <f>SUM('9'!G37,'9'!G51)</f>
        <v>1472</v>
      </c>
      <c r="H13" s="656">
        <f>SUM('9'!G38,'9'!G52)</f>
        <v>1658</v>
      </c>
      <c r="I13" s="656">
        <f>SUM('9'!G39,'9'!G53)</f>
        <v>2610</v>
      </c>
      <c r="J13" s="656">
        <f>SUM('9'!G41,'9'!G42,'9'!G55,'9'!G56)</f>
        <v>2762.4599999999991</v>
      </c>
      <c r="K13" s="656">
        <f>SUM('9'!G43,'9'!G57)</f>
        <v>2151</v>
      </c>
      <c r="L13" s="254">
        <f>'9'!G50</f>
        <v>969</v>
      </c>
      <c r="M13" s="254">
        <f>'9'!G36</f>
        <v>704</v>
      </c>
      <c r="N13" s="254">
        <f>'9'!G138</f>
        <v>54</v>
      </c>
      <c r="O13" s="254">
        <f>'9'!$G$139</f>
        <v>0</v>
      </c>
      <c r="P13" s="254">
        <f>'9'!$G$140</f>
        <v>0</v>
      </c>
      <c r="Q13" s="254">
        <f>'9'!$G$141</f>
        <v>176</v>
      </c>
      <c r="R13" s="254">
        <f>'9'!$G$142</f>
        <v>72</v>
      </c>
      <c r="S13" s="254">
        <f>'9'!$G$145</f>
        <v>18</v>
      </c>
      <c r="T13" s="251">
        <f>'9'!$G$146</f>
        <v>382</v>
      </c>
      <c r="U13" s="251">
        <f>'9'!$G$144</f>
        <v>220</v>
      </c>
      <c r="V13" s="251">
        <f>'9'!$G$147</f>
        <v>358</v>
      </c>
      <c r="W13" s="251">
        <f>'9'!$G$148</f>
        <v>228</v>
      </c>
      <c r="X13" s="251">
        <f>'9'!$G$143</f>
        <v>25</v>
      </c>
      <c r="Y13" s="251">
        <f>'9'!$G$58</f>
        <v>184</v>
      </c>
      <c r="Z13" s="251">
        <f>'9'!$G$151</f>
        <v>216</v>
      </c>
      <c r="AA13" s="251">
        <f>'9'!G161</f>
        <v>6</v>
      </c>
      <c r="AB13" s="251">
        <f>'9'!G162</f>
        <v>23</v>
      </c>
      <c r="AC13" s="251"/>
      <c r="AD13" s="251">
        <f>'9'!G163+'9'!G164</f>
        <v>33</v>
      </c>
      <c r="AE13" s="254">
        <f>'9'!$G$116</f>
        <v>0</v>
      </c>
      <c r="AF13" s="254">
        <f>'9'!$G$117</f>
        <v>23</v>
      </c>
      <c r="AG13" s="254">
        <f>'9'!$G$118</f>
        <v>346</v>
      </c>
      <c r="AH13" s="254">
        <f>'9'!$G$119</f>
        <v>442</v>
      </c>
      <c r="AI13" s="254">
        <f>'9'!$G$120</f>
        <v>422</v>
      </c>
      <c r="AJ13" s="254">
        <f>'9'!$G$121</f>
        <v>702</v>
      </c>
      <c r="AK13" s="254">
        <f>'9'!$G$122</f>
        <v>185</v>
      </c>
      <c r="AL13" s="254">
        <f>'9'!$G$123</f>
        <v>306</v>
      </c>
      <c r="AM13" s="254">
        <f>'9'!$G$133</f>
        <v>524</v>
      </c>
      <c r="AN13" s="254">
        <f>'9'!$G$15</f>
        <v>907</v>
      </c>
      <c r="AO13" s="256">
        <f>'9'!$G$74</f>
        <v>305</v>
      </c>
      <c r="AP13" s="256">
        <f>'9'!$G$75</f>
        <v>0.19999999999708962</v>
      </c>
      <c r="AQ13" s="256">
        <f>'9'!$G$76</f>
        <v>76</v>
      </c>
      <c r="AR13" s="256">
        <f>'9'!$G$77</f>
        <v>24</v>
      </c>
      <c r="AS13" s="256">
        <f>'9'!$G$78</f>
        <v>0</v>
      </c>
      <c r="AT13" s="256">
        <f t="shared" si="0"/>
        <v>501.80000000000291</v>
      </c>
      <c r="AU13" s="254">
        <f>SUM('9'!G91:G92)</f>
        <v>11</v>
      </c>
      <c r="AV13" s="254">
        <f>'9'!$G$88</f>
        <v>0</v>
      </c>
      <c r="AW13" s="254">
        <f>'9'!$G$89</f>
        <v>9</v>
      </c>
      <c r="AX13" s="254">
        <f>'9'!$G$90</f>
        <v>2</v>
      </c>
      <c r="AY13" s="252">
        <f t="shared" si="1"/>
        <v>11</v>
      </c>
      <c r="BB13" s="353">
        <f t="shared" si="3"/>
        <v>4084.5400000000009</v>
      </c>
      <c r="BC13" s="353">
        <f t="shared" si="4"/>
        <v>23.062164756366105</v>
      </c>
    </row>
    <row r="14" spans="1:55" x14ac:dyDescent="0.2">
      <c r="A14" s="361">
        <v>10</v>
      </c>
      <c r="B14" s="656">
        <f>'10'!G7</f>
        <v>23500</v>
      </c>
      <c r="C14" s="656">
        <f>'10'!G8</f>
        <v>23500</v>
      </c>
      <c r="D14" s="656">
        <f>'10'!G15</f>
        <v>1100</v>
      </c>
      <c r="E14" s="656">
        <f>'10'!G20</f>
        <v>325</v>
      </c>
      <c r="F14" s="656">
        <f>SUM('10'!G35,'10'!G49)</f>
        <v>349453</v>
      </c>
      <c r="G14" s="656">
        <f>SUM('10'!G37,'10'!G51)</f>
        <v>160616</v>
      </c>
      <c r="H14" s="656">
        <f>SUM('10'!G38,'10'!G52)</f>
        <v>189042</v>
      </c>
      <c r="I14" s="656">
        <f>SUM('10'!G39,'10'!G53)</f>
        <v>348084</v>
      </c>
      <c r="J14" s="656">
        <f>SUM('10'!G41,'10'!G42,'10'!G55,'10'!G56)</f>
        <v>1043261.4</v>
      </c>
      <c r="K14" s="656">
        <f>SUM('10'!G43,'10'!G57)</f>
        <v>1487030</v>
      </c>
      <c r="L14" s="254">
        <f>'10'!G50</f>
        <v>703513</v>
      </c>
      <c r="M14" s="254">
        <f>'10'!G36</f>
        <v>61055</v>
      </c>
      <c r="N14" s="254">
        <f>'10'!G138</f>
        <v>-3010</v>
      </c>
      <c r="O14" s="254">
        <f>'10'!$G$139</f>
        <v>-237</v>
      </c>
      <c r="P14" s="254">
        <f>'10'!$G$140</f>
        <v>-35</v>
      </c>
      <c r="Q14" s="254">
        <f>'10'!$G$141</f>
        <v>-5779</v>
      </c>
      <c r="R14" s="254">
        <f>'10'!$G$142</f>
        <v>-2004</v>
      </c>
      <c r="S14" s="254">
        <f>'10'!$G$145</f>
        <v>-849</v>
      </c>
      <c r="T14" s="251">
        <f>'10'!$G$146</f>
        <v>-13880</v>
      </c>
      <c r="U14" s="251">
        <f>'10'!$G$144</f>
        <v>-7014</v>
      </c>
      <c r="V14" s="257">
        <f>'10'!$G$147</f>
        <v>-12374</v>
      </c>
      <c r="W14" s="257">
        <f>'10'!$G$148</f>
        <v>-8777</v>
      </c>
      <c r="X14" s="251">
        <f>'10'!$G$143</f>
        <v>-775</v>
      </c>
      <c r="Y14" s="251">
        <f>'10'!$G$58</f>
        <v>86596</v>
      </c>
      <c r="Z14" s="251">
        <f>'10'!$G$151</f>
        <v>-7167</v>
      </c>
      <c r="AA14" s="251">
        <f>'10'!G161</f>
        <v>-111</v>
      </c>
      <c r="AB14" s="251">
        <f>'10'!G162</f>
        <v>-822</v>
      </c>
      <c r="AC14" s="251"/>
      <c r="AD14" s="251">
        <f>'10'!G163+'10'!G164</f>
        <v>-1958</v>
      </c>
      <c r="AE14" s="254">
        <f>'10'!$G$116</f>
        <v>0</v>
      </c>
      <c r="AF14" s="254">
        <f>'10'!$G$117</f>
        <v>-683</v>
      </c>
      <c r="AG14" s="254">
        <f>'10'!$G$118</f>
        <v>-11388</v>
      </c>
      <c r="AH14" s="254">
        <f>'10'!$G$119</f>
        <v>-12951</v>
      </c>
      <c r="AI14" s="254">
        <f>'10'!$G$120</f>
        <v>-12442</v>
      </c>
      <c r="AJ14" s="254">
        <f>'10'!$G$121</f>
        <v>-22927</v>
      </c>
      <c r="AK14" s="254">
        <f>'10'!$G$122</f>
        <v>-7857</v>
      </c>
      <c r="AL14" s="254">
        <f>'10'!$G$123</f>
        <v>-10524</v>
      </c>
      <c r="AM14" s="254">
        <f>'10'!$G$133</f>
        <v>-22813</v>
      </c>
      <c r="AN14" s="254">
        <f>'10'!$G$15</f>
        <v>1100</v>
      </c>
      <c r="AO14" s="256">
        <f>'10'!$G$74</f>
        <v>-9207</v>
      </c>
      <c r="AP14" s="256">
        <f>'10'!$G$75</f>
        <v>243.69000000000233</v>
      </c>
      <c r="AQ14" s="256">
        <f>'10'!$G$76</f>
        <v>-3334</v>
      </c>
      <c r="AR14" s="256">
        <f>'10'!$G$77</f>
        <v>-1332</v>
      </c>
      <c r="AS14" s="256">
        <f>'10'!$G$78</f>
        <v>-49</v>
      </c>
      <c r="AT14" s="256">
        <f t="shared" si="0"/>
        <v>14778.309999999998</v>
      </c>
      <c r="AU14" s="254">
        <f>SUM('10'!G91:G92)</f>
        <v>-322.5</v>
      </c>
      <c r="AV14" s="254">
        <f>'10'!$G$88</f>
        <v>-64</v>
      </c>
      <c r="AW14" s="254">
        <f>'10'!$G$89</f>
        <v>-229</v>
      </c>
      <c r="AX14" s="254">
        <f>'10'!$G$90</f>
        <v>-173</v>
      </c>
      <c r="AY14" s="252">
        <f t="shared" si="1"/>
        <v>-466</v>
      </c>
      <c r="BB14" s="353">
        <f t="shared" si="3"/>
        <v>-3640582.4</v>
      </c>
      <c r="BC14" s="353">
        <f t="shared" si="4"/>
        <v>-15491.84</v>
      </c>
    </row>
    <row r="15" spans="1:55" x14ac:dyDescent="0.2">
      <c r="A15" s="361">
        <v>11</v>
      </c>
      <c r="B15" s="656">
        <f>'11'!G7</f>
        <v>23500</v>
      </c>
      <c r="C15" s="656">
        <f>'11'!G8</f>
        <v>23500</v>
      </c>
      <c r="D15" s="656">
        <f>'11'!G15</f>
        <v>1100</v>
      </c>
      <c r="E15" s="656">
        <f>'11'!G20</f>
        <v>445</v>
      </c>
      <c r="F15" s="656">
        <f>SUM('11'!G35,'11'!G49)</f>
        <v>3866</v>
      </c>
      <c r="G15" s="656">
        <f>SUM('11'!G37,'11'!G51)</f>
        <v>1605</v>
      </c>
      <c r="H15" s="656">
        <f>SUM('11'!G38,'11'!G52)</f>
        <v>2162</v>
      </c>
      <c r="I15" s="656">
        <f>SUM('11'!G39,'11'!G53)</f>
        <v>2960</v>
      </c>
      <c r="J15" s="656">
        <f>SUM('11'!G41,'11'!G42,'11'!G55,'11'!G56)</f>
        <v>5467</v>
      </c>
      <c r="K15" s="656">
        <f>SUM('11'!G43,'11'!G57)</f>
        <v>2753</v>
      </c>
      <c r="L15" s="254">
        <f>'11'!G50</f>
        <v>1517</v>
      </c>
      <c r="M15" s="254">
        <f>'11'!G36</f>
        <v>806</v>
      </c>
      <c r="N15" s="254">
        <f>'11'!G138</f>
        <v>127</v>
      </c>
      <c r="O15" s="254">
        <f>'11'!$G$139</f>
        <v>43</v>
      </c>
      <c r="P15" s="254">
        <f>'11'!$G$140</f>
        <v>0</v>
      </c>
      <c r="Q15" s="254">
        <f>'11'!$G$141</f>
        <v>199</v>
      </c>
      <c r="R15" s="254">
        <f>'11'!$G$142</f>
        <v>18</v>
      </c>
      <c r="S15" s="254">
        <f>'11'!$G$145</f>
        <v>57</v>
      </c>
      <c r="T15" s="251">
        <f>'11'!$G$146</f>
        <v>476</v>
      </c>
      <c r="U15" s="251">
        <f>'11'!$G$144</f>
        <v>234</v>
      </c>
      <c r="V15" s="251">
        <f>'11'!$G$147</f>
        <v>465</v>
      </c>
      <c r="W15" s="251">
        <f>'11'!$G$148</f>
        <v>317</v>
      </c>
      <c r="X15" s="251">
        <f>'11'!$G$143</f>
        <v>25</v>
      </c>
      <c r="Y15" s="251">
        <f>'11'!$G$58</f>
        <v>260</v>
      </c>
      <c r="Z15" s="251">
        <f>'11'!$G$151</f>
        <v>245</v>
      </c>
      <c r="AA15" s="251">
        <f>'11'!G161</f>
        <v>1</v>
      </c>
      <c r="AB15" s="251">
        <f>'11'!G162</f>
        <v>17</v>
      </c>
      <c r="AC15" s="251">
        <f>'11'!G88</f>
        <v>0</v>
      </c>
      <c r="AD15" s="251">
        <f>'11'!G163+'11'!G164</f>
        <v>48</v>
      </c>
      <c r="AE15" s="254">
        <f>'11'!$G$116</f>
        <v>0</v>
      </c>
      <c r="AF15" s="254">
        <f>'11'!$G$117</f>
        <v>21</v>
      </c>
      <c r="AG15" s="254">
        <f>'11'!$G$118</f>
        <v>312</v>
      </c>
      <c r="AH15" s="254">
        <f>'11'!$G$119</f>
        <v>437</v>
      </c>
      <c r="AI15" s="254">
        <f>'11'!$G$120</f>
        <v>420</v>
      </c>
      <c r="AJ15" s="254">
        <f>'11'!$G$121</f>
        <v>768</v>
      </c>
      <c r="AK15" s="254">
        <f>'11'!$G$122</f>
        <v>298</v>
      </c>
      <c r="AL15" s="254">
        <f>'11'!$G$123</f>
        <v>339</v>
      </c>
      <c r="AM15" s="254">
        <f>'11'!$G$133</f>
        <v>857</v>
      </c>
      <c r="AN15" s="254">
        <f>'11'!$G$15</f>
        <v>1100</v>
      </c>
      <c r="AO15" s="256">
        <f>'11'!$G$74</f>
        <v>309</v>
      </c>
      <c r="AP15" s="256">
        <f>'11'!$G$75</f>
        <v>0</v>
      </c>
      <c r="AQ15" s="256">
        <f>'11'!$G$76</f>
        <v>141</v>
      </c>
      <c r="AR15" s="256">
        <f>'11'!$G$77</f>
        <v>44</v>
      </c>
      <c r="AS15" s="256">
        <f>'11'!$G$78</f>
        <v>3</v>
      </c>
      <c r="AT15" s="256">
        <f t="shared" si="0"/>
        <v>603</v>
      </c>
      <c r="AU15" s="254">
        <f>SUM('11'!G91:G92)</f>
        <v>10.5</v>
      </c>
      <c r="AV15" s="254">
        <f>'11'!$G$88</f>
        <v>0</v>
      </c>
      <c r="AW15" s="254">
        <f>'11'!$G$89</f>
        <v>13</v>
      </c>
      <c r="AX15" s="254">
        <f>'11'!$G$90</f>
        <v>5</v>
      </c>
      <c r="AY15" s="252">
        <f t="shared" si="1"/>
        <v>18</v>
      </c>
      <c r="BB15" s="353">
        <f t="shared" si="3"/>
        <v>4427</v>
      </c>
      <c r="BC15" s="353">
        <f t="shared" si="4"/>
        <v>18.838297872340426</v>
      </c>
    </row>
    <row r="16" spans="1:55" x14ac:dyDescent="0.2">
      <c r="A16" s="361">
        <v>12</v>
      </c>
      <c r="B16" s="656">
        <f>'12'!G7</f>
        <v>23500</v>
      </c>
      <c r="C16" s="656">
        <f>'12'!G8</f>
        <v>23500</v>
      </c>
      <c r="D16" s="656">
        <f>'12'!G15</f>
        <v>1100</v>
      </c>
      <c r="E16" s="656">
        <f>'12'!G20</f>
        <v>565</v>
      </c>
      <c r="F16" s="656">
        <f>SUM('12'!G35,'12'!G49)</f>
        <v>3898</v>
      </c>
      <c r="G16" s="656">
        <f>SUM('12'!G37,'12'!G51)</f>
        <v>1688</v>
      </c>
      <c r="H16" s="656">
        <f>SUM('12'!G38,'12'!G52)</f>
        <v>2175</v>
      </c>
      <c r="I16" s="656">
        <f>SUM('12'!G39,'12'!G53)</f>
        <v>3054</v>
      </c>
      <c r="J16" s="656">
        <f>SUM('12'!G41,'12'!G42,'12'!G55,'12'!G56)</f>
        <v>5511</v>
      </c>
      <c r="K16" s="656">
        <f>SUM('12'!G43,'12'!G57)</f>
        <v>2634</v>
      </c>
      <c r="L16" s="254">
        <f>'12'!G50</f>
        <v>1046</v>
      </c>
      <c r="M16" s="254">
        <f>'12'!G36</f>
        <v>1141</v>
      </c>
      <c r="N16" s="254">
        <f>'12'!G138</f>
        <v>106</v>
      </c>
      <c r="O16" s="254">
        <f>'12'!$G$139</f>
        <v>7</v>
      </c>
      <c r="P16" s="254">
        <f>'12'!$G$140</f>
        <v>0</v>
      </c>
      <c r="Q16" s="254">
        <f>'12'!$G$141</f>
        <v>194</v>
      </c>
      <c r="R16" s="254">
        <f>'12'!$G$142</f>
        <v>18</v>
      </c>
      <c r="S16" s="254">
        <f>'12'!$G$145</f>
        <v>76</v>
      </c>
      <c r="T16" s="251">
        <f>'12'!$G$146</f>
        <v>480</v>
      </c>
      <c r="U16" s="251">
        <f>'12'!$G$144</f>
        <v>230</v>
      </c>
      <c r="V16" s="251">
        <f>'12'!$G$147</f>
        <v>461</v>
      </c>
      <c r="W16" s="251">
        <f>'12'!$G$148</f>
        <v>358</v>
      </c>
      <c r="X16" s="251">
        <f>'12'!$G$143</f>
        <v>31</v>
      </c>
      <c r="Y16" s="251">
        <f>'12'!$G$58</f>
        <v>237</v>
      </c>
      <c r="Z16" s="251">
        <f>'12'!$G$151</f>
        <v>100</v>
      </c>
      <c r="AA16" s="251">
        <f>'12'!G161</f>
        <v>1</v>
      </c>
      <c r="AB16" s="251">
        <f>'12'!G162</f>
        <v>15</v>
      </c>
      <c r="AC16" s="251">
        <f>'12'!G88</f>
        <v>11.529999999998836</v>
      </c>
      <c r="AD16" s="251">
        <f>'12'!G163+'12'!G164</f>
        <v>51</v>
      </c>
      <c r="AE16" s="254">
        <f>'12'!$G$116</f>
        <v>0</v>
      </c>
      <c r="AF16" s="254">
        <f>'12'!$G$117</f>
        <v>24</v>
      </c>
      <c r="AG16" s="254">
        <f>'12'!$G$118</f>
        <v>330</v>
      </c>
      <c r="AH16" s="254">
        <f>'12'!$G$119</f>
        <v>446</v>
      </c>
      <c r="AI16" s="254">
        <f>'12'!$G$120</f>
        <v>413</v>
      </c>
      <c r="AJ16" s="254">
        <f>'12'!$G$121</f>
        <v>764</v>
      </c>
      <c r="AK16" s="254">
        <f>'12'!$G$122</f>
        <v>303</v>
      </c>
      <c r="AL16" s="254">
        <f>'12'!$G$123</f>
        <v>352</v>
      </c>
      <c r="AM16" s="254">
        <f>'12'!$G$133</f>
        <v>852</v>
      </c>
      <c r="AN16" s="254">
        <f>'12'!$G$15</f>
        <v>1100</v>
      </c>
      <c r="AO16" s="256">
        <f>'12'!$G$74</f>
        <v>300</v>
      </c>
      <c r="AP16" s="256">
        <f>'12'!$G$75</f>
        <v>0</v>
      </c>
      <c r="AQ16" s="256">
        <f>'12'!$G$76</f>
        <v>152</v>
      </c>
      <c r="AR16" s="256">
        <f>'12'!$G$77</f>
        <v>46</v>
      </c>
      <c r="AS16" s="256">
        <f>'12'!$G$78</f>
        <v>5</v>
      </c>
      <c r="AT16" s="256">
        <f t="shared" si="0"/>
        <v>597</v>
      </c>
      <c r="AU16" s="254">
        <f>SUM('12'!G91:G92)</f>
        <v>10.75</v>
      </c>
      <c r="AV16" s="254">
        <f>'12'!$G$88</f>
        <v>11.529999999998836</v>
      </c>
      <c r="AW16" s="254">
        <f>'12'!$G$89</f>
        <v>-0.36000000000058208</v>
      </c>
      <c r="AX16" s="254">
        <f>'12'!$G$90</f>
        <v>8</v>
      </c>
      <c r="AY16" s="252">
        <f t="shared" si="1"/>
        <v>19.169999999998254</v>
      </c>
      <c r="BA16" s="314">
        <f>AO16-AQ16</f>
        <v>148</v>
      </c>
      <c r="BB16" s="353">
        <f t="shared" si="3"/>
        <v>4303</v>
      </c>
      <c r="BC16" s="353">
        <f t="shared" si="4"/>
        <v>18.310638297872341</v>
      </c>
    </row>
    <row r="17" spans="1:55" x14ac:dyDescent="0.2">
      <c r="A17" s="361">
        <v>13</v>
      </c>
      <c r="B17" s="656">
        <f>'13'!G7</f>
        <v>23500</v>
      </c>
      <c r="C17" s="656">
        <f>'13'!G8</f>
        <v>23500</v>
      </c>
      <c r="D17" s="656">
        <f>'13'!G15</f>
        <v>1100</v>
      </c>
      <c r="E17" s="656">
        <f>'13'!G20</f>
        <v>685</v>
      </c>
      <c r="F17" s="656">
        <f>SUM('13'!G35,'13'!G49)</f>
        <v>3767</v>
      </c>
      <c r="G17" s="656">
        <f>SUM('13'!G37,'13'!G51)</f>
        <v>1431</v>
      </c>
      <c r="H17" s="656">
        <f>SUM('13'!G38,'13'!G52)</f>
        <v>2095</v>
      </c>
      <c r="I17" s="656">
        <f>SUM('13'!G39,'13'!G53)</f>
        <v>3101</v>
      </c>
      <c r="J17" s="656">
        <f>SUM('13'!G41,'13'!G42,'13'!G55,'13'!G56)</f>
        <v>5072</v>
      </c>
      <c r="K17" s="656">
        <f>SUM('13'!G43,'13'!G57)</f>
        <v>2771</v>
      </c>
      <c r="L17" s="254">
        <f>'13'!G50</f>
        <v>1701</v>
      </c>
      <c r="M17" s="254">
        <f>'13'!G36</f>
        <v>1205</v>
      </c>
      <c r="N17" s="254">
        <f>'13'!G138</f>
        <v>100</v>
      </c>
      <c r="O17" s="254">
        <f>'13'!$G$139</f>
        <v>4</v>
      </c>
      <c r="P17" s="254">
        <f>'13'!$G$140</f>
        <v>1</v>
      </c>
      <c r="Q17" s="254">
        <f>'13'!$G$141</f>
        <v>208</v>
      </c>
      <c r="R17" s="254">
        <f>'13'!$G$142</f>
        <v>18</v>
      </c>
      <c r="S17" s="254">
        <f>'13'!$G$145</f>
        <v>61</v>
      </c>
      <c r="T17" s="251">
        <f>'13'!$G$146</f>
        <v>461</v>
      </c>
      <c r="U17" s="251">
        <f>'13'!$G$144</f>
        <v>236</v>
      </c>
      <c r="V17" s="251">
        <f>'13'!$G$147</f>
        <v>486</v>
      </c>
      <c r="W17" s="251">
        <f>'13'!$G$148</f>
        <v>316</v>
      </c>
      <c r="X17" s="251">
        <f>'13'!$G$143</f>
        <v>30</v>
      </c>
      <c r="Y17" s="251">
        <f>'13'!$G$58</f>
        <v>230</v>
      </c>
      <c r="Z17" s="251">
        <f>'13'!$G$151</f>
        <v>226</v>
      </c>
      <c r="AA17" s="251">
        <f>'13'!G161</f>
        <v>1</v>
      </c>
      <c r="AB17" s="251">
        <f>'13'!G162</f>
        <v>34</v>
      </c>
      <c r="AC17" s="251">
        <f>'13'!G88</f>
        <v>0</v>
      </c>
      <c r="AD17" s="251">
        <f>'13'!G163+'13'!G164</f>
        <v>98</v>
      </c>
      <c r="AE17" s="254">
        <f>'13'!$G$116</f>
        <v>0</v>
      </c>
      <c r="AF17" s="254">
        <f>'13'!$G$117</f>
        <v>26</v>
      </c>
      <c r="AG17" s="254">
        <f>'13'!$G$118</f>
        <v>408</v>
      </c>
      <c r="AH17" s="254">
        <f>'13'!$G$119</f>
        <v>466</v>
      </c>
      <c r="AI17" s="254">
        <f>'13'!$G$120</f>
        <v>422</v>
      </c>
      <c r="AJ17" s="254">
        <f>'13'!$G$121</f>
        <v>788</v>
      </c>
      <c r="AK17" s="254">
        <f>'13'!$G$122</f>
        <v>323</v>
      </c>
      <c r="AL17" s="254">
        <f>'13'!$G$123</f>
        <v>358</v>
      </c>
      <c r="AM17" s="254">
        <f>'13'!$G$133</f>
        <v>828</v>
      </c>
      <c r="AN17" s="254">
        <f>'13'!$G$15</f>
        <v>1100</v>
      </c>
      <c r="AO17" s="256">
        <f>'13'!$G$74</f>
        <v>329</v>
      </c>
      <c r="AP17" s="256">
        <f>'13'!$G$75</f>
        <v>0</v>
      </c>
      <c r="AQ17" s="256">
        <f>'13'!$G$76</f>
        <v>139</v>
      </c>
      <c r="AR17" s="256">
        <f>'13'!$G$77</f>
        <v>66</v>
      </c>
      <c r="AS17" s="256">
        <f>'13'!$G$78</f>
        <v>0</v>
      </c>
      <c r="AT17" s="256">
        <f t="shared" si="0"/>
        <v>566</v>
      </c>
      <c r="AU17" s="254">
        <f>SUM('13'!G91:G92)</f>
        <v>11.529999999999745</v>
      </c>
      <c r="AV17" s="254">
        <f>'13'!$G$88</f>
        <v>0</v>
      </c>
      <c r="AW17" s="254">
        <f>'13'!$G$89</f>
        <v>11.529999999998836</v>
      </c>
      <c r="AX17" s="254">
        <f>'13'!$G$90</f>
        <v>7.0299999999988358</v>
      </c>
      <c r="AY17" s="252">
        <f t="shared" si="1"/>
        <v>18.559999999997672</v>
      </c>
      <c r="BA17" s="314">
        <f t="shared" ref="BA17:BA34" si="6">AO17-AT17</f>
        <v>-237</v>
      </c>
      <c r="BB17" s="353">
        <f t="shared" si="3"/>
        <v>5033</v>
      </c>
      <c r="BC17" s="353">
        <f t="shared" si="4"/>
        <v>21.417021276595744</v>
      </c>
    </row>
    <row r="18" spans="1:55" x14ac:dyDescent="0.2">
      <c r="A18" s="361">
        <v>14</v>
      </c>
      <c r="B18" s="656">
        <f>'14'!G7</f>
        <v>23500</v>
      </c>
      <c r="C18" s="656">
        <f>'14'!G8</f>
        <v>23500</v>
      </c>
      <c r="D18" s="656">
        <f>'14'!G15</f>
        <v>1100</v>
      </c>
      <c r="E18" s="656">
        <f>'14'!G20</f>
        <v>805</v>
      </c>
      <c r="F18" s="656">
        <f>SUM('14'!G35,'14'!G49)</f>
        <v>3890</v>
      </c>
      <c r="G18" s="656">
        <f>SUM('14'!G37,'14'!G51)</f>
        <v>1598</v>
      </c>
      <c r="H18" s="656">
        <f>SUM('14'!G38,'14'!G52)</f>
        <v>2029</v>
      </c>
      <c r="I18" s="656">
        <f>SUM('14'!G39,'14'!G53)</f>
        <v>3022</v>
      </c>
      <c r="J18" s="656">
        <f>SUM('14'!G41,'14'!G42,'14'!G55,'14'!G56)</f>
        <v>3919</v>
      </c>
      <c r="K18" s="656">
        <f>SUM('14'!G43,'14'!G57)</f>
        <v>2768</v>
      </c>
      <c r="L18" s="254">
        <f>'14'!G50</f>
        <v>1163</v>
      </c>
      <c r="M18" s="254">
        <f>'14'!G36</f>
        <v>1164</v>
      </c>
      <c r="N18" s="254">
        <f>'14'!G138</f>
        <v>123</v>
      </c>
      <c r="O18" s="254">
        <f>'14'!$G$139</f>
        <v>4</v>
      </c>
      <c r="P18" s="254">
        <f>'14'!$G$140</f>
        <v>0</v>
      </c>
      <c r="Q18" s="254">
        <f>'14'!$G$141</f>
        <v>185</v>
      </c>
      <c r="R18" s="254">
        <f>'14'!$G$142</f>
        <v>55</v>
      </c>
      <c r="S18" s="254">
        <f>'14'!$G$145</f>
        <v>55</v>
      </c>
      <c r="T18" s="251">
        <f>'14'!$G$146</f>
        <v>427</v>
      </c>
      <c r="U18" s="251">
        <f>'14'!$G$144</f>
        <v>233</v>
      </c>
      <c r="V18" s="251">
        <f>'14'!$G$147</f>
        <v>405</v>
      </c>
      <c r="W18" s="251">
        <f>'14'!$G$148</f>
        <v>321</v>
      </c>
      <c r="X18" s="251">
        <f>'14'!$G$143</f>
        <v>31</v>
      </c>
      <c r="Y18" s="251">
        <f>'14'!$G$58</f>
        <v>226</v>
      </c>
      <c r="Z18" s="251">
        <f>'14'!$G$151</f>
        <v>395</v>
      </c>
      <c r="AA18" s="251">
        <f>'14'!G161</f>
        <v>5</v>
      </c>
      <c r="AB18" s="251">
        <f>'14'!G162</f>
        <v>37</v>
      </c>
      <c r="AC18" s="251">
        <f>'14'!G88</f>
        <v>0</v>
      </c>
      <c r="AD18" s="251">
        <f>'14'!G163+'14'!G164</f>
        <v>133</v>
      </c>
      <c r="AE18" s="254">
        <f>'14'!$G$116</f>
        <v>0</v>
      </c>
      <c r="AF18" s="254">
        <f>'14'!$G$117</f>
        <v>20</v>
      </c>
      <c r="AG18" s="254">
        <f>'14'!$G$118</f>
        <v>426</v>
      </c>
      <c r="AH18" s="254">
        <f>'14'!$G$119</f>
        <v>415</v>
      </c>
      <c r="AI18" s="254">
        <f>'14'!$G$120</f>
        <v>386</v>
      </c>
      <c r="AJ18" s="254">
        <f>'14'!$G$121</f>
        <v>751</v>
      </c>
      <c r="AK18" s="254">
        <f>'14'!$G$122</f>
        <v>338</v>
      </c>
      <c r="AL18" s="254">
        <f>'14'!$G$123</f>
        <v>363</v>
      </c>
      <c r="AM18" s="254">
        <f>'14'!$G$133</f>
        <v>833</v>
      </c>
      <c r="AN18" s="254">
        <f>'14'!$G$15</f>
        <v>1100</v>
      </c>
      <c r="AO18" s="256">
        <f>'14'!$G$74</f>
        <v>321</v>
      </c>
      <c r="AP18" s="256">
        <f>'14'!$G$75</f>
        <v>0</v>
      </c>
      <c r="AQ18" s="256">
        <f>'14'!$G$76</f>
        <v>110</v>
      </c>
      <c r="AR18" s="256">
        <f>'14'!$G$77</f>
        <v>39</v>
      </c>
      <c r="AS18" s="256">
        <f>'14'!$G$78</f>
        <v>0</v>
      </c>
      <c r="AT18" s="256">
        <f t="shared" si="0"/>
        <v>630</v>
      </c>
      <c r="AU18" s="254">
        <f>SUM('14'!G91:G92)</f>
        <v>11.230000000000473</v>
      </c>
      <c r="AV18" s="254">
        <f>'14'!$G$88</f>
        <v>0</v>
      </c>
      <c r="AW18" s="254">
        <f>'14'!$G$89</f>
        <v>11.720000000001164</v>
      </c>
      <c r="AX18" s="254">
        <f>'14'!$G$90</f>
        <v>6.1699999999982538</v>
      </c>
      <c r="AY18" s="252">
        <f t="shared" si="1"/>
        <v>17.889999999999418</v>
      </c>
      <c r="BA18" s="314">
        <f>AO18-AT18</f>
        <v>-309</v>
      </c>
      <c r="BB18" s="353">
        <f t="shared" si="3"/>
        <v>6048</v>
      </c>
      <c r="BC18" s="353">
        <f t="shared" si="4"/>
        <v>25.736170212765959</v>
      </c>
    </row>
    <row r="19" spans="1:55" x14ac:dyDescent="0.2">
      <c r="A19" s="361">
        <v>15</v>
      </c>
      <c r="B19" s="656">
        <f>'15'!G7</f>
        <v>23500</v>
      </c>
      <c r="C19" s="656">
        <f>'15'!G8</f>
        <v>23500</v>
      </c>
      <c r="D19" s="656">
        <f>'15'!G15</f>
        <v>1100</v>
      </c>
      <c r="E19" s="656">
        <f>'15'!G20</f>
        <v>925</v>
      </c>
      <c r="F19" s="656">
        <f>SUM('15'!G35,'15'!G49)</f>
        <v>3797</v>
      </c>
      <c r="G19" s="656">
        <f>SUM('15'!G37,'15'!G51)</f>
        <v>1543</v>
      </c>
      <c r="H19" s="656">
        <f>SUM('15'!G38,'15'!G52)</f>
        <v>1931</v>
      </c>
      <c r="I19" s="656">
        <f>SUM('15'!G39,'15'!G53)</f>
        <v>2939</v>
      </c>
      <c r="J19" s="656">
        <f>SUM('15'!G41,'15'!G42,'15'!G55,'15'!G56)</f>
        <v>5187</v>
      </c>
      <c r="K19" s="656">
        <f>SUM('15'!G43,'15'!G57)</f>
        <v>2748</v>
      </c>
      <c r="L19" s="254">
        <f>'15'!G50</f>
        <v>1582</v>
      </c>
      <c r="M19" s="254">
        <f>'15'!G36</f>
        <v>1099</v>
      </c>
      <c r="N19" s="254">
        <f>'15'!G138</f>
        <v>106</v>
      </c>
      <c r="O19" s="254">
        <f>'15'!$G$139</f>
        <v>1</v>
      </c>
      <c r="P19" s="254">
        <f>'15'!$G$140</f>
        <v>0</v>
      </c>
      <c r="Q19" s="254">
        <f>'15'!$G$141</f>
        <v>200</v>
      </c>
      <c r="R19" s="254">
        <f>'15'!$G$142</f>
        <v>73</v>
      </c>
      <c r="S19" s="254">
        <f>'15'!$G$145</f>
        <v>33</v>
      </c>
      <c r="T19" s="251">
        <f>'15'!$G$146</f>
        <v>420</v>
      </c>
      <c r="U19" s="251">
        <f>'15'!$G$144</f>
        <v>225</v>
      </c>
      <c r="V19" s="251">
        <f>'15'!$G$147</f>
        <v>407</v>
      </c>
      <c r="W19" s="251">
        <f>'15'!$G$148</f>
        <v>283</v>
      </c>
      <c r="X19" s="251">
        <f>'15'!$G$143</f>
        <v>33</v>
      </c>
      <c r="Y19" s="251">
        <f>'15'!$G$58</f>
        <v>251</v>
      </c>
      <c r="Z19" s="251">
        <f>'15'!$G$151</f>
        <v>234</v>
      </c>
      <c r="AA19" s="251">
        <f>'15'!G161</f>
        <v>2</v>
      </c>
      <c r="AB19" s="251">
        <f>'15'!G162</f>
        <v>33</v>
      </c>
      <c r="AC19" s="251">
        <f>'15'!G88</f>
        <v>0</v>
      </c>
      <c r="AD19" s="251">
        <f>'15'!G163+'15'!G164</f>
        <v>140</v>
      </c>
      <c r="AE19" s="254">
        <f>'15'!$G$116</f>
        <v>0</v>
      </c>
      <c r="AF19" s="254">
        <f>'15'!$G$117</f>
        <v>20</v>
      </c>
      <c r="AG19" s="254">
        <f>'15'!$G$118</f>
        <v>419</v>
      </c>
      <c r="AH19" s="254">
        <f>'15'!$G$119</f>
        <v>429</v>
      </c>
      <c r="AI19" s="254">
        <f>'15'!$G$120</f>
        <v>375</v>
      </c>
      <c r="AJ19" s="254">
        <f>'15'!$G$121</f>
        <v>741</v>
      </c>
      <c r="AK19" s="254">
        <f>'15'!$G$122</f>
        <v>372</v>
      </c>
      <c r="AL19" s="254">
        <f>'15'!$G$123</f>
        <v>389</v>
      </c>
      <c r="AM19" s="254">
        <f>'15'!$G$133</f>
        <v>818</v>
      </c>
      <c r="AN19" s="254">
        <f>'15'!$G$15</f>
        <v>1100</v>
      </c>
      <c r="AO19" s="256">
        <f>'15'!$G$74</f>
        <v>322</v>
      </c>
      <c r="AP19" s="256">
        <f>'15'!$G$75</f>
        <v>0</v>
      </c>
      <c r="AQ19" s="256">
        <f>'15'!$G$76</f>
        <v>130.60000000000582</v>
      </c>
      <c r="AR19" s="256">
        <f>'15'!$G$77</f>
        <v>45.599999999998545</v>
      </c>
      <c r="AS19" s="256">
        <f>'15'!$G$78</f>
        <v>4.7000000000007276</v>
      </c>
      <c r="AT19" s="256">
        <f t="shared" si="0"/>
        <v>597.09999999999491</v>
      </c>
      <c r="AU19" s="254">
        <f>SUM('15'!G91:G92)</f>
        <v>11.260000000000218</v>
      </c>
      <c r="AV19" s="254">
        <f>'15'!$G$88</f>
        <v>0</v>
      </c>
      <c r="AW19" s="254">
        <f>'15'!$G$89</f>
        <v>10.209999999999127</v>
      </c>
      <c r="AX19" s="254">
        <f>'15'!$G$90</f>
        <v>9.7700000000040745</v>
      </c>
      <c r="AY19" s="252">
        <f t="shared" si="1"/>
        <v>19.980000000003201</v>
      </c>
      <c r="BA19" s="314">
        <f t="shared" si="6"/>
        <v>-275.09999999999491</v>
      </c>
      <c r="BB19" s="353">
        <f t="shared" si="3"/>
        <v>5104</v>
      </c>
      <c r="BC19" s="353">
        <f t="shared" si="4"/>
        <v>21.719148936170214</v>
      </c>
    </row>
    <row r="20" spans="1:55" x14ac:dyDescent="0.2">
      <c r="A20" s="361">
        <v>16</v>
      </c>
      <c r="B20" s="656">
        <f>'16'!G7</f>
        <v>23500</v>
      </c>
      <c r="C20" s="656">
        <f>'16'!G8</f>
        <v>23500</v>
      </c>
      <c r="D20" s="656">
        <f>'16'!G15</f>
        <v>1100</v>
      </c>
      <c r="E20" s="656">
        <f>'16'!G20</f>
        <v>1045</v>
      </c>
      <c r="F20" s="656">
        <f>SUM('16'!G35,'16'!G49)</f>
        <v>3731.6800000000076</v>
      </c>
      <c r="G20" s="656">
        <f>SUM('16'!G37,'16'!G51)</f>
        <v>1565.3299999999872</v>
      </c>
      <c r="H20" s="656">
        <f>SUM('16'!G38,'16'!G52)</f>
        <v>1985.609999999986</v>
      </c>
      <c r="I20" s="656">
        <f>SUM('16'!G39,'16'!G53)</f>
        <v>2949.8699999999953</v>
      </c>
      <c r="J20" s="656">
        <f>SUM('16'!G41,'16'!G42,'16'!G55,'16'!G56)</f>
        <v>5082.5300000000007</v>
      </c>
      <c r="K20" s="656">
        <f>SUM('16'!G43,'16'!G57)</f>
        <v>2590.1999999999998</v>
      </c>
      <c r="L20" s="254">
        <f>'16'!G50</f>
        <v>1041.3800000000001</v>
      </c>
      <c r="M20" s="254">
        <f>'16'!G36</f>
        <v>1204.2600000000002</v>
      </c>
      <c r="N20" s="254">
        <f>'16'!G138</f>
        <v>118</v>
      </c>
      <c r="O20" s="254">
        <f>'16'!$G$139</f>
        <v>5</v>
      </c>
      <c r="P20" s="254">
        <f>'16'!$G$140</f>
        <v>0</v>
      </c>
      <c r="Q20" s="254">
        <f>'16'!$G$141</f>
        <v>192.80000000000291</v>
      </c>
      <c r="R20" s="254">
        <f>'16'!$G$142</f>
        <v>72.979999999999563</v>
      </c>
      <c r="S20" s="254">
        <f>'16'!$G$145</f>
        <v>63.090000000000146</v>
      </c>
      <c r="T20" s="251">
        <f>'16'!$G$146</f>
        <v>426.59999999997672</v>
      </c>
      <c r="U20" s="251">
        <f>'16'!$G$144</f>
        <v>239</v>
      </c>
      <c r="V20" s="251">
        <f>'16'!$G$147</f>
        <v>417</v>
      </c>
      <c r="W20" s="251">
        <f>'16'!$G$148</f>
        <v>276</v>
      </c>
      <c r="X20" s="251">
        <f>'16'!$G$143</f>
        <v>29.579999999999927</v>
      </c>
      <c r="Y20" s="251">
        <f>'16'!$G$58</f>
        <v>223.35000000000582</v>
      </c>
      <c r="Z20" s="251">
        <f>'16'!$G$151</f>
        <v>242</v>
      </c>
      <c r="AA20" s="251">
        <f>'16'!G161</f>
        <v>0</v>
      </c>
      <c r="AB20" s="251">
        <f>'16'!G162</f>
        <v>32.5</v>
      </c>
      <c r="AC20" s="251">
        <f>'16'!G88</f>
        <v>-0.39999999999781721</v>
      </c>
      <c r="AD20" s="251">
        <f>'16'!G163+'16'!G164</f>
        <v>110.49999999999454</v>
      </c>
      <c r="AE20" s="254">
        <f>'16'!$G$116</f>
        <v>0</v>
      </c>
      <c r="AF20" s="254">
        <f>'16'!$G$117</f>
        <v>14.5</v>
      </c>
      <c r="AG20" s="254">
        <f>'16'!$G$118</f>
        <v>401.30999999999767</v>
      </c>
      <c r="AH20" s="254">
        <f>'16'!$G$119</f>
        <v>430.60999999998603</v>
      </c>
      <c r="AI20" s="254">
        <f>'16'!$G$120</f>
        <v>407.54999999999927</v>
      </c>
      <c r="AJ20" s="254">
        <f>'16'!$G$121</f>
        <v>755.34999999997672</v>
      </c>
      <c r="AK20" s="254">
        <f>'16'!$G$122</f>
        <v>381.7100000000064</v>
      </c>
      <c r="AL20" s="254">
        <f>'16'!$G$123</f>
        <v>401.98999999999069</v>
      </c>
      <c r="AM20" s="254">
        <f>'16'!$G$133</f>
        <v>835.41000000000349</v>
      </c>
      <c r="AN20" s="254">
        <f>'16'!$G$15</f>
        <v>1100</v>
      </c>
      <c r="AO20" s="256">
        <f>'16'!$G$74</f>
        <v>330.4100000000326</v>
      </c>
      <c r="AP20" s="256">
        <f>'16'!$G$75</f>
        <v>0</v>
      </c>
      <c r="AQ20" s="256">
        <f>'16'!$G$76</f>
        <v>136.82000000000698</v>
      </c>
      <c r="AR20" s="256">
        <f>'16'!$G$77</f>
        <v>45.5</v>
      </c>
      <c r="AS20" s="256">
        <f>'16'!$G$78</f>
        <v>2.0999999999985448</v>
      </c>
      <c r="AT20" s="256">
        <f t="shared" si="0"/>
        <v>585.16999999996187</v>
      </c>
      <c r="AU20" s="254">
        <f>SUM('16'!G91:G92)</f>
        <v>11.819999999999709</v>
      </c>
      <c r="AV20" s="254">
        <f>'16'!$G$88</f>
        <v>-0.39999999999781721</v>
      </c>
      <c r="AW20" s="254">
        <f>'16'!$G$89</f>
        <v>10.530000000002474</v>
      </c>
      <c r="AX20" s="254">
        <f>'16'!$G$90</f>
        <v>6.3899999999994179</v>
      </c>
      <c r="AY20" s="252">
        <f t="shared" si="1"/>
        <v>16.520000000004075</v>
      </c>
      <c r="BA20" s="314">
        <f t="shared" si="6"/>
        <v>-254.75999999992928</v>
      </c>
      <c r="BB20" s="353">
        <f t="shared" si="3"/>
        <v>5371.4300000000185</v>
      </c>
      <c r="BC20" s="353">
        <f t="shared" si="4"/>
        <v>22.85714893617029</v>
      </c>
    </row>
    <row r="21" spans="1:55" x14ac:dyDescent="0.2">
      <c r="A21" s="361">
        <v>17</v>
      </c>
      <c r="B21" s="656">
        <f>'17'!G7</f>
        <v>23500</v>
      </c>
      <c r="C21" s="656">
        <f>'17'!G8</f>
        <v>23500</v>
      </c>
      <c r="D21" s="656">
        <f>'17'!G15</f>
        <v>1100</v>
      </c>
      <c r="E21" s="656">
        <f>'17'!G20</f>
        <v>1165</v>
      </c>
      <c r="F21" s="656">
        <f>SUM('17'!G35,'17'!G49)</f>
        <v>3551.8099999999831</v>
      </c>
      <c r="G21" s="656">
        <f>SUM('17'!G37,'17'!G51)</f>
        <v>1583.5400000000081</v>
      </c>
      <c r="H21" s="656">
        <f>SUM('17'!G38,'17'!G52)</f>
        <v>2168.1600000000035</v>
      </c>
      <c r="I21" s="656">
        <f>SUM('17'!G39,'17'!G53)</f>
        <v>3084.4799999999814</v>
      </c>
      <c r="J21" s="656">
        <f>SUM('17'!G41,'17'!G42,'17'!G55,'17'!G56)</f>
        <v>5645.2099999999991</v>
      </c>
      <c r="K21" s="656">
        <f>SUM('17'!G43,'17'!G57)</f>
        <v>2782.7300000000005</v>
      </c>
      <c r="L21" s="254">
        <f>'17'!G50</f>
        <v>1241.5</v>
      </c>
      <c r="M21" s="254">
        <f>'17'!G36</f>
        <v>1285.6300000000001</v>
      </c>
      <c r="N21" s="254">
        <f>'18 '!G138</f>
        <v>133</v>
      </c>
      <c r="O21" s="254">
        <f>'17'!$G$139</f>
        <v>40</v>
      </c>
      <c r="P21" s="254">
        <f>'17'!$G$140</f>
        <v>0</v>
      </c>
      <c r="Q21" s="254">
        <f>'17'!$G$141</f>
        <v>234.82999999999447</v>
      </c>
      <c r="R21" s="254">
        <f>'17'!$G$142</f>
        <v>70.209999999999127</v>
      </c>
      <c r="S21" s="254">
        <f>'17'!$G$145</f>
        <v>47.779999999999745</v>
      </c>
      <c r="T21" s="251">
        <f>'17'!$G$146</f>
        <v>499.40000000002328</v>
      </c>
      <c r="U21" s="251">
        <f>'17'!$G$144</f>
        <v>233</v>
      </c>
      <c r="V21" s="251">
        <f>'17'!$G$147</f>
        <v>401.92000000004191</v>
      </c>
      <c r="W21" s="251">
        <f>'17'!$G$148</f>
        <v>277.43999999994412</v>
      </c>
      <c r="X21" s="251">
        <f>'17'!$G$143</f>
        <v>27.480000000000018</v>
      </c>
      <c r="Y21" s="251">
        <f>'17'!$G$58</f>
        <v>201.64999999999418</v>
      </c>
      <c r="Z21" s="251">
        <f>'17'!$G$151</f>
        <v>255</v>
      </c>
      <c r="AA21" s="251">
        <f>'17'!G161</f>
        <v>0.79999999998835847</v>
      </c>
      <c r="AB21" s="251">
        <f>'17'!G162</f>
        <v>33.5</v>
      </c>
      <c r="AC21" s="251">
        <f>'17'!G88</f>
        <v>0.39999999999781721</v>
      </c>
      <c r="AD21" s="251">
        <f>'17'!G163+'17'!G164</f>
        <v>98.700000000011642</v>
      </c>
      <c r="AE21" s="254">
        <f>'17'!$G$116</f>
        <v>0</v>
      </c>
      <c r="AF21" s="254">
        <f>'17'!$G$117</f>
        <v>13.429999999999836</v>
      </c>
      <c r="AG21" s="254">
        <f>'17'!$G$118</f>
        <v>403.92000000001281</v>
      </c>
      <c r="AH21" s="254">
        <f>'17'!$G$119</f>
        <v>432.60000000000582</v>
      </c>
      <c r="AI21" s="254">
        <f>'17'!$G$120</f>
        <v>401.56999999999971</v>
      </c>
      <c r="AJ21" s="254">
        <f>'17'!$G$121</f>
        <v>765</v>
      </c>
      <c r="AK21" s="254">
        <f>'17'!$G$122</f>
        <v>386.3799999999901</v>
      </c>
      <c r="AL21" s="254">
        <f>'17'!$G$123</f>
        <v>406.65000000002328</v>
      </c>
      <c r="AM21" s="254">
        <f>'17'!$G$133</f>
        <v>869.19999999999709</v>
      </c>
      <c r="AN21" s="254">
        <f>'17'!$G$15</f>
        <v>1100</v>
      </c>
      <c r="AO21" s="256">
        <f>'17'!$G$74</f>
        <v>317.41999999992549</v>
      </c>
      <c r="AP21" s="256">
        <f>'17'!$G$75</f>
        <v>0</v>
      </c>
      <c r="AQ21" s="256">
        <f>'17'!$G$76</f>
        <v>123.57999999998719</v>
      </c>
      <c r="AR21" s="256">
        <f>'17'!$G$77</f>
        <v>52.400000000001455</v>
      </c>
      <c r="AS21" s="256">
        <f>'17'!$G$78</f>
        <v>2.2000000000007276</v>
      </c>
      <c r="AT21" s="256">
        <f t="shared" si="0"/>
        <v>604.40000000008513</v>
      </c>
      <c r="AU21" s="254">
        <f>SUM('17'!G91:G92)</f>
        <v>10.970000000000255</v>
      </c>
      <c r="AV21" s="254">
        <f>'17'!$G$88</f>
        <v>0.39999999999781721</v>
      </c>
      <c r="AW21" s="254">
        <f>'17'!$G$89</f>
        <v>10.93999999999869</v>
      </c>
      <c r="AX21" s="254">
        <f>'17'!$G$90</f>
        <v>6.6199999999953434</v>
      </c>
      <c r="AY21" s="252">
        <f t="shared" si="1"/>
        <v>17.959999999991851</v>
      </c>
      <c r="BA21" s="314">
        <f t="shared" si="6"/>
        <v>-286.98000000015963</v>
      </c>
      <c r="BB21" s="353">
        <f t="shared" si="3"/>
        <v>4482.420000000031</v>
      </c>
      <c r="BC21" s="353">
        <f t="shared" si="4"/>
        <v>19.0741276595746</v>
      </c>
    </row>
    <row r="22" spans="1:55" x14ac:dyDescent="0.2">
      <c r="A22" s="361">
        <v>18</v>
      </c>
      <c r="B22" s="656">
        <f>'18 '!G7</f>
        <v>23500</v>
      </c>
      <c r="C22" s="656">
        <f>'18 '!G8</f>
        <v>23500</v>
      </c>
      <c r="D22" s="656">
        <f>'18 '!G15</f>
        <v>1100</v>
      </c>
      <c r="E22" s="656">
        <f>'18 '!G20</f>
        <v>1285</v>
      </c>
      <c r="F22" s="656">
        <f>SUM('18 '!G35,'18 '!G49)</f>
        <v>3379.9700000000012</v>
      </c>
      <c r="G22" s="656">
        <f>SUM('18 '!G37,'18 '!G51)</f>
        <v>1564.6000000000058</v>
      </c>
      <c r="H22" s="656">
        <f>SUM('18 '!G38,'18 '!G52)</f>
        <v>2082.2200000000012</v>
      </c>
      <c r="I22" s="656">
        <f>SUM('18 '!G39,'18 '!G53)</f>
        <v>2894.0400000000373</v>
      </c>
      <c r="J22" s="656">
        <f>SUM('18 '!G41,'18 '!G42,'18 '!G55,'18 '!G56)</f>
        <v>5311.51</v>
      </c>
      <c r="K22" s="656">
        <f>SUM('18 '!G43,'18 '!G57)</f>
        <v>2787.9400000000005</v>
      </c>
      <c r="L22" s="254">
        <f>'18 '!G50</f>
        <v>1452.4299999999994</v>
      </c>
      <c r="M22" s="254">
        <f>'18 '!G36</f>
        <v>1224.04</v>
      </c>
      <c r="N22" s="254">
        <f>'18 '!G138</f>
        <v>133</v>
      </c>
      <c r="O22" s="254">
        <f>'18 '!$G$139</f>
        <v>24</v>
      </c>
      <c r="P22" s="254">
        <f>'18 '!$G$140</f>
        <v>13.5</v>
      </c>
      <c r="Q22" s="254">
        <f>'18 '!$G$141</f>
        <v>191</v>
      </c>
      <c r="R22" s="254">
        <f>'18 '!$G$142</f>
        <v>71.010000000002037</v>
      </c>
      <c r="S22" s="254">
        <f>'18 '!$G$145</f>
        <v>42.650000000000546</v>
      </c>
      <c r="T22" s="251">
        <f>'18 '!$G$146</f>
        <v>401</v>
      </c>
      <c r="U22" s="251">
        <f>'18 '!$G$144</f>
        <v>234</v>
      </c>
      <c r="V22" s="256">
        <f>'18 '!$G$147</f>
        <v>417.11999999999534</v>
      </c>
      <c r="W22" s="256">
        <f>'18 '!$G$148</f>
        <v>350.32000000006519</v>
      </c>
      <c r="X22" s="256">
        <f>'18 '!$G$143</f>
        <v>38.200000000000273</v>
      </c>
      <c r="Y22" s="256">
        <f>'18 '!$G$58</f>
        <v>238.66000000000349</v>
      </c>
      <c r="Z22" s="256">
        <f>'18 '!$G$151</f>
        <v>251</v>
      </c>
      <c r="AA22" s="256">
        <f>'18 '!G161</f>
        <v>7.0400000000372529</v>
      </c>
      <c r="AB22" s="251">
        <f>'18 '!G162</f>
        <v>27.5</v>
      </c>
      <c r="AC22" s="251">
        <f>'18 '!G88</f>
        <v>0</v>
      </c>
      <c r="AD22" s="251">
        <f>'18 '!G163+'18 '!G164</f>
        <v>35.199999999999818</v>
      </c>
      <c r="AE22" s="254">
        <f>'18 '!$G$116</f>
        <v>0</v>
      </c>
      <c r="AF22" s="254">
        <f>'18 '!$G$117</f>
        <v>17.990000000000236</v>
      </c>
      <c r="AG22" s="254">
        <f>'18 '!$G$118</f>
        <v>345.55999999999767</v>
      </c>
      <c r="AH22" s="254">
        <f>'18 '!$G$119</f>
        <v>436.52000000001863</v>
      </c>
      <c r="AI22" s="254">
        <f>'18 '!$G$120</f>
        <v>407.35000000000218</v>
      </c>
      <c r="AJ22" s="254">
        <f>'18 '!$G$121</f>
        <v>738.02000000001863</v>
      </c>
      <c r="AK22" s="254">
        <f>'18 '!$G$122</f>
        <v>356.22000000000116</v>
      </c>
      <c r="AL22" s="254">
        <f>'18 '!$G$123</f>
        <v>385.61399999997229</v>
      </c>
      <c r="AM22" s="254">
        <f>'18 '!$G$133</f>
        <v>832.86999999999534</v>
      </c>
      <c r="AN22" s="254">
        <f>'18 '!$G$15</f>
        <v>1100</v>
      </c>
      <c r="AO22" s="256">
        <f>'18 '!$G$74</f>
        <v>305.65000000002328</v>
      </c>
      <c r="AP22" s="256">
        <f>'18 '!$G$75</f>
        <v>0</v>
      </c>
      <c r="AQ22" s="256">
        <f>'18 '!$G$76</f>
        <v>134.60000000000582</v>
      </c>
      <c r="AR22" s="256">
        <f>'18 '!$G$77</f>
        <v>55.19999999999709</v>
      </c>
      <c r="AS22" s="256">
        <f>'18 '!$G$78</f>
        <v>1.8999999999996362</v>
      </c>
      <c r="AT22" s="256">
        <f t="shared" si="0"/>
        <v>602.64999999997417</v>
      </c>
      <c r="AU22" s="254">
        <f>SUM('18 '!G91:G92)</f>
        <v>10.710000000000036</v>
      </c>
      <c r="AV22" s="254">
        <f>'18 '!$G$88</f>
        <v>0</v>
      </c>
      <c r="AW22" s="254">
        <f>'18 '!$G$89</f>
        <v>12.590000000000146</v>
      </c>
      <c r="AX22" s="254">
        <f>'18 '!$G$90</f>
        <v>6.2900000000081491</v>
      </c>
      <c r="AY22" s="252">
        <f t="shared" si="1"/>
        <v>18.880000000008295</v>
      </c>
      <c r="BA22" s="314">
        <f t="shared" si="6"/>
        <v>-296.99999999995089</v>
      </c>
      <c r="BB22" s="353">
        <f t="shared" si="3"/>
        <v>5241.0599999999504</v>
      </c>
      <c r="BC22" s="353">
        <f t="shared" si="4"/>
        <v>22.302382978723195</v>
      </c>
    </row>
    <row r="23" spans="1:55" s="313" customFormat="1" x14ac:dyDescent="0.2">
      <c r="A23" s="361">
        <v>19</v>
      </c>
      <c r="B23" s="656">
        <f>'19'!G7</f>
        <v>23500</v>
      </c>
      <c r="C23" s="656">
        <f>'19'!G8</f>
        <v>23500</v>
      </c>
      <c r="D23" s="656">
        <f>'19'!G15</f>
        <v>1100</v>
      </c>
      <c r="E23" s="656">
        <f>'19'!G20</f>
        <v>1405</v>
      </c>
      <c r="F23" s="656">
        <f>SUM('19'!G35,'19'!G49)</f>
        <v>3420.0400000000081</v>
      </c>
      <c r="G23" s="656">
        <f>SUM('19'!G37,'19'!G51)</f>
        <v>1585.359999999986</v>
      </c>
      <c r="H23" s="656">
        <f>SUM('19'!G38,'19'!G52)</f>
        <v>2024.9400000000023</v>
      </c>
      <c r="I23" s="656">
        <f>SUM('19'!G39,'19'!G53)</f>
        <v>3077.5599999999977</v>
      </c>
      <c r="J23" s="656">
        <f>SUM('19'!G41,'19'!G42,'19'!G55,'19'!G56)</f>
        <v>5180.5400000000009</v>
      </c>
      <c r="K23" s="656">
        <f>SUM('19'!G43,'19'!G57)</f>
        <v>2794.7599999999984</v>
      </c>
      <c r="L23" s="251">
        <f>'19'!G50</f>
        <v>1631.1800000000003</v>
      </c>
      <c r="M23" s="251">
        <f>'19'!G36</f>
        <v>1132.0699999999997</v>
      </c>
      <c r="N23" s="251">
        <f>'19'!G138</f>
        <v>114</v>
      </c>
      <c r="O23" s="251">
        <f>'19'!$G$139</f>
        <v>15</v>
      </c>
      <c r="P23" s="251">
        <f>'19'!$G$140</f>
        <v>1.3000000000029104</v>
      </c>
      <c r="Q23" s="251">
        <f>'19'!$G$141</f>
        <v>203.16000000000349</v>
      </c>
      <c r="R23" s="254">
        <f>'19'!G142</f>
        <v>77.899999999997817</v>
      </c>
      <c r="S23" s="251">
        <f>'19'!$G$145</f>
        <v>38.449999999999818</v>
      </c>
      <c r="T23" s="251">
        <f>'19'!$G$146</f>
        <v>489</v>
      </c>
      <c r="U23" s="251">
        <f>'19'!$G$144</f>
        <v>232</v>
      </c>
      <c r="V23" s="251">
        <f>'19'!$G$147</f>
        <v>466.39999999990687</v>
      </c>
      <c r="W23" s="251">
        <f>'19'!$G$148</f>
        <v>368.98999999999069</v>
      </c>
      <c r="X23" s="251">
        <f>'19'!$G$143</f>
        <v>29.309999999999945</v>
      </c>
      <c r="Y23" s="251">
        <f>'19'!$G$58</f>
        <v>199.7899999999936</v>
      </c>
      <c r="Z23" s="251">
        <f>'19'!$G$151</f>
        <v>223</v>
      </c>
      <c r="AA23" s="251">
        <f>'19'!G161</f>
        <v>3.0799999999580905</v>
      </c>
      <c r="AB23" s="251">
        <f>'19'!G162</f>
        <v>12</v>
      </c>
      <c r="AC23" s="251">
        <f>'19'!G88</f>
        <v>0</v>
      </c>
      <c r="AD23" s="251">
        <f>'19'!G163+'19'!G164</f>
        <v>36.599999999991269</v>
      </c>
      <c r="AE23" s="251">
        <f>'19'!$G$116</f>
        <v>0</v>
      </c>
      <c r="AF23" s="251">
        <f>'19'!$G$117</f>
        <v>16.259999999999764</v>
      </c>
      <c r="AG23" s="251">
        <f>'19'!$G$118</f>
        <v>349.66000000000349</v>
      </c>
      <c r="AH23" s="251">
        <f>'19'!$G$119</f>
        <v>462.09999999997672</v>
      </c>
      <c r="AI23" s="251">
        <f>'19'!$G$120</f>
        <v>410.43000000000029</v>
      </c>
      <c r="AJ23" s="251">
        <f>'19'!$G$121</f>
        <v>763.63000000000466</v>
      </c>
      <c r="AK23" s="251">
        <f>'19'!$G$122</f>
        <v>364.69000000000233</v>
      </c>
      <c r="AL23" s="251">
        <f>'19'!$G$123</f>
        <v>387.74600000001374</v>
      </c>
      <c r="AM23" s="251">
        <f>'19'!$G$133</f>
        <v>858.88000000000466</v>
      </c>
      <c r="AN23" s="251">
        <f>'19'!$G$15</f>
        <v>1100</v>
      </c>
      <c r="AO23" s="256">
        <f>'19'!$G$74</f>
        <v>312.83000000007451</v>
      </c>
      <c r="AP23" s="256">
        <f>'19'!$G$75</f>
        <v>0</v>
      </c>
      <c r="AQ23" s="256">
        <f>'19'!$G$76</f>
        <v>149.60000000000582</v>
      </c>
      <c r="AR23" s="256">
        <f>'19'!$G$77</f>
        <v>69.600000000005821</v>
      </c>
      <c r="AS23" s="256">
        <f>'19'!$G$78</f>
        <v>1.8000000000010914</v>
      </c>
      <c r="AT23" s="256">
        <f t="shared" si="0"/>
        <v>566.16999999991276</v>
      </c>
      <c r="AU23" s="251">
        <f>SUM('19'!G91:G92)</f>
        <v>10.989999999999782</v>
      </c>
      <c r="AV23" s="251">
        <f>'19'!$G$88</f>
        <v>0</v>
      </c>
      <c r="AW23" s="251">
        <f>'19'!$G$89</f>
        <v>9.7900000000008731</v>
      </c>
      <c r="AX23" s="251">
        <f>'19'!$G$90</f>
        <v>6.6799999999930151</v>
      </c>
      <c r="AY23" s="255">
        <f t="shared" si="1"/>
        <v>16.469999999993888</v>
      </c>
      <c r="BA23" s="315">
        <f t="shared" si="6"/>
        <v>-253.33999999983826</v>
      </c>
      <c r="BB23" s="353">
        <f t="shared" si="3"/>
        <v>5217.010000000013</v>
      </c>
      <c r="BC23" s="353">
        <f t="shared" si="4"/>
        <v>22.200042553191544</v>
      </c>
    </row>
    <row r="24" spans="1:55" x14ac:dyDescent="0.2">
      <c r="A24" s="361">
        <v>20</v>
      </c>
      <c r="B24" s="656">
        <f>'20'!G7</f>
        <v>23500</v>
      </c>
      <c r="C24" s="656">
        <f>'20'!G8</f>
        <v>23500</v>
      </c>
      <c r="D24" s="656">
        <f>'20'!G15</f>
        <v>1100</v>
      </c>
      <c r="E24" s="656">
        <f>'20'!G20</f>
        <v>1525</v>
      </c>
      <c r="F24" s="656">
        <f>SUM('20'!G35,'20'!G49)</f>
        <v>3485.5800000000163</v>
      </c>
      <c r="G24" s="656">
        <f>SUM('20'!G37,'20'!G51)</f>
        <v>1629.820000000007</v>
      </c>
      <c r="H24" s="656">
        <f>SUM('20'!G38,'20'!G52)</f>
        <v>1975.1000000000058</v>
      </c>
      <c r="I24" s="656">
        <f>SUM('20'!G39,'20'!G53)</f>
        <v>2849.679999999993</v>
      </c>
      <c r="J24" s="656">
        <f>SUM('20'!G41,'20'!G42,'20'!G55,'20'!G56)</f>
        <v>4532.2599999999984</v>
      </c>
      <c r="K24" s="656">
        <f>SUM('20'!G43,'20'!G57)</f>
        <v>2718.9600000000009</v>
      </c>
      <c r="L24" s="254">
        <f>'20'!G50</f>
        <v>1114.7100000000009</v>
      </c>
      <c r="M24" s="254">
        <f>'20'!G36</f>
        <v>926.36000000000058</v>
      </c>
      <c r="N24" s="254">
        <f>'20'!G138</f>
        <v>111</v>
      </c>
      <c r="O24" s="254">
        <f>'20'!$G$139</f>
        <v>1</v>
      </c>
      <c r="P24" s="254">
        <f>'20'!$G$140</f>
        <v>1.8000000000029104</v>
      </c>
      <c r="Q24" s="254">
        <f>'20'!$G$141</f>
        <v>205.81999999999971</v>
      </c>
      <c r="R24" s="254">
        <f>'20'!$G$142</f>
        <v>69.990000000001601</v>
      </c>
      <c r="S24" s="254">
        <f>'20'!$G$145</f>
        <v>28.069999999999709</v>
      </c>
      <c r="T24" s="251">
        <f>'20'!$G$146</f>
        <v>467</v>
      </c>
      <c r="U24" s="251">
        <f>'20'!$G$144</f>
        <v>238</v>
      </c>
      <c r="V24" s="251">
        <f>'20'!$G$147</f>
        <v>376.08000000007451</v>
      </c>
      <c r="W24" s="251">
        <f>'20'!$G$148</f>
        <v>279.65000000002328</v>
      </c>
      <c r="X24" s="251">
        <f>'20'!$G$143</f>
        <v>29.5</v>
      </c>
      <c r="Y24" s="251">
        <f>'20'!$G$58</f>
        <v>227.41999999999825</v>
      </c>
      <c r="Z24" s="251">
        <f>'20'!$G$151</f>
        <v>233</v>
      </c>
      <c r="AA24" s="251">
        <f>'20'!G161</f>
        <v>2.8800000000046566</v>
      </c>
      <c r="AB24" s="251">
        <f>'20'!G162</f>
        <v>32.30000000000291</v>
      </c>
      <c r="AC24" s="251">
        <f>'20'!G88</f>
        <v>0</v>
      </c>
      <c r="AD24" s="251">
        <f>'20'!G163+'20'!G164</f>
        <v>71.600000000005821</v>
      </c>
      <c r="AE24" s="254">
        <f>'20'!$G$116</f>
        <v>0</v>
      </c>
      <c r="AF24" s="254">
        <f>'20'!$G$117</f>
        <v>27.980000000000018</v>
      </c>
      <c r="AG24" s="254">
        <f>'20'!$G$118</f>
        <v>418.83999999999651</v>
      </c>
      <c r="AH24" s="254">
        <f>'20'!$G$119</f>
        <v>437.40000000002328</v>
      </c>
      <c r="AI24" s="254">
        <f>'20'!$G$120</f>
        <v>425.5099999999984</v>
      </c>
      <c r="AJ24" s="254">
        <f>'20'!$G$121</f>
        <v>777.71000000002095</v>
      </c>
      <c r="AK24" s="254">
        <f>'20'!$G$122</f>
        <v>263.63000000000466</v>
      </c>
      <c r="AL24" s="254">
        <f>'20'!$G$123</f>
        <v>362.27999999999884</v>
      </c>
      <c r="AM24" s="254">
        <f>'20'!$G$133</f>
        <v>846.91000000000349</v>
      </c>
      <c r="AN24" s="254">
        <f>'20'!$G$15</f>
        <v>1100</v>
      </c>
      <c r="AO24" s="256">
        <f>'20'!$G$74</f>
        <v>318.68999999994412</v>
      </c>
      <c r="AP24" s="256">
        <f>'20'!$G$75</f>
        <v>0</v>
      </c>
      <c r="AQ24" s="256">
        <f>'20'!$G$76</f>
        <v>127.04999999998836</v>
      </c>
      <c r="AR24" s="256">
        <f>'20'!$G$77</f>
        <v>46.69999999999709</v>
      </c>
      <c r="AS24" s="256">
        <f>'20'!$G$78</f>
        <v>1.2999999999992724</v>
      </c>
      <c r="AT24" s="256">
        <f t="shared" si="0"/>
        <v>606.26000000007116</v>
      </c>
      <c r="AU24" s="254">
        <f>SUM('20'!G91:G92)</f>
        <v>11.139999999999418</v>
      </c>
      <c r="AV24" s="254">
        <f>'20'!$G$88</f>
        <v>0</v>
      </c>
      <c r="AW24" s="254">
        <f>'20'!$G$89</f>
        <v>11.680000000000291</v>
      </c>
      <c r="AX24" s="254">
        <f>'20'!$G$90</f>
        <v>6.1600000000034925</v>
      </c>
      <c r="AY24" s="252">
        <f t="shared" si="1"/>
        <v>17.840000000003783</v>
      </c>
      <c r="BA24" s="314">
        <f t="shared" si="6"/>
        <v>-287.57000000012704</v>
      </c>
      <c r="BB24" s="353">
        <f t="shared" si="3"/>
        <v>6081.1799999999785</v>
      </c>
      <c r="BC24" s="353">
        <f t="shared" si="4"/>
        <v>25.877361702127569</v>
      </c>
    </row>
    <row r="25" spans="1:55" x14ac:dyDescent="0.2">
      <c r="A25" s="361">
        <v>21</v>
      </c>
      <c r="B25" s="656">
        <f>'21'!G7</f>
        <v>23500</v>
      </c>
      <c r="C25" s="656">
        <f>'21'!G8</f>
        <v>23500</v>
      </c>
      <c r="D25" s="656">
        <f>'21'!G15</f>
        <v>1100</v>
      </c>
      <c r="E25" s="656">
        <f>'21'!G20</f>
        <v>1645</v>
      </c>
      <c r="F25" s="656">
        <f>SUM('21'!G35,'21'!G49)</f>
        <v>3149.2099999999627</v>
      </c>
      <c r="G25" s="656">
        <f>SUM('21'!G37,'21'!G51)</f>
        <v>1625.5</v>
      </c>
      <c r="H25" s="656">
        <f>SUM('21'!G38,'21'!G52)</f>
        <v>1893.8399999999965</v>
      </c>
      <c r="I25" s="656">
        <f>SUM('21'!G39,'21'!G53)</f>
        <v>2810.5999999999767</v>
      </c>
      <c r="J25" s="656">
        <f>SUM('21'!G41,'21'!G42,'21'!G55,'21'!G56)</f>
        <v>4666.0799999999981</v>
      </c>
      <c r="K25" s="656">
        <f>SUM('21'!G43,'21'!G57)</f>
        <v>2692.16</v>
      </c>
      <c r="L25" s="254">
        <f>'21'!G50</f>
        <v>1116.6799999999985</v>
      </c>
      <c r="M25" s="254">
        <f>'21'!G36</f>
        <v>1038.0299999999988</v>
      </c>
      <c r="N25" s="254">
        <f>'21'!G138</f>
        <v>91</v>
      </c>
      <c r="O25" s="254">
        <f>'21'!$G$139</f>
        <v>3</v>
      </c>
      <c r="P25" s="254">
        <f>'21'!$G$140</f>
        <v>0.59999999999126885</v>
      </c>
      <c r="Q25" s="254">
        <f>'21'!$G$141</f>
        <v>199.97000000000116</v>
      </c>
      <c r="R25" s="254">
        <f>'21'!$G$142</f>
        <v>73.220000000001164</v>
      </c>
      <c r="S25" s="254">
        <f>'21'!$G$145</f>
        <v>23.890000000000327</v>
      </c>
      <c r="T25" s="251">
        <f>'21'!$G$146</f>
        <v>497</v>
      </c>
      <c r="U25" s="251">
        <f>'21'!$G$144</f>
        <v>242</v>
      </c>
      <c r="V25" s="251">
        <f>'21'!$G$147</f>
        <v>406.95999999996275</v>
      </c>
      <c r="W25" s="251">
        <f>'21'!$G$148</f>
        <v>278.07999999995809</v>
      </c>
      <c r="X25" s="251">
        <f>'21'!$G$143</f>
        <v>25.529999999999745</v>
      </c>
      <c r="Y25" s="251">
        <f>'21'!$G$58</f>
        <v>221.16000000000349</v>
      </c>
      <c r="Z25" s="251">
        <f>'21'!$G$151</f>
        <v>214</v>
      </c>
      <c r="AA25" s="251">
        <f>'21'!G161</f>
        <v>2.9600000000209548</v>
      </c>
      <c r="AB25" s="251">
        <f>'21'!G162</f>
        <v>33.69999999999709</v>
      </c>
      <c r="AC25" s="251">
        <f>'21'!G88</f>
        <v>0</v>
      </c>
      <c r="AD25" s="251">
        <f>'21'!G163+'21'!G164</f>
        <v>85.199999999994361</v>
      </c>
      <c r="AE25" s="254">
        <f>'21'!$G$116</f>
        <v>0</v>
      </c>
      <c r="AF25" s="254">
        <f>'21'!$G$117</f>
        <v>25.7800000000002</v>
      </c>
      <c r="AG25" s="254">
        <f>'21'!$G$118</f>
        <v>412.89999999999418</v>
      </c>
      <c r="AH25" s="254">
        <f>'21'!$G$119</f>
        <v>426.22000000000116</v>
      </c>
      <c r="AI25" s="254">
        <f>'21'!$G$120</f>
        <v>416.88999999999942</v>
      </c>
      <c r="AJ25" s="254">
        <f>'21'!$G$121</f>
        <v>783.79999999998836</v>
      </c>
      <c r="AK25" s="254">
        <f>'21'!$G$122</f>
        <v>257.5</v>
      </c>
      <c r="AL25" s="254">
        <f>'21'!$G$123</f>
        <v>384.54999999998836</v>
      </c>
      <c r="AM25" s="254">
        <f>'21'!$G$133</f>
        <v>706.69000000000233</v>
      </c>
      <c r="AN25" s="254">
        <f>'21'!$G$15</f>
        <v>1100</v>
      </c>
      <c r="AO25" s="256">
        <f>'21'!$G$74</f>
        <v>321.20999999996275</v>
      </c>
      <c r="AP25" s="256">
        <f>'21'!$G$75</f>
        <v>0</v>
      </c>
      <c r="AQ25" s="256">
        <f>'21'!$G$76</f>
        <v>111.48000000001048</v>
      </c>
      <c r="AR25" s="256">
        <f>'21'!$G$77</f>
        <v>55</v>
      </c>
      <c r="AS25" s="256">
        <f>'21'!$G$78</f>
        <v>1</v>
      </c>
      <c r="AT25" s="256">
        <f t="shared" si="0"/>
        <v>611.31000000002678</v>
      </c>
      <c r="AU25" s="254">
        <f>SUM('21'!G91:G92)</f>
        <v>11.170000000000073</v>
      </c>
      <c r="AV25" s="254">
        <f>'21'!$G$88</f>
        <v>0</v>
      </c>
      <c r="AW25" s="254">
        <f>'21'!$G$89</f>
        <v>10.629999999997381</v>
      </c>
      <c r="AX25" s="254">
        <f>'21'!$G$90</f>
        <v>6.3099999999976717</v>
      </c>
      <c r="AY25" s="252">
        <f t="shared" si="1"/>
        <v>16.939999999995052</v>
      </c>
      <c r="BA25" s="314">
        <f t="shared" si="6"/>
        <v>-290.10000000006403</v>
      </c>
      <c r="BB25" s="353">
        <f t="shared" si="3"/>
        <v>6441.4500000000626</v>
      </c>
      <c r="BC25" s="353">
        <f t="shared" si="4"/>
        <v>27.410425531915159</v>
      </c>
    </row>
    <row r="26" spans="1:55" x14ac:dyDescent="0.2">
      <c r="A26" s="361">
        <v>22</v>
      </c>
      <c r="B26" s="656">
        <f>'22'!G7</f>
        <v>23500</v>
      </c>
      <c r="C26" s="656">
        <f>'22'!G8</f>
        <v>23500</v>
      </c>
      <c r="D26" s="656">
        <f>'22'!G15</f>
        <v>1100</v>
      </c>
      <c r="E26" s="656">
        <f>'22'!G20</f>
        <v>1765</v>
      </c>
      <c r="F26" s="656">
        <f>SUM('22'!G35,'22'!G49)</f>
        <v>3084.4900000000198</v>
      </c>
      <c r="G26" s="656">
        <f>SUM('22'!G37,'22'!G51)</f>
        <v>1590.140000000014</v>
      </c>
      <c r="H26" s="656">
        <f>SUM('22'!G38,'22'!G52)</f>
        <v>1914.5800000000163</v>
      </c>
      <c r="I26" s="656">
        <f>SUM('22'!G39,'22'!G53)</f>
        <v>2775.9200000000419</v>
      </c>
      <c r="J26" s="656">
        <f>SUM('22'!G41,'22'!G42,'22'!G55,'22'!G56)</f>
        <v>4737.3100000000049</v>
      </c>
      <c r="K26" s="656">
        <f>SUM('22'!G43,'22'!G57)</f>
        <v>2692.75</v>
      </c>
      <c r="L26" s="254">
        <f>'22'!G50</f>
        <v>1108.0100000000002</v>
      </c>
      <c r="M26" s="254">
        <f>'22'!G36</f>
        <v>919.97000000000116</v>
      </c>
      <c r="N26" s="254">
        <f>'22'!G138</f>
        <v>109</v>
      </c>
      <c r="O26" s="254">
        <f>'22'!$G$139</f>
        <v>4</v>
      </c>
      <c r="P26" s="254">
        <f>'22'!$G$140</f>
        <v>1.1999999999970896</v>
      </c>
      <c r="Q26" s="254">
        <f>'22'!$G$141</f>
        <v>197.43999999999505</v>
      </c>
      <c r="R26" s="254">
        <f>'22'!$G$142</f>
        <v>74.379999999997381</v>
      </c>
      <c r="S26" s="254">
        <f>'22'!$G$145</f>
        <v>25.139999999999418</v>
      </c>
      <c r="T26" s="251">
        <f>'22'!$G$146</f>
        <v>500</v>
      </c>
      <c r="U26" s="251">
        <f>'22'!$G$144</f>
        <v>251</v>
      </c>
      <c r="V26" s="251">
        <f>'22'!$G$147</f>
        <v>402.64000000001397</v>
      </c>
      <c r="W26" s="251">
        <f>'22'!$G$148</f>
        <v>297.76000000000931</v>
      </c>
      <c r="X26" s="251">
        <f>'22'!$G$143</f>
        <v>27.420000000000073</v>
      </c>
      <c r="Y26" s="251">
        <f>'22'!$G$58</f>
        <v>215.00999999999476</v>
      </c>
      <c r="Z26" s="251">
        <f>'22'!$G$151</f>
        <v>225</v>
      </c>
      <c r="AA26" s="251">
        <f>'22'!G161</f>
        <v>2.279999999969732</v>
      </c>
      <c r="AB26" s="251">
        <f>'22'!G162</f>
        <v>41</v>
      </c>
      <c r="AC26" s="251">
        <f>'22'!G88</f>
        <v>0</v>
      </c>
      <c r="AD26" s="251">
        <f>'22'!G163+'22'!G164</f>
        <v>84.69999999999709</v>
      </c>
      <c r="AE26" s="254">
        <f>'22'!$G$116</f>
        <v>0</v>
      </c>
      <c r="AF26" s="254">
        <f>'22'!$G$117</f>
        <v>14.989999999999782</v>
      </c>
      <c r="AG26" s="254">
        <f>'22'!$G$118</f>
        <v>405.70000000001164</v>
      </c>
      <c r="AH26" s="254">
        <f>'22'!$G$119</f>
        <v>427.51999999998952</v>
      </c>
      <c r="AI26" s="254">
        <f>'22'!$G$120</f>
        <v>412.20999999999913</v>
      </c>
      <c r="AJ26" s="254">
        <f>'22'!$G$121</f>
        <v>776.8399999999674</v>
      </c>
      <c r="AK26" s="254">
        <f>'22'!$G$122</f>
        <v>235.58000000000175</v>
      </c>
      <c r="AL26" s="254">
        <f>'22'!$G$123</f>
        <v>354.81000000002678</v>
      </c>
      <c r="AM26" s="254">
        <f>'22'!$G$133</f>
        <v>649.09999999999127</v>
      </c>
      <c r="AN26" s="254">
        <f>'22'!$G$15</f>
        <v>1100</v>
      </c>
      <c r="AO26" s="256">
        <f>'22'!$G$74</f>
        <v>332.31000000005588</v>
      </c>
      <c r="AP26" s="256">
        <f>'22'!$G$75</f>
        <v>0</v>
      </c>
      <c r="AQ26" s="256">
        <f>'22'!$G$76</f>
        <v>92.069999999977881</v>
      </c>
      <c r="AR26" s="256">
        <f>'22'!$G$77</f>
        <v>47.900000000001455</v>
      </c>
      <c r="AS26" s="256">
        <f>'22'!$G$78</f>
        <v>1.7000000000007276</v>
      </c>
      <c r="AT26" s="256">
        <f t="shared" si="0"/>
        <v>626.01999999996406</v>
      </c>
      <c r="AU26" s="254">
        <f>SUM('22'!G91:G92)</f>
        <v>11.440000000000509</v>
      </c>
      <c r="AV26" s="254">
        <f>'22'!$G$88</f>
        <v>0</v>
      </c>
      <c r="AW26" s="254">
        <f>'22'!$G$89</f>
        <v>10.010000000002037</v>
      </c>
      <c r="AX26" s="254">
        <f>'22'!$G$90</f>
        <v>5.6600000000034925</v>
      </c>
      <c r="AY26" s="252">
        <f t="shared" si="1"/>
        <v>15.67000000000553</v>
      </c>
      <c r="BA26" s="314">
        <f t="shared" si="6"/>
        <v>-293.70999999990818</v>
      </c>
      <c r="BB26" s="353">
        <f t="shared" si="3"/>
        <v>6489.7999999999083</v>
      </c>
      <c r="BC26" s="353">
        <f t="shared" si="4"/>
        <v>27.616170212765567</v>
      </c>
    </row>
    <row r="27" spans="1:55" x14ac:dyDescent="0.2">
      <c r="A27" s="361">
        <v>23</v>
      </c>
      <c r="B27" s="656">
        <f>'23'!G7</f>
        <v>23500</v>
      </c>
      <c r="C27" s="656">
        <f>'23'!G8</f>
        <v>23500</v>
      </c>
      <c r="D27" s="656">
        <f>'23'!G15</f>
        <v>1100</v>
      </c>
      <c r="E27" s="656">
        <f>'23'!G20</f>
        <v>1885</v>
      </c>
      <c r="F27" s="656">
        <f>SUM('23'!G35,'23'!G49)</f>
        <v>3026.2200000000012</v>
      </c>
      <c r="G27" s="656">
        <f>SUM('23'!G37,'23'!G51)</f>
        <v>1586.7099999999919</v>
      </c>
      <c r="H27" s="656">
        <f>SUM('23'!G38,'23'!G52)</f>
        <v>1933.5499999999884</v>
      </c>
      <c r="I27" s="656">
        <f>SUM('23'!G39,'23'!G53)</f>
        <v>2743.8499999999767</v>
      </c>
      <c r="J27" s="656">
        <f>SUM('23'!G41,'23'!G42,'23'!G55,'23'!G56)</f>
        <v>4454.0999999999985</v>
      </c>
      <c r="K27" s="656">
        <f>SUM('23'!G43,'23'!G57)</f>
        <v>2677.5</v>
      </c>
      <c r="L27" s="254">
        <f>'23'!G50</f>
        <v>1077.1100000000006</v>
      </c>
      <c r="M27" s="254">
        <f>'23'!G36</f>
        <v>821.63999999999942</v>
      </c>
      <c r="N27" s="254">
        <f>'23'!G138</f>
        <v>125</v>
      </c>
      <c r="O27" s="254">
        <f>'23'!G139</f>
        <v>14</v>
      </c>
      <c r="P27" s="254">
        <f>'23'!$G$140</f>
        <v>0</v>
      </c>
      <c r="Q27" s="254">
        <f>'23'!$G$141</f>
        <v>198.9800000000032</v>
      </c>
      <c r="R27" s="254">
        <f>'23'!$G$142</f>
        <v>71.31000000000131</v>
      </c>
      <c r="S27" s="254">
        <f>'23'!$G$145</f>
        <v>24.930000000000291</v>
      </c>
      <c r="T27" s="251">
        <f>'23'!$G$146</f>
        <v>482</v>
      </c>
      <c r="U27" s="251">
        <f>'23'!$G$144</f>
        <v>234</v>
      </c>
      <c r="V27" s="251">
        <f>'23'!$G$147</f>
        <v>373.88000000000466</v>
      </c>
      <c r="W27" s="251">
        <f>'23'!$G$148</f>
        <v>263.76000000000931</v>
      </c>
      <c r="X27" s="251">
        <f>'23'!$G$143</f>
        <v>21.980000000000018</v>
      </c>
      <c r="Y27" s="251">
        <f>'23'!$G$58</f>
        <v>235.9600000000064</v>
      </c>
      <c r="Z27" s="251">
        <f>'23'!$G$151</f>
        <v>212</v>
      </c>
      <c r="AA27" s="251">
        <f>'23'!$G$161</f>
        <v>-3.9999999979045242E-2</v>
      </c>
      <c r="AB27" s="251">
        <f>'23'!G162</f>
        <v>37.5</v>
      </c>
      <c r="AC27" s="251">
        <f>'23'!G88</f>
        <v>0</v>
      </c>
      <c r="AD27" s="251">
        <f>'23'!G163+'23'!G164</f>
        <v>63.500000000005457</v>
      </c>
      <c r="AE27" s="254">
        <f>'23'!$G$116</f>
        <v>0</v>
      </c>
      <c r="AF27" s="254">
        <f>'23'!$G$117</f>
        <v>15.070000000000164</v>
      </c>
      <c r="AG27" s="254">
        <f>'23'!$G$118</f>
        <v>376.10999999998603</v>
      </c>
      <c r="AH27" s="254">
        <f>'23'!$G$119</f>
        <v>438.02999999999884</v>
      </c>
      <c r="AI27" s="254">
        <f>'23'!$G$120</f>
        <v>435.4900000000016</v>
      </c>
      <c r="AJ27" s="254">
        <f>'23'!$G$121</f>
        <v>758.65000000002328</v>
      </c>
      <c r="AK27" s="254">
        <f>'23'!$G$122</f>
        <v>191.2899999999936</v>
      </c>
      <c r="AL27" s="254">
        <f>'23'!$G$123</f>
        <v>351.35999999998603</v>
      </c>
      <c r="AM27" s="254">
        <f>'23'!$G$133</f>
        <v>663.94000000000233</v>
      </c>
      <c r="AN27" s="254">
        <f>'23'!$G$15</f>
        <v>1100</v>
      </c>
      <c r="AO27" s="256">
        <f>'23'!$G$74</f>
        <v>301.47999999998137</v>
      </c>
      <c r="AP27" s="256">
        <f>'23'!$G$75</f>
        <v>0</v>
      </c>
      <c r="AQ27" s="256">
        <f>'23'!$G$76</f>
        <v>120.20000000001164</v>
      </c>
      <c r="AR27" s="256">
        <f>'23'!$G$77</f>
        <v>41.099999999998545</v>
      </c>
      <c r="AS27" s="256">
        <f>'23'!$G$78</f>
        <v>1.2999999999992724</v>
      </c>
      <c r="AT27" s="256">
        <f t="shared" si="0"/>
        <v>635.92000000000917</v>
      </c>
      <c r="AU27" s="254">
        <f>SUM('23'!G91:G92)</f>
        <v>10.729999999999563</v>
      </c>
      <c r="AV27" s="254">
        <f>'23'!$G$88</f>
        <v>0</v>
      </c>
      <c r="AW27" s="254">
        <f>'23'!$G$89</f>
        <v>10.419999999998254</v>
      </c>
      <c r="AX27" s="254">
        <f>'23'!$G$90</f>
        <v>5.5399999999935972</v>
      </c>
      <c r="AY27" s="252">
        <f t="shared" si="1"/>
        <v>15.959999999991851</v>
      </c>
      <c r="BA27" s="314">
        <f t="shared" si="6"/>
        <v>-334.44000000002779</v>
      </c>
      <c r="BB27" s="353">
        <f t="shared" si="3"/>
        <v>6842.110000000037</v>
      </c>
      <c r="BC27" s="353">
        <f t="shared" si="4"/>
        <v>29.115361702127817</v>
      </c>
    </row>
    <row r="28" spans="1:55" s="316" customFormat="1" x14ac:dyDescent="0.2">
      <c r="A28" s="361">
        <v>24</v>
      </c>
      <c r="B28" s="656">
        <f>'24'!G7</f>
        <v>23500</v>
      </c>
      <c r="C28" s="656">
        <f>'24'!G8</f>
        <v>23500</v>
      </c>
      <c r="D28" s="656">
        <f>'24'!G15</f>
        <v>1100</v>
      </c>
      <c r="E28" s="656">
        <f>'24'!G20</f>
        <v>2005</v>
      </c>
      <c r="F28" s="656">
        <f>SUM('24'!G35,'24'!G49)</f>
        <v>3095</v>
      </c>
      <c r="G28" s="656">
        <f>SUM('24'!G37,'24'!G51)</f>
        <v>1616</v>
      </c>
      <c r="H28" s="656">
        <f>SUM('24'!G38,'24'!G52)</f>
        <v>1954</v>
      </c>
      <c r="I28" s="656">
        <f>SUM('24'!G39,'24'!G53)</f>
        <v>2746</v>
      </c>
      <c r="J28" s="656">
        <f>SUM('24'!G41,'24'!G42,'24'!G55,'24'!G56)</f>
        <v>4621</v>
      </c>
      <c r="K28" s="656">
        <f>SUM('24'!G43,'24'!G57)</f>
        <v>2687</v>
      </c>
      <c r="L28" s="254">
        <f>'24'!G50</f>
        <v>1032</v>
      </c>
      <c r="M28" s="251">
        <f>'24'!G36</f>
        <v>955</v>
      </c>
      <c r="N28" s="251">
        <f>'24'!G138</f>
        <v>118</v>
      </c>
      <c r="O28" s="251">
        <f>'24'!G139</f>
        <v>7</v>
      </c>
      <c r="P28" s="251">
        <f>'24'!$G$140</f>
        <v>-0.39999999999417923</v>
      </c>
      <c r="Q28" s="251">
        <f>'24'!$G$141</f>
        <v>208</v>
      </c>
      <c r="R28" s="251">
        <f>'24'!$G$142</f>
        <v>78</v>
      </c>
      <c r="S28" s="251">
        <f>'24'!$G$145</f>
        <v>20</v>
      </c>
      <c r="T28" s="251">
        <f>'24'!$G$146</f>
        <v>448</v>
      </c>
      <c r="U28" s="251">
        <f>'24'!$G$144</f>
        <v>245</v>
      </c>
      <c r="V28" s="251">
        <f>'24'!$G$147</f>
        <v>380</v>
      </c>
      <c r="W28" s="251">
        <f>'24'!$G$148</f>
        <v>285</v>
      </c>
      <c r="X28" s="251">
        <f>'24'!$G$143</f>
        <v>23</v>
      </c>
      <c r="Y28" s="251">
        <f>'24'!$G$58</f>
        <v>218</v>
      </c>
      <c r="Z28" s="251">
        <f>'24'!$G$151</f>
        <v>247</v>
      </c>
      <c r="AA28" s="251">
        <f>'24'!G161</f>
        <v>0</v>
      </c>
      <c r="AB28" s="251">
        <f>'24'!G162</f>
        <v>31</v>
      </c>
      <c r="AC28" s="251">
        <f>'24'!G88</f>
        <v>2.4400000000023283</v>
      </c>
      <c r="AD28" s="251">
        <f>'24'!G163+'24'!G164</f>
        <v>67</v>
      </c>
      <c r="AE28" s="251">
        <f>'24'!$G$116</f>
        <v>0</v>
      </c>
      <c r="AF28" s="251">
        <f>'24'!$G$117</f>
        <v>15</v>
      </c>
      <c r="AG28" s="251">
        <f>'24'!$G$118</f>
        <v>388</v>
      </c>
      <c r="AH28" s="251">
        <f>'24'!$G$119</f>
        <v>417</v>
      </c>
      <c r="AI28" s="251">
        <f>'24'!$G$120</f>
        <v>438</v>
      </c>
      <c r="AJ28" s="251">
        <f>'24'!$G$121</f>
        <v>794</v>
      </c>
      <c r="AK28" s="251">
        <f>'24'!$G$122</f>
        <v>191</v>
      </c>
      <c r="AL28" s="251">
        <f>'24'!$G$123</f>
        <v>348</v>
      </c>
      <c r="AM28" s="251">
        <f>'24'!$G$133</f>
        <v>679</v>
      </c>
      <c r="AN28" s="251">
        <f>'24'!$G$15</f>
        <v>1100</v>
      </c>
      <c r="AO28" s="256">
        <f>'24'!$G$74</f>
        <v>299</v>
      </c>
      <c r="AP28" s="256">
        <f>'24'!$G$75</f>
        <v>0</v>
      </c>
      <c r="AQ28" s="256">
        <f>'24'!$G$76</f>
        <v>121</v>
      </c>
      <c r="AR28" s="256">
        <f>'24'!$G$77</f>
        <v>43</v>
      </c>
      <c r="AS28" s="256">
        <f>'24'!$G$78</f>
        <v>2</v>
      </c>
      <c r="AT28" s="256">
        <f>AN28-SUM(AO28:AS28)</f>
        <v>635</v>
      </c>
      <c r="AU28" s="251">
        <f>SUM('24'!G91:G92)</f>
        <v>10.260000000000218</v>
      </c>
      <c r="AV28" s="251">
        <f>'24'!$G$88</f>
        <v>2.4400000000023283</v>
      </c>
      <c r="AW28" s="251">
        <f>'24'!$G$89</f>
        <v>7.3100000000013097</v>
      </c>
      <c r="AX28" s="251">
        <f>'24'!$G$90</f>
        <v>5.180000000007567</v>
      </c>
      <c r="AY28" s="255">
        <f t="shared" si="1"/>
        <v>14.930000000011205</v>
      </c>
      <c r="BA28" s="317">
        <f t="shared" si="6"/>
        <v>-336</v>
      </c>
      <c r="BB28" s="353">
        <f t="shared" si="3"/>
        <v>6563</v>
      </c>
      <c r="BC28" s="353">
        <f t="shared" si="4"/>
        <v>27.927659574468084</v>
      </c>
    </row>
    <row r="29" spans="1:55" x14ac:dyDescent="0.2">
      <c r="A29" s="361">
        <v>25</v>
      </c>
      <c r="B29" s="656">
        <f>'25'!G7</f>
        <v>23500</v>
      </c>
      <c r="C29" s="656">
        <f>'25'!G8</f>
        <v>23500</v>
      </c>
      <c r="D29" s="656">
        <f>'25'!G15</f>
        <v>1100</v>
      </c>
      <c r="E29" s="656">
        <f>'25'!G20</f>
        <v>2125</v>
      </c>
      <c r="F29" s="656">
        <f>SUM('25'!G35,'25'!G49)</f>
        <v>3243</v>
      </c>
      <c r="G29" s="656">
        <f>SUM('25'!G37,'25'!G51)</f>
        <v>1632</v>
      </c>
      <c r="H29" s="656">
        <f>SUM('25'!G38,'25'!G52)</f>
        <v>2035</v>
      </c>
      <c r="I29" s="656">
        <f>SUM('25'!G39,'25'!G53)</f>
        <v>2850</v>
      </c>
      <c r="J29" s="656">
        <f>SUM('25'!G41,'25'!G42,'25'!G55,'25'!G56)</f>
        <v>4992</v>
      </c>
      <c r="K29" s="656">
        <f>SUM('25'!G43,'25'!G57)</f>
        <v>2685</v>
      </c>
      <c r="L29" s="254">
        <f>'25'!G50</f>
        <v>1393</v>
      </c>
      <c r="M29" s="254">
        <f>'25'!G36</f>
        <v>1168</v>
      </c>
      <c r="N29" s="254">
        <f>'25'!G138</f>
        <v>137</v>
      </c>
      <c r="O29" s="254">
        <f>'25'!$G$139</f>
        <v>39</v>
      </c>
      <c r="P29" s="254">
        <f>'25'!$G$140</f>
        <v>0</v>
      </c>
      <c r="Q29" s="254">
        <f>'25'!$G$141</f>
        <v>222</v>
      </c>
      <c r="R29" s="254">
        <f>'25'!$G$142</f>
        <v>82</v>
      </c>
      <c r="S29" s="254">
        <f>'25'!$G$145</f>
        <v>15</v>
      </c>
      <c r="T29" s="251">
        <f>'25'!$G$146</f>
        <v>629</v>
      </c>
      <c r="U29" s="251">
        <f>'25'!$G$144</f>
        <v>242</v>
      </c>
      <c r="V29" s="251">
        <f>'25'!$G$147</f>
        <v>474</v>
      </c>
      <c r="W29" s="251">
        <f>'25'!$G$148</f>
        <v>398</v>
      </c>
      <c r="X29" s="251">
        <f>'25'!$G$143</f>
        <v>24</v>
      </c>
      <c r="Y29" s="251">
        <f>'25'!$G$58</f>
        <v>212</v>
      </c>
      <c r="Z29" s="251">
        <f>'25'!$G$151</f>
        <v>245</v>
      </c>
      <c r="AA29" s="251">
        <f>'25'!G161</f>
        <v>0</v>
      </c>
      <c r="AB29" s="251">
        <f>'25'!G162</f>
        <v>19</v>
      </c>
      <c r="AC29" s="251">
        <f>'25'!G88</f>
        <v>9.0299999999988358</v>
      </c>
      <c r="AD29" s="251">
        <f>'25'!G163+'25'!G164</f>
        <v>39</v>
      </c>
      <c r="AE29" s="254">
        <f>'25'!$G$116</f>
        <v>0</v>
      </c>
      <c r="AF29" s="254">
        <f>'25'!$G$117</f>
        <v>32</v>
      </c>
      <c r="AG29" s="254">
        <f>'25'!$G$118</f>
        <v>343</v>
      </c>
      <c r="AH29" s="254">
        <f>'25'!$G$119</f>
        <v>425</v>
      </c>
      <c r="AI29" s="254">
        <f>'25'!$G$120</f>
        <v>416</v>
      </c>
      <c r="AJ29" s="254">
        <f>'25'!$G$121</f>
        <v>829</v>
      </c>
      <c r="AK29" s="254">
        <f>'25'!$G$122</f>
        <v>202</v>
      </c>
      <c r="AL29" s="254">
        <f>'25'!$G$123</f>
        <v>360</v>
      </c>
      <c r="AM29" s="254">
        <f>'25'!$G$133</f>
        <v>702</v>
      </c>
      <c r="AN29" s="254">
        <f>'25'!$G$15</f>
        <v>1100</v>
      </c>
      <c r="AO29" s="256">
        <f>'25'!$G$74</f>
        <v>329</v>
      </c>
      <c r="AP29" s="256">
        <f>'25'!$G$75</f>
        <v>0</v>
      </c>
      <c r="AQ29" s="256">
        <f>'25'!$G$76</f>
        <v>123</v>
      </c>
      <c r="AR29" s="256">
        <f>'25'!$G$77</f>
        <v>83</v>
      </c>
      <c r="AS29" s="256">
        <f>'25'!$G$78</f>
        <v>4</v>
      </c>
      <c r="AT29" s="256">
        <f t="shared" si="0"/>
        <v>561</v>
      </c>
      <c r="AU29" s="254">
        <f>SUM('25'!G91:G92)</f>
        <v>11.679999999999836</v>
      </c>
      <c r="AV29" s="254">
        <f>'25'!$G$88</f>
        <v>9.0299999999988358</v>
      </c>
      <c r="AW29" s="254">
        <f>'25'!$G$89</f>
        <v>0</v>
      </c>
      <c r="AX29" s="254">
        <f>'25'!$G$90</f>
        <v>7.8499999999912689</v>
      </c>
      <c r="AY29" s="252">
        <f t="shared" si="1"/>
        <v>16.879999999990105</v>
      </c>
      <c r="BA29" s="314">
        <f t="shared" si="6"/>
        <v>-232</v>
      </c>
      <c r="BB29" s="353">
        <f t="shared" si="3"/>
        <v>5851</v>
      </c>
      <c r="BC29" s="353">
        <f t="shared" si="4"/>
        <v>24.897872340425533</v>
      </c>
    </row>
    <row r="30" spans="1:55" x14ac:dyDescent="0.2">
      <c r="A30" s="361">
        <v>26</v>
      </c>
      <c r="B30" s="656">
        <f>'26'!G7</f>
        <v>23500</v>
      </c>
      <c r="C30" s="656">
        <f>'26'!G8</f>
        <v>23500</v>
      </c>
      <c r="D30" s="656">
        <f>'26'!G15</f>
        <v>1100</v>
      </c>
      <c r="E30" s="656">
        <f>'26'!G20</f>
        <v>2245</v>
      </c>
      <c r="F30" s="656">
        <f>SUM('26'!G35,'26'!G49)</f>
        <v>3343</v>
      </c>
      <c r="G30" s="656">
        <f>SUM('26'!G37,'26'!G51)</f>
        <v>1597</v>
      </c>
      <c r="H30" s="656">
        <f>SUM('26'!G38,'26'!G52)</f>
        <v>1966</v>
      </c>
      <c r="I30" s="656">
        <f>SUM('26'!G39,'26'!G53)</f>
        <v>2728</v>
      </c>
      <c r="J30" s="656">
        <f>SUM('26'!G41,'26'!G42,'26'!G55,'26'!G56)</f>
        <v>5089</v>
      </c>
      <c r="K30" s="656">
        <f>SUM('26'!G43,'26'!G57)</f>
        <v>2682</v>
      </c>
      <c r="L30" s="254">
        <f>'26'!G50</f>
        <v>1428</v>
      </c>
      <c r="M30" s="254">
        <f>'26'!G36</f>
        <v>1268</v>
      </c>
      <c r="N30" s="254">
        <f>'26'!G138</f>
        <v>118</v>
      </c>
      <c r="O30" s="254">
        <f>'26'!$G$139</f>
        <v>2</v>
      </c>
      <c r="P30" s="254">
        <f>'26'!$G$140</f>
        <v>0</v>
      </c>
      <c r="Q30" s="254">
        <f>'26'!$G$141</f>
        <v>201</v>
      </c>
      <c r="R30" s="254">
        <f>'26'!$G$142</f>
        <v>73</v>
      </c>
      <c r="S30" s="254">
        <f>'26'!$G$145</f>
        <v>17</v>
      </c>
      <c r="T30" s="251">
        <f>'26'!$G$146</f>
        <v>465</v>
      </c>
      <c r="U30" s="251">
        <f>'26'!$G$144</f>
        <v>248</v>
      </c>
      <c r="V30" s="251">
        <f>'26'!$G$147</f>
        <v>874</v>
      </c>
      <c r="W30" s="251">
        <f>'26'!$G$148</f>
        <v>347</v>
      </c>
      <c r="X30" s="251">
        <f>'26'!$G$143</f>
        <v>22</v>
      </c>
      <c r="Y30" s="251">
        <f>'26'!$G$58</f>
        <v>250</v>
      </c>
      <c r="Z30" s="251">
        <f>'26'!$G$151</f>
        <v>225</v>
      </c>
      <c r="AA30" s="251">
        <f>'26'!G161</f>
        <v>0</v>
      </c>
      <c r="AB30" s="251">
        <f>'26'!G162</f>
        <v>14</v>
      </c>
      <c r="AC30" s="251">
        <f>'26'!G88</f>
        <v>11</v>
      </c>
      <c r="AD30" s="251">
        <f>'26'!G163+'26'!G164</f>
        <v>36</v>
      </c>
      <c r="AE30" s="254">
        <f>'26'!$G$116</f>
        <v>0</v>
      </c>
      <c r="AF30" s="254">
        <f>'26'!$G$117</f>
        <v>41</v>
      </c>
      <c r="AG30" s="254">
        <f>'26'!$G$118</f>
        <v>340</v>
      </c>
      <c r="AH30" s="254">
        <f>'26'!$G$119</f>
        <v>434</v>
      </c>
      <c r="AI30" s="254">
        <f>'26'!$G$120</f>
        <v>409</v>
      </c>
      <c r="AJ30" s="254">
        <f>'26'!$G$121</f>
        <v>773</v>
      </c>
      <c r="AK30" s="254">
        <f>'26'!$G$122</f>
        <v>231</v>
      </c>
      <c r="AL30" s="254">
        <f>'26'!$G$123</f>
        <v>355</v>
      </c>
      <c r="AM30" s="254">
        <f>'26'!$G$133</f>
        <v>673</v>
      </c>
      <c r="AN30" s="254">
        <f>'26'!$G$15</f>
        <v>1100</v>
      </c>
      <c r="AO30" s="256">
        <f>'26'!$G$74</f>
        <v>336</v>
      </c>
      <c r="AP30" s="256">
        <f>'26'!$G$75</f>
        <v>0</v>
      </c>
      <c r="AQ30" s="256">
        <f>'26'!$G$76</f>
        <v>130</v>
      </c>
      <c r="AR30" s="256">
        <f>'26'!$G$77</f>
        <v>46</v>
      </c>
      <c r="AS30" s="256">
        <f>'26'!$G$78</f>
        <v>2</v>
      </c>
      <c r="AT30" s="256">
        <f t="shared" si="0"/>
        <v>586</v>
      </c>
      <c r="AU30" s="254">
        <f>SUM('26'!G91:G92)</f>
        <v>11</v>
      </c>
      <c r="AV30" s="254">
        <f>'26'!$G$88</f>
        <v>11</v>
      </c>
      <c r="AW30" s="254">
        <f>'26'!$G$89</f>
        <v>0</v>
      </c>
      <c r="AX30" s="254">
        <f>'26'!$G$90</f>
        <v>5.8899999999994179</v>
      </c>
      <c r="AY30" s="252">
        <f t="shared" si="1"/>
        <v>16.889999999999418</v>
      </c>
      <c r="BA30" s="314">
        <f t="shared" si="6"/>
        <v>-250</v>
      </c>
      <c r="BB30" s="353">
        <f t="shared" si="3"/>
        <v>5845</v>
      </c>
      <c r="BC30" s="353">
        <f t="shared" si="4"/>
        <v>24.872340425531913</v>
      </c>
    </row>
    <row r="31" spans="1:55" x14ac:dyDescent="0.2">
      <c r="A31" s="361">
        <v>27</v>
      </c>
      <c r="B31" s="656">
        <f>'27'!G7</f>
        <v>23500</v>
      </c>
      <c r="C31" s="656">
        <f>'27'!G8</f>
        <v>23500</v>
      </c>
      <c r="D31" s="656">
        <f>'27'!G15</f>
        <v>1100</v>
      </c>
      <c r="E31" s="656">
        <f>'27'!G20</f>
        <v>2365</v>
      </c>
      <c r="F31" s="656">
        <f>SUM('27'!G35,'27'!G49)</f>
        <v>3365</v>
      </c>
      <c r="G31" s="656">
        <f>SUM('27'!G37,'27'!G51)</f>
        <v>1580</v>
      </c>
      <c r="H31" s="656">
        <f>SUM('27'!G38,'27'!G52)</f>
        <v>1959</v>
      </c>
      <c r="I31" s="656">
        <f>SUM('27'!G39,'27'!G53)</f>
        <v>2857</v>
      </c>
      <c r="J31" s="656">
        <f>SUM('27'!G41,'27'!G42,'27'!G55,'27'!G56)</f>
        <v>4970</v>
      </c>
      <c r="K31" s="656">
        <f>SUM('27'!G43,'27'!G57)</f>
        <v>2703</v>
      </c>
      <c r="L31" s="254">
        <f>'27'!G50</f>
        <v>1298</v>
      </c>
      <c r="M31" s="254">
        <f>'27'!G36</f>
        <v>880</v>
      </c>
      <c r="N31" s="254">
        <f>'27'!G138</f>
        <v>100</v>
      </c>
      <c r="O31" s="254">
        <f>'27'!$G$139</f>
        <v>17</v>
      </c>
      <c r="P31" s="254">
        <f>'27'!$G$140</f>
        <v>0</v>
      </c>
      <c r="Q31" s="254">
        <f>'27'!$G$141</f>
        <v>203</v>
      </c>
      <c r="R31" s="254">
        <f>'27'!$G$142</f>
        <v>71</v>
      </c>
      <c r="S31" s="254">
        <f>'27'!$G$145</f>
        <v>15</v>
      </c>
      <c r="T31" s="251">
        <f>'27'!$G$146</f>
        <v>488</v>
      </c>
      <c r="U31" s="251">
        <f>'27'!$G$144</f>
        <v>236</v>
      </c>
      <c r="V31" s="251">
        <f>'27'!$G$147</f>
        <v>6</v>
      </c>
      <c r="W31" s="251">
        <f>'27'!$G$148</f>
        <v>278</v>
      </c>
      <c r="X31" s="251">
        <f>'27'!$G$143</f>
        <v>22</v>
      </c>
      <c r="Y31" s="251">
        <f>'27'!$G$58</f>
        <v>223</v>
      </c>
      <c r="Z31" s="251">
        <f>'27'!$G$151</f>
        <v>211</v>
      </c>
      <c r="AA31" s="251">
        <f>'27'!G161</f>
        <v>2</v>
      </c>
      <c r="AB31" s="251">
        <f>'27'!G162</f>
        <v>30</v>
      </c>
      <c r="AC31" s="251">
        <f>'27'!G88</f>
        <v>11</v>
      </c>
      <c r="AD31" s="251">
        <f>'27'!G163+'27'!G164</f>
        <v>98</v>
      </c>
      <c r="AE31" s="254">
        <f>'27'!$G$116</f>
        <v>0</v>
      </c>
      <c r="AF31" s="254">
        <f>'27'!$G$117</f>
        <v>20</v>
      </c>
      <c r="AG31" s="254">
        <f>'27'!$G$118</f>
        <v>416</v>
      </c>
      <c r="AH31" s="254">
        <f>'27'!$G$119</f>
        <v>423</v>
      </c>
      <c r="AI31" s="254">
        <f>'27'!$G$120</f>
        <v>406</v>
      </c>
      <c r="AJ31" s="254">
        <f>'27'!$G$121</f>
        <v>791</v>
      </c>
      <c r="AK31" s="254">
        <f>'27'!$G$122</f>
        <v>220</v>
      </c>
      <c r="AL31" s="254">
        <f>'27'!$G$123</f>
        <v>348</v>
      </c>
      <c r="AM31" s="254">
        <f>'27'!$G$133</f>
        <v>657</v>
      </c>
      <c r="AN31" s="254">
        <f>'27'!$G$15</f>
        <v>1100</v>
      </c>
      <c r="AO31" s="254">
        <f>'27'!$G$74</f>
        <v>311</v>
      </c>
      <c r="AP31" s="254">
        <f>'27'!$G$75</f>
        <v>0</v>
      </c>
      <c r="AQ31" s="254">
        <f>'27'!$G$76</f>
        <v>109</v>
      </c>
      <c r="AR31" s="254">
        <f>'27'!$G$77</f>
        <v>48</v>
      </c>
      <c r="AS31" s="254">
        <f>'27'!$G$78</f>
        <v>1</v>
      </c>
      <c r="AT31" s="254">
        <f t="shared" si="0"/>
        <v>631</v>
      </c>
      <c r="AU31" s="254">
        <f>SUM('27'!G91:G92)</f>
        <v>11</v>
      </c>
      <c r="AV31" s="254">
        <f>'27'!$G$88</f>
        <v>11</v>
      </c>
      <c r="AW31" s="254">
        <f>'27'!$G$89</f>
        <v>0</v>
      </c>
      <c r="AX31" s="254">
        <f>'27'!$G$90</f>
        <v>5.4600000000064028</v>
      </c>
      <c r="AY31" s="252">
        <f t="shared" si="1"/>
        <v>16.460000000006403</v>
      </c>
      <c r="BA31" s="314">
        <f t="shared" si="6"/>
        <v>-320</v>
      </c>
      <c r="BB31" s="353">
        <f t="shared" si="3"/>
        <v>5843</v>
      </c>
      <c r="BC31" s="353">
        <f t="shared" si="4"/>
        <v>24.863829787234042</v>
      </c>
    </row>
    <row r="32" spans="1:55" x14ac:dyDescent="0.2">
      <c r="A32" s="361">
        <v>28</v>
      </c>
      <c r="B32" s="656">
        <f>'28'!G7</f>
        <v>30714</v>
      </c>
      <c r="C32" s="656">
        <f>'28'!G8</f>
        <v>23500</v>
      </c>
      <c r="D32" s="656">
        <f>'28'!G15</f>
        <v>1100</v>
      </c>
      <c r="E32" s="656">
        <f>'28'!G20</f>
        <v>2485</v>
      </c>
      <c r="F32" s="656">
        <f>SUM('28'!G35,'28'!G49)</f>
        <v>3320.6799999999639</v>
      </c>
      <c r="G32" s="656">
        <f>SUM('28'!G37,'28'!G51)</f>
        <v>1536.2300000000105</v>
      </c>
      <c r="H32" s="656">
        <f>SUM('28'!G38,'28'!G52)</f>
        <v>1967.4899999999907</v>
      </c>
      <c r="I32" s="656">
        <f>SUM('28'!G39,'28'!G53)</f>
        <v>2740.429999999993</v>
      </c>
      <c r="J32" s="656">
        <f>SUM('28'!G41,'28'!G42,'28'!G55,'28'!G56)</f>
        <v>4561.429999999993</v>
      </c>
      <c r="K32" s="656">
        <f>SUM('28'!G43,'28'!G57)</f>
        <v>2482.0699999999997</v>
      </c>
      <c r="L32" s="254">
        <f>'28'!G50</f>
        <v>1148.2000000000007</v>
      </c>
      <c r="M32" s="254">
        <f>'28'!G36</f>
        <v>766.93999999999869</v>
      </c>
      <c r="N32" s="254">
        <f>'28'!G138</f>
        <v>127</v>
      </c>
      <c r="O32" s="254">
        <f>'28'!$G$139</f>
        <v>2</v>
      </c>
      <c r="P32" s="254">
        <f>'28'!$G$140</f>
        <v>0</v>
      </c>
      <c r="Q32" s="254">
        <f>'28'!$G$141</f>
        <v>183.37999999999738</v>
      </c>
      <c r="R32" s="254">
        <f>'28'!$G$142</f>
        <v>81.340000000000146</v>
      </c>
      <c r="S32" s="254">
        <f>'28'!$G$145</f>
        <v>12.779999999999745</v>
      </c>
      <c r="T32" s="251">
        <f>'28'!$G$146</f>
        <v>480</v>
      </c>
      <c r="U32" s="251">
        <f>'28'!$G$144</f>
        <v>244</v>
      </c>
      <c r="V32" s="251">
        <f>'28'!$G$147</f>
        <v>430.76000000000931</v>
      </c>
      <c r="W32" s="251">
        <f>'28'!$G$148</f>
        <v>256.07999999995809</v>
      </c>
      <c r="X32" s="251">
        <f>'28'!$G$143</f>
        <v>24.889999999999873</v>
      </c>
      <c r="Y32" s="251">
        <f>'28'!$G$58</f>
        <v>218.32000000000698</v>
      </c>
      <c r="Z32" s="251">
        <f>'28'!$G$151</f>
        <v>256</v>
      </c>
      <c r="AA32" s="251">
        <f>'28'!G161</f>
        <v>1</v>
      </c>
      <c r="AB32" s="251">
        <f>'28'!G162</f>
        <v>27.19999999999709</v>
      </c>
      <c r="AC32" s="251">
        <f>'28'!G88</f>
        <v>1.8699999999989814</v>
      </c>
      <c r="AD32" s="251">
        <f>'28'!G163+'28'!G164</f>
        <v>99.899999999994179</v>
      </c>
      <c r="AE32" s="254">
        <f>'28'!$G$116</f>
        <v>0</v>
      </c>
      <c r="AF32" s="254">
        <f>'28'!$G$117</f>
        <v>21.059999999999945</v>
      </c>
      <c r="AG32" s="254">
        <f>'28'!$G$118</f>
        <v>426.67000000001281</v>
      </c>
      <c r="AH32" s="254">
        <f>'28'!$G$119</f>
        <v>424.25</v>
      </c>
      <c r="AI32" s="254">
        <f>'28'!$G$120</f>
        <v>414.63999999999942</v>
      </c>
      <c r="AJ32" s="254">
        <f>'28'!$G$121</f>
        <v>799.14100000000326</v>
      </c>
      <c r="AK32" s="254">
        <f>'28'!$G$122</f>
        <v>228.52000000000407</v>
      </c>
      <c r="AL32" s="254">
        <f>'28'!$G$123</f>
        <v>347.63000000000466</v>
      </c>
      <c r="AM32" s="254">
        <f>'28'!$G$133</f>
        <v>658.92999999999302</v>
      </c>
      <c r="AN32" s="254">
        <f>'28'!$G$15</f>
        <v>1100</v>
      </c>
      <c r="AO32" s="254">
        <f>'28'!$G$74</f>
        <v>325.92099999997299</v>
      </c>
      <c r="AP32" s="254">
        <f>'28'!$G$75</f>
        <v>0</v>
      </c>
      <c r="AQ32" s="254">
        <f>'28'!$G$76</f>
        <v>85.940000000002328</v>
      </c>
      <c r="AR32" s="254">
        <f>'28'!$G$77</f>
        <v>30</v>
      </c>
      <c r="AS32" s="254">
        <f>'28'!$G$78</f>
        <v>0.8999999999996362</v>
      </c>
      <c r="AT32" s="254">
        <f t="shared" si="0"/>
        <v>657.23900000002504</v>
      </c>
      <c r="AU32" s="254">
        <f>SUM('28'!G91:G92)</f>
        <v>11.680000000000291</v>
      </c>
      <c r="AV32" s="254">
        <f>'28'!$G$88</f>
        <v>1.8699999999989814</v>
      </c>
      <c r="AW32" s="254">
        <f>'28'!$G$89</f>
        <v>7.9399999999986903</v>
      </c>
      <c r="AX32" s="254">
        <f>'28'!$G$90</f>
        <v>5.9299999999930151</v>
      </c>
      <c r="AY32" s="252">
        <f t="shared" si="1"/>
        <v>15.739999999990687</v>
      </c>
      <c r="BA32" s="314">
        <f t="shared" si="6"/>
        <v>-331.31800000005205</v>
      </c>
      <c r="BB32" s="353">
        <f t="shared" si="3"/>
        <v>6673.3500000000422</v>
      </c>
      <c r="BC32" s="353">
        <f t="shared" si="4"/>
        <v>21.727388161750479</v>
      </c>
    </row>
    <row r="33" spans="1:55" x14ac:dyDescent="0.2">
      <c r="A33" s="361">
        <v>29</v>
      </c>
      <c r="B33" s="656">
        <f>'29'!G7</f>
        <v>23500</v>
      </c>
      <c r="C33" s="656">
        <f>'29'!G8</f>
        <v>23500</v>
      </c>
      <c r="D33" s="656">
        <f>'29'!G15</f>
        <v>1100</v>
      </c>
      <c r="E33" s="656">
        <f>'29'!G20</f>
        <v>2605</v>
      </c>
      <c r="F33" s="656">
        <f>SUM('29'!G35,'29'!G49)</f>
        <v>3305.5600000000268</v>
      </c>
      <c r="G33" s="656">
        <f>SUM('29'!G37,'29'!G51)</f>
        <v>1544.4799999999814</v>
      </c>
      <c r="H33" s="656">
        <f>SUM('29'!G38,'29'!G52)</f>
        <v>1870.5800000000163</v>
      </c>
      <c r="I33" s="656">
        <f>SUM('29'!G39,'29'!G53)</f>
        <v>2727.320000000007</v>
      </c>
      <c r="J33" s="656">
        <f>SUM('29'!G41,'29'!G42,'29'!G55,'29'!G56)</f>
        <v>4224.9400000000023</v>
      </c>
      <c r="K33" s="656">
        <f>SUM('29'!G43,'29'!G57)</f>
        <v>2459.9199999999983</v>
      </c>
      <c r="L33" s="254">
        <f>'29'!G50</f>
        <v>950.39999999999782</v>
      </c>
      <c r="M33" s="254">
        <f>'29'!G36</f>
        <v>817.22999999999956</v>
      </c>
      <c r="N33" s="254">
        <f>'29'!G138</f>
        <v>104</v>
      </c>
      <c r="O33" s="254">
        <f>'29'!$G$139</f>
        <v>1</v>
      </c>
      <c r="P33" s="254">
        <f>'29'!$G$140</f>
        <v>0</v>
      </c>
      <c r="Q33" s="254">
        <f>'29'!$G$141</f>
        <v>180.20000000000437</v>
      </c>
      <c r="R33" s="254">
        <f>'29'!$G$142</f>
        <v>72.400000000001455</v>
      </c>
      <c r="S33" s="254">
        <f>'29'!$G$145</f>
        <v>11.220000000000255</v>
      </c>
      <c r="T33" s="254">
        <f>'29'!$G$146</f>
        <v>443</v>
      </c>
      <c r="U33" s="254">
        <f>'29'!$G$144</f>
        <v>247</v>
      </c>
      <c r="V33" s="254">
        <f>'29'!$G$147</f>
        <v>371.52000000001863</v>
      </c>
      <c r="W33" s="254">
        <f>'29'!$G$148</f>
        <v>246.88000000000466</v>
      </c>
      <c r="X33" s="254">
        <f>'29'!$G$143</f>
        <v>24.010000000000218</v>
      </c>
      <c r="Y33" s="254">
        <f>'29'!$G$58</f>
        <v>181.27999999999884</v>
      </c>
      <c r="Z33" s="254">
        <f>'29'!$G$151</f>
        <v>223</v>
      </c>
      <c r="AA33" s="254">
        <f>'29'!G161</f>
        <v>3.9999999979045242E-2</v>
      </c>
      <c r="AB33" s="254">
        <f>'29'!G162</f>
        <v>30.400000000008731</v>
      </c>
      <c r="AC33" s="254">
        <f>'29'!G88</f>
        <v>0.19000000000232831</v>
      </c>
      <c r="AD33" s="254">
        <f>'29'!G163+'29'!G164</f>
        <v>114.10000000000855</v>
      </c>
      <c r="AE33" s="254">
        <f>'29'!$G$116</f>
        <v>0</v>
      </c>
      <c r="AF33" s="254">
        <f>'29'!$G$117</f>
        <v>20.950000000000273</v>
      </c>
      <c r="AG33" s="254">
        <f>'29'!$G$118</f>
        <v>440.03999999997905</v>
      </c>
      <c r="AH33" s="254">
        <f>'29'!$G$119</f>
        <v>389.04000000000815</v>
      </c>
      <c r="AI33" s="254">
        <f>'29'!$G$120</f>
        <v>401.86999999999898</v>
      </c>
      <c r="AJ33" s="254">
        <f>'29'!$G$121</f>
        <v>739.46899999998277</v>
      </c>
      <c r="AK33" s="254">
        <f>'29'!$G$122</f>
        <v>218.55000000000291</v>
      </c>
      <c r="AL33" s="254">
        <f>'29'!$G$123</f>
        <v>349</v>
      </c>
      <c r="AM33" s="254">
        <f>'29'!$G$133</f>
        <v>707.36000000000058</v>
      </c>
      <c r="AN33" s="254">
        <f>'29'!$G$15</f>
        <v>1100</v>
      </c>
      <c r="AO33" s="254">
        <f>'29'!$G$74</f>
        <v>326.39899999997579</v>
      </c>
      <c r="AP33" s="254">
        <f>'29'!$G$75</f>
        <v>0</v>
      </c>
      <c r="AQ33" s="254">
        <f>'29'!$G$76</f>
        <v>93.589999999996508</v>
      </c>
      <c r="AR33" s="254">
        <f>'29'!$G$77</f>
        <v>36</v>
      </c>
      <c r="AS33" s="254">
        <f>'29'!$G$78</f>
        <v>1.3000000000010914</v>
      </c>
      <c r="AT33" s="254">
        <f t="shared" si="0"/>
        <v>642.71100000002662</v>
      </c>
      <c r="AU33" s="254">
        <f>SUM('29'!G91:G92)</f>
        <v>11.449999999999818</v>
      </c>
      <c r="AV33" s="254">
        <f>'29'!$G$88</f>
        <v>0.19000000000232831</v>
      </c>
      <c r="AW33" s="254">
        <f>'29'!$G$89</f>
        <v>9.319999999999709</v>
      </c>
      <c r="AX33" s="254">
        <f>'29'!$G$90</f>
        <v>5.1000000000058208</v>
      </c>
      <c r="AY33" s="252">
        <f t="shared" si="1"/>
        <v>14.610000000007858</v>
      </c>
      <c r="BA33" s="314">
        <f t="shared" si="6"/>
        <v>-316.31200000005083</v>
      </c>
      <c r="BB33" s="353">
        <f t="shared" si="3"/>
        <v>7185.9199999999691</v>
      </c>
      <c r="BC33" s="353">
        <f t="shared" si="4"/>
        <v>30.578382978723273</v>
      </c>
    </row>
    <row r="34" spans="1:55" s="313" customFormat="1" x14ac:dyDescent="0.2">
      <c r="A34" s="361">
        <v>30</v>
      </c>
      <c r="B34" s="656">
        <f>'30'!G7</f>
        <v>23500</v>
      </c>
      <c r="C34" s="656">
        <f>'30'!G8</f>
        <v>23500</v>
      </c>
      <c r="D34" s="656">
        <f>'30'!G15</f>
        <v>1100</v>
      </c>
      <c r="E34" s="656">
        <f>'30'!G20</f>
        <v>2725</v>
      </c>
      <c r="F34" s="656">
        <f>SUM('30'!G35,'30'!G49)</f>
        <v>3495.7600000000093</v>
      </c>
      <c r="G34" s="656">
        <f>SUM('30'!G37,'30'!G51)</f>
        <v>1598.2900000000081</v>
      </c>
      <c r="H34" s="656">
        <f>SUM('30'!G38,'30'!G52)</f>
        <v>1908.929999999993</v>
      </c>
      <c r="I34" s="656">
        <f>SUM('30'!G39,'30'!G53)</f>
        <v>2712.25</v>
      </c>
      <c r="J34" s="656">
        <f>SUM('30'!G41,'30'!G42,'30'!G55,'30'!G56)</f>
        <v>4162.6300000000047</v>
      </c>
      <c r="K34" s="656">
        <f>SUM('30'!G43,'30'!G57)</f>
        <v>2662.010000000002</v>
      </c>
      <c r="L34" s="251">
        <f>'30'!G50</f>
        <v>1046.4000000000015</v>
      </c>
      <c r="M34" s="251">
        <f>'30'!G36</f>
        <v>847.83000000000175</v>
      </c>
      <c r="N34" s="251">
        <f>'30'!G138</f>
        <v>96</v>
      </c>
      <c r="O34" s="251">
        <f>'30'!$G$139</f>
        <v>1</v>
      </c>
      <c r="P34" s="251">
        <f>'30'!$G$140</f>
        <v>0</v>
      </c>
      <c r="Q34" s="251">
        <f>'30'!$G$141</f>
        <v>179.41999999999825</v>
      </c>
      <c r="R34" s="251">
        <f>'30'!$G$142</f>
        <v>75.259999999998399</v>
      </c>
      <c r="S34" s="251">
        <f>'30'!$G$145</f>
        <v>14</v>
      </c>
      <c r="T34" s="251">
        <f>'30'!$G$146</f>
        <v>481</v>
      </c>
      <c r="U34" s="251">
        <f>'30'!$G$144</f>
        <v>228</v>
      </c>
      <c r="V34" s="251">
        <f>'30'!$G$147</f>
        <v>404.71999999997206</v>
      </c>
      <c r="W34" s="251">
        <f>'30'!$G$148</f>
        <v>282.04000000003725</v>
      </c>
      <c r="X34" s="251">
        <f>'30'!$G$143</f>
        <v>23.099999999999909</v>
      </c>
      <c r="Y34" s="251">
        <f>'30'!$G$58</f>
        <v>187.39999999999418</v>
      </c>
      <c r="Z34" s="251">
        <f>'30'!$G$151</f>
        <v>241</v>
      </c>
      <c r="AA34" s="251">
        <f>'30'!G161</f>
        <v>0.96000000002095476</v>
      </c>
      <c r="AB34" s="251">
        <f>'30'!G162</f>
        <v>33.399999999994179</v>
      </c>
      <c r="AC34" s="251">
        <f>'30'!G88</f>
        <v>-6.0000000001309672E-2</v>
      </c>
      <c r="AD34" s="251">
        <f>'30'!G163+'30'!G164</f>
        <v>37.999999999997272</v>
      </c>
      <c r="AE34" s="251">
        <f>'30'!$G$116</f>
        <v>0</v>
      </c>
      <c r="AF34" s="251">
        <f>'30'!$G$117</f>
        <v>21.989999999999782</v>
      </c>
      <c r="AG34" s="251">
        <f>'30'!$G$118</f>
        <v>363.29000000000815</v>
      </c>
      <c r="AH34" s="251">
        <f>'30'!$G$119</f>
        <v>408.70999999999185</v>
      </c>
      <c r="AI34" s="251">
        <f>'30'!$G$120</f>
        <v>421.4900000000016</v>
      </c>
      <c r="AJ34" s="251">
        <f>'30'!$G$121</f>
        <v>771.39000000001397</v>
      </c>
      <c r="AK34" s="251">
        <f>'30'!$G$122</f>
        <v>215.92999999999302</v>
      </c>
      <c r="AL34" s="251">
        <f>'30'!$G$123</f>
        <v>324.36999999999534</v>
      </c>
      <c r="AM34" s="251">
        <f>'30'!$G$133</f>
        <v>587.7100000000064</v>
      </c>
      <c r="AN34" s="251">
        <f>'30'!$G$15</f>
        <v>1100</v>
      </c>
      <c r="AO34" s="251">
        <f>'30'!$G$74</f>
        <v>306.68000000005122</v>
      </c>
      <c r="AP34" s="251">
        <f>'30'!$G$75</f>
        <v>0</v>
      </c>
      <c r="AQ34" s="251">
        <f>'30'!$G$76</f>
        <v>92.470000000001164</v>
      </c>
      <c r="AR34" s="251">
        <f>'30'!$G$77</f>
        <v>41</v>
      </c>
      <c r="AS34" s="251">
        <f>'30'!$G$78</f>
        <v>0.7999999999992724</v>
      </c>
      <c r="AT34" s="251">
        <f t="shared" si="0"/>
        <v>659.04999999994834</v>
      </c>
      <c r="AU34" s="251">
        <f>SUM('30'!G91:G92)</f>
        <v>10.869999999999891</v>
      </c>
      <c r="AV34" s="251">
        <f>'30'!$G$88</f>
        <v>-6.0000000001309672E-2</v>
      </c>
      <c r="AW34" s="251">
        <f>'30'!$G$89</f>
        <v>9.7400000000016007</v>
      </c>
      <c r="AX34" s="251">
        <f>'30'!$G$90</f>
        <v>4.9700000000011642</v>
      </c>
      <c r="AY34" s="255">
        <f t="shared" si="1"/>
        <v>14.650000000001455</v>
      </c>
      <c r="BA34" s="315">
        <f t="shared" si="6"/>
        <v>-352.36999999989712</v>
      </c>
      <c r="BB34" s="353">
        <f t="shared" si="3"/>
        <v>6772.7299999999886</v>
      </c>
      <c r="BC34" s="353">
        <f t="shared" si="4"/>
        <v>28.820127659574421</v>
      </c>
    </row>
    <row r="35" spans="1:55" x14ac:dyDescent="0.2">
      <c r="A35" s="361">
        <v>31</v>
      </c>
      <c r="B35" s="656">
        <f>'31'!G7</f>
        <v>23500</v>
      </c>
      <c r="C35" s="656">
        <f>'31'!G8</f>
        <v>23500</v>
      </c>
      <c r="D35" s="656">
        <f>'31'!G15</f>
        <v>1100</v>
      </c>
      <c r="E35" s="656">
        <f>'31'!G20</f>
        <v>2845</v>
      </c>
      <c r="F35" s="656">
        <f>SUM('31'!G35,'31'!G49)</f>
        <v>3325</v>
      </c>
      <c r="G35" s="656">
        <f>SUM('31'!G37,'31'!G51)</f>
        <v>1605</v>
      </c>
      <c r="H35" s="656">
        <f>SUM('31'!G38,'31'!G52)</f>
        <v>1751</v>
      </c>
      <c r="I35" s="656">
        <f>SUM('31'!G39,'31'!G53)</f>
        <v>2762</v>
      </c>
      <c r="J35" s="656">
        <f>SUM('31'!G41,'31'!G42,'31'!G55,'31'!G56)</f>
        <v>3511</v>
      </c>
      <c r="K35" s="656">
        <f>SUM('31'!G43,'31'!G57)</f>
        <v>2607</v>
      </c>
      <c r="L35" s="251">
        <f>'31'!G50</f>
        <v>1079</v>
      </c>
      <c r="M35" s="251">
        <f>'31'!G36</f>
        <v>857</v>
      </c>
      <c r="N35" s="251">
        <f>'31'!G138</f>
        <v>102</v>
      </c>
      <c r="O35" s="251">
        <f>'31'!$G$139</f>
        <v>0</v>
      </c>
      <c r="P35" s="251">
        <f>'31'!$G$140</f>
        <v>0</v>
      </c>
      <c r="Q35" s="251">
        <f>'31'!$G$141</f>
        <v>208</v>
      </c>
      <c r="R35" s="251">
        <f>'31'!$G$142</f>
        <v>78</v>
      </c>
      <c r="S35" s="251">
        <f>'31'!$G$145</f>
        <v>14</v>
      </c>
      <c r="T35" s="251">
        <f>'31'!$G$146</f>
        <v>462</v>
      </c>
      <c r="U35" s="251">
        <f>'31'!$G$144</f>
        <v>229</v>
      </c>
      <c r="V35" s="251">
        <f>'31'!$G$147</f>
        <v>427</v>
      </c>
      <c r="W35" s="251">
        <f>'31'!$G$148</f>
        <v>300.11999999999534</v>
      </c>
      <c r="X35" s="251">
        <f>'31'!$G$143</f>
        <v>21</v>
      </c>
      <c r="Y35" s="251">
        <f>'31'!$G$58</f>
        <v>214</v>
      </c>
      <c r="Z35" s="251">
        <f>'31'!$G$151</f>
        <v>273</v>
      </c>
      <c r="AA35" s="251">
        <f>'31'!G161</f>
        <v>10.159999999974389</v>
      </c>
      <c r="AB35" s="251">
        <f>'31'!G162</f>
        <v>25</v>
      </c>
      <c r="AC35" s="251">
        <f>'31'!G89</f>
        <v>2</v>
      </c>
      <c r="AD35" s="251">
        <f>'31'!G163+'31'!G164</f>
        <v>34</v>
      </c>
      <c r="AE35" s="251">
        <f>'31'!$G$116</f>
        <v>0</v>
      </c>
      <c r="AF35" s="251">
        <f>'31'!$G$117</f>
        <v>21</v>
      </c>
      <c r="AG35" s="251">
        <f>'31'!$G$118</f>
        <v>353</v>
      </c>
      <c r="AH35" s="251">
        <f>'31'!$G$119</f>
        <v>424</v>
      </c>
      <c r="AI35" s="251">
        <f>'31'!$G$120</f>
        <v>413</v>
      </c>
      <c r="AJ35" s="251">
        <f>'31'!$G$121</f>
        <v>799</v>
      </c>
      <c r="AK35" s="251">
        <f>'31'!$G$122</f>
        <v>246</v>
      </c>
      <c r="AL35" s="251">
        <f>'31'!$G$123</f>
        <v>338</v>
      </c>
      <c r="AM35" s="251">
        <f>'31'!$G$133</f>
        <v>647</v>
      </c>
      <c r="AN35" s="251">
        <f>'31'!$G$15</f>
        <v>1100</v>
      </c>
      <c r="AO35" s="251">
        <f>'31'!$G$74</f>
        <v>269</v>
      </c>
      <c r="AP35" s="251">
        <f>'31'!$G$75</f>
        <v>0</v>
      </c>
      <c r="AQ35" s="251">
        <f>'31'!$G$76</f>
        <v>114</v>
      </c>
      <c r="AR35" s="251">
        <f>'31'!$G$77</f>
        <v>49</v>
      </c>
      <c r="AS35" s="251">
        <f>'31'!$G$78</f>
        <v>4</v>
      </c>
      <c r="AT35" s="251">
        <f t="shared" ref="AT35" si="7">AN35-SUM(AO35:AS35)</f>
        <v>664</v>
      </c>
      <c r="AU35" s="251">
        <f>SUM('31'!G92:G142)</f>
        <v>31012.744553191493</v>
      </c>
      <c r="AV35" s="251">
        <f>'31'!$G$88</f>
        <v>6</v>
      </c>
      <c r="AW35" s="251">
        <f>'31'!$G$89</f>
        <v>2</v>
      </c>
      <c r="AX35" s="251">
        <f>'30'!$G$90</f>
        <v>4.9700000000011642</v>
      </c>
      <c r="AY35" s="255">
        <f t="shared" ref="AY35" si="8">SUM(AV35:AX35)</f>
        <v>12.970000000001164</v>
      </c>
      <c r="BA35" s="314"/>
      <c r="BB35" s="353">
        <f t="shared" si="3"/>
        <v>7725</v>
      </c>
      <c r="BC35" s="353">
        <f t="shared" si="4"/>
        <v>32.872340425531917</v>
      </c>
    </row>
    <row r="36" spans="1:55" s="318" customFormat="1" x14ac:dyDescent="0.2">
      <c r="A36" s="304" t="s">
        <v>359</v>
      </c>
      <c r="B36" s="305">
        <f>AVERAGE(B5:B35)</f>
        <v>22568.741935483871</v>
      </c>
      <c r="C36" s="305">
        <f t="shared" ref="C36:BC36" si="9">AVERAGE(C5:C35)</f>
        <v>22453.290322580644</v>
      </c>
      <c r="D36" s="305">
        <f t="shared" si="9"/>
        <v>1044.1612903225807</v>
      </c>
      <c r="E36" s="305">
        <f t="shared" si="9"/>
        <v>1179.3548387096773</v>
      </c>
      <c r="F36" s="305">
        <f t="shared" si="9"/>
        <v>14625.903225806451</v>
      </c>
      <c r="G36" s="305">
        <f t="shared" si="9"/>
        <v>6696.9354838709678</v>
      </c>
      <c r="H36" s="305">
        <f t="shared" si="9"/>
        <v>7925.2258064516127</v>
      </c>
      <c r="I36" s="305">
        <f t="shared" si="9"/>
        <v>13960.032258064517</v>
      </c>
      <c r="J36" s="305">
        <f t="shared" si="9"/>
        <v>37802.548387096773</v>
      </c>
      <c r="K36" s="305">
        <f t="shared" si="9"/>
        <v>50473.580645161281</v>
      </c>
      <c r="L36" s="305">
        <f t="shared" si="9"/>
        <v>23841.129032258068</v>
      </c>
      <c r="M36" s="305">
        <f t="shared" si="9"/>
        <v>2894.516129032258</v>
      </c>
      <c r="N36" s="305">
        <f t="shared" si="9"/>
        <v>0.25806451612903225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2987.9235483870971</v>
      </c>
      <c r="Z36" s="305">
        <f t="shared" si="9"/>
        <v>0</v>
      </c>
      <c r="AA36" s="305">
        <f t="shared" si="9"/>
        <v>0.32258064516129031</v>
      </c>
      <c r="AB36" s="305">
        <f t="shared" si="9"/>
        <v>0</v>
      </c>
      <c r="AC36" s="305">
        <f t="shared" si="9"/>
        <v>2.3333333333333335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1044.1612903225807</v>
      </c>
      <c r="AO36" s="305">
        <f t="shared" si="9"/>
        <v>0</v>
      </c>
      <c r="AP36" s="305">
        <f t="shared" si="9"/>
        <v>7.8674193548386908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1036.2938709677419</v>
      </c>
      <c r="AU36" s="305">
        <f t="shared" si="9"/>
        <v>1000.1104694577901</v>
      </c>
      <c r="AV36" s="305">
        <f t="shared" si="9"/>
        <v>0</v>
      </c>
      <c r="AW36" s="305">
        <f t="shared" si="9"/>
        <v>0</v>
      </c>
      <c r="AX36" s="305">
        <f t="shared" si="9"/>
        <v>-6.5483870967704388E-2</v>
      </c>
      <c r="AY36" s="305">
        <f t="shared" si="9"/>
        <v>-6.5483870967704388E-2</v>
      </c>
      <c r="AZ36" s="305">
        <f t="shared" si="9"/>
        <v>28.427611052846604</v>
      </c>
      <c r="BA36" s="305">
        <f t="shared" si="9"/>
        <v>-268.89473684210526</v>
      </c>
      <c r="BB36" s="305">
        <f t="shared" si="9"/>
        <v>-112018.85903225804</v>
      </c>
      <c r="BC36" s="305">
        <f t="shared" si="9"/>
        <v>-475.64838599133333</v>
      </c>
    </row>
    <row r="37" spans="1:55" x14ac:dyDescent="0.2">
      <c r="A37" s="261" t="s">
        <v>196</v>
      </c>
      <c r="B37" s="305">
        <f>SUM(B5:B35)</f>
        <v>699631</v>
      </c>
      <c r="C37" s="305">
        <f t="shared" ref="C37:BC37" si="10">SUM(C5:C35)</f>
        <v>696052</v>
      </c>
      <c r="D37" s="305">
        <f t="shared" si="10"/>
        <v>32369</v>
      </c>
      <c r="E37" s="305">
        <f t="shared" si="10"/>
        <v>36560</v>
      </c>
      <c r="F37" s="305">
        <f>SUM(F5:F35)</f>
        <v>453403</v>
      </c>
      <c r="G37" s="305">
        <f t="shared" si="10"/>
        <v>207605</v>
      </c>
      <c r="H37" s="305">
        <f t="shared" si="10"/>
        <v>245682</v>
      </c>
      <c r="I37" s="305">
        <f t="shared" si="10"/>
        <v>432761</v>
      </c>
      <c r="J37" s="305">
        <f t="shared" si="10"/>
        <v>1171879</v>
      </c>
      <c r="K37" s="305">
        <f t="shared" si="10"/>
        <v>1564680.9999999998</v>
      </c>
      <c r="L37" s="305">
        <f t="shared" si="10"/>
        <v>739075.00000000012</v>
      </c>
      <c r="M37" s="305">
        <f t="shared" si="10"/>
        <v>89730</v>
      </c>
      <c r="N37" s="305">
        <f t="shared" si="10"/>
        <v>8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92625.63</v>
      </c>
      <c r="Z37" s="305">
        <f t="shared" si="10"/>
        <v>0</v>
      </c>
      <c r="AA37" s="305">
        <f t="shared" si="10"/>
        <v>10</v>
      </c>
      <c r="AB37" s="305">
        <f t="shared" si="10"/>
        <v>0</v>
      </c>
      <c r="AC37" s="305">
        <f t="shared" si="10"/>
        <v>49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32369</v>
      </c>
      <c r="AO37" s="305">
        <f t="shared" si="10"/>
        <v>0</v>
      </c>
      <c r="AP37" s="305">
        <f t="shared" si="10"/>
        <v>243.88999999999942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32125.109999999997</v>
      </c>
      <c r="AU37" s="305">
        <f t="shared" si="10"/>
        <v>31003.424553191493</v>
      </c>
      <c r="AV37" s="305">
        <f t="shared" si="10"/>
        <v>0</v>
      </c>
      <c r="AW37" s="305">
        <f t="shared" si="10"/>
        <v>0</v>
      </c>
      <c r="AX37" s="305">
        <f t="shared" si="10"/>
        <v>-2.0299999999988358</v>
      </c>
      <c r="AY37" s="305">
        <f t="shared" si="10"/>
        <v>-2.0299999999988358</v>
      </c>
      <c r="AZ37" s="305">
        <f t="shared" si="10"/>
        <v>198.99327736992623</v>
      </c>
      <c r="BA37" s="305">
        <f t="shared" si="10"/>
        <v>-5109</v>
      </c>
      <c r="BB37" s="305">
        <f t="shared" si="10"/>
        <v>-3472584.6299999994</v>
      </c>
      <c r="BC37" s="305">
        <f t="shared" si="10"/>
        <v>-14745.099965731333</v>
      </c>
    </row>
    <row r="38" spans="1:55" s="318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2"/>
      <c r="BC38" s="352"/>
    </row>
    <row r="39" spans="1:55" x14ac:dyDescent="0.2">
      <c r="A39" s="261"/>
      <c r="B39" s="261"/>
      <c r="C39" s="261"/>
      <c r="D39" s="261"/>
      <c r="E39" s="261"/>
      <c r="F39" s="657">
        <f t="shared" ref="F39:K39" si="11">F19-F18</f>
        <v>-93</v>
      </c>
      <c r="G39" s="657">
        <f t="shared" si="11"/>
        <v>-55</v>
      </c>
      <c r="H39" s="657">
        <f t="shared" si="11"/>
        <v>-98</v>
      </c>
      <c r="I39" s="657">
        <f t="shared" si="11"/>
        <v>-83</v>
      </c>
      <c r="J39" s="657">
        <f t="shared" si="11"/>
        <v>1268</v>
      </c>
      <c r="K39" s="657">
        <f t="shared" si="11"/>
        <v>-20</v>
      </c>
      <c r="L39" s="657"/>
      <c r="M39" s="657"/>
      <c r="AO39" s="319" t="s">
        <v>109</v>
      </c>
      <c r="AP39" s="320">
        <v>191</v>
      </c>
      <c r="AQ39" s="320"/>
      <c r="AR39" s="320"/>
    </row>
    <row r="40" spans="1:55" x14ac:dyDescent="0.2">
      <c r="A40" s="261"/>
      <c r="B40" s="261"/>
      <c r="C40" s="261"/>
      <c r="D40" s="261"/>
      <c r="E40" s="261"/>
      <c r="AO40" s="320"/>
      <c r="AP40" s="320">
        <v>88</v>
      </c>
      <c r="AQ40" s="320"/>
      <c r="AR40" s="320"/>
    </row>
    <row r="41" spans="1:55" x14ac:dyDescent="0.2">
      <c r="A41" s="261"/>
      <c r="B41" s="261"/>
      <c r="C41" s="261"/>
      <c r="D41" s="261"/>
      <c r="E41" s="261"/>
      <c r="AO41" s="320"/>
      <c r="AP41" s="321">
        <f>SUM(AP39:AP40)</f>
        <v>279</v>
      </c>
      <c r="AQ41" s="320" t="s">
        <v>110</v>
      </c>
      <c r="AR41" s="320">
        <v>335</v>
      </c>
    </row>
    <row r="42" spans="1:55" x14ac:dyDescent="0.2">
      <c r="A42" s="261"/>
      <c r="B42" s="261"/>
      <c r="C42" s="261"/>
      <c r="D42" s="261"/>
      <c r="E42" s="261"/>
      <c r="AO42" s="320"/>
      <c r="AP42" s="320"/>
      <c r="AQ42" s="320"/>
      <c r="AR42" s="320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9" t="s">
        <v>111</v>
      </c>
      <c r="AP43" s="321">
        <v>168</v>
      </c>
      <c r="AQ43" s="320"/>
      <c r="AR43" s="320"/>
    </row>
    <row r="44" spans="1:55" x14ac:dyDescent="0.2">
      <c r="A44" s="261"/>
      <c r="B44" s="261"/>
      <c r="C44" s="261"/>
      <c r="D44" s="261"/>
      <c r="E44" s="261"/>
      <c r="AO44" s="320"/>
      <c r="AP44" s="320"/>
      <c r="AQ44" s="320" t="s">
        <v>112</v>
      </c>
      <c r="AR44" s="320"/>
    </row>
    <row r="45" spans="1:55" x14ac:dyDescent="0.2">
      <c r="A45" s="261"/>
      <c r="B45" s="261"/>
      <c r="C45" s="261"/>
      <c r="D45" s="261"/>
      <c r="E45" s="261"/>
      <c r="AO45" s="320" t="s">
        <v>113</v>
      </c>
      <c r="AP45" s="320">
        <f>20*38.68</f>
        <v>773.6</v>
      </c>
      <c r="AQ45" s="320" t="s">
        <v>114</v>
      </c>
      <c r="AR45" s="320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2"/>
      <c r="B89" s="322"/>
      <c r="C89" s="322"/>
      <c r="D89" s="322"/>
      <c r="E89" s="322"/>
    </row>
    <row r="90" spans="1:5" x14ac:dyDescent="0.2">
      <c r="A90" s="322"/>
      <c r="B90" s="322"/>
      <c r="C90" s="322"/>
      <c r="D90" s="322"/>
      <c r="E90" s="322"/>
    </row>
    <row r="91" spans="1:5" x14ac:dyDescent="0.2">
      <c r="A91" s="322"/>
      <c r="B91" s="322"/>
      <c r="C91" s="322"/>
      <c r="D91" s="322"/>
      <c r="E91" s="322"/>
    </row>
    <row r="92" spans="1:5" x14ac:dyDescent="0.2">
      <c r="A92" s="322"/>
      <c r="B92" s="322"/>
      <c r="C92" s="322"/>
      <c r="D92" s="322"/>
      <c r="E92" s="322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48" zoomScale="60" zoomScaleNormal="61" zoomScalePageLayoutView="70" workbookViewId="0">
      <selection activeCell="F156" sqref="F156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9" customWidth="1"/>
    <col min="6" max="6" width="19.44140625" style="499" customWidth="1"/>
    <col min="7" max="7" width="28.88671875" style="699" customWidth="1"/>
    <col min="8" max="8" width="24.6640625" style="170" customWidth="1"/>
    <col min="9" max="9" width="23.5546875" style="499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90" t="s">
        <v>115</v>
      </c>
      <c r="B1" s="791"/>
      <c r="C1" s="791"/>
      <c r="D1" s="791"/>
      <c r="E1" s="791"/>
      <c r="F1" s="791"/>
      <c r="G1" s="791"/>
      <c r="H1" s="791"/>
      <c r="I1" s="791"/>
      <c r="J1" s="792"/>
    </row>
    <row r="2" spans="1:15" ht="22.5" x14ac:dyDescent="0.4">
      <c r="A2" s="512" t="s">
        <v>350</v>
      </c>
      <c r="B2" s="535">
        <v>44562</v>
      </c>
      <c r="C2" s="380" t="s">
        <v>67</v>
      </c>
      <c r="D2" s="381">
        <v>0.96</v>
      </c>
      <c r="E2" s="380"/>
      <c r="F2" s="380"/>
      <c r="G2" s="689" t="s">
        <v>116</v>
      </c>
      <c r="H2" s="380" t="s">
        <v>5</v>
      </c>
      <c r="I2" s="380" t="s">
        <v>7</v>
      </c>
      <c r="J2" s="385" t="s">
        <v>117</v>
      </c>
    </row>
    <row r="3" spans="1:15" ht="22.5" x14ac:dyDescent="0.4">
      <c r="A3" s="513"/>
      <c r="B3" s="382"/>
      <c r="C3" s="380" t="s">
        <v>118</v>
      </c>
      <c r="D3" s="383">
        <v>22</v>
      </c>
      <c r="E3" s="802" t="s">
        <v>119</v>
      </c>
      <c r="F3" s="803"/>
      <c r="G3" s="689"/>
      <c r="H3" s="384"/>
      <c r="I3" s="384"/>
      <c r="J3" s="385"/>
      <c r="K3" s="536"/>
      <c r="L3" s="431"/>
    </row>
    <row r="4" spans="1:15" ht="22.5" x14ac:dyDescent="0.4">
      <c r="A4" s="514"/>
      <c r="B4" s="386"/>
      <c r="C4" s="380" t="s">
        <v>120</v>
      </c>
      <c r="D4" s="381">
        <v>0.76</v>
      </c>
      <c r="E4" s="387"/>
      <c r="F4" s="387"/>
      <c r="G4" s="689"/>
      <c r="H4" s="387"/>
      <c r="I4" s="388"/>
      <c r="J4" s="385"/>
      <c r="K4" s="537"/>
      <c r="L4" s="431"/>
    </row>
    <row r="5" spans="1:15" ht="22.5" x14ac:dyDescent="0.4">
      <c r="A5" s="515" t="s">
        <v>121</v>
      </c>
      <c r="B5" s="389"/>
      <c r="C5" s="389"/>
      <c r="D5" s="389" t="s">
        <v>122</v>
      </c>
      <c r="E5" s="407" t="s">
        <v>370</v>
      </c>
      <c r="F5" s="407" t="s">
        <v>110</v>
      </c>
      <c r="G5" s="563" t="s">
        <v>124</v>
      </c>
      <c r="H5" s="397" t="s">
        <v>125</v>
      </c>
      <c r="I5" s="398" t="s">
        <v>126</v>
      </c>
      <c r="J5" s="391" t="s">
        <v>127</v>
      </c>
      <c r="K5" s="538"/>
      <c r="L5" s="431"/>
    </row>
    <row r="6" spans="1:15" ht="22.5" x14ac:dyDescent="0.4">
      <c r="A6" s="793" t="s">
        <v>128</v>
      </c>
      <c r="B6" s="794"/>
      <c r="C6" s="795"/>
      <c r="D6" s="392"/>
      <c r="E6" s="393"/>
      <c r="F6" s="393"/>
      <c r="G6" s="575"/>
      <c r="H6" s="393"/>
      <c r="I6" s="393"/>
      <c r="J6" s="394"/>
      <c r="K6" s="539"/>
      <c r="L6" s="431"/>
    </row>
    <row r="7" spans="1:15" ht="23.25" thickBot="1" x14ac:dyDescent="0.45">
      <c r="A7" s="516" t="s">
        <v>129</v>
      </c>
      <c r="B7" s="395"/>
      <c r="C7" s="395"/>
      <c r="D7" s="151" t="s">
        <v>130</v>
      </c>
      <c r="E7" s="398">
        <v>94561</v>
      </c>
      <c r="F7" s="398">
        <v>114567.53</v>
      </c>
      <c r="G7" s="690">
        <f>F7-E7</f>
        <v>20006.53</v>
      </c>
      <c r="H7" s="398">
        <f>G7</f>
        <v>20006.53</v>
      </c>
      <c r="I7" s="405">
        <v>12000</v>
      </c>
      <c r="J7" s="399">
        <f>H7/DAY(B2)</f>
        <v>20006.53</v>
      </c>
      <c r="K7" s="540">
        <v>1375467</v>
      </c>
      <c r="L7" s="431"/>
      <c r="N7" s="541"/>
      <c r="O7" s="171"/>
    </row>
    <row r="8" spans="1:15" ht="23.25" thickBot="1" x14ac:dyDescent="0.45">
      <c r="A8" s="517" t="s">
        <v>131</v>
      </c>
      <c r="B8" s="400"/>
      <c r="C8" s="401"/>
      <c r="D8" s="224" t="s">
        <v>24</v>
      </c>
      <c r="E8" s="398">
        <v>140885</v>
      </c>
      <c r="F8" s="398">
        <v>161334</v>
      </c>
      <c r="G8" s="690">
        <f>F8-E8</f>
        <v>20449</v>
      </c>
      <c r="H8" s="398">
        <f>G8</f>
        <v>20449</v>
      </c>
      <c r="I8" s="402">
        <v>12000</v>
      </c>
      <c r="J8" s="399">
        <f>H8/DAY(B2)</f>
        <v>20449</v>
      </c>
      <c r="K8" s="540">
        <v>1715917</v>
      </c>
      <c r="L8" s="397">
        <v>1728480</v>
      </c>
      <c r="M8" s="541">
        <f>L8-K8</f>
        <v>12563</v>
      </c>
      <c r="N8" s="541"/>
      <c r="O8" s="171"/>
    </row>
    <row r="9" spans="1:15" ht="22.5" x14ac:dyDescent="0.4">
      <c r="A9" s="518" t="s">
        <v>132</v>
      </c>
      <c r="B9" s="403"/>
      <c r="C9" s="403"/>
      <c r="D9" s="396" t="s">
        <v>130</v>
      </c>
      <c r="E9" s="675">
        <v>2258776</v>
      </c>
      <c r="F9" s="676">
        <v>2271542.1</v>
      </c>
      <c r="G9" s="691">
        <f>F9-E9</f>
        <v>12766.100000000093</v>
      </c>
      <c r="H9" s="398">
        <f t="shared" ref="H9:H13" si="0">G9</f>
        <v>12766.100000000093</v>
      </c>
      <c r="I9" s="405">
        <f>I8-J8</f>
        <v>-8449</v>
      </c>
      <c r="J9" s="399">
        <f>H9/DAY(B2)</f>
        <v>12766.100000000093</v>
      </c>
      <c r="K9" s="542">
        <f>K8-100</f>
        <v>1715817</v>
      </c>
      <c r="L9" s="431"/>
      <c r="N9" s="541"/>
      <c r="O9" s="171"/>
    </row>
    <row r="10" spans="1:15" ht="22.5" x14ac:dyDescent="0.4">
      <c r="A10" s="516" t="s">
        <v>133</v>
      </c>
      <c r="B10" s="395"/>
      <c r="C10" s="395"/>
      <c r="D10" s="396" t="s">
        <v>130</v>
      </c>
      <c r="E10" s="676">
        <v>540826</v>
      </c>
      <c r="F10" s="676">
        <v>547525.15</v>
      </c>
      <c r="G10" s="691">
        <f t="shared" ref="G10:G11" si="1">F10-E10</f>
        <v>6699.1500000000233</v>
      </c>
      <c r="H10" s="398">
        <f t="shared" si="0"/>
        <v>6699.1500000000233</v>
      </c>
      <c r="I10" s="398"/>
      <c r="J10" s="399">
        <f>H10/DAY(B2)</f>
        <v>6699.1500000000233</v>
      </c>
      <c r="K10" s="542"/>
      <c r="L10" s="431"/>
      <c r="N10" s="541"/>
      <c r="O10" s="171"/>
    </row>
    <row r="11" spans="1:15" ht="22.5" x14ac:dyDescent="0.4">
      <c r="A11" s="516" t="s">
        <v>134</v>
      </c>
      <c r="B11" s="395"/>
      <c r="C11" s="395"/>
      <c r="D11" s="396" t="s">
        <v>130</v>
      </c>
      <c r="E11" s="398">
        <v>37000</v>
      </c>
      <c r="F11" s="398">
        <v>37000</v>
      </c>
      <c r="G11" s="691">
        <f t="shared" si="1"/>
        <v>0</v>
      </c>
      <c r="H11" s="398">
        <f t="shared" si="0"/>
        <v>0</v>
      </c>
      <c r="I11" s="398"/>
      <c r="J11" s="399">
        <f>H11/DAY(B2)</f>
        <v>0</v>
      </c>
      <c r="K11" s="542"/>
      <c r="L11" s="431"/>
      <c r="N11" s="541"/>
      <c r="O11" s="171">
        <f>142-18</f>
        <v>124</v>
      </c>
    </row>
    <row r="12" spans="1:15" ht="22.5" x14ac:dyDescent="0.4">
      <c r="A12" s="516" t="s">
        <v>135</v>
      </c>
      <c r="B12" s="395"/>
      <c r="C12" s="395"/>
      <c r="D12" s="396" t="s">
        <v>130</v>
      </c>
      <c r="E12" s="676">
        <v>40010</v>
      </c>
      <c r="F12" s="676">
        <v>40010</v>
      </c>
      <c r="G12" s="691">
        <f>F12-E12</f>
        <v>0</v>
      </c>
      <c r="H12" s="398">
        <f t="shared" si="0"/>
        <v>0</v>
      </c>
      <c r="I12" s="398"/>
      <c r="J12" s="399">
        <f>H12/DAY(B2)</f>
        <v>0</v>
      </c>
      <c r="K12" s="542"/>
      <c r="L12" s="431"/>
      <c r="N12" s="541"/>
      <c r="O12" s="171"/>
    </row>
    <row r="13" spans="1:15" ht="22.5" x14ac:dyDescent="0.4">
      <c r="A13" s="519" t="s">
        <v>136</v>
      </c>
      <c r="B13" s="406"/>
      <c r="C13" s="406"/>
      <c r="D13" s="396"/>
      <c r="E13" s="398"/>
      <c r="F13" s="398"/>
      <c r="G13" s="691">
        <f>F13-E13</f>
        <v>0</v>
      </c>
      <c r="H13" s="398">
        <f t="shared" si="0"/>
        <v>0</v>
      </c>
      <c r="I13" s="405">
        <f>G7-G13</f>
        <v>20006.53</v>
      </c>
      <c r="J13" s="399">
        <f>H13/DAY(B2)</f>
        <v>0</v>
      </c>
      <c r="K13" s="542"/>
      <c r="L13" s="431"/>
      <c r="N13" s="541"/>
      <c r="O13" s="171"/>
    </row>
    <row r="14" spans="1:15" ht="22.5" x14ac:dyDescent="0.4">
      <c r="A14" s="796" t="s">
        <v>137</v>
      </c>
      <c r="B14" s="797"/>
      <c r="C14" s="798"/>
      <c r="D14" s="393"/>
      <c r="E14" s="662"/>
      <c r="F14" s="662"/>
      <c r="G14" s="125"/>
      <c r="H14" s="662"/>
      <c r="I14" s="662"/>
      <c r="J14" s="663"/>
      <c r="K14" s="543"/>
      <c r="L14" s="431"/>
      <c r="N14" s="541"/>
      <c r="O14" s="171"/>
    </row>
    <row r="15" spans="1:15" ht="22.5" x14ac:dyDescent="0.4">
      <c r="A15" s="520" t="s">
        <v>138</v>
      </c>
      <c r="B15" s="409"/>
      <c r="C15" s="409"/>
      <c r="D15" s="396" t="s">
        <v>139</v>
      </c>
      <c r="E15" s="675">
        <v>1878430</v>
      </c>
      <c r="F15" s="677">
        <v>1879500.0859999999</v>
      </c>
      <c r="G15" s="692">
        <f>(F15-E15)</f>
        <v>1070.0859999998938</v>
      </c>
      <c r="H15" s="405">
        <f>G15</f>
        <v>1070.0859999998938</v>
      </c>
      <c r="I15" s="405">
        <v>800</v>
      </c>
      <c r="J15" s="399">
        <f>H15/DAY(B2)</f>
        <v>1070.0859999998938</v>
      </c>
      <c r="K15" s="542"/>
      <c r="L15" s="431"/>
      <c r="N15" s="541"/>
      <c r="O15" s="171"/>
    </row>
    <row r="16" spans="1:15" ht="22.5" x14ac:dyDescent="0.4">
      <c r="A16" s="521"/>
      <c r="B16" s="412"/>
      <c r="C16" s="412"/>
      <c r="D16" s="413"/>
      <c r="E16" s="675"/>
      <c r="F16" s="675"/>
      <c r="G16" s="691"/>
      <c r="H16" s="405"/>
      <c r="I16" s="405">
        <f>I15-J15</f>
        <v>-270.08599999989383</v>
      </c>
      <c r="J16" s="414"/>
      <c r="K16" s="542"/>
      <c r="L16" s="431"/>
      <c r="N16" s="541"/>
      <c r="O16" s="171"/>
    </row>
    <row r="17" spans="1:15" ht="22.5" x14ac:dyDescent="0.4">
      <c r="A17" s="796" t="s">
        <v>140</v>
      </c>
      <c r="B17" s="797"/>
      <c r="C17" s="798"/>
      <c r="D17" s="393"/>
      <c r="E17" s="662"/>
      <c r="F17" s="662"/>
      <c r="G17" s="125"/>
      <c r="H17" s="662"/>
      <c r="I17" s="662"/>
      <c r="J17" s="663"/>
      <c r="K17" s="542"/>
      <c r="L17" s="431"/>
      <c r="N17" s="541"/>
      <c r="O17" s="171"/>
    </row>
    <row r="18" spans="1:15" ht="22.5" x14ac:dyDescent="0.4">
      <c r="A18" s="764" t="s">
        <v>141</v>
      </c>
      <c r="B18" s="765"/>
      <c r="C18" s="766"/>
      <c r="D18" s="396" t="s">
        <v>142</v>
      </c>
      <c r="E18" s="678">
        <v>0</v>
      </c>
      <c r="F18" s="678">
        <v>0</v>
      </c>
      <c r="G18" s="666">
        <f>F18*10</f>
        <v>0</v>
      </c>
      <c r="H18" s="398">
        <f>G18</f>
        <v>0</v>
      </c>
      <c r="I18" s="405">
        <v>65</v>
      </c>
      <c r="J18" s="399">
        <f>H18/DAY(B2)</f>
        <v>0</v>
      </c>
      <c r="K18" s="542"/>
      <c r="L18" s="431"/>
      <c r="N18" s="541"/>
      <c r="O18" s="171"/>
    </row>
    <row r="19" spans="1:15" ht="22.5" x14ac:dyDescent="0.4">
      <c r="A19" s="764" t="s">
        <v>69</v>
      </c>
      <c r="B19" s="765"/>
      <c r="C19" s="766"/>
      <c r="D19" s="396" t="s">
        <v>142</v>
      </c>
      <c r="E19" s="678">
        <v>152225</v>
      </c>
      <c r="F19" s="678">
        <v>152279</v>
      </c>
      <c r="G19" s="691">
        <f t="shared" ref="G19" si="2">F19-E19</f>
        <v>54</v>
      </c>
      <c r="H19" s="398">
        <f t="shared" ref="H19" si="3">G19</f>
        <v>54</v>
      </c>
      <c r="I19" s="676"/>
      <c r="J19" s="399">
        <f>H19/DAY(B2)</f>
        <v>54</v>
      </c>
      <c r="K19" s="542"/>
      <c r="L19" s="431"/>
      <c r="N19" s="541"/>
      <c r="O19" s="171"/>
    </row>
    <row r="20" spans="1:15" ht="22.5" x14ac:dyDescent="0.4">
      <c r="A20" s="519" t="s">
        <v>143</v>
      </c>
      <c r="B20" s="406"/>
      <c r="C20" s="406"/>
      <c r="D20" s="416"/>
      <c r="E20" s="679"/>
      <c r="F20" s="679"/>
      <c r="G20" s="693">
        <f>G18+G19</f>
        <v>54</v>
      </c>
      <c r="H20" s="398">
        <f>G20</f>
        <v>54</v>
      </c>
      <c r="I20" s="417">
        <f>I18-J20</f>
        <v>11</v>
      </c>
      <c r="J20" s="399">
        <f>H20/DAY(B2)</f>
        <v>54</v>
      </c>
      <c r="K20" s="542"/>
      <c r="L20" s="431"/>
      <c r="N20" s="541"/>
      <c r="O20" s="171"/>
    </row>
    <row r="21" spans="1:15" ht="22.5" x14ac:dyDescent="0.4">
      <c r="A21" s="796" t="s">
        <v>144</v>
      </c>
      <c r="B21" s="797"/>
      <c r="C21" s="798"/>
      <c r="D21" s="393"/>
      <c r="E21" s="662"/>
      <c r="F21" s="662"/>
      <c r="G21" s="125"/>
      <c r="H21" s="662"/>
      <c r="I21" s="662"/>
      <c r="J21" s="663"/>
      <c r="K21" s="542"/>
      <c r="L21" s="431"/>
      <c r="N21" s="541"/>
      <c r="O21" s="171"/>
    </row>
    <row r="22" spans="1:15" ht="22.5" x14ac:dyDescent="0.4">
      <c r="A22" s="520" t="s">
        <v>145</v>
      </c>
      <c r="B22" s="409"/>
      <c r="C22" s="409"/>
      <c r="D22" s="396" t="s">
        <v>146</v>
      </c>
      <c r="E22" s="678">
        <v>2970</v>
      </c>
      <c r="F22" s="678">
        <v>2970</v>
      </c>
      <c r="G22" s="666">
        <f>(F22-E22)</f>
        <v>0</v>
      </c>
      <c r="H22" s="398">
        <f>G22</f>
        <v>0</v>
      </c>
      <c r="I22" s="398"/>
      <c r="J22" s="399">
        <f>H22/DAY(B2)</f>
        <v>0</v>
      </c>
      <c r="K22" s="542"/>
      <c r="L22" s="431"/>
      <c r="N22" s="541"/>
      <c r="O22" s="171"/>
    </row>
    <row r="23" spans="1:15" ht="22.5" x14ac:dyDescent="0.4">
      <c r="A23" s="520" t="s">
        <v>147</v>
      </c>
      <c r="B23" s="409"/>
      <c r="C23" s="409"/>
      <c r="D23" s="396" t="s">
        <v>146</v>
      </c>
      <c r="E23" s="678">
        <v>2000</v>
      </c>
      <c r="F23" s="678">
        <v>2000</v>
      </c>
      <c r="G23" s="666">
        <f t="shared" ref="G23" si="4">(F23-E23)</f>
        <v>0</v>
      </c>
      <c r="H23" s="398">
        <f t="shared" ref="H23:H24" si="5">G23</f>
        <v>0</v>
      </c>
      <c r="I23" s="398"/>
      <c r="J23" s="399">
        <f>H23/DAY(B2)</f>
        <v>0</v>
      </c>
      <c r="K23" s="542"/>
      <c r="L23" s="431"/>
      <c r="N23" s="541"/>
      <c r="O23" s="171"/>
    </row>
    <row r="24" spans="1:15" ht="22.5" x14ac:dyDescent="0.4">
      <c r="A24" s="522" t="s">
        <v>148</v>
      </c>
      <c r="B24" s="418"/>
      <c r="C24" s="418"/>
      <c r="D24" s="389" t="s">
        <v>146</v>
      </c>
      <c r="E24" s="680">
        <v>4970</v>
      </c>
      <c r="F24" s="680"/>
      <c r="G24" s="666">
        <f>SUM(G22:G23)</f>
        <v>0</v>
      </c>
      <c r="H24" s="398">
        <f t="shared" si="5"/>
        <v>0</v>
      </c>
      <c r="I24" s="398"/>
      <c r="J24" s="399">
        <f>H24/DAY(B2)</f>
        <v>0</v>
      </c>
      <c r="K24" s="542"/>
      <c r="L24" s="431"/>
      <c r="N24" s="541"/>
      <c r="O24" s="171"/>
    </row>
    <row r="25" spans="1:15" ht="22.5" x14ac:dyDescent="0.4">
      <c r="A25" s="793" t="s">
        <v>149</v>
      </c>
      <c r="B25" s="794"/>
      <c r="C25" s="795"/>
      <c r="D25" s="392"/>
      <c r="E25" s="662"/>
      <c r="F25" s="662"/>
      <c r="G25" s="125"/>
      <c r="H25" s="662"/>
      <c r="I25" s="681"/>
      <c r="J25" s="663"/>
      <c r="K25" s="542"/>
      <c r="L25" s="431"/>
      <c r="N25" s="541"/>
      <c r="O25" s="171"/>
    </row>
    <row r="26" spans="1:15" ht="22.5" x14ac:dyDescent="0.4">
      <c r="A26" s="523" t="s">
        <v>150</v>
      </c>
      <c r="B26" s="419"/>
      <c r="C26" s="420"/>
      <c r="D26" s="421" t="s">
        <v>151</v>
      </c>
      <c r="E26" s="682"/>
      <c r="F26" s="682"/>
      <c r="G26" s="694"/>
      <c r="H26" s="398"/>
      <c r="I26" s="422"/>
      <c r="J26" s="399"/>
      <c r="K26" s="543"/>
      <c r="L26" s="431"/>
      <c r="N26" s="541"/>
      <c r="O26" s="171"/>
    </row>
    <row r="27" spans="1:15" ht="22.5" x14ac:dyDescent="0.4">
      <c r="A27" s="523" t="s">
        <v>5</v>
      </c>
      <c r="B27" s="419"/>
      <c r="C27" s="420"/>
      <c r="D27" s="423" t="s">
        <v>24</v>
      </c>
      <c r="E27" s="683">
        <f>G8</f>
        <v>20449</v>
      </c>
      <c r="F27" s="683">
        <v>9</v>
      </c>
      <c r="G27" s="695">
        <f>E27*F27</f>
        <v>184041</v>
      </c>
      <c r="H27" s="398">
        <f t="shared" ref="H27:H32" si="6">G27</f>
        <v>184041</v>
      </c>
      <c r="I27" s="684"/>
      <c r="J27" s="399">
        <f>H27/DAY(B2)</f>
        <v>184041</v>
      </c>
      <c r="K27" s="542"/>
      <c r="L27" s="431"/>
      <c r="N27" s="541"/>
      <c r="O27" s="171"/>
    </row>
    <row r="28" spans="1:15" ht="22.5" x14ac:dyDescent="0.4">
      <c r="A28" s="523" t="s">
        <v>152</v>
      </c>
      <c r="B28" s="419"/>
      <c r="C28" s="420"/>
      <c r="D28" s="423" t="s">
        <v>153</v>
      </c>
      <c r="E28" s="683">
        <f>G15</f>
        <v>1070.0859999998938</v>
      </c>
      <c r="F28" s="683">
        <v>52</v>
      </c>
      <c r="G28" s="695">
        <f>E28*F28</f>
        <v>55644.471999994479</v>
      </c>
      <c r="H28" s="398">
        <f t="shared" si="6"/>
        <v>55644.471999994479</v>
      </c>
      <c r="I28" s="422"/>
      <c r="J28" s="399">
        <f>H28/DAY(B2)</f>
        <v>55644.471999994479</v>
      </c>
      <c r="K28" s="542"/>
      <c r="L28" s="431"/>
      <c r="N28" s="541"/>
      <c r="O28" s="171"/>
    </row>
    <row r="29" spans="1:15" ht="22.5" x14ac:dyDescent="0.4">
      <c r="A29" s="523" t="s">
        <v>154</v>
      </c>
      <c r="B29" s="419"/>
      <c r="C29" s="420"/>
      <c r="D29" s="423" t="s">
        <v>155</v>
      </c>
      <c r="E29" s="683">
        <f>G24</f>
        <v>0</v>
      </c>
      <c r="F29" s="683">
        <v>69</v>
      </c>
      <c r="G29" s="695">
        <f>E29*F29</f>
        <v>0</v>
      </c>
      <c r="H29" s="398">
        <f t="shared" si="6"/>
        <v>0</v>
      </c>
      <c r="I29" s="422"/>
      <c r="J29" s="399">
        <f>H29/DAY(B2)</f>
        <v>0</v>
      </c>
      <c r="K29" s="542"/>
      <c r="L29" s="431"/>
      <c r="N29" s="541"/>
      <c r="O29" s="171"/>
    </row>
    <row r="30" spans="1:15" ht="22.5" x14ac:dyDescent="0.4">
      <c r="A30" s="523" t="s">
        <v>156</v>
      </c>
      <c r="B30" s="419"/>
      <c r="C30" s="420"/>
      <c r="D30" s="423" t="s">
        <v>157</v>
      </c>
      <c r="E30" s="683">
        <f>G19</f>
        <v>54</v>
      </c>
      <c r="F30" s="683">
        <v>146</v>
      </c>
      <c r="G30" s="695">
        <f>E30*F30</f>
        <v>7884</v>
      </c>
      <c r="H30" s="398">
        <f t="shared" si="6"/>
        <v>7884</v>
      </c>
      <c r="I30" s="422"/>
      <c r="J30" s="399">
        <f>H30/DAY(B2)</f>
        <v>7884</v>
      </c>
      <c r="K30" s="542"/>
      <c r="L30" s="431"/>
      <c r="N30" s="541"/>
      <c r="O30" s="171"/>
    </row>
    <row r="31" spans="1:15" ht="22.5" x14ac:dyDescent="0.4">
      <c r="A31" s="523" t="s">
        <v>158</v>
      </c>
      <c r="B31" s="419"/>
      <c r="C31" s="420"/>
      <c r="D31" s="423" t="s">
        <v>142</v>
      </c>
      <c r="E31" s="683">
        <f>G18</f>
        <v>0</v>
      </c>
      <c r="F31" s="683">
        <v>80</v>
      </c>
      <c r="G31" s="695">
        <f>E31*F31</f>
        <v>0</v>
      </c>
      <c r="H31" s="398">
        <f t="shared" si="6"/>
        <v>0</v>
      </c>
      <c r="I31" s="422"/>
      <c r="J31" s="399">
        <f>H31/DAY(B2)</f>
        <v>0</v>
      </c>
      <c r="K31" s="542"/>
      <c r="L31" s="431"/>
      <c r="N31" s="541"/>
      <c r="O31" s="171"/>
    </row>
    <row r="32" spans="1:15" ht="22.5" x14ac:dyDescent="0.4">
      <c r="A32" s="524" t="s">
        <v>159</v>
      </c>
      <c r="B32" s="424"/>
      <c r="C32" s="425"/>
      <c r="D32" s="426"/>
      <c r="E32" s="664"/>
      <c r="F32" s="664"/>
      <c r="G32" s="702">
        <f>G27+G28+G29+G30+G31</f>
        <v>247569.47199999448</v>
      </c>
      <c r="H32" s="703">
        <f t="shared" si="6"/>
        <v>247569.47199999448</v>
      </c>
      <c r="I32" s="704"/>
      <c r="J32" s="705">
        <f>H32/DAY(B2)</f>
        <v>247569.47199999448</v>
      </c>
      <c r="K32" s="542"/>
      <c r="L32" s="431"/>
      <c r="N32" s="541"/>
      <c r="O32" s="171"/>
    </row>
    <row r="33" spans="1:15" ht="25.5" customHeight="1" x14ac:dyDescent="0.4">
      <c r="A33" s="804" t="s">
        <v>331</v>
      </c>
      <c r="B33" s="805"/>
      <c r="C33" s="805"/>
      <c r="D33" s="544"/>
      <c r="E33" s="685"/>
      <c r="F33" s="686"/>
      <c r="G33" s="696"/>
      <c r="H33" s="686"/>
      <c r="I33" s="686"/>
      <c r="J33" s="687"/>
      <c r="K33" s="542"/>
      <c r="L33" s="431"/>
      <c r="N33" s="541"/>
      <c r="O33" s="171"/>
    </row>
    <row r="34" spans="1:15" ht="22.5" x14ac:dyDescent="0.4">
      <c r="A34" s="525" t="s">
        <v>160</v>
      </c>
      <c r="B34" s="427"/>
      <c r="C34" s="427"/>
      <c r="D34" s="393"/>
      <c r="E34" s="662"/>
      <c r="F34" s="662"/>
      <c r="G34" s="488"/>
      <c r="H34" s="662"/>
      <c r="I34" s="662"/>
      <c r="J34" s="663"/>
      <c r="K34" s="542"/>
      <c r="L34" s="431"/>
      <c r="N34" s="541"/>
      <c r="O34" s="171"/>
    </row>
    <row r="35" spans="1:15" ht="22.5" x14ac:dyDescent="0.4">
      <c r="A35" s="516" t="s">
        <v>161</v>
      </c>
      <c r="B35" s="395"/>
      <c r="C35" s="395"/>
      <c r="D35" s="396" t="s">
        <v>130</v>
      </c>
      <c r="E35" s="676">
        <v>152842</v>
      </c>
      <c r="F35" s="676">
        <v>154894.12</v>
      </c>
      <c r="G35" s="691">
        <f t="shared" ref="G35:G46" si="7">F35-E35</f>
        <v>2052.1199999999953</v>
      </c>
      <c r="H35" s="398">
        <f t="shared" ref="H35:H47" si="8">G35</f>
        <v>2052.1199999999953</v>
      </c>
      <c r="I35" s="398"/>
      <c r="J35" s="399">
        <f>H35/DAY(B2)</f>
        <v>2052.1199999999953</v>
      </c>
      <c r="K35" s="542"/>
      <c r="L35" s="431"/>
      <c r="N35" s="541"/>
      <c r="O35" s="171"/>
    </row>
    <row r="36" spans="1:15" ht="22.5" x14ac:dyDescent="0.4">
      <c r="A36" s="516" t="s">
        <v>162</v>
      </c>
      <c r="B36" s="395"/>
      <c r="C36" s="395"/>
      <c r="D36" s="396" t="s">
        <v>130</v>
      </c>
      <c r="E36" s="676">
        <v>21527</v>
      </c>
      <c r="F36" s="676">
        <v>22412.33</v>
      </c>
      <c r="G36" s="691">
        <f t="shared" si="7"/>
        <v>885.33000000000175</v>
      </c>
      <c r="H36" s="398">
        <f t="shared" si="8"/>
        <v>885.33000000000175</v>
      </c>
      <c r="I36" s="398"/>
      <c r="J36" s="399">
        <f>H36/DAY(B2)</f>
        <v>885.33000000000175</v>
      </c>
      <c r="K36" s="542"/>
      <c r="L36" s="431"/>
      <c r="N36" s="541"/>
      <c r="O36" s="545"/>
    </row>
    <row r="37" spans="1:15" ht="22.5" x14ac:dyDescent="0.4">
      <c r="A37" s="516" t="s">
        <v>163</v>
      </c>
      <c r="B37" s="395"/>
      <c r="C37" s="395"/>
      <c r="D37" s="396" t="s">
        <v>130</v>
      </c>
      <c r="E37" s="676">
        <v>195393</v>
      </c>
      <c r="F37" s="676">
        <v>196966.51</v>
      </c>
      <c r="G37" s="691">
        <f t="shared" si="7"/>
        <v>1573.5100000000093</v>
      </c>
      <c r="H37" s="398">
        <f t="shared" si="8"/>
        <v>1573.5100000000093</v>
      </c>
      <c r="I37" s="398"/>
      <c r="J37" s="399">
        <f>H37/DAY(B2)</f>
        <v>1573.5100000000093</v>
      </c>
      <c r="K37" s="542"/>
      <c r="L37" s="431"/>
      <c r="N37" s="541"/>
      <c r="O37" s="546"/>
    </row>
    <row r="38" spans="1:15" ht="22.5" x14ac:dyDescent="0.4">
      <c r="A38" s="516" t="s">
        <v>164</v>
      </c>
      <c r="B38" s="395"/>
      <c r="C38" s="395"/>
      <c r="D38" s="396" t="s">
        <v>130</v>
      </c>
      <c r="E38" s="398">
        <v>232482</v>
      </c>
      <c r="F38" s="398">
        <v>234147.43</v>
      </c>
      <c r="G38" s="691">
        <f t="shared" si="7"/>
        <v>1665.429999999993</v>
      </c>
      <c r="H38" s="398">
        <f t="shared" si="8"/>
        <v>1665.429999999993</v>
      </c>
      <c r="I38" s="398"/>
      <c r="J38" s="399">
        <f>H38/DAY(B2)</f>
        <v>1665.429999999993</v>
      </c>
      <c r="K38" s="542"/>
      <c r="L38" s="431"/>
      <c r="N38" s="541"/>
      <c r="O38" s="171"/>
    </row>
    <row r="39" spans="1:15" ht="22.5" x14ac:dyDescent="0.4">
      <c r="A39" s="516" t="s">
        <v>165</v>
      </c>
      <c r="B39" s="395"/>
      <c r="C39" s="395"/>
      <c r="D39" s="396" t="s">
        <v>130</v>
      </c>
      <c r="E39" s="676">
        <v>411079</v>
      </c>
      <c r="F39" s="676">
        <v>413803.39</v>
      </c>
      <c r="G39" s="691">
        <f t="shared" si="7"/>
        <v>2724.390000000014</v>
      </c>
      <c r="H39" s="398">
        <f t="shared" si="8"/>
        <v>2724.390000000014</v>
      </c>
      <c r="I39" s="398"/>
      <c r="J39" s="399">
        <f>H39/DAY(B2)</f>
        <v>2724.390000000014</v>
      </c>
      <c r="K39" s="542"/>
      <c r="L39" s="431"/>
      <c r="N39" s="541"/>
      <c r="O39" s="171"/>
    </row>
    <row r="40" spans="1:15" ht="22.5" x14ac:dyDescent="0.4">
      <c r="A40" s="526" t="s">
        <v>166</v>
      </c>
      <c r="B40" s="428"/>
      <c r="C40" s="428"/>
      <c r="D40" s="396" t="s">
        <v>130</v>
      </c>
      <c r="E40" s="676">
        <v>5610</v>
      </c>
      <c r="F40" s="676">
        <v>5609.97</v>
      </c>
      <c r="G40" s="691">
        <f t="shared" si="7"/>
        <v>-2.9999999999745341E-2</v>
      </c>
      <c r="H40" s="398">
        <f t="shared" si="8"/>
        <v>-2.9999999999745341E-2</v>
      </c>
      <c r="I40" s="398"/>
      <c r="J40" s="399">
        <f>H40/DAY(B2)</f>
        <v>-2.9999999999745341E-2</v>
      </c>
      <c r="K40" s="543"/>
      <c r="L40" s="431"/>
      <c r="N40" s="541"/>
      <c r="O40" s="171"/>
    </row>
    <row r="41" spans="1:15" ht="22.5" x14ac:dyDescent="0.4">
      <c r="A41" s="516" t="s">
        <v>167</v>
      </c>
      <c r="B41" s="395"/>
      <c r="C41" s="395"/>
      <c r="D41" s="396" t="s">
        <v>130</v>
      </c>
      <c r="E41" s="676">
        <v>0</v>
      </c>
      <c r="F41" s="676">
        <v>0</v>
      </c>
      <c r="G41" s="691">
        <f t="shared" si="7"/>
        <v>0</v>
      </c>
      <c r="H41" s="398">
        <f t="shared" si="8"/>
        <v>0</v>
      </c>
      <c r="I41" s="398"/>
      <c r="J41" s="399">
        <f>H41/DAY(B2)</f>
        <v>0</v>
      </c>
      <c r="K41" s="542"/>
      <c r="L41" s="431"/>
      <c r="N41" s="541"/>
      <c r="O41" s="171"/>
    </row>
    <row r="42" spans="1:15" ht="22.5" x14ac:dyDescent="0.4">
      <c r="A42" s="516" t="s">
        <v>168</v>
      </c>
      <c r="B42" s="395"/>
      <c r="C42" s="395"/>
      <c r="D42" s="396" t="s">
        <v>130</v>
      </c>
      <c r="E42" s="676">
        <v>73809</v>
      </c>
      <c r="F42" s="676">
        <v>73808.600000000006</v>
      </c>
      <c r="G42" s="691">
        <f t="shared" si="7"/>
        <v>-0.39999999999417923</v>
      </c>
      <c r="H42" s="398">
        <f t="shared" si="8"/>
        <v>-0.39999999999417923</v>
      </c>
      <c r="I42" s="398"/>
      <c r="J42" s="399">
        <f>H42/DAY(B2)</f>
        <v>-0.39999999999417923</v>
      </c>
      <c r="K42" s="542"/>
      <c r="L42" s="431"/>
      <c r="N42" s="541"/>
      <c r="O42" s="171"/>
    </row>
    <row r="43" spans="1:15" ht="22.5" x14ac:dyDescent="0.4">
      <c r="A43" s="516" t="s">
        <v>169</v>
      </c>
      <c r="B43" s="395"/>
      <c r="C43" s="395"/>
      <c r="D43" s="396" t="s">
        <v>130</v>
      </c>
      <c r="E43" s="676">
        <v>47261</v>
      </c>
      <c r="F43" s="676">
        <v>49822.23</v>
      </c>
      <c r="G43" s="691">
        <f t="shared" si="7"/>
        <v>2561.2300000000032</v>
      </c>
      <c r="H43" s="398">
        <f t="shared" si="8"/>
        <v>2561.2300000000032</v>
      </c>
      <c r="I43" s="398"/>
      <c r="J43" s="399">
        <f>H43/DAY(B2)</f>
        <v>2561.2300000000032</v>
      </c>
      <c r="K43" s="542"/>
      <c r="L43" s="431"/>
      <c r="N43" s="541"/>
      <c r="O43" s="171"/>
    </row>
    <row r="44" spans="1:15" ht="22.5" x14ac:dyDescent="0.4">
      <c r="A44" s="516" t="s">
        <v>170</v>
      </c>
      <c r="B44" s="395"/>
      <c r="C44" s="395"/>
      <c r="D44" s="396" t="s">
        <v>130</v>
      </c>
      <c r="E44" s="676">
        <v>0</v>
      </c>
      <c r="F44" s="676">
        <v>0</v>
      </c>
      <c r="G44" s="691">
        <f t="shared" si="7"/>
        <v>0</v>
      </c>
      <c r="H44" s="398">
        <f t="shared" si="8"/>
        <v>0</v>
      </c>
      <c r="I44" s="398"/>
      <c r="J44" s="399">
        <f>H44/DAY(B2)</f>
        <v>0</v>
      </c>
      <c r="K44" s="542"/>
      <c r="L44" s="431"/>
      <c r="N44" s="541"/>
      <c r="O44" s="171"/>
    </row>
    <row r="45" spans="1:15" ht="22.5" x14ac:dyDescent="0.4">
      <c r="A45" s="516" t="s">
        <v>171</v>
      </c>
      <c r="B45" s="395"/>
      <c r="C45" s="395"/>
      <c r="D45" s="396" t="s">
        <v>130</v>
      </c>
      <c r="E45" s="676">
        <v>0</v>
      </c>
      <c r="F45" s="676">
        <v>0</v>
      </c>
      <c r="G45" s="691">
        <f t="shared" si="7"/>
        <v>0</v>
      </c>
      <c r="H45" s="398">
        <f t="shared" si="8"/>
        <v>0</v>
      </c>
      <c r="I45" s="398"/>
      <c r="J45" s="399">
        <f>H45/DAY(B2)</f>
        <v>0</v>
      </c>
      <c r="K45" s="542"/>
      <c r="L45" s="431"/>
      <c r="N45" s="541"/>
      <c r="O45" s="171"/>
    </row>
    <row r="46" spans="1:15" ht="22.5" x14ac:dyDescent="0.4">
      <c r="A46" s="516" t="s">
        <v>172</v>
      </c>
      <c r="B46" s="395"/>
      <c r="C46" s="395"/>
      <c r="D46" s="396" t="s">
        <v>130</v>
      </c>
      <c r="E46" s="676">
        <v>0</v>
      </c>
      <c r="F46" s="676">
        <v>0</v>
      </c>
      <c r="G46" s="691">
        <f t="shared" si="7"/>
        <v>0</v>
      </c>
      <c r="H46" s="398">
        <f t="shared" si="8"/>
        <v>0</v>
      </c>
      <c r="I46" s="398"/>
      <c r="J46" s="399">
        <f>H46/DAY(B2)</f>
        <v>0</v>
      </c>
      <c r="K46" s="542"/>
      <c r="L46" s="431"/>
      <c r="N46" s="541"/>
      <c r="O46" s="171"/>
    </row>
    <row r="47" spans="1:15" ht="22.5" x14ac:dyDescent="0.4">
      <c r="A47" s="519" t="s">
        <v>173</v>
      </c>
      <c r="B47" s="406"/>
      <c r="C47" s="406"/>
      <c r="D47" s="390"/>
      <c r="E47" s="398"/>
      <c r="F47" s="398"/>
      <c r="G47" s="666">
        <f>G35+G36+G37+G38+G39+G40+G41+G42+G43+G44+G45+G46</f>
        <v>11461.580000000024</v>
      </c>
      <c r="H47" s="398">
        <f t="shared" si="8"/>
        <v>11461.580000000024</v>
      </c>
      <c r="I47" s="398"/>
      <c r="J47" s="399">
        <f>H47/DAY(B2)</f>
        <v>11461.580000000024</v>
      </c>
      <c r="K47" s="542"/>
      <c r="L47" s="431"/>
      <c r="N47" s="541"/>
      <c r="O47" s="171"/>
    </row>
    <row r="48" spans="1:15" ht="22.5" x14ac:dyDescent="0.4">
      <c r="A48" s="525" t="s">
        <v>174</v>
      </c>
      <c r="B48" s="427"/>
      <c r="C48" s="427"/>
      <c r="D48" s="393"/>
      <c r="E48" s="662"/>
      <c r="F48" s="662"/>
      <c r="G48" s="488"/>
      <c r="H48" s="662"/>
      <c r="I48" s="662"/>
      <c r="J48" s="663"/>
      <c r="K48" s="542"/>
      <c r="L48" s="431"/>
      <c r="N48" s="541"/>
      <c r="O48" s="171"/>
    </row>
    <row r="49" spans="1:15" ht="22.5" x14ac:dyDescent="0.4">
      <c r="A49" s="516" t="s">
        <v>161</v>
      </c>
      <c r="B49" s="429"/>
      <c r="C49" s="429"/>
      <c r="D49" s="396" t="s">
        <v>130</v>
      </c>
      <c r="E49" s="676">
        <v>272240</v>
      </c>
      <c r="F49" s="676">
        <v>273858.83</v>
      </c>
      <c r="G49" s="691">
        <f t="shared" ref="G49:G58" si="9">F49-E49</f>
        <v>1618.8300000000163</v>
      </c>
      <c r="H49" s="398">
        <f t="shared" ref="H49:H60" si="10">G49</f>
        <v>1618.8300000000163</v>
      </c>
      <c r="I49" s="398"/>
      <c r="J49" s="399">
        <f>H49/DAY(B2)</f>
        <v>1618.8300000000163</v>
      </c>
      <c r="K49" s="542"/>
      <c r="L49" s="431"/>
      <c r="N49" s="541"/>
      <c r="O49" s="171"/>
    </row>
    <row r="50" spans="1:15" ht="22.5" x14ac:dyDescent="0.4">
      <c r="A50" s="516" t="s">
        <v>175</v>
      </c>
      <c r="B50" s="429"/>
      <c r="C50" s="429"/>
      <c r="D50" s="396" t="s">
        <v>130</v>
      </c>
      <c r="E50" s="676">
        <v>24650</v>
      </c>
      <c r="F50" s="676">
        <v>25886.02</v>
      </c>
      <c r="G50" s="691">
        <f t="shared" si="9"/>
        <v>1236.0200000000004</v>
      </c>
      <c r="H50" s="398">
        <f t="shared" si="10"/>
        <v>1236.0200000000004</v>
      </c>
      <c r="I50" s="398"/>
      <c r="J50" s="399">
        <f>H50/DAY(B2)</f>
        <v>1236.0200000000004</v>
      </c>
      <c r="K50" s="542"/>
      <c r="L50" s="431"/>
      <c r="N50" s="541"/>
      <c r="O50" s="171"/>
    </row>
    <row r="51" spans="1:15" ht="22.5" x14ac:dyDescent="0.4">
      <c r="A51" s="516" t="s">
        <v>163</v>
      </c>
      <c r="B51" s="429"/>
      <c r="C51" s="429"/>
      <c r="D51" s="396" t="s">
        <v>130</v>
      </c>
      <c r="E51" s="676">
        <v>0</v>
      </c>
      <c r="F51" s="676">
        <v>0</v>
      </c>
      <c r="G51" s="691">
        <f t="shared" si="9"/>
        <v>0</v>
      </c>
      <c r="H51" s="398">
        <f t="shared" si="10"/>
        <v>0</v>
      </c>
      <c r="I51" s="398"/>
      <c r="J51" s="399">
        <f>H51/DAY(B2)</f>
        <v>0</v>
      </c>
      <c r="K51" s="542"/>
      <c r="L51" s="431"/>
      <c r="N51" s="541"/>
      <c r="O51" s="171"/>
    </row>
    <row r="52" spans="1:15" ht="22.5" x14ac:dyDescent="0.4">
      <c r="A52" s="516" t="s">
        <v>176</v>
      </c>
      <c r="B52" s="429"/>
      <c r="C52" s="429"/>
      <c r="D52" s="396" t="s">
        <v>130</v>
      </c>
      <c r="E52" s="676">
        <v>0</v>
      </c>
      <c r="F52" s="676">
        <v>0</v>
      </c>
      <c r="G52" s="691">
        <f t="shared" si="9"/>
        <v>0</v>
      </c>
      <c r="H52" s="398">
        <f t="shared" si="10"/>
        <v>0</v>
      </c>
      <c r="I52" s="398"/>
      <c r="J52" s="399">
        <f>H52/DAY(B2)</f>
        <v>0</v>
      </c>
      <c r="K52" s="542"/>
      <c r="L52" s="431"/>
      <c r="N52" s="541"/>
      <c r="O52" s="171"/>
    </row>
    <row r="53" spans="1:15" ht="22.5" x14ac:dyDescent="0.4">
      <c r="A53" s="516" t="s">
        <v>165</v>
      </c>
      <c r="B53" s="429"/>
      <c r="C53" s="429"/>
      <c r="D53" s="396" t="s">
        <v>130</v>
      </c>
      <c r="E53" s="676">
        <v>0</v>
      </c>
      <c r="F53" s="676">
        <v>0</v>
      </c>
      <c r="G53" s="691">
        <f t="shared" si="9"/>
        <v>0</v>
      </c>
      <c r="H53" s="398">
        <f t="shared" si="10"/>
        <v>0</v>
      </c>
      <c r="I53" s="398"/>
      <c r="J53" s="399">
        <f>H53/DAY(B2)</f>
        <v>0</v>
      </c>
      <c r="K53" s="542"/>
      <c r="L53" s="431"/>
      <c r="N53" s="541"/>
      <c r="O53" s="171"/>
    </row>
    <row r="54" spans="1:15" ht="22.5" x14ac:dyDescent="0.4">
      <c r="A54" s="516" t="s">
        <v>177</v>
      </c>
      <c r="B54" s="429"/>
      <c r="C54" s="429"/>
      <c r="D54" s="396" t="s">
        <v>130</v>
      </c>
      <c r="E54" s="676">
        <v>3183</v>
      </c>
      <c r="F54" s="676">
        <v>3188.13</v>
      </c>
      <c r="G54" s="691">
        <f t="shared" si="9"/>
        <v>5.1300000000001091</v>
      </c>
      <c r="H54" s="398">
        <f t="shared" si="10"/>
        <v>5.1300000000001091</v>
      </c>
      <c r="I54" s="398"/>
      <c r="J54" s="399">
        <f>H54/DAY(B2)</f>
        <v>5.1300000000001091</v>
      </c>
      <c r="K54" s="542"/>
      <c r="L54" s="431"/>
      <c r="N54" s="541"/>
      <c r="O54" s="171"/>
    </row>
    <row r="55" spans="1:15" ht="22.5" x14ac:dyDescent="0.4">
      <c r="A55" s="516" t="s">
        <v>178</v>
      </c>
      <c r="B55" s="429"/>
      <c r="C55" s="429"/>
      <c r="D55" s="396" t="s">
        <v>130</v>
      </c>
      <c r="E55" s="676">
        <v>3511</v>
      </c>
      <c r="F55" s="676">
        <v>5942.82</v>
      </c>
      <c r="G55" s="691">
        <f t="shared" si="9"/>
        <v>2431.8199999999997</v>
      </c>
      <c r="H55" s="398">
        <f t="shared" si="10"/>
        <v>2431.8199999999997</v>
      </c>
      <c r="I55" s="398"/>
      <c r="J55" s="399">
        <f>H55/DAY(B2)</f>
        <v>2431.8199999999997</v>
      </c>
      <c r="K55" s="542"/>
      <c r="L55" s="431"/>
      <c r="N55" s="541"/>
      <c r="O55" s="171"/>
    </row>
    <row r="56" spans="1:15" ht="22.5" x14ac:dyDescent="0.4">
      <c r="A56" s="516" t="s">
        <v>179</v>
      </c>
      <c r="B56" s="429"/>
      <c r="C56" s="429"/>
      <c r="D56" s="396" t="s">
        <v>180</v>
      </c>
      <c r="E56" s="676">
        <v>8610.5400000000009</v>
      </c>
      <c r="F56" s="676">
        <v>8610.5400000000009</v>
      </c>
      <c r="G56" s="691">
        <f t="shared" si="9"/>
        <v>0</v>
      </c>
      <c r="H56" s="398">
        <f t="shared" si="10"/>
        <v>0</v>
      </c>
      <c r="I56" s="398"/>
      <c r="J56" s="399">
        <f>H56/DAY(B2)</f>
        <v>0</v>
      </c>
      <c r="K56" s="539"/>
      <c r="L56" s="431"/>
      <c r="N56" s="541"/>
      <c r="O56" s="171"/>
    </row>
    <row r="57" spans="1:15" ht="22.5" x14ac:dyDescent="0.4">
      <c r="A57" s="516" t="s">
        <v>169</v>
      </c>
      <c r="B57" s="429"/>
      <c r="C57" s="429"/>
      <c r="D57" s="396" t="s">
        <v>130</v>
      </c>
      <c r="E57" s="676">
        <v>0</v>
      </c>
      <c r="F57" s="676">
        <v>0</v>
      </c>
      <c r="G57" s="691">
        <f t="shared" si="9"/>
        <v>0</v>
      </c>
      <c r="H57" s="398">
        <f t="shared" si="10"/>
        <v>0</v>
      </c>
      <c r="I57" s="398"/>
      <c r="J57" s="399">
        <f>H57/DAY(B2)</f>
        <v>0</v>
      </c>
      <c r="K57" s="542"/>
      <c r="L57" s="431"/>
      <c r="N57" s="541"/>
      <c r="O57" s="171"/>
    </row>
    <row r="58" spans="1:15" ht="22.5" x14ac:dyDescent="0.4">
      <c r="A58" s="516" t="s">
        <v>181</v>
      </c>
      <c r="B58" s="429"/>
      <c r="C58" s="429"/>
      <c r="D58" s="396" t="s">
        <v>130</v>
      </c>
      <c r="E58" s="676">
        <v>92285</v>
      </c>
      <c r="F58" s="676">
        <v>92510.94</v>
      </c>
      <c r="G58" s="691">
        <f t="shared" si="9"/>
        <v>225.94000000000233</v>
      </c>
      <c r="H58" s="398">
        <f t="shared" si="10"/>
        <v>225.94000000000233</v>
      </c>
      <c r="I58" s="398"/>
      <c r="J58" s="399">
        <f>H58/DAY(B2)</f>
        <v>225.94000000000233</v>
      </c>
      <c r="K58" s="542"/>
      <c r="L58" s="431"/>
      <c r="N58" s="541"/>
      <c r="O58" s="171"/>
    </row>
    <row r="59" spans="1:15" ht="22.5" x14ac:dyDescent="0.4">
      <c r="A59" s="519" t="s">
        <v>173</v>
      </c>
      <c r="B59" s="406"/>
      <c r="C59" s="406"/>
      <c r="D59" s="389"/>
      <c r="E59" s="398"/>
      <c r="F59" s="398"/>
      <c r="G59" s="666">
        <f>G49+G50+G51+G52+G53+G54+G55+G56+G57+G58</f>
        <v>5517.7400000000189</v>
      </c>
      <c r="H59" s="398">
        <f t="shared" si="10"/>
        <v>5517.7400000000189</v>
      </c>
      <c r="I59" s="398">
        <f>G7-G60</f>
        <v>3027.2099999999555</v>
      </c>
      <c r="J59" s="399">
        <f>H59/DAY(B2)</f>
        <v>5517.7400000000189</v>
      </c>
      <c r="K59" s="542"/>
      <c r="L59" s="431"/>
      <c r="N59" s="541"/>
      <c r="O59" s="171"/>
    </row>
    <row r="60" spans="1:15" ht="22.5" x14ac:dyDescent="0.4">
      <c r="A60" s="516"/>
      <c r="B60" s="395"/>
      <c r="C60" s="395"/>
      <c r="D60" s="389" t="s">
        <v>182</v>
      </c>
      <c r="E60" s="398"/>
      <c r="F60" s="398"/>
      <c r="G60" s="666">
        <f>G47+G59</f>
        <v>16979.320000000043</v>
      </c>
      <c r="H60" s="398">
        <f t="shared" si="10"/>
        <v>16979.320000000043</v>
      </c>
      <c r="I60" s="398">
        <f>G13-G60</f>
        <v>-16979.320000000043</v>
      </c>
      <c r="J60" s="399">
        <f>H60/DAY(B2)</f>
        <v>16979.320000000043</v>
      </c>
      <c r="K60" s="542"/>
      <c r="L60" s="431"/>
      <c r="N60" s="541"/>
      <c r="O60" s="171"/>
    </row>
    <row r="61" spans="1:15" s="549" customFormat="1" ht="22.5" x14ac:dyDescent="0.4">
      <c r="A61" s="784" t="s">
        <v>332</v>
      </c>
      <c r="B61" s="785"/>
      <c r="C61" s="786"/>
      <c r="D61" s="430"/>
      <c r="E61" s="660"/>
      <c r="F61" s="660"/>
      <c r="G61" s="342"/>
      <c r="H61" s="660"/>
      <c r="I61" s="660"/>
      <c r="J61" s="688"/>
      <c r="K61" s="547"/>
      <c r="L61" s="548"/>
      <c r="N61" s="541"/>
      <c r="O61" s="171"/>
    </row>
    <row r="62" spans="1:15" ht="22.5" x14ac:dyDescent="0.4">
      <c r="A62" s="764" t="s">
        <v>198</v>
      </c>
      <c r="B62" s="765"/>
      <c r="C62" s="766"/>
      <c r="D62" s="396" t="s">
        <v>142</v>
      </c>
      <c r="E62" s="678">
        <v>267213</v>
      </c>
      <c r="F62" s="678">
        <v>267213</v>
      </c>
      <c r="G62" s="691">
        <f t="shared" ref="G62:G63" si="11">F62-E62</f>
        <v>0</v>
      </c>
      <c r="H62" s="398">
        <f t="shared" ref="H62:H71" si="12">G62</f>
        <v>0</v>
      </c>
      <c r="I62" s="398"/>
      <c r="J62" s="399">
        <f>H62/DAY(B2)</f>
        <v>0</v>
      </c>
      <c r="K62" s="543"/>
      <c r="L62" s="431"/>
      <c r="N62" s="541"/>
      <c r="O62" s="171"/>
    </row>
    <row r="63" spans="1:15" ht="22.5" x14ac:dyDescent="0.4">
      <c r="A63" s="764" t="s">
        <v>199</v>
      </c>
      <c r="B63" s="765"/>
      <c r="C63" s="766"/>
      <c r="D63" s="396" t="s">
        <v>142</v>
      </c>
      <c r="E63" s="678">
        <v>212425</v>
      </c>
      <c r="F63" s="678">
        <v>212558</v>
      </c>
      <c r="G63" s="691">
        <f t="shared" si="11"/>
        <v>133</v>
      </c>
      <c r="H63" s="398">
        <f t="shared" si="12"/>
        <v>133</v>
      </c>
      <c r="I63" s="398"/>
      <c r="J63" s="399">
        <f>H63/DAY(B2)</f>
        <v>133</v>
      </c>
      <c r="K63" s="547"/>
      <c r="L63" s="431"/>
      <c r="N63" s="541"/>
      <c r="O63" s="171"/>
    </row>
    <row r="64" spans="1:15" ht="22.5" x14ac:dyDescent="0.4">
      <c r="A64" s="758" t="s">
        <v>200</v>
      </c>
      <c r="B64" s="759"/>
      <c r="C64" s="760"/>
      <c r="D64" s="396"/>
      <c r="E64" s="678"/>
      <c r="F64" s="678"/>
      <c r="G64" s="691">
        <f>G62+G63</f>
        <v>133</v>
      </c>
      <c r="H64" s="398">
        <f t="shared" si="12"/>
        <v>133</v>
      </c>
      <c r="I64" s="398"/>
      <c r="J64" s="399">
        <f>H64/DAY(B2)</f>
        <v>133</v>
      </c>
      <c r="K64" s="547"/>
      <c r="L64" s="431"/>
      <c r="N64" s="541"/>
      <c r="O64" s="171"/>
    </row>
    <row r="65" spans="1:15" ht="22.5" x14ac:dyDescent="0.4">
      <c r="A65" s="799" t="s">
        <v>201</v>
      </c>
      <c r="B65" s="800"/>
      <c r="C65" s="801"/>
      <c r="D65" s="396" t="s">
        <v>142</v>
      </c>
      <c r="E65" s="678">
        <v>432614</v>
      </c>
      <c r="F65" s="678">
        <v>432712</v>
      </c>
      <c r="G65" s="691">
        <f t="shared" ref="G65:G70" si="13">F65-E65</f>
        <v>98</v>
      </c>
      <c r="H65" s="398">
        <f t="shared" si="12"/>
        <v>98</v>
      </c>
      <c r="I65" s="398"/>
      <c r="J65" s="399">
        <f>H65/DAY(B2)</f>
        <v>98</v>
      </c>
      <c r="K65" s="547"/>
      <c r="L65" s="431"/>
      <c r="N65" s="541"/>
      <c r="O65" s="171"/>
    </row>
    <row r="66" spans="1:15" ht="22.5" x14ac:dyDescent="0.4">
      <c r="A66" s="520" t="s">
        <v>202</v>
      </c>
      <c r="B66" s="409"/>
      <c r="C66" s="409"/>
      <c r="D66" s="396" t="s">
        <v>142</v>
      </c>
      <c r="E66" s="678">
        <v>107214</v>
      </c>
      <c r="F66" s="678">
        <v>107242</v>
      </c>
      <c r="G66" s="691">
        <f t="shared" si="13"/>
        <v>28</v>
      </c>
      <c r="H66" s="398">
        <f t="shared" si="12"/>
        <v>28</v>
      </c>
      <c r="I66" s="398"/>
      <c r="J66" s="399">
        <f>H66/DAY(B2)</f>
        <v>28</v>
      </c>
      <c r="K66" s="539"/>
      <c r="L66" s="431"/>
      <c r="N66" s="541"/>
      <c r="O66" s="171"/>
    </row>
    <row r="67" spans="1:15" ht="22.5" x14ac:dyDescent="0.4">
      <c r="A67" s="520" t="s">
        <v>203</v>
      </c>
      <c r="B67" s="409"/>
      <c r="C67" s="409"/>
      <c r="D67" s="396" t="s">
        <v>142</v>
      </c>
      <c r="E67" s="678">
        <v>103928</v>
      </c>
      <c r="F67" s="678">
        <v>103968</v>
      </c>
      <c r="G67" s="691">
        <f t="shared" si="13"/>
        <v>40</v>
      </c>
      <c r="H67" s="398">
        <f t="shared" si="12"/>
        <v>40</v>
      </c>
      <c r="I67" s="398"/>
      <c r="J67" s="399">
        <f>H67/DAY(B2)</f>
        <v>40</v>
      </c>
      <c r="K67" s="550"/>
      <c r="L67" s="431"/>
      <c r="N67" s="541"/>
      <c r="O67" s="171"/>
    </row>
    <row r="68" spans="1:15" ht="22.5" x14ac:dyDescent="0.4">
      <c r="A68" s="520" t="s">
        <v>204</v>
      </c>
      <c r="B68" s="409"/>
      <c r="C68" s="409"/>
      <c r="D68" s="396" t="s">
        <v>142</v>
      </c>
      <c r="E68" s="678">
        <v>156620</v>
      </c>
      <c r="F68" s="678">
        <v>156634</v>
      </c>
      <c r="G68" s="691">
        <f t="shared" si="13"/>
        <v>14</v>
      </c>
      <c r="H68" s="398">
        <f t="shared" si="12"/>
        <v>14</v>
      </c>
      <c r="I68" s="398"/>
      <c r="J68" s="399">
        <f>H68/DAY(B2)</f>
        <v>14</v>
      </c>
      <c r="K68" s="547"/>
      <c r="L68" s="431"/>
      <c r="N68" s="541"/>
      <c r="O68" s="171"/>
    </row>
    <row r="69" spans="1:15" ht="22.5" x14ac:dyDescent="0.4">
      <c r="A69" s="520" t="s">
        <v>205</v>
      </c>
      <c r="B69" s="409"/>
      <c r="C69" s="409"/>
      <c r="D69" s="396" t="s">
        <v>142</v>
      </c>
      <c r="E69" s="678">
        <v>10214</v>
      </c>
      <c r="F69" s="678">
        <v>10239</v>
      </c>
      <c r="G69" s="691">
        <f t="shared" si="13"/>
        <v>25</v>
      </c>
      <c r="H69" s="398">
        <f t="shared" si="12"/>
        <v>25</v>
      </c>
      <c r="I69" s="398"/>
      <c r="J69" s="399">
        <f>H69/DAY(B2)</f>
        <v>25</v>
      </c>
      <c r="K69" s="547"/>
      <c r="L69" s="431"/>
      <c r="N69" s="541"/>
      <c r="O69" s="171"/>
    </row>
    <row r="70" spans="1:15" ht="22.5" x14ac:dyDescent="0.4">
      <c r="A70" s="520" t="s">
        <v>206</v>
      </c>
      <c r="B70" s="409"/>
      <c r="C70" s="409"/>
      <c r="D70" s="396" t="s">
        <v>142</v>
      </c>
      <c r="E70" s="415">
        <v>7862</v>
      </c>
      <c r="F70" s="415">
        <v>7875</v>
      </c>
      <c r="G70" s="697">
        <f t="shared" si="13"/>
        <v>13</v>
      </c>
      <c r="H70" s="398">
        <f t="shared" si="12"/>
        <v>13</v>
      </c>
      <c r="I70" s="397"/>
      <c r="J70" s="399">
        <f>H70/DAY(B2)</f>
        <v>13</v>
      </c>
      <c r="K70" s="547"/>
      <c r="L70" s="431"/>
      <c r="N70" s="541"/>
      <c r="O70" s="171"/>
    </row>
    <row r="71" spans="1:15" ht="22.5" x14ac:dyDescent="0.4">
      <c r="A71" s="758" t="s">
        <v>208</v>
      </c>
      <c r="B71" s="759"/>
      <c r="C71" s="760"/>
      <c r="D71" s="413"/>
      <c r="E71" s="413"/>
      <c r="F71" s="413"/>
      <c r="G71" s="577">
        <f>SUM(G65:G70)</f>
        <v>218</v>
      </c>
      <c r="H71" s="398">
        <f t="shared" si="12"/>
        <v>218</v>
      </c>
      <c r="I71" s="667"/>
      <c r="J71" s="399">
        <f>H71/DAY(B2)</f>
        <v>218</v>
      </c>
      <c r="K71" s="547"/>
      <c r="L71" s="431"/>
      <c r="N71" s="541"/>
      <c r="O71" s="171"/>
    </row>
    <row r="72" spans="1:15" ht="22.5" x14ac:dyDescent="0.4">
      <c r="A72" s="806"/>
      <c r="B72" s="754"/>
      <c r="C72" s="509"/>
      <c r="D72" s="431"/>
      <c r="E72" s="668"/>
      <c r="F72" s="668"/>
      <c r="G72" s="698"/>
      <c r="H72" s="432"/>
      <c r="I72" s="668"/>
      <c r="J72" s="669"/>
      <c r="N72" s="541"/>
      <c r="O72" s="171"/>
    </row>
    <row r="73" spans="1:15" ht="22.5" x14ac:dyDescent="0.4">
      <c r="A73" s="784" t="s">
        <v>333</v>
      </c>
      <c r="B73" s="785"/>
      <c r="C73" s="786"/>
      <c r="D73" s="430"/>
      <c r="E73" s="430"/>
      <c r="F73" s="430"/>
      <c r="G73" s="576"/>
      <c r="H73" s="433"/>
      <c r="I73" s="433"/>
      <c r="J73" s="434"/>
      <c r="K73" s="547"/>
      <c r="L73" s="431"/>
      <c r="N73" s="541"/>
      <c r="O73" s="171"/>
    </row>
    <row r="74" spans="1:15" ht="22.5" x14ac:dyDescent="0.4">
      <c r="A74" s="764" t="s">
        <v>220</v>
      </c>
      <c r="B74" s="765"/>
      <c r="C74" s="766"/>
      <c r="D74" s="396" t="s">
        <v>139</v>
      </c>
      <c r="E74" s="410">
        <v>892032</v>
      </c>
      <c r="F74" s="410">
        <v>892299.77</v>
      </c>
      <c r="G74" s="697">
        <f t="shared" ref="G74:G78" si="14">F74-E74</f>
        <v>267.77000000001863</v>
      </c>
      <c r="H74" s="398">
        <f t="shared" ref="H74:H79" si="15">G74</f>
        <v>267.77000000001863</v>
      </c>
      <c r="I74" s="667"/>
      <c r="J74" s="399">
        <f>H74/DAY(B2)</f>
        <v>267.77000000001863</v>
      </c>
      <c r="K74" s="547"/>
      <c r="L74" s="431"/>
      <c r="N74" s="541"/>
      <c r="O74" s="171"/>
    </row>
    <row r="75" spans="1:15" ht="22.5" x14ac:dyDescent="0.4">
      <c r="A75" s="764" t="s">
        <v>221</v>
      </c>
      <c r="B75" s="765"/>
      <c r="C75" s="766"/>
      <c r="D75" s="396" t="s">
        <v>139</v>
      </c>
      <c r="E75" s="410">
        <v>73586.8</v>
      </c>
      <c r="F75" s="410">
        <v>73586.8</v>
      </c>
      <c r="G75" s="697">
        <f t="shared" si="14"/>
        <v>0</v>
      </c>
      <c r="H75" s="398">
        <f t="shared" si="15"/>
        <v>0</v>
      </c>
      <c r="I75" s="667"/>
      <c r="J75" s="399">
        <f>H75/DAY(B2)</f>
        <v>0</v>
      </c>
      <c r="K75" s="547"/>
      <c r="L75" s="431"/>
      <c r="N75" s="541"/>
      <c r="O75" s="171"/>
    </row>
    <row r="76" spans="1:15" ht="22.5" x14ac:dyDescent="0.4">
      <c r="A76" s="787" t="s">
        <v>222</v>
      </c>
      <c r="B76" s="788"/>
      <c r="C76" s="789"/>
      <c r="D76" s="396" t="s">
        <v>139</v>
      </c>
      <c r="E76" s="410">
        <v>167207</v>
      </c>
      <c r="F76" s="410">
        <v>167309.91</v>
      </c>
      <c r="G76" s="697">
        <f t="shared" si="14"/>
        <v>102.91000000000349</v>
      </c>
      <c r="H76" s="398">
        <f t="shared" si="15"/>
        <v>102.91000000000349</v>
      </c>
      <c r="I76" s="667"/>
      <c r="J76" s="399">
        <f>H76/DAY(B2)</f>
        <v>102.91000000000349</v>
      </c>
      <c r="K76" s="547"/>
      <c r="L76" s="431"/>
      <c r="N76" s="541"/>
      <c r="O76" s="171"/>
    </row>
    <row r="77" spans="1:15" ht="22.5" x14ac:dyDescent="0.4">
      <c r="A77" s="787" t="s">
        <v>223</v>
      </c>
      <c r="B77" s="788"/>
      <c r="C77" s="789"/>
      <c r="D77" s="396" t="s">
        <v>139</v>
      </c>
      <c r="E77" s="511">
        <v>40316</v>
      </c>
      <c r="F77" s="410">
        <v>40343.4</v>
      </c>
      <c r="G77" s="697">
        <f t="shared" si="14"/>
        <v>27.400000000001455</v>
      </c>
      <c r="H77" s="398">
        <f t="shared" si="15"/>
        <v>27.400000000001455</v>
      </c>
      <c r="I77" s="667"/>
      <c r="J77" s="399">
        <f>H77/DAY(B2)</f>
        <v>27.400000000001455</v>
      </c>
      <c r="K77" s="547"/>
      <c r="L77" s="431"/>
      <c r="N77" s="541"/>
      <c r="O77" s="171"/>
    </row>
    <row r="78" spans="1:15" ht="22.5" x14ac:dyDescent="0.4">
      <c r="A78" s="787" t="s">
        <v>224</v>
      </c>
      <c r="B78" s="788"/>
      <c r="C78" s="789"/>
      <c r="D78" s="396" t="s">
        <v>139</v>
      </c>
      <c r="E78" s="410">
        <v>9486</v>
      </c>
      <c r="F78" s="410">
        <v>9487.9</v>
      </c>
      <c r="G78" s="697">
        <f t="shared" si="14"/>
        <v>1.8999999999996362</v>
      </c>
      <c r="H78" s="398">
        <f t="shared" si="15"/>
        <v>1.8999999999996362</v>
      </c>
      <c r="I78" s="397"/>
      <c r="J78" s="399">
        <f>H78/DAY(B2)</f>
        <v>1.8999999999996362</v>
      </c>
      <c r="K78" s="547"/>
      <c r="L78" s="431"/>
      <c r="N78" s="541"/>
      <c r="O78" s="171"/>
    </row>
    <row r="79" spans="1:15" ht="22.5" x14ac:dyDescent="0.4">
      <c r="A79" s="787" t="s">
        <v>225</v>
      </c>
      <c r="B79" s="788"/>
      <c r="C79" s="789"/>
      <c r="D79" s="396"/>
      <c r="E79" s="410"/>
      <c r="F79" s="410"/>
      <c r="G79" s="697">
        <f>G15-SUM(G74:G78)</f>
        <v>670.10599999987062</v>
      </c>
      <c r="H79" s="398">
        <f t="shared" si="15"/>
        <v>670.10599999987062</v>
      </c>
      <c r="I79" s="397"/>
      <c r="J79" s="399"/>
      <c r="K79" s="547"/>
      <c r="L79" s="431"/>
      <c r="N79" s="541"/>
      <c r="O79" s="171"/>
    </row>
    <row r="80" spans="1:15" ht="22.5" x14ac:dyDescent="0.4">
      <c r="A80" s="758" t="s">
        <v>329</v>
      </c>
      <c r="B80" s="759"/>
      <c r="C80" s="760"/>
      <c r="D80" s="396"/>
      <c r="E80" s="404"/>
      <c r="F80" s="404"/>
      <c r="G80" s="697">
        <f>SUM(G74:G79)</f>
        <v>1070.0859999998938</v>
      </c>
      <c r="H80" s="398"/>
      <c r="I80" s="397"/>
      <c r="J80" s="399"/>
      <c r="K80" s="547"/>
      <c r="L80" s="431"/>
      <c r="N80" s="541"/>
      <c r="O80" s="171"/>
    </row>
    <row r="81" spans="1:15" ht="22.5" x14ac:dyDescent="0.4">
      <c r="A81" s="778" t="s">
        <v>226</v>
      </c>
      <c r="B81" s="779"/>
      <c r="C81" s="780"/>
      <c r="D81" s="392"/>
      <c r="E81" s="393"/>
      <c r="F81" s="393"/>
      <c r="G81" s="579"/>
      <c r="H81" s="435"/>
      <c r="I81" s="435"/>
      <c r="J81" s="436"/>
      <c r="O81" s="171"/>
    </row>
    <row r="82" spans="1:15" ht="22.5" x14ac:dyDescent="0.4">
      <c r="A82" s="520" t="s">
        <v>227</v>
      </c>
      <c r="B82" s="409"/>
      <c r="C82" s="409"/>
      <c r="D82" s="396" t="s">
        <v>228</v>
      </c>
      <c r="E82" s="415">
        <v>0</v>
      </c>
      <c r="F82" s="415">
        <v>0</v>
      </c>
      <c r="G82" s="697">
        <f t="shared" ref="G82:G92" si="16">F82-E82</f>
        <v>0</v>
      </c>
      <c r="H82" s="398">
        <f t="shared" ref="H82:H92" si="17">G82</f>
        <v>0</v>
      </c>
      <c r="I82" s="397"/>
      <c r="J82" s="399">
        <f>H82/DAY(B2)</f>
        <v>0</v>
      </c>
      <c r="O82" s="171"/>
    </row>
    <row r="83" spans="1:15" ht="22.5" x14ac:dyDescent="0.4">
      <c r="A83" s="520" t="s">
        <v>229</v>
      </c>
      <c r="B83" s="409"/>
      <c r="C83" s="409"/>
      <c r="D83" s="396" t="s">
        <v>228</v>
      </c>
      <c r="E83" s="415">
        <v>0</v>
      </c>
      <c r="F83" s="415">
        <v>0</v>
      </c>
      <c r="G83" s="697">
        <f t="shared" si="16"/>
        <v>0</v>
      </c>
      <c r="H83" s="398">
        <f t="shared" si="17"/>
        <v>0</v>
      </c>
      <c r="I83" s="397"/>
      <c r="J83" s="399">
        <f>H83/DAY(B2)</f>
        <v>0</v>
      </c>
      <c r="O83" s="171"/>
    </row>
    <row r="84" spans="1:15" ht="22.5" x14ac:dyDescent="0.4">
      <c r="A84" s="520" t="s">
        <v>230</v>
      </c>
      <c r="B84" s="409"/>
      <c r="C84" s="409"/>
      <c r="D84" s="396" t="s">
        <v>228</v>
      </c>
      <c r="E84" s="437">
        <v>41675</v>
      </c>
      <c r="F84" s="437">
        <v>41675</v>
      </c>
      <c r="G84" s="697">
        <f t="shared" si="16"/>
        <v>0</v>
      </c>
      <c r="H84" s="398">
        <f t="shared" si="17"/>
        <v>0</v>
      </c>
      <c r="I84" s="397"/>
      <c r="J84" s="399">
        <f>H84/DAY(B2)</f>
        <v>0</v>
      </c>
      <c r="O84" s="171"/>
    </row>
    <row r="85" spans="1:15" ht="22.5" x14ac:dyDescent="0.4">
      <c r="A85" s="520" t="s">
        <v>231</v>
      </c>
      <c r="B85" s="409"/>
      <c r="C85" s="409"/>
      <c r="D85" s="396" t="s">
        <v>228</v>
      </c>
      <c r="E85" s="437">
        <v>2096.56</v>
      </c>
      <c r="F85" s="437">
        <v>2096.56</v>
      </c>
      <c r="G85" s="697">
        <f t="shared" si="16"/>
        <v>0</v>
      </c>
      <c r="H85" s="398">
        <f t="shared" si="17"/>
        <v>0</v>
      </c>
      <c r="I85" s="397">
        <f>G82+G83+G84+G85</f>
        <v>0</v>
      </c>
      <c r="J85" s="399">
        <f>H85/DAY(B2)</f>
        <v>0</v>
      </c>
      <c r="O85" s="171"/>
    </row>
    <row r="86" spans="1:15" ht="22.5" x14ac:dyDescent="0.4">
      <c r="A86" s="520" t="s">
        <v>232</v>
      </c>
      <c r="B86" s="409"/>
      <c r="C86" s="409"/>
      <c r="D86" s="396" t="s">
        <v>228</v>
      </c>
      <c r="E86" s="437">
        <v>42863</v>
      </c>
      <c r="F86" s="437">
        <v>42887</v>
      </c>
      <c r="G86" s="700">
        <f t="shared" si="16"/>
        <v>24</v>
      </c>
      <c r="H86" s="398">
        <f t="shared" si="17"/>
        <v>24</v>
      </c>
      <c r="I86" s="397"/>
      <c r="J86" s="399">
        <f>H86/DAY(B2)</f>
        <v>24</v>
      </c>
      <c r="O86" s="171"/>
    </row>
    <row r="87" spans="1:15" ht="22.5" x14ac:dyDescent="0.4">
      <c r="A87" s="520" t="s">
        <v>233</v>
      </c>
      <c r="B87" s="409"/>
      <c r="C87" s="409"/>
      <c r="D87" s="396" t="s">
        <v>228</v>
      </c>
      <c r="E87" s="437">
        <v>34598.550000000003</v>
      </c>
      <c r="F87" s="437">
        <v>34598.550000000003</v>
      </c>
      <c r="G87" s="697">
        <f t="shared" si="16"/>
        <v>0</v>
      </c>
      <c r="H87" s="398">
        <f t="shared" si="17"/>
        <v>0</v>
      </c>
      <c r="I87" s="397"/>
      <c r="J87" s="399">
        <f>H87/DAY(B2)</f>
        <v>0</v>
      </c>
      <c r="O87" s="171"/>
    </row>
    <row r="88" spans="1:15" ht="22.5" x14ac:dyDescent="0.4">
      <c r="A88" s="520" t="s">
        <v>234</v>
      </c>
      <c r="B88" s="409"/>
      <c r="C88" s="409"/>
      <c r="D88" s="396" t="s">
        <v>228</v>
      </c>
      <c r="E88" s="437">
        <v>24047</v>
      </c>
      <c r="F88" s="437">
        <v>24053.38</v>
      </c>
      <c r="G88" s="697">
        <f t="shared" si="16"/>
        <v>6.3800000000010186</v>
      </c>
      <c r="H88" s="398">
        <f t="shared" si="17"/>
        <v>6.3800000000010186</v>
      </c>
      <c r="I88" s="397">
        <f>G86+G87+G88</f>
        <v>30.380000000001019</v>
      </c>
      <c r="J88" s="399">
        <f>H88/DAY(B2)</f>
        <v>6.3800000000010186</v>
      </c>
      <c r="O88" s="171"/>
    </row>
    <row r="89" spans="1:15" ht="22.5" x14ac:dyDescent="0.4">
      <c r="A89" s="520" t="s">
        <v>235</v>
      </c>
      <c r="B89" s="409"/>
      <c r="C89" s="409"/>
      <c r="D89" s="396" t="s">
        <v>228</v>
      </c>
      <c r="E89" s="437">
        <v>25663</v>
      </c>
      <c r="F89" s="437">
        <v>25667.09</v>
      </c>
      <c r="G89" s="697">
        <f t="shared" si="16"/>
        <v>4.0900000000001455</v>
      </c>
      <c r="H89" s="398">
        <f t="shared" si="17"/>
        <v>4.0900000000001455</v>
      </c>
      <c r="I89" s="397"/>
      <c r="J89" s="399">
        <f>H89/DAY(B2)</f>
        <v>4.0900000000001455</v>
      </c>
      <c r="O89" s="171"/>
    </row>
    <row r="90" spans="1:15" ht="22.5" x14ac:dyDescent="0.4">
      <c r="A90" s="520" t="s">
        <v>236</v>
      </c>
      <c r="B90" s="409"/>
      <c r="C90" s="409"/>
      <c r="D90" s="396" t="s">
        <v>228</v>
      </c>
      <c r="E90" s="437">
        <v>71034</v>
      </c>
      <c r="F90" s="437">
        <v>71039.61</v>
      </c>
      <c r="G90" s="697">
        <f t="shared" si="16"/>
        <v>5.6100000000005821</v>
      </c>
      <c r="H90" s="398">
        <f t="shared" si="17"/>
        <v>5.6100000000005821</v>
      </c>
      <c r="I90" s="397">
        <f>G89+G90</f>
        <v>9.7000000000007276</v>
      </c>
      <c r="J90" s="399">
        <f>H90/DAY(B2)</f>
        <v>5.6100000000005821</v>
      </c>
      <c r="O90" s="171"/>
    </row>
    <row r="91" spans="1:15" ht="22.5" x14ac:dyDescent="0.4">
      <c r="A91" s="520" t="s">
        <v>237</v>
      </c>
      <c r="B91" s="409"/>
      <c r="C91" s="409"/>
      <c r="D91" s="396" t="s">
        <v>228</v>
      </c>
      <c r="E91" s="415">
        <v>3226.32</v>
      </c>
      <c r="F91" s="415">
        <v>3226.32</v>
      </c>
      <c r="G91" s="697">
        <f t="shared" si="16"/>
        <v>0</v>
      </c>
      <c r="H91" s="398">
        <f t="shared" si="17"/>
        <v>0</v>
      </c>
      <c r="I91" s="446"/>
      <c r="J91" s="399">
        <f>H91/DAY(B2)</f>
        <v>0</v>
      </c>
      <c r="O91" s="171"/>
    </row>
    <row r="92" spans="1:15" ht="22.5" x14ac:dyDescent="0.4">
      <c r="A92" s="520" t="s">
        <v>238</v>
      </c>
      <c r="B92" s="409"/>
      <c r="C92" s="409"/>
      <c r="D92" s="396" t="s">
        <v>228</v>
      </c>
      <c r="E92" s="415">
        <v>5438</v>
      </c>
      <c r="F92" s="415">
        <v>5447.66</v>
      </c>
      <c r="G92" s="697">
        <f t="shared" si="16"/>
        <v>9.6599999999998545</v>
      </c>
      <c r="H92" s="398">
        <f t="shared" si="17"/>
        <v>9.6599999999998545</v>
      </c>
      <c r="I92" s="446"/>
      <c r="J92" s="399">
        <f>H92/DAY(B2)</f>
        <v>9.6599999999998545</v>
      </c>
      <c r="O92" s="171"/>
    </row>
    <row r="93" spans="1:15" ht="22.5" x14ac:dyDescent="0.4">
      <c r="A93" s="781" t="s">
        <v>239</v>
      </c>
      <c r="B93" s="782"/>
      <c r="C93" s="783"/>
      <c r="D93" s="393"/>
      <c r="E93" s="393"/>
      <c r="F93" s="393"/>
      <c r="G93" s="568"/>
      <c r="H93" s="408"/>
      <c r="I93" s="408"/>
      <c r="J93" s="439"/>
      <c r="K93" s="547"/>
      <c r="L93" s="431"/>
      <c r="O93" s="171"/>
    </row>
    <row r="94" spans="1:15" ht="22.5" x14ac:dyDescent="0.4">
      <c r="A94" s="764" t="s">
        <v>240</v>
      </c>
      <c r="B94" s="765"/>
      <c r="C94" s="766"/>
      <c r="D94" s="396" t="s">
        <v>130</v>
      </c>
      <c r="E94" s="396"/>
      <c r="F94" s="396"/>
      <c r="G94" s="580">
        <f>G35+G43+G49+G57</f>
        <v>6232.1800000000148</v>
      </c>
      <c r="H94" s="398">
        <f t="shared" ref="H94:H105" si="18">G94</f>
        <v>6232.1800000000148</v>
      </c>
      <c r="I94" s="397"/>
      <c r="J94" s="399">
        <f>H94/DAY(B2)</f>
        <v>6232.1800000000148</v>
      </c>
      <c r="K94" s="547"/>
      <c r="L94" s="431"/>
      <c r="O94" s="171"/>
    </row>
    <row r="95" spans="1:15" ht="22.5" x14ac:dyDescent="0.4">
      <c r="A95" s="764" t="s">
        <v>241</v>
      </c>
      <c r="B95" s="765"/>
      <c r="C95" s="766"/>
      <c r="D95" s="396" t="s">
        <v>23</v>
      </c>
      <c r="E95" s="396"/>
      <c r="F95" s="396"/>
      <c r="G95" s="581">
        <f>G94/G7</f>
        <v>0.31150729286887907</v>
      </c>
      <c r="H95" s="398">
        <f t="shared" si="18"/>
        <v>0.31150729286887907</v>
      </c>
      <c r="I95" s="670"/>
      <c r="J95" s="399">
        <f>H95/DAY(B2)</f>
        <v>0.31150729286887907</v>
      </c>
      <c r="K95" s="547"/>
      <c r="L95" s="431"/>
      <c r="O95" s="171"/>
    </row>
    <row r="96" spans="1:15" ht="22.5" x14ac:dyDescent="0.4">
      <c r="A96" s="764" t="s">
        <v>242</v>
      </c>
      <c r="B96" s="765"/>
      <c r="C96" s="766"/>
      <c r="D96" s="396" t="s">
        <v>130</v>
      </c>
      <c r="E96" s="397"/>
      <c r="F96" s="397"/>
      <c r="G96" s="580">
        <f>G41+G42+G55+G56</f>
        <v>2431.4200000000055</v>
      </c>
      <c r="H96" s="398">
        <f t="shared" si="18"/>
        <v>2431.4200000000055</v>
      </c>
      <c r="I96" s="397"/>
      <c r="J96" s="399">
        <f>H96/DAY(B2)</f>
        <v>2431.4200000000055</v>
      </c>
      <c r="K96" s="547"/>
      <c r="L96" s="431"/>
      <c r="O96" s="171"/>
    </row>
    <row r="97" spans="1:15" ht="22.5" x14ac:dyDescent="0.4">
      <c r="A97" s="764" t="s">
        <v>243</v>
      </c>
      <c r="B97" s="765"/>
      <c r="C97" s="766"/>
      <c r="D97" s="396" t="s">
        <v>23</v>
      </c>
      <c r="E97" s="397"/>
      <c r="F97" s="397"/>
      <c r="G97" s="581">
        <f>G96/G7</f>
        <v>0.12153132002401244</v>
      </c>
      <c r="H97" s="398">
        <f t="shared" si="18"/>
        <v>0.12153132002401244</v>
      </c>
      <c r="I97" s="670"/>
      <c r="J97" s="399">
        <f>H97/DAY(B2)</f>
        <v>0.12153132002401244</v>
      </c>
      <c r="K97" s="547"/>
      <c r="L97" s="431"/>
      <c r="O97" s="171"/>
    </row>
    <row r="98" spans="1:15" ht="22.5" x14ac:dyDescent="0.4">
      <c r="A98" s="764" t="s">
        <v>244</v>
      </c>
      <c r="B98" s="765"/>
      <c r="C98" s="766"/>
      <c r="D98" s="396" t="s">
        <v>130</v>
      </c>
      <c r="E98" s="397"/>
      <c r="F98" s="397"/>
      <c r="G98" s="580">
        <f>G39+G53</f>
        <v>2724.390000000014</v>
      </c>
      <c r="H98" s="398">
        <f t="shared" si="18"/>
        <v>2724.390000000014</v>
      </c>
      <c r="I98" s="671"/>
      <c r="J98" s="399">
        <f>H98/DAY(B2)</f>
        <v>2724.390000000014</v>
      </c>
      <c r="K98" s="547"/>
      <c r="L98" s="431"/>
      <c r="O98" s="171"/>
    </row>
    <row r="99" spans="1:15" ht="22.5" x14ac:dyDescent="0.4">
      <c r="A99" s="764" t="s">
        <v>245</v>
      </c>
      <c r="B99" s="765"/>
      <c r="C99" s="766"/>
      <c r="D99" s="396" t="s">
        <v>23</v>
      </c>
      <c r="E99" s="397"/>
      <c r="F99" s="397"/>
      <c r="G99" s="581">
        <f>G98/G7</f>
        <v>0.13617503884981624</v>
      </c>
      <c r="H99" s="398">
        <f t="shared" si="18"/>
        <v>0.13617503884981624</v>
      </c>
      <c r="I99" s="671"/>
      <c r="J99" s="399">
        <f>H99/DAY(B2)</f>
        <v>0.13617503884981624</v>
      </c>
      <c r="O99" s="171"/>
    </row>
    <row r="100" spans="1:15" ht="22.5" x14ac:dyDescent="0.4">
      <c r="A100" s="764" t="s">
        <v>246</v>
      </c>
      <c r="B100" s="765"/>
      <c r="C100" s="766"/>
      <c r="D100" s="396" t="s">
        <v>180</v>
      </c>
      <c r="E100" s="397"/>
      <c r="F100" s="397"/>
      <c r="G100" s="580">
        <f>G38+G52</f>
        <v>1665.429999999993</v>
      </c>
      <c r="H100" s="398">
        <f t="shared" si="18"/>
        <v>1665.429999999993</v>
      </c>
      <c r="I100" s="397"/>
      <c r="J100" s="399">
        <f>H100/DAY(B2)</f>
        <v>1665.429999999993</v>
      </c>
      <c r="K100" s="551"/>
      <c r="O100" s="171"/>
    </row>
    <row r="101" spans="1:15" ht="22.5" x14ac:dyDescent="0.4">
      <c r="A101" s="764" t="s">
        <v>247</v>
      </c>
      <c r="B101" s="765"/>
      <c r="C101" s="766"/>
      <c r="D101" s="396" t="s">
        <v>23</v>
      </c>
      <c r="E101" s="397"/>
      <c r="F101" s="397"/>
      <c r="G101" s="581">
        <f>G100/G7</f>
        <v>8.3244320729281548E-2</v>
      </c>
      <c r="H101" s="398">
        <f t="shared" si="18"/>
        <v>8.3244320729281548E-2</v>
      </c>
      <c r="I101" s="671"/>
      <c r="J101" s="399">
        <f>H101/DAY(B2)</f>
        <v>8.3244320729281548E-2</v>
      </c>
      <c r="O101" s="171"/>
    </row>
    <row r="102" spans="1:15" ht="22.5" x14ac:dyDescent="0.4">
      <c r="A102" s="764" t="s">
        <v>248</v>
      </c>
      <c r="B102" s="765"/>
      <c r="C102" s="766"/>
      <c r="D102" s="396" t="s">
        <v>180</v>
      </c>
      <c r="E102" s="397"/>
      <c r="F102" s="397"/>
      <c r="G102" s="580">
        <f>G36+G50</f>
        <v>2121.3500000000022</v>
      </c>
      <c r="H102" s="398">
        <f t="shared" si="18"/>
        <v>2121.3500000000022</v>
      </c>
      <c r="I102" s="671"/>
      <c r="J102" s="399">
        <f>H102/DAY(B2)</f>
        <v>2121.3500000000022</v>
      </c>
      <c r="O102" s="171"/>
    </row>
    <row r="103" spans="1:15" ht="22.5" x14ac:dyDescent="0.4">
      <c r="A103" s="764" t="s">
        <v>249</v>
      </c>
      <c r="B103" s="765"/>
      <c r="C103" s="766"/>
      <c r="D103" s="396" t="s">
        <v>23</v>
      </c>
      <c r="E103" s="397"/>
      <c r="F103" s="397"/>
      <c r="G103" s="581">
        <f>G102/G7</f>
        <v>0.10603288026459373</v>
      </c>
      <c r="H103" s="398">
        <f t="shared" si="18"/>
        <v>0.10603288026459373</v>
      </c>
      <c r="I103" s="397"/>
      <c r="J103" s="399">
        <f>H103/DAY(B2)</f>
        <v>0.10603288026459373</v>
      </c>
      <c r="O103" s="171"/>
    </row>
    <row r="104" spans="1:15" ht="22.5" x14ac:dyDescent="0.4">
      <c r="A104" s="764" t="s">
        <v>250</v>
      </c>
      <c r="B104" s="765"/>
      <c r="C104" s="766"/>
      <c r="D104" s="396" t="s">
        <v>180</v>
      </c>
      <c r="E104" s="397"/>
      <c r="F104" s="397"/>
      <c r="G104" s="580">
        <f>G37+G51</f>
        <v>1573.5100000000093</v>
      </c>
      <c r="H104" s="398">
        <f t="shared" si="18"/>
        <v>1573.5100000000093</v>
      </c>
      <c r="I104" s="397"/>
      <c r="J104" s="399">
        <f>H104/DAY(B2)</f>
        <v>1573.5100000000093</v>
      </c>
      <c r="O104" s="171"/>
    </row>
    <row r="105" spans="1:15" ht="23.25" thickBot="1" x14ac:dyDescent="0.45">
      <c r="A105" s="771" t="s">
        <v>251</v>
      </c>
      <c r="B105" s="772"/>
      <c r="C105" s="773"/>
      <c r="D105" s="440" t="s">
        <v>23</v>
      </c>
      <c r="E105" s="441"/>
      <c r="F105" s="441"/>
      <c r="G105" s="582">
        <f>G104/G7</f>
        <v>7.8649820833498335E-2</v>
      </c>
      <c r="H105" s="398">
        <f t="shared" si="18"/>
        <v>7.8649820833498335E-2</v>
      </c>
      <c r="I105" s="441"/>
      <c r="J105" s="442">
        <f>H105/DAY(B2)</f>
        <v>7.8649820833498335E-2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74" t="s">
        <v>324</v>
      </c>
      <c r="B108" s="774"/>
      <c r="C108" s="774"/>
      <c r="D108" s="774"/>
      <c r="E108" s="774"/>
      <c r="F108" s="774"/>
      <c r="G108" s="774"/>
      <c r="H108" s="774"/>
      <c r="I108" s="774"/>
      <c r="J108" s="774"/>
    </row>
    <row r="109" spans="1:15" ht="22.5" x14ac:dyDescent="0.4">
      <c r="A109" s="767"/>
      <c r="B109" s="767"/>
    </row>
    <row r="110" spans="1:15" ht="22.5" x14ac:dyDescent="0.4">
      <c r="A110" s="775" t="s">
        <v>165</v>
      </c>
      <c r="B110" s="776"/>
      <c r="C110" s="776"/>
      <c r="D110" s="776"/>
      <c r="E110" s="776"/>
      <c r="F110" s="776"/>
      <c r="G110" s="776"/>
      <c r="H110" s="776"/>
      <c r="I110" s="776"/>
      <c r="J110" s="777"/>
    </row>
    <row r="111" spans="1:15" ht="22.5" x14ac:dyDescent="0.4">
      <c r="A111" s="761"/>
      <c r="B111" s="762"/>
      <c r="C111" s="763"/>
      <c r="D111" s="438"/>
      <c r="E111" s="446"/>
      <c r="F111" s="446"/>
      <c r="G111" s="589"/>
      <c r="H111" s="443"/>
      <c r="I111" s="446"/>
      <c r="J111" s="443"/>
    </row>
    <row r="112" spans="1:15" ht="22.5" x14ac:dyDescent="0.4">
      <c r="A112" s="753" t="s">
        <v>252</v>
      </c>
      <c r="B112" s="756"/>
      <c r="C112" s="754"/>
      <c r="D112" s="389" t="s">
        <v>183</v>
      </c>
      <c r="E112" s="444">
        <v>55681</v>
      </c>
      <c r="F112" s="444">
        <v>55750.8</v>
      </c>
      <c r="G112" s="697">
        <f t="shared" ref="G112:G123" si="19">F112-E112</f>
        <v>69.80000000000291</v>
      </c>
      <c r="H112" s="398">
        <f t="shared" ref="H112:H123" si="20">G112</f>
        <v>69.80000000000291</v>
      </c>
      <c r="I112" s="446"/>
      <c r="J112" s="445">
        <f>H112/DAY(B2)</f>
        <v>69.80000000000291</v>
      </c>
    </row>
    <row r="113" spans="1:18" ht="29.25" customHeight="1" x14ac:dyDescent="0.4">
      <c r="A113" s="753" t="s">
        <v>253</v>
      </c>
      <c r="B113" s="756"/>
      <c r="C113" s="754"/>
      <c r="D113" s="389" t="s">
        <v>183</v>
      </c>
      <c r="E113" s="444">
        <v>32195</v>
      </c>
      <c r="F113" s="444">
        <v>32649.73</v>
      </c>
      <c r="G113" s="697">
        <f t="shared" si="19"/>
        <v>454.72999999999956</v>
      </c>
      <c r="H113" s="398">
        <f t="shared" si="20"/>
        <v>454.72999999999956</v>
      </c>
      <c r="I113" s="446"/>
      <c r="J113" s="445">
        <f>H113/DAY(B2)</f>
        <v>454.72999999999956</v>
      </c>
    </row>
    <row r="114" spans="1:18" ht="29.25" customHeight="1" x14ac:dyDescent="0.4">
      <c r="A114" s="753" t="s">
        <v>254</v>
      </c>
      <c r="B114" s="756"/>
      <c r="C114" s="754"/>
      <c r="D114" s="389" t="s">
        <v>183</v>
      </c>
      <c r="E114" s="444">
        <v>24871</v>
      </c>
      <c r="F114" s="444">
        <v>25139.35</v>
      </c>
      <c r="G114" s="697">
        <f t="shared" si="19"/>
        <v>268.34999999999854</v>
      </c>
      <c r="H114" s="398">
        <f t="shared" si="20"/>
        <v>268.34999999999854</v>
      </c>
      <c r="I114" s="446"/>
      <c r="J114" s="445">
        <f>H114/DAY(B2)</f>
        <v>268.34999999999854</v>
      </c>
    </row>
    <row r="115" spans="1:18" ht="29.25" customHeight="1" x14ac:dyDescent="0.4">
      <c r="A115" s="753" t="s">
        <v>255</v>
      </c>
      <c r="B115" s="756"/>
      <c r="C115" s="754"/>
      <c r="D115" s="389" t="s">
        <v>183</v>
      </c>
      <c r="E115" s="444">
        <v>8785</v>
      </c>
      <c r="F115" s="444">
        <v>8793.5</v>
      </c>
      <c r="G115" s="697">
        <f t="shared" si="19"/>
        <v>8.5</v>
      </c>
      <c r="H115" s="398">
        <f t="shared" si="20"/>
        <v>8.5</v>
      </c>
      <c r="I115" s="446"/>
      <c r="J115" s="445">
        <f>H115/DAY(B2)</f>
        <v>8.5</v>
      </c>
    </row>
    <row r="116" spans="1:18" ht="29.25" customHeight="1" x14ac:dyDescent="0.4">
      <c r="A116" s="768" t="s">
        <v>96</v>
      </c>
      <c r="B116" s="769"/>
      <c r="C116" s="770"/>
      <c r="D116" s="389" t="s">
        <v>183</v>
      </c>
      <c r="E116" s="444">
        <v>0</v>
      </c>
      <c r="F116" s="444">
        <v>0</v>
      </c>
      <c r="G116" s="697">
        <f t="shared" si="19"/>
        <v>0</v>
      </c>
      <c r="H116" s="398">
        <f t="shared" si="20"/>
        <v>0</v>
      </c>
      <c r="I116" s="446"/>
      <c r="J116" s="445">
        <f>H116/DAY(B2)</f>
        <v>0</v>
      </c>
      <c r="Q116" s="753"/>
      <c r="R116" s="754"/>
    </row>
    <row r="117" spans="1:18" ht="29.25" customHeight="1" x14ac:dyDescent="0.4">
      <c r="A117" s="768" t="s">
        <v>184</v>
      </c>
      <c r="B117" s="769"/>
      <c r="C117" s="770"/>
      <c r="D117" s="389" t="s">
        <v>183</v>
      </c>
      <c r="E117" s="444">
        <v>2590</v>
      </c>
      <c r="F117" s="444">
        <v>2611.4</v>
      </c>
      <c r="G117" s="697">
        <f t="shared" si="19"/>
        <v>21.400000000000091</v>
      </c>
      <c r="H117" s="398">
        <f t="shared" si="20"/>
        <v>21.400000000000091</v>
      </c>
      <c r="I117" s="446"/>
      <c r="J117" s="445">
        <f>H117/DAY(B2)</f>
        <v>21.400000000000091</v>
      </c>
      <c r="Q117" s="753"/>
      <c r="R117" s="754"/>
    </row>
    <row r="118" spans="1:18" ht="22.5" x14ac:dyDescent="0.4">
      <c r="A118" s="752" t="s">
        <v>97</v>
      </c>
      <c r="B118" s="752"/>
      <c r="C118" s="752"/>
      <c r="D118" s="396" t="s">
        <v>183</v>
      </c>
      <c r="E118" s="444">
        <v>241647</v>
      </c>
      <c r="F118" s="444">
        <v>242009.5</v>
      </c>
      <c r="G118" s="697">
        <f t="shared" si="19"/>
        <v>362.5</v>
      </c>
      <c r="H118" s="398">
        <f t="shared" si="20"/>
        <v>362.5</v>
      </c>
      <c r="I118" s="446"/>
      <c r="J118" s="445">
        <f>H118/DAY(B2)</f>
        <v>362.5</v>
      </c>
      <c r="Q118" s="753"/>
      <c r="R118" s="754"/>
    </row>
    <row r="119" spans="1:18" ht="22.5" x14ac:dyDescent="0.4">
      <c r="A119" s="752" t="s">
        <v>98</v>
      </c>
      <c r="B119" s="752"/>
      <c r="C119" s="752"/>
      <c r="D119" s="396" t="s">
        <v>183</v>
      </c>
      <c r="E119" s="444">
        <v>245126</v>
      </c>
      <c r="F119" s="444">
        <v>245557.91</v>
      </c>
      <c r="G119" s="697">
        <f t="shared" si="19"/>
        <v>431.91000000000349</v>
      </c>
      <c r="H119" s="398">
        <f t="shared" si="20"/>
        <v>431.91000000000349</v>
      </c>
      <c r="I119" s="446"/>
      <c r="J119" s="445">
        <f>H119/DAY(B2)</f>
        <v>431.91000000000349</v>
      </c>
    </row>
    <row r="120" spans="1:18" ht="22.5" x14ac:dyDescent="0.4">
      <c r="A120" s="752" t="s">
        <v>99</v>
      </c>
      <c r="B120" s="752"/>
      <c r="C120" s="752"/>
      <c r="D120" s="396" t="s">
        <v>183</v>
      </c>
      <c r="E120" s="444">
        <v>30078</v>
      </c>
      <c r="F120" s="444">
        <v>30511.74</v>
      </c>
      <c r="G120" s="697">
        <f t="shared" si="19"/>
        <v>433.7400000000016</v>
      </c>
      <c r="H120" s="398">
        <f t="shared" si="20"/>
        <v>433.7400000000016</v>
      </c>
      <c r="I120" s="446"/>
      <c r="J120" s="445">
        <f>H120/DAY(B2)</f>
        <v>433.7400000000016</v>
      </c>
    </row>
    <row r="121" spans="1:18" ht="22.5" x14ac:dyDescent="0.4">
      <c r="A121" s="752" t="s">
        <v>100</v>
      </c>
      <c r="B121" s="752"/>
      <c r="C121" s="752"/>
      <c r="D121" s="396" t="s">
        <v>183</v>
      </c>
      <c r="E121" s="444">
        <v>376529</v>
      </c>
      <c r="F121" s="444">
        <v>377313.71</v>
      </c>
      <c r="G121" s="697">
        <f t="shared" si="19"/>
        <v>784.71000000002095</v>
      </c>
      <c r="H121" s="398">
        <f t="shared" si="20"/>
        <v>784.71000000002095</v>
      </c>
      <c r="I121" s="446"/>
      <c r="J121" s="445">
        <f>H121/DAY(B2)</f>
        <v>784.71000000002095</v>
      </c>
    </row>
    <row r="122" spans="1:18" ht="22.5" x14ac:dyDescent="0.4">
      <c r="A122" s="752" t="s">
        <v>101</v>
      </c>
      <c r="B122" s="752"/>
      <c r="C122" s="752"/>
      <c r="D122" s="396" t="s">
        <v>183</v>
      </c>
      <c r="E122" s="444">
        <v>120050</v>
      </c>
      <c r="F122" s="444">
        <v>120263.74</v>
      </c>
      <c r="G122" s="697">
        <f t="shared" si="19"/>
        <v>213.74000000000524</v>
      </c>
      <c r="H122" s="398">
        <f t="shared" si="20"/>
        <v>213.74000000000524</v>
      </c>
      <c r="I122" s="446"/>
      <c r="J122" s="445">
        <f>H122/DAY(B2)</f>
        <v>213.74000000000524</v>
      </c>
    </row>
    <row r="123" spans="1:18" ht="22.5" x14ac:dyDescent="0.4">
      <c r="A123" s="752" t="s">
        <v>102</v>
      </c>
      <c r="B123" s="752"/>
      <c r="C123" s="752"/>
      <c r="D123" s="396" t="s">
        <v>183</v>
      </c>
      <c r="E123" s="444">
        <v>145125</v>
      </c>
      <c r="F123" s="444">
        <v>145471.69</v>
      </c>
      <c r="G123" s="697">
        <f t="shared" si="19"/>
        <v>346.69000000000233</v>
      </c>
      <c r="H123" s="398">
        <f t="shared" si="20"/>
        <v>346.69000000000233</v>
      </c>
      <c r="I123" s="446"/>
      <c r="J123" s="445">
        <f>H123/DAY(B2)</f>
        <v>346.69000000000233</v>
      </c>
    </row>
    <row r="124" spans="1:18" ht="29.25" customHeight="1" x14ac:dyDescent="0.4">
      <c r="A124" s="761"/>
      <c r="B124" s="762"/>
      <c r="C124" s="763"/>
      <c r="D124" s="438"/>
      <c r="E124" s="446"/>
      <c r="F124" s="446"/>
      <c r="G124" s="589"/>
      <c r="H124" s="443"/>
      <c r="I124" s="446"/>
      <c r="J124" s="443"/>
    </row>
    <row r="125" spans="1:18" ht="22.5" x14ac:dyDescent="0.4">
      <c r="A125" s="758" t="s">
        <v>196</v>
      </c>
      <c r="B125" s="759"/>
      <c r="C125" s="760"/>
      <c r="D125" s="396"/>
      <c r="E125" s="446"/>
      <c r="F125" s="446"/>
      <c r="G125" s="697">
        <f>SUM(G112:G124)</f>
        <v>3396.0700000000347</v>
      </c>
      <c r="H125" s="443"/>
      <c r="I125" s="156">
        <f>G125-(G39+G53)</f>
        <v>671.68000000002075</v>
      </c>
      <c r="J125" s="443"/>
    </row>
    <row r="126" spans="1:18" ht="22.5" x14ac:dyDescent="0.4">
      <c r="A126" s="746" t="s">
        <v>317</v>
      </c>
      <c r="B126" s="746"/>
      <c r="C126" s="746"/>
      <c r="D126" s="746"/>
      <c r="E126" s="746"/>
      <c r="F126" s="746"/>
      <c r="G126" s="746"/>
      <c r="H126" s="746"/>
      <c r="I126" s="746"/>
      <c r="J126" s="746"/>
    </row>
    <row r="127" spans="1:18" ht="22.5" x14ac:dyDescent="0.4">
      <c r="A127" s="747"/>
      <c r="B127" s="747"/>
      <c r="C127" s="438"/>
      <c r="D127" s="396"/>
      <c r="E127" s="446"/>
      <c r="F127" s="446"/>
      <c r="G127" s="697"/>
      <c r="H127" s="398">
        <f t="shared" ref="H127:H135" si="21">G127</f>
        <v>0</v>
      </c>
      <c r="I127" s="446"/>
      <c r="J127" s="445">
        <f>H127/DAY(B2)</f>
        <v>0</v>
      </c>
    </row>
    <row r="128" spans="1:18" ht="29.25" customHeight="1" x14ac:dyDescent="0.4">
      <c r="A128" s="753" t="s">
        <v>318</v>
      </c>
      <c r="B128" s="756"/>
      <c r="C128" s="754"/>
      <c r="D128" s="396" t="s">
        <v>183</v>
      </c>
      <c r="E128" s="446">
        <v>38004</v>
      </c>
      <c r="F128" s="446">
        <v>38365.74</v>
      </c>
      <c r="G128" s="697">
        <f t="shared" ref="G128:G133" si="22">F128-E128</f>
        <v>361.73999999999796</v>
      </c>
      <c r="H128" s="398">
        <f t="shared" si="21"/>
        <v>361.73999999999796</v>
      </c>
      <c r="I128" s="446"/>
      <c r="J128" s="445">
        <f>H128/DAY(B2)</f>
        <v>361.73999999999796</v>
      </c>
    </row>
    <row r="129" spans="1:15" ht="22.5" x14ac:dyDescent="0.4">
      <c r="A129" s="527" t="s">
        <v>319</v>
      </c>
      <c r="B129" s="447"/>
      <c r="C129" s="448"/>
      <c r="D129" s="396" t="s">
        <v>183</v>
      </c>
      <c r="E129" s="446">
        <v>20321</v>
      </c>
      <c r="F129" s="446">
        <v>20525.43</v>
      </c>
      <c r="G129" s="697">
        <f t="shared" si="22"/>
        <v>204.43000000000029</v>
      </c>
      <c r="H129" s="398">
        <f t="shared" si="21"/>
        <v>204.43000000000029</v>
      </c>
      <c r="I129" s="446"/>
      <c r="J129" s="445">
        <f>H129/DAY(B2)</f>
        <v>204.43000000000029</v>
      </c>
      <c r="N129" s="552"/>
      <c r="O129" s="499"/>
    </row>
    <row r="130" spans="1:15" ht="22.5" x14ac:dyDescent="0.4">
      <c r="A130" s="527" t="s">
        <v>320</v>
      </c>
      <c r="B130" s="447"/>
      <c r="C130" s="448"/>
      <c r="D130" s="396" t="s">
        <v>183</v>
      </c>
      <c r="E130" s="446">
        <v>18382</v>
      </c>
      <c r="F130" s="446">
        <v>19180.349999999999</v>
      </c>
      <c r="G130" s="697">
        <f t="shared" si="22"/>
        <v>798.34999999999854</v>
      </c>
      <c r="H130" s="398">
        <f t="shared" si="21"/>
        <v>798.34999999999854</v>
      </c>
      <c r="I130" s="446"/>
      <c r="J130" s="445">
        <f>H130/DAY(B2)</f>
        <v>798.34999999999854</v>
      </c>
      <c r="N130" s="552"/>
      <c r="O130" s="499"/>
    </row>
    <row r="131" spans="1:15" ht="22.5" x14ac:dyDescent="0.4">
      <c r="A131" s="753" t="s">
        <v>321</v>
      </c>
      <c r="B131" s="756"/>
      <c r="C131" s="754"/>
      <c r="D131" s="396" t="s">
        <v>183</v>
      </c>
      <c r="E131" s="446">
        <v>13153</v>
      </c>
      <c r="F131" s="658">
        <v>13233.4</v>
      </c>
      <c r="G131" s="700">
        <f t="shared" si="22"/>
        <v>80.399999999999636</v>
      </c>
      <c r="H131" s="398">
        <f t="shared" si="21"/>
        <v>80.399999999999636</v>
      </c>
      <c r="I131" s="446"/>
      <c r="J131" s="445">
        <f>H131/DAY(B2)</f>
        <v>80.399999999999636</v>
      </c>
      <c r="N131" s="552"/>
      <c r="O131" s="499"/>
    </row>
    <row r="132" spans="1:15" ht="22.5" x14ac:dyDescent="0.4">
      <c r="A132" s="753" t="s">
        <v>322</v>
      </c>
      <c r="B132" s="756"/>
      <c r="C132" s="754"/>
      <c r="D132" s="396" t="s">
        <v>183</v>
      </c>
      <c r="E132" s="446">
        <v>41023</v>
      </c>
      <c r="F132" s="658">
        <v>41473.43</v>
      </c>
      <c r="G132" s="700">
        <f t="shared" si="22"/>
        <v>450.43000000000029</v>
      </c>
      <c r="H132" s="398">
        <f t="shared" si="21"/>
        <v>450.43000000000029</v>
      </c>
      <c r="I132" s="446"/>
      <c r="J132" s="445">
        <f>H132/DAY(B2)</f>
        <v>450.43000000000029</v>
      </c>
    </row>
    <row r="133" spans="1:15" ht="22.5" x14ac:dyDescent="0.4">
      <c r="A133" s="753" t="s">
        <v>342</v>
      </c>
      <c r="B133" s="756"/>
      <c r="C133" s="754"/>
      <c r="D133" s="396" t="s">
        <v>183</v>
      </c>
      <c r="E133" s="446">
        <v>87703</v>
      </c>
      <c r="F133" s="658">
        <v>88536.86</v>
      </c>
      <c r="G133" s="700">
        <f t="shared" si="22"/>
        <v>833.86000000000058</v>
      </c>
      <c r="H133" s="398">
        <f t="shared" si="21"/>
        <v>833.86000000000058</v>
      </c>
      <c r="I133" s="446"/>
      <c r="J133" s="445">
        <f>H133/DAY(B2)</f>
        <v>833.86000000000058</v>
      </c>
    </row>
    <row r="134" spans="1:15" ht="22.5" x14ac:dyDescent="0.4">
      <c r="A134" s="757" t="s">
        <v>340</v>
      </c>
      <c r="B134" s="751"/>
      <c r="C134" s="741"/>
      <c r="D134" s="396" t="s">
        <v>183</v>
      </c>
      <c r="E134" s="446">
        <v>668880</v>
      </c>
      <c r="F134" s="658">
        <v>669520</v>
      </c>
      <c r="G134" s="700">
        <f>F134-E134</f>
        <v>640</v>
      </c>
      <c r="H134" s="398">
        <f t="shared" ref="H134" si="23">G134</f>
        <v>640</v>
      </c>
      <c r="I134" s="446"/>
      <c r="J134" s="445">
        <f>H134/DAY(B2)</f>
        <v>640</v>
      </c>
    </row>
    <row r="135" spans="1:15" ht="22.5" x14ac:dyDescent="0.4">
      <c r="A135" s="758" t="s">
        <v>196</v>
      </c>
      <c r="B135" s="759"/>
      <c r="C135" s="760"/>
      <c r="D135" s="396"/>
      <c r="E135" s="446"/>
      <c r="F135" s="446"/>
      <c r="G135" s="697">
        <f>SUM(G128:G134)</f>
        <v>3369.2099999999973</v>
      </c>
      <c r="H135" s="398">
        <f t="shared" si="21"/>
        <v>3369.2099999999973</v>
      </c>
      <c r="I135" s="156">
        <f>G135-(G35+G49)</f>
        <v>-301.74000000001433</v>
      </c>
      <c r="J135" s="445">
        <f>H135/DAY(B2)</f>
        <v>3369.2099999999973</v>
      </c>
    </row>
    <row r="136" spans="1:15" ht="22.5" x14ac:dyDescent="0.4">
      <c r="A136" s="746" t="s">
        <v>325</v>
      </c>
      <c r="B136" s="746"/>
      <c r="C136" s="746"/>
      <c r="D136" s="746"/>
      <c r="E136" s="746"/>
      <c r="F136" s="746"/>
      <c r="G136" s="746"/>
      <c r="H136" s="746"/>
      <c r="I136" s="746"/>
      <c r="J136" s="746"/>
    </row>
    <row r="137" spans="1:15" ht="22.5" x14ac:dyDescent="0.4">
      <c r="A137" s="165"/>
      <c r="B137" s="438"/>
      <c r="C137" s="438"/>
      <c r="D137" s="438"/>
      <c r="E137" s="446"/>
      <c r="F137" s="446"/>
      <c r="G137" s="589"/>
      <c r="H137" s="443"/>
      <c r="I137" s="446"/>
      <c r="J137" s="443"/>
    </row>
    <row r="138" spans="1:15" ht="22.5" x14ac:dyDescent="0.4">
      <c r="A138" s="752" t="s">
        <v>185</v>
      </c>
      <c r="B138" s="752"/>
      <c r="C138" s="752"/>
      <c r="D138" s="396" t="s">
        <v>183</v>
      </c>
      <c r="E138" s="449">
        <v>864171</v>
      </c>
      <c r="F138" s="449">
        <v>864220</v>
      </c>
      <c r="G138" s="697">
        <f t="shared" ref="G138:G150" si="24">F138-E138</f>
        <v>49</v>
      </c>
      <c r="H138" s="398">
        <f t="shared" ref="H138:H150" si="25">G138</f>
        <v>49</v>
      </c>
      <c r="I138" s="397"/>
      <c r="J138" s="445">
        <f>H138/DAY(B2)</f>
        <v>49</v>
      </c>
    </row>
    <row r="139" spans="1:15" ht="22.5" x14ac:dyDescent="0.4">
      <c r="A139" s="752" t="s">
        <v>186</v>
      </c>
      <c r="B139" s="752"/>
      <c r="C139" s="752"/>
      <c r="D139" s="396" t="s">
        <v>183</v>
      </c>
      <c r="E139" s="450">
        <v>886546</v>
      </c>
      <c r="F139" s="450">
        <v>886547</v>
      </c>
      <c r="G139" s="697">
        <f t="shared" si="24"/>
        <v>1</v>
      </c>
      <c r="H139" s="398">
        <f t="shared" si="25"/>
        <v>1</v>
      </c>
      <c r="I139" s="397"/>
      <c r="J139" s="445">
        <f>H139/DAY(B2)</f>
        <v>1</v>
      </c>
    </row>
    <row r="140" spans="1:15" ht="22.5" x14ac:dyDescent="0.4">
      <c r="A140" s="752" t="s">
        <v>187</v>
      </c>
      <c r="B140" s="752"/>
      <c r="C140" s="752"/>
      <c r="D140" s="396" t="s">
        <v>183</v>
      </c>
      <c r="E140" s="451">
        <v>88882</v>
      </c>
      <c r="F140" s="451">
        <v>88882</v>
      </c>
      <c r="G140" s="697">
        <f t="shared" si="24"/>
        <v>0</v>
      </c>
      <c r="H140" s="398">
        <f t="shared" si="25"/>
        <v>0</v>
      </c>
      <c r="I140" s="397"/>
      <c r="J140" s="445">
        <f>H140/DAY(B2)</f>
        <v>0</v>
      </c>
    </row>
    <row r="141" spans="1:15" ht="22.5" x14ac:dyDescent="0.4">
      <c r="A141" s="755" t="s">
        <v>188</v>
      </c>
      <c r="B141" s="755"/>
      <c r="C141" s="755"/>
      <c r="D141" s="452" t="s">
        <v>183</v>
      </c>
      <c r="E141" s="451">
        <v>49306</v>
      </c>
      <c r="F141" s="450">
        <v>49499.6</v>
      </c>
      <c r="G141" s="700">
        <f t="shared" si="24"/>
        <v>193.59999999999854</v>
      </c>
      <c r="H141" s="457">
        <f t="shared" si="25"/>
        <v>193.59999999999854</v>
      </c>
      <c r="I141" s="672"/>
      <c r="J141" s="529">
        <f>H141/DAY(B2)</f>
        <v>193.59999999999854</v>
      </c>
    </row>
    <row r="142" spans="1:15" ht="22.5" x14ac:dyDescent="0.4">
      <c r="A142" s="755" t="s">
        <v>189</v>
      </c>
      <c r="B142" s="755"/>
      <c r="C142" s="755"/>
      <c r="D142" s="452" t="s">
        <v>183</v>
      </c>
      <c r="E142" s="450">
        <v>19009</v>
      </c>
      <c r="F142" s="450">
        <v>19082</v>
      </c>
      <c r="G142" s="700">
        <f t="shared" si="24"/>
        <v>73</v>
      </c>
      <c r="H142" s="457">
        <f t="shared" si="25"/>
        <v>73</v>
      </c>
      <c r="I142" s="673"/>
      <c r="J142" s="529">
        <f>H142/DAY(B2)</f>
        <v>73</v>
      </c>
    </row>
    <row r="143" spans="1:15" ht="22.5" x14ac:dyDescent="0.4">
      <c r="A143" s="811" t="s">
        <v>91</v>
      </c>
      <c r="B143" s="811"/>
      <c r="C143" s="811"/>
      <c r="D143" s="452" t="s">
        <v>183</v>
      </c>
      <c r="E143" s="451">
        <v>3061</v>
      </c>
      <c r="F143" s="450">
        <v>3088.24</v>
      </c>
      <c r="G143" s="700">
        <f t="shared" si="24"/>
        <v>27.239999999999782</v>
      </c>
      <c r="H143" s="457">
        <f t="shared" si="25"/>
        <v>27.239999999999782</v>
      </c>
      <c r="I143" s="673"/>
      <c r="J143" s="529">
        <f>H143/DAY(B2)</f>
        <v>27.239999999999782</v>
      </c>
    </row>
    <row r="144" spans="1:15" ht="22.5" x14ac:dyDescent="0.4">
      <c r="A144" s="755" t="s">
        <v>90</v>
      </c>
      <c r="B144" s="755"/>
      <c r="C144" s="755"/>
      <c r="D144" s="452" t="s">
        <v>183</v>
      </c>
      <c r="E144" s="451">
        <v>869670</v>
      </c>
      <c r="F144" s="450">
        <v>869899</v>
      </c>
      <c r="G144" s="700">
        <f t="shared" si="24"/>
        <v>229</v>
      </c>
      <c r="H144" s="457">
        <f t="shared" si="25"/>
        <v>229</v>
      </c>
      <c r="I144" s="673"/>
      <c r="J144" s="529">
        <f>H144/DAY(B2)</f>
        <v>229</v>
      </c>
    </row>
    <row r="145" spans="1:10" ht="22.5" x14ac:dyDescent="0.4">
      <c r="A145" s="811" t="s">
        <v>190</v>
      </c>
      <c r="B145" s="811"/>
      <c r="C145" s="811"/>
      <c r="D145" s="452" t="s">
        <v>183</v>
      </c>
      <c r="E145" s="451">
        <v>4558</v>
      </c>
      <c r="F145" s="450">
        <v>4573.25</v>
      </c>
      <c r="G145" s="700">
        <f t="shared" si="24"/>
        <v>15.25</v>
      </c>
      <c r="H145" s="457">
        <f t="shared" si="25"/>
        <v>15.25</v>
      </c>
      <c r="I145" s="673"/>
      <c r="J145" s="529">
        <f>H145/DAY(B2)</f>
        <v>15.25</v>
      </c>
    </row>
    <row r="146" spans="1:10" ht="22.5" x14ac:dyDescent="0.4">
      <c r="A146" s="812" t="s">
        <v>191</v>
      </c>
      <c r="B146" s="813"/>
      <c r="C146" s="814"/>
      <c r="D146" s="452" t="s">
        <v>183</v>
      </c>
      <c r="E146" s="450">
        <v>724858</v>
      </c>
      <c r="F146" s="450">
        <v>725332</v>
      </c>
      <c r="G146" s="700">
        <f t="shared" si="24"/>
        <v>474</v>
      </c>
      <c r="H146" s="457">
        <f t="shared" si="25"/>
        <v>474</v>
      </c>
      <c r="I146" s="673"/>
      <c r="J146" s="529">
        <f>H146/DAY(B2)</f>
        <v>474</v>
      </c>
    </row>
    <row r="147" spans="1:10" ht="22.5" x14ac:dyDescent="0.4">
      <c r="A147" s="755" t="s">
        <v>192</v>
      </c>
      <c r="B147" s="755"/>
      <c r="C147" s="755"/>
      <c r="D147" s="452" t="s">
        <v>183</v>
      </c>
      <c r="E147" s="450">
        <v>615282</v>
      </c>
      <c r="F147" s="450">
        <v>615719.31999999995</v>
      </c>
      <c r="G147" s="700">
        <f t="shared" si="24"/>
        <v>437.31999999994878</v>
      </c>
      <c r="H147" s="457">
        <f t="shared" si="25"/>
        <v>437.31999999994878</v>
      </c>
      <c r="I147" s="673"/>
      <c r="J147" s="529">
        <f>H147/DAY(B2)</f>
        <v>437.31999999994878</v>
      </c>
    </row>
    <row r="148" spans="1:10" ht="22.5" x14ac:dyDescent="0.4">
      <c r="A148" s="807" t="s">
        <v>193</v>
      </c>
      <c r="B148" s="808"/>
      <c r="C148" s="809"/>
      <c r="D148" s="511" t="s">
        <v>130</v>
      </c>
      <c r="E148" s="411">
        <v>683033.12</v>
      </c>
      <c r="F148" s="437">
        <v>683408.24</v>
      </c>
      <c r="G148" s="700">
        <f t="shared" si="24"/>
        <v>375.11999999999534</v>
      </c>
      <c r="H148" s="457">
        <f t="shared" si="25"/>
        <v>375.11999999999534</v>
      </c>
      <c r="I148" s="457"/>
      <c r="J148" s="529">
        <f>H148/DAY(B2)</f>
        <v>375.11999999999534</v>
      </c>
    </row>
    <row r="149" spans="1:10" ht="22.5" x14ac:dyDescent="0.4">
      <c r="A149" s="807" t="s">
        <v>336</v>
      </c>
      <c r="B149" s="808"/>
      <c r="C149" s="809"/>
      <c r="D149" s="530" t="s">
        <v>130</v>
      </c>
      <c r="E149" s="396">
        <v>10749</v>
      </c>
      <c r="F149" s="452">
        <v>11075.3</v>
      </c>
      <c r="G149" s="700">
        <f t="shared" si="24"/>
        <v>326.29999999999927</v>
      </c>
      <c r="H149" s="457">
        <f t="shared" si="25"/>
        <v>326.29999999999927</v>
      </c>
      <c r="I149" s="665"/>
      <c r="J149" s="529">
        <f>H149/DAY(B2)</f>
        <v>326.29999999999927</v>
      </c>
    </row>
    <row r="150" spans="1:10" ht="22.5" x14ac:dyDescent="0.4">
      <c r="A150" s="807" t="s">
        <v>337</v>
      </c>
      <c r="B150" s="808"/>
      <c r="C150" s="809"/>
      <c r="D150" s="511" t="s">
        <v>130</v>
      </c>
      <c r="E150" s="452">
        <v>4052</v>
      </c>
      <c r="F150" s="452">
        <v>4283.5</v>
      </c>
      <c r="G150" s="700">
        <f t="shared" si="24"/>
        <v>231.5</v>
      </c>
      <c r="H150" s="457">
        <f t="shared" si="25"/>
        <v>231.5</v>
      </c>
      <c r="I150" s="665"/>
      <c r="J150" s="529">
        <f>H150/DAY(B2)</f>
        <v>231.5</v>
      </c>
    </row>
    <row r="151" spans="1:10" ht="22.5" x14ac:dyDescent="0.4">
      <c r="A151" s="807" t="s">
        <v>338</v>
      </c>
      <c r="B151" s="808"/>
      <c r="C151" s="809"/>
      <c r="D151" s="531"/>
      <c r="E151" s="452">
        <v>78217</v>
      </c>
      <c r="F151" s="452">
        <v>78510</v>
      </c>
      <c r="G151" s="700">
        <f t="shared" ref="G151:G152" si="26">F151-E151</f>
        <v>293</v>
      </c>
      <c r="H151" s="457">
        <f t="shared" ref="H151:H153" si="27">G151</f>
        <v>293</v>
      </c>
      <c r="I151" s="665"/>
      <c r="J151" s="529">
        <f>H151/DAY(B2)</f>
        <v>293</v>
      </c>
    </row>
    <row r="152" spans="1:10" ht="22.5" x14ac:dyDescent="0.4">
      <c r="A152" s="807" t="s">
        <v>339</v>
      </c>
      <c r="B152" s="808"/>
      <c r="C152" s="809"/>
      <c r="D152" s="531"/>
      <c r="E152" s="452">
        <v>1127</v>
      </c>
      <c r="F152" s="452">
        <v>1167</v>
      </c>
      <c r="G152" s="700">
        <f t="shared" si="26"/>
        <v>40</v>
      </c>
      <c r="H152" s="457">
        <f t="shared" si="27"/>
        <v>40</v>
      </c>
      <c r="I152" s="665"/>
      <c r="J152" s="529">
        <f>H152/DAY(B2)</f>
        <v>40</v>
      </c>
    </row>
    <row r="153" spans="1:10" ht="22.5" x14ac:dyDescent="0.4">
      <c r="A153" s="758" t="s">
        <v>196</v>
      </c>
      <c r="B153" s="759"/>
      <c r="C153" s="760"/>
      <c r="D153" s="531"/>
      <c r="E153" s="453"/>
      <c r="F153" s="453"/>
      <c r="G153" s="701">
        <f>SUM(G138:G152)</f>
        <v>2765.3299999999417</v>
      </c>
      <c r="H153" s="532">
        <f t="shared" si="27"/>
        <v>2765.3299999999417</v>
      </c>
      <c r="I153" s="666">
        <f>G153-(G38+G52)</f>
        <v>1099.8999999999487</v>
      </c>
      <c r="J153" s="533"/>
    </row>
    <row r="154" spans="1:10" ht="22.5" x14ac:dyDescent="0.4">
      <c r="A154" s="810" t="s">
        <v>344</v>
      </c>
      <c r="B154" s="810"/>
      <c r="C154" s="810"/>
      <c r="D154" s="810"/>
      <c r="E154" s="810"/>
      <c r="F154" s="810"/>
      <c r="G154" s="810"/>
      <c r="H154" s="810"/>
      <c r="I154" s="810"/>
      <c r="J154" s="810"/>
    </row>
    <row r="155" spans="1:10" ht="27.75" customHeight="1" x14ac:dyDescent="0.4">
      <c r="A155" s="755" t="s">
        <v>345</v>
      </c>
      <c r="B155" s="755"/>
      <c r="C155" s="755"/>
      <c r="D155" s="461"/>
      <c r="E155" s="659">
        <v>12792</v>
      </c>
      <c r="F155" s="658">
        <v>13472</v>
      </c>
      <c r="G155" s="700">
        <f t="shared" ref="G155:G158" si="28">F155-E155</f>
        <v>680</v>
      </c>
      <c r="H155" s="658"/>
      <c r="I155" s="658"/>
      <c r="J155" s="529">
        <f>H155/DAY(B2)</f>
        <v>0</v>
      </c>
    </row>
    <row r="156" spans="1:10" ht="25.5" customHeight="1" x14ac:dyDescent="0.4">
      <c r="A156" s="755" t="s">
        <v>349</v>
      </c>
      <c r="B156" s="755"/>
      <c r="C156" s="755"/>
      <c r="D156" s="465"/>
      <c r="E156" s="446">
        <v>1034</v>
      </c>
      <c r="F156" s="658">
        <v>1088</v>
      </c>
      <c r="G156" s="700">
        <f t="shared" si="28"/>
        <v>54</v>
      </c>
      <c r="H156" s="464"/>
      <c r="I156" s="658"/>
      <c r="J156" s="529">
        <f>H156/DAY(B2)</f>
        <v>0</v>
      </c>
    </row>
    <row r="157" spans="1:10" ht="25.5" customHeight="1" x14ac:dyDescent="0.5">
      <c r="A157" s="732" t="s">
        <v>364</v>
      </c>
      <c r="B157" s="733"/>
      <c r="C157" s="734"/>
      <c r="D157" s="404" t="s">
        <v>130</v>
      </c>
      <c r="E157" s="397">
        <v>1236</v>
      </c>
      <c r="F157" s="658">
        <v>1306.01</v>
      </c>
      <c r="G157" s="700">
        <f t="shared" si="28"/>
        <v>70.009999999999991</v>
      </c>
      <c r="H157" s="464"/>
      <c r="I157" s="658"/>
      <c r="J157" s="529"/>
    </row>
    <row r="158" spans="1:10" ht="25.5" customHeight="1" x14ac:dyDescent="0.5">
      <c r="A158" s="732" t="s">
        <v>365</v>
      </c>
      <c r="B158" s="733"/>
      <c r="C158" s="734"/>
      <c r="D158" s="404" t="s">
        <v>130</v>
      </c>
      <c r="E158" s="446">
        <v>7.83</v>
      </c>
      <c r="F158" s="658">
        <v>8.1</v>
      </c>
      <c r="G158" s="700">
        <f t="shared" si="28"/>
        <v>0.26999999999999957</v>
      </c>
      <c r="H158" s="464"/>
      <c r="I158" s="658"/>
      <c r="J158" s="529"/>
    </row>
    <row r="159" spans="1:10" ht="25.5" customHeight="1" x14ac:dyDescent="0.4">
      <c r="A159" s="735"/>
      <c r="B159" s="736"/>
      <c r="C159" s="737"/>
      <c r="D159" s="465"/>
      <c r="E159" s="446"/>
      <c r="F159" s="658"/>
      <c r="G159" s="700"/>
      <c r="H159" s="464"/>
      <c r="I159" s="658"/>
      <c r="J159" s="529"/>
    </row>
    <row r="160" spans="1:10" ht="22.5" x14ac:dyDescent="0.4">
      <c r="A160" s="746" t="s">
        <v>326</v>
      </c>
      <c r="B160" s="746"/>
      <c r="C160" s="746"/>
      <c r="D160" s="746"/>
      <c r="E160" s="746"/>
      <c r="F160" s="746"/>
      <c r="G160" s="746"/>
      <c r="H160" s="746"/>
      <c r="I160" s="746"/>
      <c r="J160" s="746"/>
    </row>
    <row r="161" spans="1:10" ht="22.5" x14ac:dyDescent="0.4">
      <c r="A161" s="528" t="s">
        <v>92</v>
      </c>
      <c r="B161" s="454"/>
      <c r="C161" s="454"/>
      <c r="D161" s="455" t="s">
        <v>180</v>
      </c>
      <c r="E161" s="456">
        <v>471153.16</v>
      </c>
      <c r="F161" s="456">
        <v>471153.16</v>
      </c>
      <c r="G161" s="588">
        <f t="shared" ref="G161:G168" si="29">F161-E161</f>
        <v>0</v>
      </c>
      <c r="H161" s="398">
        <f t="shared" ref="H161:H168" si="30">G161</f>
        <v>0</v>
      </c>
      <c r="I161" s="665"/>
      <c r="J161" s="458">
        <f>H161/DAY(B2)</f>
        <v>0</v>
      </c>
    </row>
    <row r="162" spans="1:10" ht="22.5" x14ac:dyDescent="0.4">
      <c r="A162" s="528" t="s">
        <v>93</v>
      </c>
      <c r="B162" s="454"/>
      <c r="C162" s="454"/>
      <c r="D162" s="455" t="s">
        <v>180</v>
      </c>
      <c r="E162" s="456">
        <v>87570</v>
      </c>
      <c r="F162" s="456">
        <v>87592</v>
      </c>
      <c r="G162" s="588">
        <f t="shared" si="29"/>
        <v>22</v>
      </c>
      <c r="H162" s="398">
        <f t="shared" si="30"/>
        <v>22</v>
      </c>
      <c r="I162" s="665"/>
      <c r="J162" s="458">
        <f>H162/DAY(B2)</f>
        <v>22</v>
      </c>
    </row>
    <row r="163" spans="1:10" ht="22.5" x14ac:dyDescent="0.4">
      <c r="A163" s="528" t="s">
        <v>197</v>
      </c>
      <c r="B163" s="454"/>
      <c r="C163" s="454"/>
      <c r="D163" s="455" t="s">
        <v>180</v>
      </c>
      <c r="E163" s="456">
        <v>77825</v>
      </c>
      <c r="F163" s="456">
        <v>77859</v>
      </c>
      <c r="G163" s="588">
        <f t="shared" si="29"/>
        <v>34</v>
      </c>
      <c r="H163" s="398">
        <f t="shared" si="30"/>
        <v>34</v>
      </c>
      <c r="I163" s="665"/>
      <c r="J163" s="458">
        <f>H163/DAY(B2)</f>
        <v>34</v>
      </c>
    </row>
    <row r="164" spans="1:10" ht="22.5" x14ac:dyDescent="0.4">
      <c r="A164" s="528" t="s">
        <v>197</v>
      </c>
      <c r="B164" s="454"/>
      <c r="C164" s="454"/>
      <c r="D164" s="455" t="s">
        <v>180</v>
      </c>
      <c r="E164" s="456">
        <v>4242</v>
      </c>
      <c r="F164" s="456">
        <v>4242</v>
      </c>
      <c r="G164" s="588">
        <f>F164-E164</f>
        <v>0</v>
      </c>
      <c r="H164" s="398">
        <f t="shared" si="30"/>
        <v>0</v>
      </c>
      <c r="I164" s="665"/>
      <c r="J164" s="458">
        <f>H164/DAY(B2)</f>
        <v>0</v>
      </c>
    </row>
    <row r="165" spans="1:10" ht="22.5" x14ac:dyDescent="0.4">
      <c r="A165" s="528" t="s">
        <v>309</v>
      </c>
      <c r="B165" s="454"/>
      <c r="C165" s="454"/>
      <c r="D165" s="455" t="s">
        <v>180</v>
      </c>
      <c r="E165" s="456">
        <v>29646</v>
      </c>
      <c r="F165" s="456">
        <v>29652.55</v>
      </c>
      <c r="G165" s="588">
        <f t="shared" si="29"/>
        <v>6.5499999999992724</v>
      </c>
      <c r="H165" s="398">
        <f t="shared" si="30"/>
        <v>6.5499999999992724</v>
      </c>
      <c r="I165" s="665"/>
      <c r="J165" s="458">
        <f>H165/DAY(B2)</f>
        <v>6.5499999999992724</v>
      </c>
    </row>
    <row r="166" spans="1:10" ht="22.5" x14ac:dyDescent="0.4">
      <c r="A166" s="747"/>
      <c r="B166" s="747"/>
      <c r="C166" s="438"/>
      <c r="D166" s="455" t="s">
        <v>180</v>
      </c>
      <c r="E166" s="446"/>
      <c r="F166" s="446"/>
      <c r="G166" s="588">
        <f t="shared" si="29"/>
        <v>0</v>
      </c>
      <c r="H166" s="398">
        <f t="shared" si="30"/>
        <v>0</v>
      </c>
      <c r="I166" s="446"/>
      <c r="J166" s="443"/>
    </row>
    <row r="167" spans="1:10" ht="22.5" x14ac:dyDescent="0.4">
      <c r="A167" s="747"/>
      <c r="B167" s="747"/>
      <c r="C167" s="438"/>
      <c r="D167" s="455" t="s">
        <v>180</v>
      </c>
      <c r="E167" s="446"/>
      <c r="F167" s="446"/>
      <c r="G167" s="588">
        <f t="shared" si="29"/>
        <v>0</v>
      </c>
      <c r="H167" s="398">
        <f t="shared" si="30"/>
        <v>0</v>
      </c>
      <c r="I167" s="446"/>
      <c r="J167" s="443"/>
    </row>
    <row r="168" spans="1:10" ht="22.5" x14ac:dyDescent="0.4">
      <c r="A168" s="747"/>
      <c r="B168" s="747"/>
      <c r="C168" s="438"/>
      <c r="D168" s="455" t="s">
        <v>180</v>
      </c>
      <c r="E168" s="446"/>
      <c r="F168" s="446"/>
      <c r="G168" s="588">
        <f t="shared" si="29"/>
        <v>0</v>
      </c>
      <c r="H168" s="398">
        <f t="shared" si="30"/>
        <v>0</v>
      </c>
      <c r="I168" s="446"/>
      <c r="J168" s="443"/>
    </row>
    <row r="169" spans="1:10" ht="22.5" x14ac:dyDescent="0.4"/>
    <row r="170" spans="1:10" ht="22.5" x14ac:dyDescent="0.4"/>
    <row r="171" spans="1:10" ht="22.5" x14ac:dyDescent="0.4">
      <c r="A171" s="748" t="s">
        <v>330</v>
      </c>
      <c r="B171" s="749"/>
      <c r="C171" s="749"/>
      <c r="D171" s="749"/>
      <c r="E171" s="749"/>
      <c r="F171" s="749"/>
      <c r="G171" s="749"/>
      <c r="H171" s="749"/>
      <c r="I171" s="749"/>
      <c r="J171" s="750"/>
    </row>
    <row r="172" spans="1:10" ht="22.5" x14ac:dyDescent="0.4">
      <c r="A172" s="744"/>
      <c r="B172" s="745"/>
      <c r="C172" s="459"/>
      <c r="D172" s="510"/>
      <c r="E172" s="446"/>
      <c r="F172" s="446"/>
      <c r="G172" s="589"/>
      <c r="H172" s="443"/>
      <c r="I172" s="446"/>
      <c r="J172" s="460">
        <f>H172/DAY(B2)</f>
        <v>0</v>
      </c>
    </row>
    <row r="173" spans="1:10" ht="22.5" x14ac:dyDescent="0.4">
      <c r="A173" s="740" t="s">
        <v>209</v>
      </c>
      <c r="B173" s="741"/>
      <c r="C173" s="379"/>
      <c r="D173" s="510" t="s">
        <v>142</v>
      </c>
      <c r="E173" s="446">
        <v>8126</v>
      </c>
      <c r="F173" s="446">
        <v>8126</v>
      </c>
      <c r="G173" s="589">
        <f>F173-E173</f>
        <v>0</v>
      </c>
      <c r="H173" s="398">
        <f t="shared" ref="H173:H189" si="31">G173</f>
        <v>0</v>
      </c>
      <c r="I173" s="446"/>
      <c r="J173" s="460">
        <f>H173/DAY(B2)</f>
        <v>0</v>
      </c>
    </row>
    <row r="174" spans="1:10" ht="22.5" x14ac:dyDescent="0.4">
      <c r="A174" s="740" t="s">
        <v>75</v>
      </c>
      <c r="B174" s="741"/>
      <c r="C174" s="379"/>
      <c r="D174" s="510" t="s">
        <v>142</v>
      </c>
      <c r="E174" s="658">
        <v>38293</v>
      </c>
      <c r="F174" s="658">
        <v>38308</v>
      </c>
      <c r="G174" s="589">
        <f t="shared" ref="G174:G175" si="32">F174-E174</f>
        <v>15</v>
      </c>
      <c r="H174" s="398">
        <f t="shared" si="31"/>
        <v>15</v>
      </c>
      <c r="I174" s="446"/>
      <c r="J174" s="460">
        <f>H174/DAY(B2)</f>
        <v>15</v>
      </c>
    </row>
    <row r="175" spans="1:10" ht="22.5" x14ac:dyDescent="0.4">
      <c r="A175" s="740" t="s">
        <v>76</v>
      </c>
      <c r="B175" s="751"/>
      <c r="C175" s="741"/>
      <c r="D175" s="510" t="s">
        <v>142</v>
      </c>
      <c r="E175" s="446">
        <v>21518</v>
      </c>
      <c r="F175" s="446">
        <v>21530</v>
      </c>
      <c r="G175" s="589">
        <f t="shared" si="32"/>
        <v>12</v>
      </c>
      <c r="H175" s="398">
        <f t="shared" si="31"/>
        <v>12</v>
      </c>
      <c r="I175" s="446"/>
      <c r="J175" s="460"/>
    </row>
    <row r="176" spans="1:10" ht="22.5" x14ac:dyDescent="0.4">
      <c r="A176" s="738" t="s">
        <v>196</v>
      </c>
      <c r="B176" s="739"/>
      <c r="C176" s="379"/>
      <c r="D176" s="510"/>
      <c r="E176" s="446"/>
      <c r="F176" s="446"/>
      <c r="G176" s="589">
        <f>SUM(G173:G175)</f>
        <v>27</v>
      </c>
      <c r="H176" s="398">
        <f t="shared" si="31"/>
        <v>27</v>
      </c>
      <c r="I176" s="446"/>
      <c r="J176" s="460">
        <f>H176/DAY(B2)</f>
        <v>27</v>
      </c>
    </row>
    <row r="177" spans="1:10" ht="22.5" x14ac:dyDescent="0.4">
      <c r="A177" s="740" t="s">
        <v>77</v>
      </c>
      <c r="B177" s="741"/>
      <c r="C177" s="379"/>
      <c r="D177" s="510" t="s">
        <v>142</v>
      </c>
      <c r="E177" s="446"/>
      <c r="F177" s="446"/>
      <c r="G177" s="589"/>
      <c r="H177" s="398">
        <f t="shared" si="31"/>
        <v>0</v>
      </c>
      <c r="I177" s="446"/>
      <c r="J177" s="460">
        <f>H177/DAY(B2)</f>
        <v>0</v>
      </c>
    </row>
    <row r="178" spans="1:10" ht="22.5" x14ac:dyDescent="0.4">
      <c r="A178" s="740" t="s">
        <v>210</v>
      </c>
      <c r="B178" s="741"/>
      <c r="C178" s="379"/>
      <c r="D178" s="510" t="s">
        <v>142</v>
      </c>
      <c r="E178" s="446">
        <v>79614</v>
      </c>
      <c r="F178" s="446">
        <v>79676</v>
      </c>
      <c r="G178" s="589">
        <f>F178-E178</f>
        <v>62</v>
      </c>
      <c r="H178" s="398">
        <f t="shared" si="31"/>
        <v>62</v>
      </c>
      <c r="I178" s="446"/>
      <c r="J178" s="460">
        <f>H178/DAY(B2)</f>
        <v>62</v>
      </c>
    </row>
    <row r="179" spans="1:10" ht="22.5" x14ac:dyDescent="0.4">
      <c r="A179" s="740" t="s">
        <v>211</v>
      </c>
      <c r="B179" s="741"/>
      <c r="C179" s="379"/>
      <c r="D179" s="510" t="s">
        <v>142</v>
      </c>
      <c r="E179" s="446">
        <v>33915</v>
      </c>
      <c r="F179" s="446">
        <v>33957</v>
      </c>
      <c r="G179" s="589">
        <f t="shared" ref="G179:G180" si="33">F179-E179</f>
        <v>42</v>
      </c>
      <c r="H179" s="398">
        <f t="shared" si="31"/>
        <v>42</v>
      </c>
      <c r="I179" s="446"/>
      <c r="J179" s="460">
        <f>H179/DAY(B2)</f>
        <v>42</v>
      </c>
    </row>
    <row r="180" spans="1:10" ht="22.5" x14ac:dyDescent="0.4">
      <c r="A180" s="740" t="s">
        <v>212</v>
      </c>
      <c r="B180" s="741"/>
      <c r="C180" s="379"/>
      <c r="D180" s="510" t="s">
        <v>142</v>
      </c>
      <c r="E180" s="446">
        <v>5477</v>
      </c>
      <c r="F180" s="446">
        <v>5481</v>
      </c>
      <c r="G180" s="589">
        <f t="shared" si="33"/>
        <v>4</v>
      </c>
      <c r="H180" s="398">
        <f t="shared" si="31"/>
        <v>4</v>
      </c>
      <c r="I180" s="446"/>
      <c r="J180" s="460">
        <f>H180/DAY(B2)</f>
        <v>4</v>
      </c>
    </row>
    <row r="181" spans="1:10" ht="22.5" x14ac:dyDescent="0.4">
      <c r="A181" s="738" t="s">
        <v>108</v>
      </c>
      <c r="B181" s="739"/>
      <c r="C181" s="379"/>
      <c r="D181" s="510"/>
      <c r="E181" s="446"/>
      <c r="F181" s="446"/>
      <c r="G181" s="589">
        <f>SUM(G178:G180)</f>
        <v>108</v>
      </c>
      <c r="H181" s="398">
        <f t="shared" si="31"/>
        <v>108</v>
      </c>
      <c r="I181" s="446"/>
      <c r="J181" s="460">
        <f>H181/DAY(B2)</f>
        <v>108</v>
      </c>
    </row>
    <row r="182" spans="1:10" ht="21.95" customHeight="1" x14ac:dyDescent="0.4">
      <c r="A182" s="740" t="s">
        <v>213</v>
      </c>
      <c r="B182" s="741"/>
      <c r="C182" s="379"/>
      <c r="D182" s="510"/>
      <c r="E182" s="446"/>
      <c r="F182" s="446"/>
      <c r="G182" s="589"/>
      <c r="H182" s="398">
        <f t="shared" si="31"/>
        <v>0</v>
      </c>
      <c r="I182" s="446"/>
      <c r="J182" s="460">
        <f>H182/DAY(B2)</f>
        <v>0</v>
      </c>
    </row>
    <row r="183" spans="1:10" ht="21.95" customHeight="1" x14ac:dyDescent="0.4">
      <c r="A183" s="740" t="s">
        <v>214</v>
      </c>
      <c r="B183" s="741"/>
      <c r="C183" s="379"/>
      <c r="D183" s="510" t="s">
        <v>142</v>
      </c>
      <c r="E183" s="658">
        <v>14947</v>
      </c>
      <c r="F183" s="658">
        <v>14977</v>
      </c>
      <c r="G183" s="590">
        <f>F183-E183</f>
        <v>30</v>
      </c>
      <c r="H183" s="398">
        <f t="shared" si="31"/>
        <v>30</v>
      </c>
      <c r="I183" s="446"/>
      <c r="J183" s="460">
        <f>H183/DAY(B2)</f>
        <v>30</v>
      </c>
    </row>
    <row r="184" spans="1:10" ht="21.95" customHeight="1" x14ac:dyDescent="0.4">
      <c r="A184" s="740" t="s">
        <v>215</v>
      </c>
      <c r="B184" s="741"/>
      <c r="C184" s="379"/>
      <c r="D184" s="510" t="s">
        <v>142</v>
      </c>
      <c r="E184" s="658">
        <v>10301</v>
      </c>
      <c r="F184" s="658">
        <v>10308</v>
      </c>
      <c r="G184" s="590">
        <f t="shared" ref="G184:G185" si="34">F184-E184</f>
        <v>7</v>
      </c>
      <c r="H184" s="398">
        <f t="shared" si="31"/>
        <v>7</v>
      </c>
      <c r="I184" s="446"/>
      <c r="J184" s="460">
        <f>H184/DAY(B2)</f>
        <v>7</v>
      </c>
    </row>
    <row r="185" spans="1:10" ht="22.5" x14ac:dyDescent="0.4">
      <c r="A185" s="740" t="s">
        <v>216</v>
      </c>
      <c r="B185" s="741"/>
      <c r="C185" s="379"/>
      <c r="D185" s="510" t="s">
        <v>142</v>
      </c>
      <c r="E185" s="658"/>
      <c r="F185" s="658"/>
      <c r="G185" s="590">
        <f t="shared" si="34"/>
        <v>0</v>
      </c>
      <c r="H185" s="398">
        <f t="shared" si="31"/>
        <v>0</v>
      </c>
      <c r="I185" s="446"/>
      <c r="J185" s="462">
        <f>H185/DAY(B2)</f>
        <v>0</v>
      </c>
    </row>
    <row r="186" spans="1:10" ht="22.5" x14ac:dyDescent="0.4">
      <c r="A186" s="738" t="s">
        <v>196</v>
      </c>
      <c r="B186" s="739"/>
      <c r="C186" s="379"/>
      <c r="D186" s="229"/>
      <c r="E186" s="658"/>
      <c r="F186" s="658"/>
      <c r="G186" s="590">
        <f>SUM(G183:G185)</f>
        <v>37</v>
      </c>
      <c r="H186" s="398">
        <f t="shared" si="31"/>
        <v>37</v>
      </c>
      <c r="I186" s="658"/>
      <c r="J186" s="462">
        <f>H186/DAY(B2)</f>
        <v>37</v>
      </c>
    </row>
    <row r="187" spans="1:10" ht="22.5" x14ac:dyDescent="0.4">
      <c r="A187" s="740" t="s">
        <v>217</v>
      </c>
      <c r="B187" s="741"/>
      <c r="C187" s="379"/>
      <c r="D187" s="463" t="s">
        <v>142</v>
      </c>
      <c r="E187" s="464"/>
      <c r="F187" s="464"/>
      <c r="G187" s="590">
        <f>G62+G19</f>
        <v>54</v>
      </c>
      <c r="H187" s="398">
        <f t="shared" si="31"/>
        <v>54</v>
      </c>
      <c r="I187" s="658"/>
      <c r="J187" s="462">
        <f>H187/DAY(B2)</f>
        <v>54</v>
      </c>
    </row>
    <row r="188" spans="1:10" ht="22.5" x14ac:dyDescent="0.4">
      <c r="A188" s="740" t="s">
        <v>218</v>
      </c>
      <c r="B188" s="741"/>
      <c r="C188" s="379"/>
      <c r="D188" s="463" t="s">
        <v>142</v>
      </c>
      <c r="E188" s="464"/>
      <c r="F188" s="464"/>
      <c r="G188" s="590">
        <f>G65+G66+G67+G69+G70</f>
        <v>204</v>
      </c>
      <c r="H188" s="398">
        <f t="shared" si="31"/>
        <v>204</v>
      </c>
      <c r="I188" s="658"/>
      <c r="J188" s="669"/>
    </row>
    <row r="189" spans="1:10" ht="22.5" x14ac:dyDescent="0.4">
      <c r="A189" s="740" t="s">
        <v>219</v>
      </c>
      <c r="B189" s="741"/>
      <c r="C189" s="379"/>
      <c r="D189" s="463" t="s">
        <v>142</v>
      </c>
      <c r="E189" s="658"/>
      <c r="F189" s="658"/>
      <c r="G189" s="590">
        <f>G181</f>
        <v>108</v>
      </c>
      <c r="H189" s="398">
        <f t="shared" si="31"/>
        <v>108</v>
      </c>
      <c r="I189" s="658"/>
      <c r="J189" s="458">
        <f>H189/DAY(B2)</f>
        <v>108</v>
      </c>
    </row>
    <row r="190" spans="1:10" ht="27" x14ac:dyDescent="0.5">
      <c r="A190" s="742" t="s">
        <v>360</v>
      </c>
      <c r="B190" s="743"/>
      <c r="C190" s="602"/>
      <c r="D190" s="478"/>
      <c r="E190" s="674"/>
      <c r="F190" s="603">
        <v>52955</v>
      </c>
      <c r="G190" s="661">
        <f>F190-E190</f>
        <v>52955</v>
      </c>
      <c r="H190" s="480"/>
      <c r="I190" s="603"/>
      <c r="J190" s="480"/>
    </row>
    <row r="191" spans="1:10" ht="22.5" x14ac:dyDescent="0.4">
      <c r="A191" s="740"/>
      <c r="B191" s="741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D155" sqref="D155:D157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7" x14ac:dyDescent="0.5">
      <c r="A2" s="191" t="s">
        <v>350</v>
      </c>
      <c r="B2" s="262">
        <v>44563</v>
      </c>
      <c r="C2" s="350" t="s">
        <v>67</v>
      </c>
      <c r="D2" s="218">
        <v>0.43559999999999999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50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114567.53</v>
      </c>
      <c r="F7" s="95">
        <v>134056.9</v>
      </c>
      <c r="G7" s="112">
        <f>F7-E7</f>
        <v>19489.369999999995</v>
      </c>
      <c r="H7" s="99">
        <f>G7+'1'!H7</f>
        <v>39495.899999999994</v>
      </c>
      <c r="I7" s="113">
        <f>'[1]1'!I7</f>
        <v>12000</v>
      </c>
      <c r="J7" s="175">
        <f>H7/DAY(B2)</f>
        <v>19747.949999999997</v>
      </c>
      <c r="K7" s="172">
        <v>1375467</v>
      </c>
      <c r="L7" s="66"/>
      <c r="N7" s="87"/>
      <c r="O7" s="375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161334</v>
      </c>
      <c r="F8" s="114">
        <v>181227</v>
      </c>
      <c r="G8" s="115">
        <f>F8-E8</f>
        <v>19893</v>
      </c>
      <c r="H8" s="99">
        <f>G8+'1'!H8</f>
        <v>40342</v>
      </c>
      <c r="I8" s="116">
        <v>12000</v>
      </c>
      <c r="J8" s="175">
        <f>H8/DAY(B2)</f>
        <v>20171</v>
      </c>
      <c r="K8" s="172">
        <v>1715917</v>
      </c>
      <c r="L8" s="76">
        <v>1728480</v>
      </c>
      <c r="M8" s="87">
        <f>L8-K8</f>
        <v>12563</v>
      </c>
      <c r="N8" s="87"/>
      <c r="O8" s="375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2271542.1</v>
      </c>
      <c r="F9" s="355">
        <v>2283852.9</v>
      </c>
      <c r="G9" s="112">
        <f t="shared" ref="G9:G11" si="0">F9-E9</f>
        <v>12310.799999999814</v>
      </c>
      <c r="H9" s="99">
        <f>G9+'1'!H9</f>
        <v>25076.899999999907</v>
      </c>
      <c r="I9" s="124">
        <f>I8-J8</f>
        <v>-8171</v>
      </c>
      <c r="J9" s="175">
        <f>H9/DAY(B2)</f>
        <v>12538.449999999953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547525.15</v>
      </c>
      <c r="F10" s="117">
        <v>554172.82999999996</v>
      </c>
      <c r="G10" s="112">
        <f t="shared" si="0"/>
        <v>6647.6799999999348</v>
      </c>
      <c r="H10" s="99">
        <f>G10+'1'!H10</f>
        <v>13346.829999999958</v>
      </c>
      <c r="I10" s="118"/>
      <c r="J10" s="175">
        <f>H10/DAY(B2)</f>
        <v>6673.414999999979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18958.479999999749</v>
      </c>
      <c r="H13" s="99">
        <f>G13+'1'!H13</f>
        <v>18958.479999999749</v>
      </c>
      <c r="I13" s="120">
        <f>G7-G13</f>
        <v>530.8900000002468</v>
      </c>
      <c r="J13" s="175">
        <f>H13/DAY(B2)</f>
        <v>9479.2399999998743</v>
      </c>
      <c r="K13" s="79"/>
      <c r="L13" s="66"/>
      <c r="N13" s="87"/>
      <c r="O13" s="71"/>
      <c r="P13" s="65">
        <v>822</v>
      </c>
    </row>
    <row r="14" spans="1:16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7" t="s">
        <v>138</v>
      </c>
      <c r="B15" s="205"/>
      <c r="C15" s="205"/>
      <c r="D15" s="151" t="s">
        <v>139</v>
      </c>
      <c r="E15" s="95">
        <f>'1'!F15</f>
        <v>1879500.0859999999</v>
      </c>
      <c r="F15" s="354">
        <v>1880308.6129999999</v>
      </c>
      <c r="G15" s="358">
        <f>(F15-E15)</f>
        <v>808.52700000000186</v>
      </c>
      <c r="H15" s="99">
        <f>G15+'1'!H15</f>
        <v>1878.6129999998957</v>
      </c>
      <c r="I15" s="113">
        <v>800</v>
      </c>
      <c r="J15" s="175">
        <f>H15/DAY(B2)</f>
        <v>939.30649999994785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-139.30649999994785</v>
      </c>
      <c r="J16" s="176"/>
      <c r="K16" s="79"/>
      <c r="L16" s="66"/>
      <c r="N16" s="87"/>
      <c r="O16" s="71"/>
      <c r="P16" s="71">
        <f>G9+P12</f>
        <v>13008.799999999814</v>
      </c>
    </row>
    <row r="17" spans="1:16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13132.799999999814</v>
      </c>
    </row>
    <row r="18" spans="1:16" ht="27.75" x14ac:dyDescent="0.5">
      <c r="A18" s="856" t="s">
        <v>141</v>
      </c>
      <c r="B18" s="857"/>
      <c r="C18" s="858"/>
      <c r="D18" s="151" t="s">
        <v>142</v>
      </c>
      <c r="E18" s="95">
        <f>'1'!F18</f>
        <v>0</v>
      </c>
      <c r="F18" s="117">
        <v>0</v>
      </c>
      <c r="G18" s="119">
        <f>F18*10</f>
        <v>0</v>
      </c>
      <c r="H18" s="99">
        <f>G18+'1'!H18</f>
        <v>0</v>
      </c>
      <c r="I18" s="113">
        <f>'[1]1'!I18</f>
        <v>65</v>
      </c>
      <c r="J18" s="175">
        <f>H18/DAY(B2)</f>
        <v>0</v>
      </c>
      <c r="K18" s="79"/>
      <c r="L18" s="66"/>
      <c r="N18" s="87"/>
      <c r="O18" s="71"/>
    </row>
    <row r="19" spans="1:16" ht="27.75" x14ac:dyDescent="0.5">
      <c r="A19" s="856" t="s">
        <v>69</v>
      </c>
      <c r="B19" s="857"/>
      <c r="C19" s="858"/>
      <c r="D19" s="151" t="s">
        <v>142</v>
      </c>
      <c r="E19" s="95">
        <f>'1'!F19</f>
        <v>152279</v>
      </c>
      <c r="F19" s="355">
        <v>152335</v>
      </c>
      <c r="G19" s="112">
        <f>F19-E19</f>
        <v>56</v>
      </c>
      <c r="H19" s="99">
        <f>G19+'1'!H19</f>
        <v>110</v>
      </c>
      <c r="I19" s="356"/>
      <c r="J19" s="175">
        <f>H19/DAY(B2)</f>
        <v>55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7">
        <f>G18+G19</f>
        <v>56</v>
      </c>
      <c r="H20" s="99">
        <f>G20+'1'!H20</f>
        <v>110</v>
      </c>
      <c r="I20" s="338">
        <f>I18-J20</f>
        <v>10</v>
      </c>
      <c r="J20" s="175">
        <f>H20/DAY(B2)</f>
        <v>55</v>
      </c>
      <c r="K20" s="79"/>
      <c r="L20" s="66"/>
      <c r="N20" s="87"/>
      <c r="O20" s="71"/>
    </row>
    <row r="21" spans="1:16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7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7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19893</v>
      </c>
      <c r="F27" s="136">
        <v>9</v>
      </c>
      <c r="G27" s="137">
        <f>E27*F27</f>
        <v>179037</v>
      </c>
      <c r="H27" s="99">
        <f>G27+'1'!H27</f>
        <v>363078</v>
      </c>
      <c r="I27" s="138"/>
      <c r="J27" s="175">
        <f>H27/DAY(B2)</f>
        <v>181539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808.52700000000186</v>
      </c>
      <c r="F28" s="136">
        <v>52</v>
      </c>
      <c r="G28" s="137">
        <f t="shared" ref="G28:G31" si="2">E28*F28</f>
        <v>42043.404000000097</v>
      </c>
      <c r="H28" s="99">
        <f>G28+'1'!H28</f>
        <v>97687.875999994576</v>
      </c>
      <c r="I28" s="140"/>
      <c r="J28" s="175">
        <f>H28/DAY(B2)</f>
        <v>48843.937999997288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 t="shared" si="2"/>
        <v>8176</v>
      </c>
      <c r="H30" s="99">
        <f>G30+'1'!H30</f>
        <v>16060</v>
      </c>
      <c r="I30" s="140"/>
      <c r="J30" s="175">
        <f>H30/DAY(B2)</f>
        <v>8030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 t="shared" si="2"/>
        <v>0</v>
      </c>
      <c r="H31" s="99">
        <f>G31+'1'!H31</f>
        <v>0</v>
      </c>
      <c r="I31" s="140"/>
      <c r="J31" s="175">
        <f>H31/DAY(B2)</f>
        <v>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229256.4040000001</v>
      </c>
      <c r="H32" s="99">
        <f>G32+'1'!H32</f>
        <v>476825.87599999458</v>
      </c>
      <c r="I32" s="144"/>
      <c r="J32" s="175">
        <f>H32/DAY(B2)</f>
        <v>238412.93799999729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154894.12</v>
      </c>
      <c r="F35" s="145">
        <v>156908.64000000001</v>
      </c>
      <c r="G35" s="112">
        <f t="shared" ref="G35:G46" si="3">F35-E35</f>
        <v>2014.5200000000186</v>
      </c>
      <c r="H35" s="99">
        <f>G35+'1'!H35</f>
        <v>4066.640000000014</v>
      </c>
      <c r="I35" s="95"/>
      <c r="J35" s="175">
        <f>H35/DAY(B2)</f>
        <v>2033.320000000007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22412.33</v>
      </c>
      <c r="F36" s="145">
        <v>23168.87</v>
      </c>
      <c r="G36" s="112">
        <f t="shared" si="3"/>
        <v>756.53999999999724</v>
      </c>
      <c r="H36" s="99">
        <f>G36+'1'!H36</f>
        <v>1641.869999999999</v>
      </c>
      <c r="I36" s="95"/>
      <c r="J36" s="175">
        <f>H36/DAY(B2)</f>
        <v>820.93499999999949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196966.51</v>
      </c>
      <c r="F37" s="145">
        <v>198475.75</v>
      </c>
      <c r="G37" s="112">
        <f t="shared" si="3"/>
        <v>1509.2399999999907</v>
      </c>
      <c r="H37" s="99">
        <f>G37+'1'!H37</f>
        <v>3082.75</v>
      </c>
      <c r="I37" s="95"/>
      <c r="J37" s="175">
        <f>H37/DAY(B2)</f>
        <v>1541.375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234147.43</v>
      </c>
      <c r="F38" s="108">
        <v>235710.49</v>
      </c>
      <c r="G38" s="112">
        <f t="shared" si="3"/>
        <v>1563.0599999999977</v>
      </c>
      <c r="H38" s="99">
        <f>G38+'1'!H38</f>
        <v>3228.4899999999907</v>
      </c>
      <c r="I38" s="95"/>
      <c r="J38" s="175">
        <f>H38/DAY(B2)</f>
        <v>1614.2449999999953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413803.39</v>
      </c>
      <c r="F39" s="145">
        <v>416525.19</v>
      </c>
      <c r="G39" s="112">
        <f t="shared" si="3"/>
        <v>2721.7999999999884</v>
      </c>
      <c r="H39" s="99">
        <f>G39+'1'!H39</f>
        <v>5446.1900000000023</v>
      </c>
      <c r="I39" s="95"/>
      <c r="J39" s="175">
        <f>H39/DAY(B2)</f>
        <v>2723.0950000000012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5609.97</v>
      </c>
      <c r="F40" s="145">
        <v>5609.98</v>
      </c>
      <c r="G40" s="112">
        <f t="shared" si="3"/>
        <v>9.999999999308784E-3</v>
      </c>
      <c r="H40" s="99">
        <f>G40+'1'!H40</f>
        <v>-2.0000000000436557E-2</v>
      </c>
      <c r="I40" s="95"/>
      <c r="J40" s="175">
        <f>H40/DAY(B2)</f>
        <v>-1.0000000000218279E-2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0</v>
      </c>
      <c r="F41" s="145">
        <v>0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73808.600000000006</v>
      </c>
      <c r="F42" s="145">
        <v>73808.600000000006</v>
      </c>
      <c r="G42" s="112">
        <f t="shared" si="3"/>
        <v>0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49822.23</v>
      </c>
      <c r="F43" s="145">
        <v>52259.4</v>
      </c>
      <c r="G43" s="112">
        <f t="shared" si="3"/>
        <v>2437.1699999999983</v>
      </c>
      <c r="H43" s="99">
        <f>G43+'1'!H43</f>
        <v>4998.4000000000015</v>
      </c>
      <c r="I43" s="95"/>
      <c r="J43" s="175">
        <f>H43/DAY(B2)</f>
        <v>2499.2000000000007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11002.339999999989</v>
      </c>
      <c r="H47" s="99">
        <f>G47+'1'!H47</f>
        <v>22463.920000000013</v>
      </c>
      <c r="I47" s="95"/>
      <c r="J47" s="175">
        <f>H47/DAY(B2)</f>
        <v>11231.960000000006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273858.83</v>
      </c>
      <c r="F49" s="145">
        <v>275486</v>
      </c>
      <c r="G49" s="112">
        <f t="shared" ref="G49:G58" si="4">F49-E49</f>
        <v>1627.1699999999837</v>
      </c>
      <c r="H49" s="99">
        <f>G49+'1'!H49</f>
        <v>3246</v>
      </c>
      <c r="I49" s="95"/>
      <c r="J49" s="175">
        <f>H49/DAY(B2)</f>
        <v>1623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25886.02</v>
      </c>
      <c r="F50" s="145">
        <v>27036.74</v>
      </c>
      <c r="G50" s="112">
        <f t="shared" si="4"/>
        <v>1150.7200000000012</v>
      </c>
      <c r="H50" s="99">
        <f>G50+'1'!H50</f>
        <v>2386.7400000000016</v>
      </c>
      <c r="I50" s="95"/>
      <c r="J50" s="175">
        <f>H50/DAY(B2)</f>
        <v>1193.3700000000008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3188.13</v>
      </c>
      <c r="F54" s="145">
        <v>3192.59</v>
      </c>
      <c r="G54" s="112">
        <f t="shared" si="4"/>
        <v>4.4600000000000364</v>
      </c>
      <c r="H54" s="99">
        <f>G54+'1'!H54</f>
        <v>9.5900000000001455</v>
      </c>
      <c r="I54" s="95"/>
      <c r="J54" s="175">
        <f>H54/DAY(B2)</f>
        <v>4.7950000000000728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5942.82</v>
      </c>
      <c r="F55" s="145">
        <v>9042.82</v>
      </c>
      <c r="G55" s="112">
        <f t="shared" si="4"/>
        <v>3100</v>
      </c>
      <c r="H55" s="99">
        <f>G55+'1'!H55</f>
        <v>5531.82</v>
      </c>
      <c r="I55" s="95"/>
      <c r="J55" s="175">
        <f>H55/DAY(B2)</f>
        <v>2765.91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92510.94</v>
      </c>
      <c r="F58" s="145">
        <v>92602.96</v>
      </c>
      <c r="G58" s="112">
        <f t="shared" si="4"/>
        <v>92.020000000004075</v>
      </c>
      <c r="H58" s="99">
        <f>G58+'1'!H58</f>
        <v>317.9600000000064</v>
      </c>
      <c r="I58" s="95"/>
      <c r="J58" s="175">
        <f>H58/DAY(B2)</f>
        <v>158.9800000000032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5974.369999999989</v>
      </c>
      <c r="H59" s="99">
        <f>G59+'1'!H59</f>
        <v>11492.110000000008</v>
      </c>
      <c r="I59" s="95">
        <f>G7-G60</f>
        <v>2512.660000000018</v>
      </c>
      <c r="J59" s="175">
        <f>H59/DAY(B2)</f>
        <v>5746.0550000000039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16976.709999999977</v>
      </c>
      <c r="H60" s="99">
        <f>G60+'1'!H60</f>
        <v>33956.030000000021</v>
      </c>
      <c r="I60" s="95">
        <f>G13-G60</f>
        <v>1981.7699999997712</v>
      </c>
      <c r="J60" s="175">
        <f>H60/DAY(B2)</f>
        <v>16978.01500000001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'1'!F62</f>
        <v>267213</v>
      </c>
      <c r="F62" s="122">
        <v>267213</v>
      </c>
      <c r="G62" s="112">
        <f t="shared" ref="G62:G63" si="5">F62-E62</f>
        <v>0</v>
      </c>
      <c r="H62" s="99">
        <f>G62+'1'!H62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'1'!F63</f>
        <v>212558</v>
      </c>
      <c r="F63" s="122">
        <v>212672</v>
      </c>
      <c r="G63" s="112">
        <f t="shared" si="5"/>
        <v>114</v>
      </c>
      <c r="H63" s="99">
        <f>G63+'1'!H63</f>
        <v>247</v>
      </c>
      <c r="I63" s="118"/>
      <c r="J63" s="175">
        <f>H63/DAY(B2)</f>
        <v>123.5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'1'!F64</f>
        <v>0</v>
      </c>
      <c r="F64" s="122"/>
      <c r="G64" s="112">
        <f>G62+G63</f>
        <v>114</v>
      </c>
      <c r="H64" s="99">
        <f>G64+'1'!H64</f>
        <v>247</v>
      </c>
      <c r="I64" s="118"/>
      <c r="J64" s="175">
        <f>H64/DAY(B2)</f>
        <v>123.5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'1'!F65</f>
        <v>432712</v>
      </c>
      <c r="F65" s="122">
        <v>432772</v>
      </c>
      <c r="G65" s="112">
        <f t="shared" ref="G65:G70" si="6">F65-E65</f>
        <v>60</v>
      </c>
      <c r="H65" s="99">
        <f>G65+'1'!H65</f>
        <v>158</v>
      </c>
      <c r="I65" s="118"/>
      <c r="J65" s="175">
        <f>H65/DAY(B2)</f>
        <v>79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'1'!F66</f>
        <v>107242</v>
      </c>
      <c r="F66" s="122">
        <v>107269</v>
      </c>
      <c r="G66" s="112">
        <f t="shared" si="6"/>
        <v>27</v>
      </c>
      <c r="H66" s="99">
        <f>G66+'1'!H66</f>
        <v>55</v>
      </c>
      <c r="I66" s="118"/>
      <c r="J66" s="175">
        <f>H66/DAY(B2)</f>
        <v>27.5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'1'!F67</f>
        <v>103968</v>
      </c>
      <c r="F67" s="122">
        <v>104007</v>
      </c>
      <c r="G67" s="112">
        <f t="shared" si="6"/>
        <v>39</v>
      </c>
      <c r="H67" s="99">
        <f>G67+'1'!H67</f>
        <v>79</v>
      </c>
      <c r="I67" s="118"/>
      <c r="J67" s="175">
        <f>H67/DAY(B2)</f>
        <v>39.5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'1'!F68</f>
        <v>156634</v>
      </c>
      <c r="F68" s="122">
        <v>156644</v>
      </c>
      <c r="G68" s="112">
        <f t="shared" si="6"/>
        <v>10</v>
      </c>
      <c r="H68" s="99">
        <f>G68+'1'!H68</f>
        <v>24</v>
      </c>
      <c r="I68" s="118"/>
      <c r="J68" s="175">
        <f>H68/DAY(B2)</f>
        <v>12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'1'!F69</f>
        <v>10239</v>
      </c>
      <c r="F69" s="122">
        <v>10250</v>
      </c>
      <c r="G69" s="236">
        <f t="shared" si="6"/>
        <v>11</v>
      </c>
      <c r="H69" s="99">
        <f>G69+'1'!H69</f>
        <v>36</v>
      </c>
      <c r="I69" s="118"/>
      <c r="J69" s="175">
        <f>H69/DAY(B2)</f>
        <v>18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'1'!F70</f>
        <v>7875</v>
      </c>
      <c r="F70" s="122">
        <v>7887</v>
      </c>
      <c r="G70" s="112">
        <f t="shared" si="6"/>
        <v>12</v>
      </c>
      <c r="H70" s="99">
        <f>G70+'1'!H70</f>
        <v>25</v>
      </c>
      <c r="I70" s="118"/>
      <c r="J70" s="175">
        <f>H70/DAY(B2)</f>
        <v>12.5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159</v>
      </c>
      <c r="H71" s="99">
        <f>G71+'1'!H71</f>
        <v>377</v>
      </c>
      <c r="I71" s="154"/>
      <c r="J71" s="175">
        <f>H71/DAY(B2)</f>
        <v>188.5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'1'!F74</f>
        <v>892299.77</v>
      </c>
      <c r="F74" s="123">
        <v>892557.8</v>
      </c>
      <c r="G74" s="112">
        <f t="shared" ref="G74:G78" si="7">F74-E74</f>
        <v>258.03000000002794</v>
      </c>
      <c r="H74" s="99">
        <f>G74+'1'!H74</f>
        <v>525.80000000004657</v>
      </c>
      <c r="I74" s="154"/>
      <c r="J74" s="175">
        <f>H74/DAY(B2)</f>
        <v>262.90000000002328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'1'!F76</f>
        <v>167309.91</v>
      </c>
      <c r="F76" s="123">
        <v>167408.5</v>
      </c>
      <c r="G76" s="112">
        <f t="shared" si="7"/>
        <v>98.589999999996508</v>
      </c>
      <c r="H76" s="99">
        <f>G76+'1'!H76</f>
        <v>201.5</v>
      </c>
      <c r="I76" s="154"/>
      <c r="J76" s="175">
        <f>H76/DAY(B2)</f>
        <v>100.75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'1'!F77</f>
        <v>40343.4</v>
      </c>
      <c r="F77" s="123">
        <v>40383.4</v>
      </c>
      <c r="G77" s="112">
        <f t="shared" si="7"/>
        <v>40</v>
      </c>
      <c r="H77" s="99">
        <f>G77+'1'!H77</f>
        <v>67.400000000001455</v>
      </c>
      <c r="I77" s="154"/>
      <c r="J77" s="175">
        <f>H77/DAY(B2)</f>
        <v>33.700000000000728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'1'!F78</f>
        <v>9487.9</v>
      </c>
      <c r="F78" s="123">
        <v>9488.5</v>
      </c>
      <c r="G78" s="112">
        <f t="shared" si="7"/>
        <v>0.6000000000003638</v>
      </c>
      <c r="H78" s="99">
        <f>G78+'1'!H78</f>
        <v>2.5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'1'!F79</f>
        <v>0</v>
      </c>
      <c r="F79" s="123"/>
      <c r="G79" s="112">
        <f>G15-SUM(G74:G78)</f>
        <v>411.30699999997705</v>
      </c>
      <c r="H79" s="99">
        <f>G79+'1'!H79</f>
        <v>1081.4129999998477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808.52700000000186</v>
      </c>
      <c r="H80" s="99">
        <f>G80+'1'!H80</f>
        <v>808.52700000000186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'1'!F85</f>
        <v>2096.56</v>
      </c>
      <c r="F85" s="164">
        <v>2096.56</v>
      </c>
      <c r="G85" s="112">
        <f t="shared" si="8"/>
        <v>0</v>
      </c>
      <c r="H85" s="99">
        <f>G85+'1'!H85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'1'!F86</f>
        <v>42887</v>
      </c>
      <c r="F86" s="164">
        <v>42911.11</v>
      </c>
      <c r="G86" s="112">
        <f t="shared" si="8"/>
        <v>24.110000000000582</v>
      </c>
      <c r="H86" s="99">
        <f>G86+'1'!H86</f>
        <v>48.110000000000582</v>
      </c>
      <c r="I86" s="118"/>
      <c r="J86" s="175">
        <f>H86/DAY(B2)</f>
        <v>24.055000000000291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'1'!F88</f>
        <v>24053.38</v>
      </c>
      <c r="F88" s="164">
        <v>24056.07</v>
      </c>
      <c r="G88" s="112">
        <f t="shared" si="8"/>
        <v>2.6899999999986903</v>
      </c>
      <c r="H88" s="99">
        <f>G88+'1'!H88</f>
        <v>9.069999999999709</v>
      </c>
      <c r="I88" s="118">
        <f>G86+G87+G88</f>
        <v>26.799999999999272</v>
      </c>
      <c r="J88" s="175">
        <f>H88/DAY(B2)</f>
        <v>4.5349999999998545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'1'!F89</f>
        <v>25667.09</v>
      </c>
      <c r="F89" s="164">
        <v>25667.56</v>
      </c>
      <c r="G89" s="112">
        <f t="shared" si="8"/>
        <v>0.47000000000116415</v>
      </c>
      <c r="H89" s="99">
        <f>G89+'1'!H89</f>
        <v>4.5600000000013097</v>
      </c>
      <c r="I89" s="118"/>
      <c r="J89" s="175">
        <f>H89/DAY(B2)</f>
        <v>2.2800000000006548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'1'!F90</f>
        <v>71039.61</v>
      </c>
      <c r="F90" s="164">
        <v>71048.759999999995</v>
      </c>
      <c r="G90" s="112">
        <f t="shared" si="8"/>
        <v>9.1499999999941792</v>
      </c>
      <c r="H90" s="99">
        <f>G90+'1'!H90</f>
        <v>14.759999999994761</v>
      </c>
      <c r="I90" s="118">
        <f>G89+G90</f>
        <v>9.6199999999953434</v>
      </c>
      <c r="J90" s="175">
        <f>H90/DAY(B2)</f>
        <v>7.3799999999973807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'1'!F92</f>
        <v>5447.66</v>
      </c>
      <c r="F92" s="122">
        <v>5456.67</v>
      </c>
      <c r="G92" s="112">
        <f t="shared" si="8"/>
        <v>9.0100000000002183</v>
      </c>
      <c r="H92" s="99">
        <f>G92+'1'!H92</f>
        <v>18.670000000000073</v>
      </c>
      <c r="I92" s="165"/>
      <c r="J92" s="175">
        <f>H92/DAY(B2)</f>
        <v>9.3350000000000364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6078.8600000000006</v>
      </c>
      <c r="H94" s="99">
        <f>G94+'1'!H94</f>
        <v>12311.040000000015</v>
      </c>
      <c r="I94" s="118"/>
      <c r="J94" s="175">
        <f>H94/DAY(B2)</f>
        <v>6155.5200000000077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0.31190643925380873</v>
      </c>
      <c r="H95" s="99">
        <f>G95+'1'!H95</f>
        <v>0.6234137321226878</v>
      </c>
      <c r="I95" s="167"/>
      <c r="J95" s="175">
        <f>H95/DAY(B2)</f>
        <v>0.3117068660613439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3100</v>
      </c>
      <c r="H96" s="99">
        <f>G96+'1'!H96</f>
        <v>5531.4200000000055</v>
      </c>
      <c r="I96" s="118"/>
      <c r="J96" s="175">
        <f>H96/DAY(B2)</f>
        <v>2765.7100000000028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0.15906106764867212</v>
      </c>
      <c r="H97" s="99">
        <f>G97+'1'!H97</f>
        <v>0.28059238767268457</v>
      </c>
      <c r="I97" s="167"/>
      <c r="J97" s="175">
        <f>H97/DAY(B2)</f>
        <v>0.14029619383634229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2721.7999999999884</v>
      </c>
      <c r="H98" s="99">
        <f>G98+'1'!H98</f>
        <v>5446.1900000000023</v>
      </c>
      <c r="I98" s="168"/>
      <c r="J98" s="175">
        <f>H98/DAY(B2)</f>
        <v>2723.0950000000012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0.1396556173955335</v>
      </c>
      <c r="H99" s="99">
        <f>G99+'1'!H99</f>
        <v>0.27583065624534975</v>
      </c>
      <c r="I99" s="168"/>
      <c r="J99" s="175">
        <f>H99/DAY(B2)</f>
        <v>0.13791532812267487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1563.0599999999977</v>
      </c>
      <c r="H100" s="99">
        <f>G100+'1'!H100</f>
        <v>3228.4899999999907</v>
      </c>
      <c r="I100" s="118"/>
      <c r="J100" s="175">
        <f>H100/DAY(B2)</f>
        <v>1614.2449999999953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8.0200642709333247E-2</v>
      </c>
      <c r="H101" s="99">
        <f>G101+'1'!H101</f>
        <v>0.16344496343861481</v>
      </c>
      <c r="I101" s="168"/>
      <c r="J101" s="175">
        <f>H101/DAY(B2)</f>
        <v>8.1722481719307405E-2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1907.2599999999984</v>
      </c>
      <c r="H102" s="99">
        <f>G102+'1'!H102</f>
        <v>4028.6100000000006</v>
      </c>
      <c r="I102" s="168"/>
      <c r="J102" s="175">
        <f>H102/DAY(B2)</f>
        <v>2014.3050000000003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9.7861552220518094E-2</v>
      </c>
      <c r="H103" s="99">
        <f>G103+'1'!H103</f>
        <v>0.20389443248511183</v>
      </c>
      <c r="I103" s="118"/>
      <c r="J103" s="175">
        <f>H103/DAY(B2)</f>
        <v>0.10194721624255591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1509.2399999999907</v>
      </c>
      <c r="H104" s="99">
        <f>G104+'1'!H104</f>
        <v>3082.75</v>
      </c>
      <c r="I104" s="118"/>
      <c r="J104" s="175">
        <f>H104/DAY(B2)</f>
        <v>1541.375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7.7439137334864655E-2</v>
      </c>
      <c r="H105" s="99">
        <f>G105+'1'!H105</f>
        <v>0.15608895816836299</v>
      </c>
      <c r="I105" s="187"/>
      <c r="J105" s="188">
        <f>H105/DAY(B2)</f>
        <v>7.8044479084181495E-2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'1'!F112</f>
        <v>55750.8</v>
      </c>
      <c r="F112" s="237">
        <v>55818.83</v>
      </c>
      <c r="G112" s="112">
        <f t="shared" ref="G112:G123" si="9">F112-E112</f>
        <v>68.029999999998836</v>
      </c>
      <c r="H112" s="99">
        <f>G112+'1'!H112</f>
        <v>137.83000000000175</v>
      </c>
      <c r="I112" s="165"/>
      <c r="J112" s="330">
        <f>H112/DAY(B2)</f>
        <v>68.915000000000873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'1'!F113</f>
        <v>32649.73</v>
      </c>
      <c r="F113" s="237">
        <v>33097.18</v>
      </c>
      <c r="G113" s="112">
        <f t="shared" si="9"/>
        <v>447.45000000000073</v>
      </c>
      <c r="H113" s="99">
        <f>G113+'1'!H113</f>
        <v>902.18000000000029</v>
      </c>
      <c r="I113" s="165"/>
      <c r="J113" s="330">
        <f>H113/DAY(B2)</f>
        <v>451.09000000000015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'1'!F114</f>
        <v>25139.35</v>
      </c>
      <c r="F114" s="237">
        <v>25408.3</v>
      </c>
      <c r="G114" s="112">
        <f t="shared" si="9"/>
        <v>268.95000000000073</v>
      </c>
      <c r="H114" s="99">
        <f>G114+'1'!H114</f>
        <v>537.29999999999927</v>
      </c>
      <c r="I114" s="165"/>
      <c r="J114" s="330">
        <f>H114/DAY(B2)</f>
        <v>268.64999999999964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'1'!F115</f>
        <v>8793.5</v>
      </c>
      <c r="F115" s="237">
        <v>8802.7999999999993</v>
      </c>
      <c r="G115" s="112">
        <f t="shared" si="9"/>
        <v>9.2999999999992724</v>
      </c>
      <c r="H115" s="99">
        <f>G115+'1'!H115</f>
        <v>17.799999999999272</v>
      </c>
      <c r="I115" s="165"/>
      <c r="J115" s="330">
        <f>H115/DAY(B2)</f>
        <v>8.8999999999996362</v>
      </c>
    </row>
    <row r="116" spans="1:18" ht="29.25" customHeight="1" x14ac:dyDescent="0.5">
      <c r="A116" s="842" t="s">
        <v>96</v>
      </c>
      <c r="B116" s="843"/>
      <c r="C116" s="844"/>
      <c r="D116" s="708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'1'!F117</f>
        <v>2611.4</v>
      </c>
      <c r="F117" s="237">
        <v>2632.21</v>
      </c>
      <c r="G117" s="112">
        <f t="shared" si="9"/>
        <v>20.809999999999945</v>
      </c>
      <c r="H117" s="99">
        <f>G117+'1'!H117</f>
        <v>42.210000000000036</v>
      </c>
      <c r="I117" s="165"/>
      <c r="J117" s="330">
        <f>H117/DAY(B2)</f>
        <v>21.105000000000018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'1'!F118</f>
        <v>242009.5</v>
      </c>
      <c r="F118" s="237">
        <v>242373.99</v>
      </c>
      <c r="G118" s="112">
        <f t="shared" si="9"/>
        <v>364.48999999999069</v>
      </c>
      <c r="H118" s="99">
        <f>G118+'1'!H118</f>
        <v>726.98999999999069</v>
      </c>
      <c r="I118" s="165"/>
      <c r="J118" s="330">
        <f>H118/DAY(B2)</f>
        <v>363.49499999999534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'1'!F119</f>
        <v>245557.91</v>
      </c>
      <c r="F119" s="237">
        <v>245981.03</v>
      </c>
      <c r="G119" s="112">
        <f t="shared" si="9"/>
        <v>423.11999999999534</v>
      </c>
      <c r="H119" s="99">
        <f>G119+'1'!H119</f>
        <v>855.02999999999884</v>
      </c>
      <c r="I119" s="165"/>
      <c r="J119" s="330">
        <f>H119/DAY(B2)</f>
        <v>427.51499999999942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'1'!F120</f>
        <v>30511.74</v>
      </c>
      <c r="F120" s="237">
        <v>30933.07</v>
      </c>
      <c r="G120" s="112">
        <f t="shared" si="9"/>
        <v>421.32999999999811</v>
      </c>
      <c r="H120" s="99">
        <f>G120+'1'!H120</f>
        <v>855.06999999999971</v>
      </c>
      <c r="I120" s="165"/>
      <c r="J120" s="330">
        <f>H120/DAY(B2)</f>
        <v>427.53499999999985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'1'!F121</f>
        <v>377313.71</v>
      </c>
      <c r="F121" s="237">
        <v>378067.47</v>
      </c>
      <c r="G121" s="112">
        <f t="shared" si="9"/>
        <v>753.75999999995111</v>
      </c>
      <c r="H121" s="99">
        <f>G121+'1'!H121</f>
        <v>1538.4699999999721</v>
      </c>
      <c r="I121" s="165"/>
      <c r="J121" s="330">
        <f>H121/DAY(B2)</f>
        <v>769.23499999998603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'1'!F122</f>
        <v>120263.74</v>
      </c>
      <c r="F122" s="237">
        <v>120477.6</v>
      </c>
      <c r="G122" s="112">
        <f t="shared" si="9"/>
        <v>213.86000000000058</v>
      </c>
      <c r="H122" s="99">
        <f>G122+'1'!H122</f>
        <v>427.60000000000582</v>
      </c>
      <c r="I122" s="165"/>
      <c r="J122" s="330">
        <f>H122/DAY(B2)</f>
        <v>213.80000000000291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'1'!F123</f>
        <v>145471.69</v>
      </c>
      <c r="F123" s="237">
        <v>145818.76999999999</v>
      </c>
      <c r="G123" s="112">
        <f t="shared" si="9"/>
        <v>347.07999999998719</v>
      </c>
      <c r="H123" s="99">
        <f>G123+'1'!H123</f>
        <v>693.76999999998952</v>
      </c>
      <c r="I123" s="165"/>
      <c r="J123" s="330">
        <f>H123/DAY(B2)</f>
        <v>346.88499999999476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3338.1799999999225</v>
      </c>
      <c r="H125" s="156"/>
      <c r="I125" s="329">
        <f>G125-(G39+G53)</f>
        <v>616.37999999993417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G127+'1'!H127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'1'!F128</f>
        <v>38365.74</v>
      </c>
      <c r="F128" s="165">
        <v>38727.72</v>
      </c>
      <c r="G128" s="112">
        <f t="shared" ref="G128:G133" si="10">F128-E128</f>
        <v>361.9800000000032</v>
      </c>
      <c r="H128" s="99">
        <f>G128+'1'!H128</f>
        <v>723.72000000000116</v>
      </c>
      <c r="I128" s="165"/>
      <c r="J128" s="330">
        <f>H128/DAY(B2)</f>
        <v>361.86000000000058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'1'!F129</f>
        <v>20525.43</v>
      </c>
      <c r="F129" s="165">
        <v>20725.8</v>
      </c>
      <c r="G129" s="112">
        <f t="shared" si="10"/>
        <v>200.36999999999898</v>
      </c>
      <c r="H129" s="99">
        <f>G129+'1'!H129</f>
        <v>404.79999999999927</v>
      </c>
      <c r="I129" s="165"/>
      <c r="J129" s="330">
        <f>H129/DAY(B2)</f>
        <v>202.39999999999964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'1'!F130</f>
        <v>19180.349999999999</v>
      </c>
      <c r="F130" s="165">
        <v>19929.53</v>
      </c>
      <c r="G130" s="112">
        <f t="shared" si="10"/>
        <v>749.18000000000029</v>
      </c>
      <c r="H130" s="99">
        <f>G130+'1'!H130</f>
        <v>1547.5299999999988</v>
      </c>
      <c r="I130" s="165"/>
      <c r="J130" s="330">
        <f>H130/DAY(B2)</f>
        <v>773.76499999999942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'1'!F131</f>
        <v>13233.4</v>
      </c>
      <c r="F131" s="165">
        <v>13311.723</v>
      </c>
      <c r="G131" s="112">
        <f t="shared" si="10"/>
        <v>78.32300000000032</v>
      </c>
      <c r="H131" s="99">
        <f>G131+'1'!H131</f>
        <v>158.72299999999996</v>
      </c>
      <c r="I131" s="165"/>
      <c r="J131" s="330">
        <f>H131/DAY(B2)</f>
        <v>79.361499999999978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'1'!F132</f>
        <v>41473.43</v>
      </c>
      <c r="F132" s="165">
        <v>41921.1</v>
      </c>
      <c r="G132" s="112">
        <f t="shared" si="10"/>
        <v>447.66999999999825</v>
      </c>
      <c r="H132" s="99">
        <f>G132+'1'!H132</f>
        <v>898.09999999999854</v>
      </c>
      <c r="I132" s="165"/>
      <c r="J132" s="330">
        <f>H132/DAY(B2)</f>
        <v>449.04999999999927</v>
      </c>
    </row>
    <row r="133" spans="1:15" ht="27.75" x14ac:dyDescent="0.5">
      <c r="A133" s="835" t="s">
        <v>342</v>
      </c>
      <c r="B133" s="836"/>
      <c r="C133" s="837"/>
      <c r="D133" s="151" t="s">
        <v>183</v>
      </c>
      <c r="E133" s="95">
        <f>'1'!F133</f>
        <v>88536.86</v>
      </c>
      <c r="F133" s="165">
        <v>89368.88</v>
      </c>
      <c r="G133" s="112">
        <f t="shared" si="10"/>
        <v>832.02000000000407</v>
      </c>
      <c r="H133" s="99">
        <f>G133+'1'!H133</f>
        <v>1665.8800000000047</v>
      </c>
      <c r="I133" s="165"/>
      <c r="J133" s="330">
        <f>H133/DAY(B2)</f>
        <v>832.94000000000233</v>
      </c>
    </row>
    <row r="134" spans="1:15" ht="27.75" x14ac:dyDescent="0.5">
      <c r="A134" s="835" t="s">
        <v>340</v>
      </c>
      <c r="B134" s="836"/>
      <c r="C134" s="837"/>
      <c r="D134" s="706" t="s">
        <v>183</v>
      </c>
      <c r="E134" s="95">
        <f>'1'!F134</f>
        <v>669520</v>
      </c>
      <c r="F134" s="158">
        <v>670206</v>
      </c>
      <c r="G134" s="112">
        <f>F134-E134</f>
        <v>686</v>
      </c>
      <c r="H134" s="99">
        <f>G134+'1'!H134</f>
        <v>1326</v>
      </c>
      <c r="I134" s="165"/>
      <c r="J134" s="330">
        <f>H134/DAY(B2)</f>
        <v>663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3355.5430000000051</v>
      </c>
      <c r="H135" s="99">
        <f>G135+'1'!H135</f>
        <v>6724.7530000000024</v>
      </c>
      <c r="I135" s="329">
        <f>G135-(G35+G49)</f>
        <v>-286.14699999999721</v>
      </c>
      <c r="J135" s="330">
        <f>H135/DAY(B2)</f>
        <v>3362.3765000000012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706" t="s">
        <v>183</v>
      </c>
      <c r="E138" s="95">
        <f>'1'!F138</f>
        <v>864220</v>
      </c>
      <c r="F138" s="147">
        <v>864323</v>
      </c>
      <c r="G138" s="112">
        <f t="shared" ref="G138:G152" si="11">F138-E138</f>
        <v>103</v>
      </c>
      <c r="H138" s="99">
        <f>G138+'1'!H138</f>
        <v>152</v>
      </c>
      <c r="I138" s="118"/>
      <c r="J138" s="330">
        <f>H138/DAY(B2)</f>
        <v>76</v>
      </c>
    </row>
    <row r="139" spans="1:15" ht="27.75" x14ac:dyDescent="0.5">
      <c r="A139" s="834" t="s">
        <v>186</v>
      </c>
      <c r="B139" s="834"/>
      <c r="C139" s="834"/>
      <c r="D139" s="706" t="s">
        <v>183</v>
      </c>
      <c r="E139" s="95">
        <f>'1'!F139</f>
        <v>886547</v>
      </c>
      <c r="F139" s="148">
        <v>886547</v>
      </c>
      <c r="G139" s="112">
        <f t="shared" si="11"/>
        <v>0</v>
      </c>
      <c r="H139" s="99">
        <f>G139+'1'!H139</f>
        <v>1</v>
      </c>
      <c r="I139" s="118"/>
      <c r="J139" s="330">
        <f>H139/DAY(B2)</f>
        <v>0.5</v>
      </c>
    </row>
    <row r="140" spans="1:15" ht="27.75" x14ac:dyDescent="0.5">
      <c r="A140" s="834" t="s">
        <v>187</v>
      </c>
      <c r="B140" s="834"/>
      <c r="C140" s="834"/>
      <c r="D140" s="706" t="s">
        <v>183</v>
      </c>
      <c r="E140" s="95">
        <f>'1'!F140</f>
        <v>88882</v>
      </c>
      <c r="F140" s="149">
        <v>88895.9</v>
      </c>
      <c r="G140" s="112">
        <f t="shared" si="11"/>
        <v>13.899999999994179</v>
      </c>
      <c r="H140" s="99">
        <f>G140+'1'!H140</f>
        <v>13.899999999994179</v>
      </c>
      <c r="I140" s="118"/>
      <c r="J140" s="330">
        <f>H140/DAY(B2)</f>
        <v>6.9499999999970896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'1'!F141</f>
        <v>49499.6</v>
      </c>
      <c r="F141" s="149">
        <v>49670.7</v>
      </c>
      <c r="G141" s="112">
        <f t="shared" si="11"/>
        <v>171.09999999999854</v>
      </c>
      <c r="H141" s="99">
        <f>G141+'1'!H141</f>
        <v>364.69999999999709</v>
      </c>
      <c r="I141" s="118"/>
      <c r="J141" s="330">
        <f>H141/DAY(B2)</f>
        <v>182.34999999999854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'1'!F142</f>
        <v>19082</v>
      </c>
      <c r="F142" s="148">
        <v>19154.12</v>
      </c>
      <c r="G142" s="112">
        <f t="shared" si="11"/>
        <v>72.119999999998981</v>
      </c>
      <c r="H142" s="99">
        <f>G142+'1'!H142</f>
        <v>145.11999999999898</v>
      </c>
      <c r="I142" s="140"/>
      <c r="J142" s="330">
        <f>H142/DAY(B2)</f>
        <v>72.559999999999491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'1'!F143</f>
        <v>3088.24</v>
      </c>
      <c r="F143" s="149">
        <v>3113.3</v>
      </c>
      <c r="G143" s="112">
        <f t="shared" si="11"/>
        <v>25.0600000000004</v>
      </c>
      <c r="H143" s="99">
        <f>G143+'1'!H143</f>
        <v>52.300000000000182</v>
      </c>
      <c r="I143" s="140"/>
      <c r="J143" s="330">
        <f>H143/DAY(B2)</f>
        <v>26.150000000000091</v>
      </c>
    </row>
    <row r="144" spans="1:15" ht="27.75" x14ac:dyDescent="0.5">
      <c r="A144" s="815" t="s">
        <v>90</v>
      </c>
      <c r="B144" s="815"/>
      <c r="C144" s="815"/>
      <c r="D144" s="706" t="s">
        <v>183</v>
      </c>
      <c r="E144" s="95">
        <f>'1'!F144</f>
        <v>869899</v>
      </c>
      <c r="F144" s="149">
        <v>870123</v>
      </c>
      <c r="G144" s="112">
        <f t="shared" si="11"/>
        <v>224</v>
      </c>
      <c r="H144" s="99">
        <f>G144+'1'!H144</f>
        <v>453</v>
      </c>
      <c r="I144" s="140"/>
      <c r="J144" s="330">
        <f>H144/DAY(B2)</f>
        <v>226.5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'1'!F145</f>
        <v>4573.25</v>
      </c>
      <c r="F145" s="149">
        <v>4590</v>
      </c>
      <c r="G145" s="112">
        <f t="shared" si="11"/>
        <v>16.75</v>
      </c>
      <c r="H145" s="99">
        <f>G145+'1'!H145</f>
        <v>32</v>
      </c>
      <c r="I145" s="140"/>
      <c r="J145" s="330">
        <f>H145/DAY(B2)</f>
        <v>16</v>
      </c>
    </row>
    <row r="146" spans="1:10" ht="27.75" x14ac:dyDescent="0.5">
      <c r="A146" s="869" t="s">
        <v>191</v>
      </c>
      <c r="B146" s="854"/>
      <c r="C146" s="855"/>
      <c r="D146" s="706" t="s">
        <v>183</v>
      </c>
      <c r="E146" s="95">
        <f>'1'!F146</f>
        <v>725332</v>
      </c>
      <c r="F146" s="148">
        <v>725840</v>
      </c>
      <c r="G146" s="112">
        <f t="shared" si="11"/>
        <v>508</v>
      </c>
      <c r="H146" s="99">
        <f>G146+'1'!H146</f>
        <v>982</v>
      </c>
      <c r="I146" s="140"/>
      <c r="J146" s="330">
        <f>H146/DAY(B2)</f>
        <v>491</v>
      </c>
    </row>
    <row r="147" spans="1:10" ht="27.75" x14ac:dyDescent="0.5">
      <c r="A147" s="815" t="s">
        <v>192</v>
      </c>
      <c r="B147" s="815"/>
      <c r="C147" s="815"/>
      <c r="D147" s="706" t="s">
        <v>183</v>
      </c>
      <c r="E147" s="95">
        <f>'1'!F147</f>
        <v>615719.31999999995</v>
      </c>
      <c r="F147" s="148">
        <v>616168</v>
      </c>
      <c r="G147" s="112">
        <f t="shared" si="11"/>
        <v>448.68000000005122</v>
      </c>
      <c r="H147" s="99">
        <f>G147+'1'!H147</f>
        <v>886</v>
      </c>
      <c r="I147" s="140"/>
      <c r="J147" s="330">
        <f>H147/DAY(B2)</f>
        <v>443</v>
      </c>
    </row>
    <row r="148" spans="1:10" ht="27.75" x14ac:dyDescent="0.5">
      <c r="A148" s="816" t="s">
        <v>193</v>
      </c>
      <c r="B148" s="817"/>
      <c r="C148" s="818"/>
      <c r="D148" s="707" t="s">
        <v>130</v>
      </c>
      <c r="E148" s="95">
        <f>'1'!F148</f>
        <v>683408.24</v>
      </c>
      <c r="F148" s="150">
        <v>683666.48</v>
      </c>
      <c r="G148" s="112">
        <f t="shared" si="11"/>
        <v>258.23999999999069</v>
      </c>
      <c r="H148" s="99">
        <f>G148+'1'!H148</f>
        <v>633.35999999998603</v>
      </c>
      <c r="I148" s="124"/>
      <c r="J148" s="330">
        <f>H148/DAY(B2)</f>
        <v>316.67999999999302</v>
      </c>
    </row>
    <row r="149" spans="1:10" ht="27.75" x14ac:dyDescent="0.5">
      <c r="A149" s="816" t="s">
        <v>336</v>
      </c>
      <c r="B149" s="817"/>
      <c r="C149" s="818"/>
      <c r="D149" s="708" t="s">
        <v>130</v>
      </c>
      <c r="E149" s="95">
        <f>'1'!F149</f>
        <v>11075.3</v>
      </c>
      <c r="F149" s="146">
        <v>11363.9</v>
      </c>
      <c r="G149" s="112">
        <f t="shared" si="11"/>
        <v>288.60000000000036</v>
      </c>
      <c r="H149" s="99">
        <f>G149+'1'!H149</f>
        <v>614.89999999999964</v>
      </c>
      <c r="I149" s="119"/>
      <c r="J149" s="330">
        <f>H149/DAY(B2)</f>
        <v>307.44999999999982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'1'!F150</f>
        <v>4283.5</v>
      </c>
      <c r="F150" s="233">
        <v>4500.7</v>
      </c>
      <c r="G150" s="112">
        <f t="shared" si="11"/>
        <v>217.19999999999982</v>
      </c>
      <c r="H150" s="99">
        <f>G150+'1'!H150</f>
        <v>448.69999999999982</v>
      </c>
      <c r="I150" s="119"/>
      <c r="J150" s="330">
        <f>H150/DAY(B2)</f>
        <v>224.34999999999991</v>
      </c>
    </row>
    <row r="151" spans="1:10" ht="27.75" x14ac:dyDescent="0.5">
      <c r="A151" s="816" t="s">
        <v>338</v>
      </c>
      <c r="B151" s="817"/>
      <c r="C151" s="818"/>
      <c r="D151" s="707" t="s">
        <v>130</v>
      </c>
      <c r="E151" s="95">
        <f>'1'!F151</f>
        <v>78510</v>
      </c>
      <c r="F151" s="233">
        <v>78774</v>
      </c>
      <c r="G151" s="112">
        <f t="shared" si="11"/>
        <v>264</v>
      </c>
      <c r="H151" s="99">
        <f>G151+'1'!H151</f>
        <v>557</v>
      </c>
      <c r="I151" s="119"/>
      <c r="J151" s="330">
        <f>H151/DAY(B2)</f>
        <v>278.5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'1'!F152</f>
        <v>1167</v>
      </c>
      <c r="F152" s="233">
        <v>1191.7</v>
      </c>
      <c r="G152" s="112">
        <f t="shared" si="11"/>
        <v>24.700000000000045</v>
      </c>
      <c r="H152" s="99">
        <f>G152+'1'!H152</f>
        <v>64.700000000000045</v>
      </c>
      <c r="I152" s="119"/>
      <c r="J152" s="330">
        <f>H152/DAY(B2)</f>
        <v>32.350000000000023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2635.350000000034</v>
      </c>
      <c r="H153" s="365"/>
      <c r="I153" s="119">
        <f>G153-(G38+G52)</f>
        <v>1072.2900000000363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709" t="s">
        <v>130</v>
      </c>
      <c r="E155" s="95">
        <f>'1'!F155</f>
        <v>13472</v>
      </c>
      <c r="F155" s="553">
        <v>14130</v>
      </c>
      <c r="G155" s="112">
        <f t="shared" ref="G155:G158" si="12">F155-E155</f>
        <v>658</v>
      </c>
      <c r="H155" s="99">
        <f>G155+'1'!H155</f>
        <v>658</v>
      </c>
      <c r="I155" s="366"/>
      <c r="J155" s="330">
        <f>H155/DAY(B2)</f>
        <v>329</v>
      </c>
    </row>
    <row r="156" spans="1:10" ht="27.75" x14ac:dyDescent="0.5">
      <c r="A156" s="815" t="s">
        <v>347</v>
      </c>
      <c r="B156" s="815"/>
      <c r="C156" s="815"/>
      <c r="D156" s="709" t="s">
        <v>130</v>
      </c>
      <c r="E156" s="95">
        <f>'1'!F156</f>
        <v>1088</v>
      </c>
      <c r="F156" s="165">
        <v>1143</v>
      </c>
      <c r="G156" s="112">
        <f t="shared" si="12"/>
        <v>55</v>
      </c>
      <c r="H156" s="99">
        <f>G156+'1'!H156</f>
        <v>55</v>
      </c>
      <c r="I156" s="165"/>
      <c r="J156" s="330">
        <f>H156/DAY(B2)</f>
        <v>27.5</v>
      </c>
    </row>
    <row r="157" spans="1:10" ht="27.75" x14ac:dyDescent="0.5">
      <c r="A157" s="816" t="s">
        <v>364</v>
      </c>
      <c r="B157" s="817"/>
      <c r="C157" s="818"/>
      <c r="D157" s="709" t="s">
        <v>130</v>
      </c>
      <c r="E157" s="95">
        <f>'1'!F157</f>
        <v>1306.01</v>
      </c>
      <c r="F157" s="165">
        <v>1372.34</v>
      </c>
      <c r="G157" s="112">
        <f t="shared" si="12"/>
        <v>66.329999999999927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v>7.9</v>
      </c>
      <c r="F158" s="165">
        <v>7.9</v>
      </c>
      <c r="G158" s="112">
        <f t="shared" si="12"/>
        <v>0</v>
      </c>
      <c r="H158" s="99"/>
      <c r="I158" s="165"/>
      <c r="J158" s="330"/>
    </row>
    <row r="159" spans="1:10" ht="27.75" x14ac:dyDescent="0.5">
      <c r="A159" s="816"/>
      <c r="B159" s="817"/>
      <c r="C159" s="818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471153.16</v>
      </c>
      <c r="F161" s="235">
        <v>471153</v>
      </c>
      <c r="G161" s="238">
        <f t="shared" ref="G161:G165" si="13">F161-E161</f>
        <v>-0.15999999997438863</v>
      </c>
      <c r="H161" s="99">
        <f>G161+'1'!H161</f>
        <v>-0.15999999997438863</v>
      </c>
      <c r="I161" s="236"/>
      <c r="J161" s="239">
        <f>H161/DAY(B2)</f>
        <v>-7.9999999987194315E-2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87592</v>
      </c>
      <c r="F162" s="235">
        <v>87606</v>
      </c>
      <c r="G162" s="238">
        <f t="shared" si="13"/>
        <v>14</v>
      </c>
      <c r="H162" s="99">
        <f>G162+'1'!H162</f>
        <v>36</v>
      </c>
      <c r="I162" s="236"/>
      <c r="J162" s="239">
        <f>H162/DAY(B2)</f>
        <v>18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77859</v>
      </c>
      <c r="F163" s="235">
        <v>77895.5</v>
      </c>
      <c r="G163" s="238">
        <f t="shared" si="13"/>
        <v>36.5</v>
      </c>
      <c r="H163" s="99">
        <f>G163+'1'!H163</f>
        <v>70.5</v>
      </c>
      <c r="I163" s="236"/>
      <c r="J163" s="239">
        <f>H163/DAY(B2)</f>
        <v>35.25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4242</v>
      </c>
      <c r="F164" s="235">
        <v>4241.8999999999996</v>
      </c>
      <c r="G164" s="238">
        <f t="shared" si="13"/>
        <v>-0.1000000000003638</v>
      </c>
      <c r="H164" s="99">
        <f>G164+'1'!H164</f>
        <v>-0.1000000000003638</v>
      </c>
      <c r="I164" s="236"/>
      <c r="J164" s="239">
        <f>H164/DAY(B2)</f>
        <v>-5.0000000000181899E-2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29652.55</v>
      </c>
      <c r="F165" s="235">
        <v>29653.45</v>
      </c>
      <c r="G165" s="238">
        <f t="shared" si="13"/>
        <v>0.90000000000145519</v>
      </c>
      <c r="H165" s="99">
        <f>G165+'1'!H165</f>
        <v>7.4500000000007276</v>
      </c>
      <c r="I165" s="236"/>
      <c r="J165" s="239">
        <f>H165/DAY(B2)</f>
        <v>3.7250000000003638</v>
      </c>
    </row>
    <row r="166" spans="1:14" ht="29.25" customHeight="1" x14ac:dyDescent="0.5">
      <c r="A166" s="824"/>
      <c r="B166" s="824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9"/>
    </row>
    <row r="167" spans="1:14" ht="29.25" x14ac:dyDescent="0.5">
      <c r="A167" s="824"/>
      <c r="B167" s="824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9"/>
    </row>
    <row r="168" spans="1:14" ht="29.25" x14ac:dyDescent="0.5">
      <c r="A168" s="824"/>
      <c r="B168" s="824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9"/>
    </row>
    <row r="169" spans="1:14" ht="29.25" x14ac:dyDescent="0.5"/>
    <row r="170" spans="1:14" ht="29.25" x14ac:dyDescent="0.5"/>
    <row r="171" spans="1:14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4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28" t="s">
        <v>209</v>
      </c>
      <c r="B173" s="829"/>
      <c r="C173" s="335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28" t="s">
        <v>75</v>
      </c>
      <c r="B174" s="829"/>
      <c r="C174" s="335"/>
      <c r="D174" s="228" t="s">
        <v>142</v>
      </c>
      <c r="E174" s="95">
        <f>'1'!F174</f>
        <v>38308</v>
      </c>
      <c r="F174" s="157">
        <v>38308</v>
      </c>
      <c r="G174" s="155">
        <f t="shared" ref="G174:G175" si="14">F174-E174</f>
        <v>0</v>
      </c>
      <c r="H174" s="99">
        <f>G174+'1'!H174</f>
        <v>15</v>
      </c>
      <c r="I174" s="155"/>
      <c r="J174" s="178">
        <f>H174/DAY(B2)</f>
        <v>7.5</v>
      </c>
    </row>
    <row r="175" spans="1:14" ht="27.75" x14ac:dyDescent="0.5">
      <c r="A175" s="828" t="s">
        <v>76</v>
      </c>
      <c r="B175" s="868"/>
      <c r="C175" s="829"/>
      <c r="D175" s="228" t="s">
        <v>142</v>
      </c>
      <c r="E175" s="95">
        <f>'1'!F175</f>
        <v>21530</v>
      </c>
      <c r="F175" s="155">
        <v>21537</v>
      </c>
      <c r="G175" s="155">
        <f t="shared" si="14"/>
        <v>7</v>
      </c>
      <c r="H175" s="99">
        <f>G175+'1'!H175</f>
        <v>19</v>
      </c>
      <c r="I175" s="155"/>
      <c r="J175" s="178">
        <f>H175/DAY(B2)</f>
        <v>9.5</v>
      </c>
      <c r="N175" s="606"/>
    </row>
    <row r="176" spans="1:14" ht="27.75" x14ac:dyDescent="0.5">
      <c r="A176" s="819" t="s">
        <v>196</v>
      </c>
      <c r="B176" s="820"/>
      <c r="C176" s="487"/>
      <c r="D176" s="228"/>
      <c r="E176" s="95"/>
      <c r="F176" s="155"/>
      <c r="G176" s="155">
        <f>SUM(G173:G175)</f>
        <v>7</v>
      </c>
      <c r="H176" s="99">
        <f>G176+'1'!H176</f>
        <v>34</v>
      </c>
      <c r="I176" s="155"/>
      <c r="J176" s="178">
        <f>H176/DAY(B2)</f>
        <v>17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'1'!F178</f>
        <v>79676</v>
      </c>
      <c r="F178" s="155">
        <v>79740</v>
      </c>
      <c r="G178" s="155">
        <f>F178-E178</f>
        <v>64</v>
      </c>
      <c r="H178" s="99">
        <f>G178+'1'!H178</f>
        <v>126</v>
      </c>
      <c r="I178" s="155"/>
      <c r="J178" s="178">
        <f>H178/DAY(B2)</f>
        <v>63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'1'!F179</f>
        <v>33957</v>
      </c>
      <c r="F179" s="155">
        <v>33958</v>
      </c>
      <c r="G179" s="155">
        <f t="shared" ref="G179:G180" si="15">F179-E179</f>
        <v>1</v>
      </c>
      <c r="H179" s="99">
        <f>G179+'1'!H179</f>
        <v>43</v>
      </c>
      <c r="I179" s="155"/>
      <c r="J179" s="178">
        <f>H179/DAY(B2)</f>
        <v>21.5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'1'!F180</f>
        <v>5481</v>
      </c>
      <c r="F180" s="155">
        <v>5484</v>
      </c>
      <c r="G180" s="155">
        <f t="shared" si="15"/>
        <v>3</v>
      </c>
      <c r="H180" s="99">
        <f>G180+'1'!H180</f>
        <v>7</v>
      </c>
      <c r="I180" s="155"/>
      <c r="J180" s="178">
        <f>H180/DAY(B2)</f>
        <v>3.5</v>
      </c>
    </row>
    <row r="181" spans="1:10" ht="27.75" x14ac:dyDescent="0.5">
      <c r="A181" s="830" t="s">
        <v>108</v>
      </c>
      <c r="B181" s="831"/>
      <c r="C181" s="487"/>
      <c r="D181" s="228"/>
      <c r="E181" s="95"/>
      <c r="F181" s="155"/>
      <c r="G181" s="155">
        <f>SUM(G178:G180)</f>
        <v>68</v>
      </c>
      <c r="H181" s="99">
        <f>G181+'1'!H181</f>
        <v>176</v>
      </c>
      <c r="I181" s="155"/>
      <c r="J181" s="178">
        <f>H181/DAY(B2)</f>
        <v>88</v>
      </c>
    </row>
    <row r="182" spans="1:10" ht="31.5" customHeight="1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28" t="s">
        <v>214</v>
      </c>
      <c r="B183" s="829"/>
      <c r="C183" s="336"/>
      <c r="D183" s="228" t="s">
        <v>142</v>
      </c>
      <c r="E183" s="95">
        <f>'1'!F183</f>
        <v>14977</v>
      </c>
      <c r="F183" s="157">
        <v>14989</v>
      </c>
      <c r="G183" s="157">
        <f>F183-E183</f>
        <v>12</v>
      </c>
      <c r="H183" s="99">
        <f>G183+'1'!H183</f>
        <v>42</v>
      </c>
      <c r="I183" s="155"/>
      <c r="J183" s="178">
        <f>H183/DAY(B2)</f>
        <v>21</v>
      </c>
    </row>
    <row r="184" spans="1:10" ht="27.75" customHeight="1" x14ac:dyDescent="0.5">
      <c r="A184" s="828" t="s">
        <v>215</v>
      </c>
      <c r="B184" s="829"/>
      <c r="C184" s="336"/>
      <c r="D184" s="228" t="s">
        <v>142</v>
      </c>
      <c r="E184" s="95">
        <f>'1'!F184</f>
        <v>10308</v>
      </c>
      <c r="F184" s="157">
        <v>10320</v>
      </c>
      <c r="G184" s="157">
        <f t="shared" ref="G184:G185" si="16">F184-E184</f>
        <v>12</v>
      </c>
      <c r="H184" s="99">
        <f>G184+'1'!H184</f>
        <v>19</v>
      </c>
      <c r="I184" s="155"/>
      <c r="J184" s="178">
        <f>H184/DAY(B2)</f>
        <v>9.5</v>
      </c>
    </row>
    <row r="185" spans="1:10" ht="24.75" customHeight="1" x14ac:dyDescent="0.5">
      <c r="A185" s="828" t="s">
        <v>216</v>
      </c>
      <c r="B185" s="829"/>
      <c r="C185" s="336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19" t="s">
        <v>196</v>
      </c>
      <c r="B186" s="820"/>
      <c r="C186" s="486"/>
      <c r="D186" s="229"/>
      <c r="E186" s="95"/>
      <c r="F186" s="157"/>
      <c r="G186" s="157">
        <f>SUM(G183:G185)</f>
        <v>24</v>
      </c>
      <c r="H186" s="99">
        <f>G186+'1'!H186</f>
        <v>61</v>
      </c>
      <c r="I186" s="157"/>
      <c r="J186" s="178">
        <f>H186/DAY(B2)</f>
        <v>30.5</v>
      </c>
    </row>
    <row r="187" spans="1:10" ht="28.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56</v>
      </c>
      <c r="H187" s="99">
        <f>G187+'1'!H187</f>
        <v>110</v>
      </c>
      <c r="I187" s="158"/>
      <c r="J187" s="179">
        <f>H187/DAY(B2)</f>
        <v>55</v>
      </c>
    </row>
    <row r="188" spans="1:10" ht="24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149</v>
      </c>
      <c r="H188" s="99">
        <f>G188+'1'!H188</f>
        <v>353</v>
      </c>
      <c r="I188" s="158"/>
      <c r="J188" s="179">
        <f>H188/DAY(B2)</f>
        <v>176.5</v>
      </c>
    </row>
    <row r="189" spans="1:10" ht="24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68</v>
      </c>
      <c r="H189" s="99">
        <f>G189+'1'!H189</f>
        <v>176</v>
      </c>
      <c r="I189" s="158"/>
      <c r="J189" s="179">
        <f>H189/DAY(B2)</f>
        <v>88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21" zoomScale="55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7" x14ac:dyDescent="0.5">
      <c r="A2" s="191" t="s">
        <v>350</v>
      </c>
      <c r="B2" s="377">
        <v>44564</v>
      </c>
      <c r="C2" s="350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134056.9</v>
      </c>
      <c r="F7" s="95">
        <v>153249</v>
      </c>
      <c r="G7" s="112">
        <f>F7-E7</f>
        <v>19192.100000000006</v>
      </c>
      <c r="H7" s="99">
        <f>G7+'2'!H7</f>
        <v>58688</v>
      </c>
      <c r="I7" s="113">
        <f>'1'!I7</f>
        <v>12000</v>
      </c>
      <c r="J7" s="175">
        <f>H7/DAY(B2)</f>
        <v>19562.666666666668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181227</v>
      </c>
      <c r="F8" s="114">
        <v>200756</v>
      </c>
      <c r="G8" s="115">
        <f>F8-E8</f>
        <v>19529</v>
      </c>
      <c r="H8" s="99">
        <f>G8+'2'!H8</f>
        <v>59871</v>
      </c>
      <c r="I8" s="116"/>
      <c r="J8" s="175">
        <f>H8/DAY(B2)</f>
        <v>19957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2283852.9</v>
      </c>
      <c r="F9" s="117">
        <v>2296070.1</v>
      </c>
      <c r="G9" s="112">
        <f>F9-E9</f>
        <v>12217.200000000186</v>
      </c>
      <c r="H9" s="99">
        <f>G9+'2'!H9</f>
        <v>37294.100000000093</v>
      </c>
      <c r="I9" s="124">
        <f>I7-J7</f>
        <v>-7562.6666666666679</v>
      </c>
      <c r="J9" s="175">
        <f>H9/DAY(B2)</f>
        <v>12431.366666666698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554172.82999999996</v>
      </c>
      <c r="F10" s="117">
        <v>560620.94999999995</v>
      </c>
      <c r="G10" s="112">
        <f t="shared" ref="G10:G12" si="0">F10-E10</f>
        <v>6448.1199999999953</v>
      </c>
      <c r="H10" s="99">
        <f>G10+'2'!H10</f>
        <v>19794.949999999953</v>
      </c>
      <c r="I10" s="282"/>
      <c r="J10" s="175">
        <f>H10/DAY(B2)</f>
        <v>6598.3166666666511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18665.320000000182</v>
      </c>
      <c r="H13" s="99">
        <f>G13+'2'!H13</f>
        <v>37623.79999999993</v>
      </c>
      <c r="I13" s="120">
        <f>G7-G13</f>
        <v>526.77999999982421</v>
      </c>
      <c r="J13" s="175">
        <f>H13/DAY(B2)</f>
        <v>12541.266666666643</v>
      </c>
      <c r="K13" s="79"/>
      <c r="L13" s="66"/>
      <c r="N13" s="87"/>
      <c r="O13" s="71"/>
    </row>
    <row r="14" spans="1:16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7" t="s">
        <v>138</v>
      </c>
      <c r="B15" s="205"/>
      <c r="C15" s="205"/>
      <c r="D15" s="151" t="s">
        <v>139</v>
      </c>
      <c r="E15" s="95">
        <f>'2'!F15</f>
        <v>1880308.6129999999</v>
      </c>
      <c r="F15" s="496">
        <v>1880833.4</v>
      </c>
      <c r="G15" s="112">
        <f>(F15-E15)</f>
        <v>524.78700000001118</v>
      </c>
      <c r="H15" s="99">
        <f>G15+'2'!H15</f>
        <v>2403.3999999999069</v>
      </c>
      <c r="I15" s="113">
        <f>'1'!I15</f>
        <v>800</v>
      </c>
      <c r="J15" s="175">
        <f>H15/DAY(B2)</f>
        <v>801.13333333330229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-1.1333333333022892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'2'!F18</f>
        <v>0</v>
      </c>
      <c r="F18" s="122">
        <v>30</v>
      </c>
      <c r="G18" s="119">
        <f>F18*10</f>
        <v>300</v>
      </c>
      <c r="H18" s="99">
        <f>G18+'2'!H18</f>
        <v>300</v>
      </c>
      <c r="I18" s="113">
        <f>'1'!I18</f>
        <v>65</v>
      </c>
      <c r="J18" s="175">
        <f>H18/DAY(B2)</f>
        <v>100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'2'!F19</f>
        <v>152335</v>
      </c>
      <c r="F19" s="122">
        <v>152391</v>
      </c>
      <c r="G19" s="112">
        <f t="shared" ref="G19" si="1">F19-E19</f>
        <v>56</v>
      </c>
      <c r="H19" s="99">
        <f>G19+'2'!H19</f>
        <v>166</v>
      </c>
      <c r="I19" s="337"/>
      <c r="J19" s="175">
        <f>H19/DAY(B2)</f>
        <v>55.333333333333336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356</v>
      </c>
      <c r="H20" s="99">
        <f>G20+'2'!H20</f>
        <v>466</v>
      </c>
      <c r="I20" s="338">
        <f>I18-J20</f>
        <v>-90.333333333333343</v>
      </c>
      <c r="J20" s="175">
        <f>H20/DAY(B2)</f>
        <v>155.33333333333334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19529</v>
      </c>
      <c r="F27" s="136">
        <v>9</v>
      </c>
      <c r="G27" s="137">
        <f>E27*F27</f>
        <v>175761</v>
      </c>
      <c r="H27" s="99">
        <f>G27+'2'!H27</f>
        <v>538839</v>
      </c>
      <c r="I27" s="138"/>
      <c r="J27" s="175">
        <f>H27/DAY(B2)</f>
        <v>179613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524.78700000001118</v>
      </c>
      <c r="F28" s="136">
        <v>52</v>
      </c>
      <c r="G28" s="137">
        <f>E28*F28</f>
        <v>27288.924000000581</v>
      </c>
      <c r="H28" s="99">
        <f>G28+'2'!H28</f>
        <v>124976.79999999516</v>
      </c>
      <c r="I28" s="140"/>
      <c r="J28" s="175">
        <f>H28/DAY(B2)</f>
        <v>41658.933333331719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G30+'2'!H30</f>
        <v>24236</v>
      </c>
      <c r="I30" s="140"/>
      <c r="J30" s="175">
        <f>H30/DAY(B2)</f>
        <v>8078.666666666667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G31+'2'!H31</f>
        <v>24000</v>
      </c>
      <c r="I31" s="140"/>
      <c r="J31" s="175">
        <f>H31/DAY(B2)</f>
        <v>8000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235225.92400000058</v>
      </c>
      <c r="H32" s="99">
        <f>G32+'2'!H32</f>
        <v>712051.79999999516</v>
      </c>
      <c r="I32" s="144"/>
      <c r="J32" s="175">
        <f>H32/DAY(B2)</f>
        <v>237350.59999999838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156908.64000000001</v>
      </c>
      <c r="F35" s="145">
        <v>158786.95000000001</v>
      </c>
      <c r="G35" s="112">
        <f t="shared" ref="G35:G46" si="3">F35-E35</f>
        <v>1878.3099999999977</v>
      </c>
      <c r="H35" s="99">
        <f>G35+'2'!H35</f>
        <v>5944.9500000000116</v>
      </c>
      <c r="I35" s="95"/>
      <c r="J35" s="175">
        <f>H35/DAY(B2)</f>
        <v>1981.650000000004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23168.87</v>
      </c>
      <c r="F36" s="145">
        <v>23952.22</v>
      </c>
      <c r="G36" s="112">
        <f t="shared" si="3"/>
        <v>783.35000000000218</v>
      </c>
      <c r="H36" s="99">
        <f>G36+'2'!H36</f>
        <v>2425.2200000000012</v>
      </c>
      <c r="I36" s="95"/>
      <c r="J36" s="175">
        <f>H36/DAY(B2)</f>
        <v>808.40666666666709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198475.75</v>
      </c>
      <c r="F37" s="145">
        <v>199989.95</v>
      </c>
      <c r="G37" s="112">
        <f t="shared" si="3"/>
        <v>1514.2000000000116</v>
      </c>
      <c r="H37" s="99">
        <f>G37+'2'!H37</f>
        <v>4596.9500000000116</v>
      </c>
      <c r="I37" s="95"/>
      <c r="J37" s="175">
        <f>H37/DAY(B2)</f>
        <v>1532.3166666666705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235710.49</v>
      </c>
      <c r="F38" s="108">
        <v>237187.13</v>
      </c>
      <c r="G38" s="112">
        <f t="shared" si="3"/>
        <v>1476.640000000014</v>
      </c>
      <c r="H38" s="99">
        <f>G38+'2'!H38</f>
        <v>4705.1300000000047</v>
      </c>
      <c r="I38" s="95"/>
      <c r="J38" s="175">
        <f>H38/DAY(B2)</f>
        <v>1568.3766666666681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416525.19</v>
      </c>
      <c r="F39" s="145">
        <v>419283.99</v>
      </c>
      <c r="G39" s="112">
        <f t="shared" si="3"/>
        <v>2758.7999999999884</v>
      </c>
      <c r="H39" s="99">
        <f>G39+'2'!H39</f>
        <v>8204.9899999999907</v>
      </c>
      <c r="I39" s="95"/>
      <c r="J39" s="175">
        <f>H39/DAY(B2)</f>
        <v>2734.9966666666637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5609.98</v>
      </c>
      <c r="F40" s="145">
        <v>5609.98</v>
      </c>
      <c r="G40" s="112">
        <f t="shared" si="3"/>
        <v>0</v>
      </c>
      <c r="H40" s="99">
        <f>G40+'2'!H40</f>
        <v>-2.0000000000436557E-2</v>
      </c>
      <c r="I40" s="95"/>
      <c r="J40" s="175">
        <f>H40/DAY(B2)</f>
        <v>-6.6666666668121861E-3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0</v>
      </c>
      <c r="F41" s="145">
        <v>0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73808.600000000006</v>
      </c>
      <c r="F42" s="145">
        <v>73808.600000000006</v>
      </c>
      <c r="G42" s="112">
        <f t="shared" si="3"/>
        <v>0</v>
      </c>
      <c r="H42" s="99">
        <f>G42+'2'!H42</f>
        <v>-0.39999999999417923</v>
      </c>
      <c r="I42" s="95"/>
      <c r="J42" s="175">
        <f>H42/DAY(B2)</f>
        <v>-0.13333333333139308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52259.4</v>
      </c>
      <c r="F43" s="145">
        <v>54679.07</v>
      </c>
      <c r="G43" s="112">
        <f t="shared" si="3"/>
        <v>2419.6699999999983</v>
      </c>
      <c r="H43" s="99">
        <f>G43+'2'!H43</f>
        <v>7418.07</v>
      </c>
      <c r="I43" s="95"/>
      <c r="J43" s="175">
        <f>H43/DAY(B2)</f>
        <v>2472.69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10830.970000000012</v>
      </c>
      <c r="H47" s="99">
        <f>G47+'2'!H47</f>
        <v>33294.890000000029</v>
      </c>
      <c r="I47" s="95"/>
      <c r="J47" s="175">
        <f>H47/DAY(B2)</f>
        <v>11098.296666666676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275486</v>
      </c>
      <c r="F49" s="145">
        <v>277381</v>
      </c>
      <c r="G49" s="112">
        <f t="shared" ref="G49:G58" si="4">F49-E49</f>
        <v>1895</v>
      </c>
      <c r="H49" s="99">
        <f>G49+'2'!H49</f>
        <v>5141</v>
      </c>
      <c r="I49" s="95"/>
      <c r="J49" s="175">
        <f>H49/DAY(B2)</f>
        <v>1713.6666666666667</v>
      </c>
      <c r="K49" s="79"/>
      <c r="L49" s="66"/>
      <c r="N49" s="87">
        <f>G35+G49</f>
        <v>3773.3099999999977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27036.74</v>
      </c>
      <c r="F50" s="145">
        <v>28002.21</v>
      </c>
      <c r="G50" s="112">
        <f t="shared" si="4"/>
        <v>965.46999999999753</v>
      </c>
      <c r="H50" s="99">
        <f>G50+'2'!H50</f>
        <v>3352.2099999999991</v>
      </c>
      <c r="I50" s="95"/>
      <c r="J50" s="175">
        <f>H50/DAY(B2)</f>
        <v>1117.403333333333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3192.59</v>
      </c>
      <c r="F54" s="145">
        <v>3197.08</v>
      </c>
      <c r="G54" s="112">
        <f t="shared" si="4"/>
        <v>4.4899999999997817</v>
      </c>
      <c r="H54" s="99">
        <f>G54+'2'!H54</f>
        <v>14.079999999999927</v>
      </c>
      <c r="I54" s="95"/>
      <c r="J54" s="175">
        <f>H54/DAY(B2)</f>
        <v>4.6933333333333094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9042.82</v>
      </c>
      <c r="F55" s="145">
        <v>12137.46</v>
      </c>
      <c r="G55" s="112">
        <f t="shared" si="4"/>
        <v>3094.6399999999994</v>
      </c>
      <c r="H55" s="99">
        <f>G55+'2'!H55</f>
        <v>8626.4599999999991</v>
      </c>
      <c r="I55" s="95"/>
      <c r="J55" s="175">
        <f>H55/DAY(B2)</f>
        <v>2875.4866666666662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8610.5400000000009</v>
      </c>
      <c r="G56" s="112">
        <f t="shared" si="4"/>
        <v>0</v>
      </c>
      <c r="H56" s="99">
        <f>G56+'2'!H56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92602.96</v>
      </c>
      <c r="F58" s="145">
        <v>92625.63</v>
      </c>
      <c r="G58" s="112">
        <f t="shared" si="4"/>
        <v>22.669999999998254</v>
      </c>
      <c r="H58" s="99">
        <f>G58+'2'!H58</f>
        <v>340.63000000000466</v>
      </c>
      <c r="I58" s="95"/>
      <c r="J58" s="175">
        <f>H58/DAY(B2)</f>
        <v>113.54333333333489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5982.269999999995</v>
      </c>
      <c r="H59" s="99">
        <f>G59+'2'!H59</f>
        <v>17474.380000000005</v>
      </c>
      <c r="I59" s="95">
        <f>G7-G60</f>
        <v>2378.8600000000006</v>
      </c>
      <c r="J59" s="175">
        <f>H59/DAY(B2)</f>
        <v>5824.7933333333349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16813.240000000005</v>
      </c>
      <c r="H60" s="99">
        <f>G60+'2'!H60</f>
        <v>50769.270000000026</v>
      </c>
      <c r="I60" s="95">
        <f>G13-G60</f>
        <v>1852.0800000001764</v>
      </c>
      <c r="J60" s="175">
        <f>H60/DAY(B2)</f>
        <v>16923.090000000007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'2'!F62</f>
        <v>267213</v>
      </c>
      <c r="F62" s="164">
        <v>267243</v>
      </c>
      <c r="G62" s="112">
        <f t="shared" ref="G62:G63" si="5">F62-E62</f>
        <v>30</v>
      </c>
      <c r="H62" s="99">
        <f>G62+'2'!H62</f>
        <v>30</v>
      </c>
      <c r="I62" s="118"/>
      <c r="J62" s="175">
        <f>H62/DAY(B2)</f>
        <v>10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'2'!F63</f>
        <v>212672</v>
      </c>
      <c r="F63" s="122">
        <v>212733</v>
      </c>
      <c r="G63" s="112">
        <f t="shared" si="5"/>
        <v>61</v>
      </c>
      <c r="H63" s="99">
        <f>G63+'2'!H63</f>
        <v>308</v>
      </c>
      <c r="I63" s="118"/>
      <c r="J63" s="175">
        <f>H63/DAY(B2)</f>
        <v>102.66666666666667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'2'!F64</f>
        <v>0</v>
      </c>
      <c r="F64" s="122"/>
      <c r="G64" s="112">
        <f>G62+G63</f>
        <v>91</v>
      </c>
      <c r="H64" s="99">
        <f>G64+'2'!H64</f>
        <v>338</v>
      </c>
      <c r="I64" s="118"/>
      <c r="J64" s="175">
        <f>H64/DAY(B2)</f>
        <v>112.66666666666667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'2'!F65</f>
        <v>432772</v>
      </c>
      <c r="F65" s="122">
        <v>432812</v>
      </c>
      <c r="G65" s="112">
        <f t="shared" ref="G65:G70" si="6">F65-E65</f>
        <v>40</v>
      </c>
      <c r="H65" s="99">
        <f>G65+'2'!H65</f>
        <v>198</v>
      </c>
      <c r="I65" s="118"/>
      <c r="J65" s="175">
        <f>H65/DAY(B2)</f>
        <v>66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'2'!F66</f>
        <v>107269</v>
      </c>
      <c r="F66" s="122">
        <v>107287</v>
      </c>
      <c r="G66" s="112">
        <f t="shared" si="6"/>
        <v>18</v>
      </c>
      <c r="H66" s="99">
        <f>G66+'2'!H66</f>
        <v>73</v>
      </c>
      <c r="I66" s="118"/>
      <c r="J66" s="175">
        <f>H66/DAY(B2)</f>
        <v>24.333333333333332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'2'!F67</f>
        <v>104007</v>
      </c>
      <c r="F67" s="122">
        <v>104027</v>
      </c>
      <c r="G67" s="112">
        <f t="shared" si="6"/>
        <v>20</v>
      </c>
      <c r="H67" s="99">
        <f>G67+'2'!H67</f>
        <v>99</v>
      </c>
      <c r="I67" s="118"/>
      <c r="J67" s="175">
        <f>H67/DAY(B2)</f>
        <v>33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'2'!F68</f>
        <v>156644</v>
      </c>
      <c r="F68" s="122">
        <v>156653</v>
      </c>
      <c r="G68" s="112">
        <f t="shared" si="6"/>
        <v>9</v>
      </c>
      <c r="H68" s="99">
        <f>G68+'2'!H68</f>
        <v>33</v>
      </c>
      <c r="I68" s="118"/>
      <c r="J68" s="175">
        <f>H68/DAY(B2)</f>
        <v>11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'2'!F69</f>
        <v>10250</v>
      </c>
      <c r="F69" s="122">
        <v>10272</v>
      </c>
      <c r="G69" s="112">
        <f t="shared" si="6"/>
        <v>22</v>
      </c>
      <c r="H69" s="99">
        <f>G69+'2'!H69</f>
        <v>58</v>
      </c>
      <c r="I69" s="118"/>
      <c r="J69" s="175">
        <f>H69/DAY(B2)</f>
        <v>19.333333333333332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'2'!F70</f>
        <v>7887</v>
      </c>
      <c r="F70" s="122">
        <v>7894</v>
      </c>
      <c r="G70" s="112">
        <f t="shared" si="6"/>
        <v>7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116</v>
      </c>
      <c r="H71" s="99">
        <f>G71+'2'!H71</f>
        <v>493</v>
      </c>
      <c r="I71" s="154"/>
      <c r="J71" s="175">
        <f>H71/DAY(B2)</f>
        <v>164.33333333333334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'2'!F74</f>
        <v>892557.8</v>
      </c>
      <c r="F74" s="117">
        <v>892798.36</v>
      </c>
      <c r="G74" s="112">
        <f t="shared" ref="G74:G78" si="7">F74-E74</f>
        <v>240.55999999993946</v>
      </c>
      <c r="H74" s="99">
        <f>G74+'2'!H74</f>
        <v>766.35999999998603</v>
      </c>
      <c r="I74" s="154"/>
      <c r="J74" s="175">
        <f>H74/DAY(B2)</f>
        <v>255.45333333332869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'2'!F76</f>
        <v>167408.5</v>
      </c>
      <c r="F76" s="123">
        <v>167499</v>
      </c>
      <c r="G76" s="112">
        <f t="shared" si="7"/>
        <v>90.5</v>
      </c>
      <c r="H76" s="99">
        <f>G76+'2'!H76</f>
        <v>292</v>
      </c>
      <c r="I76" s="154"/>
      <c r="J76" s="175">
        <f>H76/DAY(B2)</f>
        <v>97.333333333333329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'2'!F77</f>
        <v>40383.4</v>
      </c>
      <c r="F77" s="123">
        <v>40418.1</v>
      </c>
      <c r="G77" s="112">
        <f t="shared" si="7"/>
        <v>34.69999999999709</v>
      </c>
      <c r="H77" s="99">
        <f>G77+'2'!H77</f>
        <v>102.09999999999854</v>
      </c>
      <c r="I77" s="154"/>
      <c r="J77" s="175">
        <f>H77/DAY(B2)</f>
        <v>34.033333333332848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'2'!F78</f>
        <v>9488.5</v>
      </c>
      <c r="F78" s="123">
        <v>9489.2999999999993</v>
      </c>
      <c r="G78" s="112">
        <f t="shared" si="7"/>
        <v>0.7999999999992724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'2'!F79</f>
        <v>0</v>
      </c>
      <c r="F79" s="117"/>
      <c r="G79" s="112">
        <f>G15-SUM(G74:G78)</f>
        <v>158.22700000007535</v>
      </c>
      <c r="H79" s="99">
        <f>G79+'2'!H79</f>
        <v>1239.639999999923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524.78700000001118</v>
      </c>
      <c r="H80" s="99">
        <f>G80+'2'!H80</f>
        <v>1333.314000000013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'2'!F85</f>
        <v>2096.56</v>
      </c>
      <c r="F85" s="164">
        <v>2096.56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'2'!F86</f>
        <v>42911.11</v>
      </c>
      <c r="F86" s="164">
        <v>42935.15</v>
      </c>
      <c r="G86" s="112">
        <f t="shared" si="8"/>
        <v>24.040000000000873</v>
      </c>
      <c r="H86" s="99">
        <f>G86+'2'!H86</f>
        <v>72.150000000001455</v>
      </c>
      <c r="I86" s="118"/>
      <c r="J86" s="175">
        <f>H86/DAY(B2)</f>
        <v>24.050000000000484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'2'!F88</f>
        <v>24056.07</v>
      </c>
      <c r="F88" s="164">
        <v>24056.07</v>
      </c>
      <c r="G88" s="112">
        <f t="shared" si="8"/>
        <v>0</v>
      </c>
      <c r="H88" s="99">
        <f>G88+'2'!H88</f>
        <v>9.069999999999709</v>
      </c>
      <c r="I88" s="118">
        <f>G86+G87+G88</f>
        <v>24.040000000000873</v>
      </c>
      <c r="J88" s="175">
        <f>H88/DAY(B2)</f>
        <v>3.0233333333332362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'2'!F89</f>
        <v>25667.56</v>
      </c>
      <c r="F89" s="164">
        <v>25667.56</v>
      </c>
      <c r="G89" s="112">
        <f t="shared" si="8"/>
        <v>0</v>
      </c>
      <c r="H89" s="99">
        <f>G89+'2'!H89</f>
        <v>4.5600000000013097</v>
      </c>
      <c r="I89" s="118"/>
      <c r="J89" s="175">
        <f>H89/DAY(B2)</f>
        <v>1.5200000000004366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'2'!F90</f>
        <v>71048.759999999995</v>
      </c>
      <c r="F90" s="164">
        <v>71052</v>
      </c>
      <c r="G90" s="112">
        <f t="shared" si="8"/>
        <v>3.2400000000052387</v>
      </c>
      <c r="H90" s="99">
        <f>G90+'2'!H90</f>
        <v>18</v>
      </c>
      <c r="I90" s="118">
        <f>G89+G90</f>
        <v>3.2400000000052387</v>
      </c>
      <c r="J90" s="175">
        <f>H90/DAY(B2)</f>
        <v>6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'2'!F92</f>
        <v>5456.67</v>
      </c>
      <c r="F92" s="122">
        <v>5465.21</v>
      </c>
      <c r="G92" s="112">
        <f t="shared" si="8"/>
        <v>8.5399999999999636</v>
      </c>
      <c r="H92" s="99">
        <f>G92+'2'!H92</f>
        <v>27.210000000000036</v>
      </c>
      <c r="I92" s="165"/>
      <c r="J92" s="175">
        <f>H92/DAY(B2)</f>
        <v>9.0700000000000127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6192.9799999999959</v>
      </c>
      <c r="H94" s="99">
        <f>G94+'2'!H94</f>
        <v>18504.020000000011</v>
      </c>
      <c r="I94" s="118"/>
      <c r="J94" s="175">
        <f>H94/DAY(B2)</f>
        <v>6168.0066666666708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0.32268381261039669</v>
      </c>
      <c r="H95" s="99">
        <f>G95+'2'!H95</f>
        <v>0.94609754473308449</v>
      </c>
      <c r="I95" s="167"/>
      <c r="J95" s="175">
        <f>H95/DAY(B2)</f>
        <v>0.31536584824436148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3094.6399999999994</v>
      </c>
      <c r="H96" s="99">
        <f>G96+'2'!H96</f>
        <v>8626.0600000000049</v>
      </c>
      <c r="I96" s="118"/>
      <c r="J96" s="175">
        <f>H96/DAY(B2)</f>
        <v>2875.3533333333348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0.16124551247648763</v>
      </c>
      <c r="H97" s="99">
        <f>G97+'2'!H97</f>
        <v>0.44183790014917224</v>
      </c>
      <c r="I97" s="167"/>
      <c r="J97" s="175">
        <f>H97/DAY(B2)</f>
        <v>0.14727930004972409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2758.7999999999884</v>
      </c>
      <c r="H98" s="99">
        <f>G98+'2'!H98</f>
        <v>8204.9899999999907</v>
      </c>
      <c r="I98" s="168"/>
      <c r="J98" s="175">
        <f>H98/DAY(B2)</f>
        <v>2734.9966666666637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0.14374664575528406</v>
      </c>
      <c r="H99" s="99">
        <f>G99+'2'!H99</f>
        <v>0.41957730200063381</v>
      </c>
      <c r="I99" s="168"/>
      <c r="J99" s="175">
        <f>H99/DAY(B2)</f>
        <v>0.13985910066687793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1476.640000000014</v>
      </c>
      <c r="H100" s="99">
        <f>G100+'2'!H100</f>
        <v>4705.1300000000047</v>
      </c>
      <c r="I100" s="118"/>
      <c r="J100" s="175">
        <f>H100/DAY(B2)</f>
        <v>1568.3766666666681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7.6939990933770325E-2</v>
      </c>
      <c r="H101" s="99">
        <f>G101+'2'!H101</f>
        <v>0.24038495437238513</v>
      </c>
      <c r="I101" s="168"/>
      <c r="J101" s="175">
        <f>H101/DAY(B2)</f>
        <v>8.0128318124128378E-2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1748.8199999999997</v>
      </c>
      <c r="H102" s="99">
        <f>G102+'2'!H102</f>
        <v>5777.43</v>
      </c>
      <c r="I102" s="168"/>
      <c r="J102" s="175">
        <f>H102/DAY(B2)</f>
        <v>1925.8100000000002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9.1121867851876509E-2</v>
      </c>
      <c r="H103" s="99">
        <f>G103+'2'!H103</f>
        <v>0.29501630033698834</v>
      </c>
      <c r="I103" s="118"/>
      <c r="J103" s="175">
        <f>H103/DAY(B2)</f>
        <v>9.8338766778996112E-2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1514.2000000000116</v>
      </c>
      <c r="H104" s="99">
        <f>G104+'2'!H104</f>
        <v>4596.9500000000116</v>
      </c>
      <c r="I104" s="118"/>
      <c r="J104" s="175">
        <f>H104/DAY(B2)</f>
        <v>1532.3166666666705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7.8897046180460256E-2</v>
      </c>
      <c r="H105" s="99">
        <f>G105+'2'!H105</f>
        <v>0.23498600434882325</v>
      </c>
      <c r="I105" s="187"/>
      <c r="J105" s="188">
        <f>H105/DAY(B2)</f>
        <v>7.8328668116274411E-2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'2'!F112</f>
        <v>55818.83</v>
      </c>
      <c r="F112" s="237">
        <v>55886.89</v>
      </c>
      <c r="G112" s="112">
        <f t="shared" ref="G112:G123" si="9">F112-E112</f>
        <v>68.059999999997672</v>
      </c>
      <c r="H112" s="99">
        <f>G112+'2'!H112</f>
        <v>205.88999999999942</v>
      </c>
      <c r="I112" s="165"/>
      <c r="J112" s="330">
        <f>H112/DAY(B2)</f>
        <v>68.629999999999811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'2'!F113</f>
        <v>33097.18</v>
      </c>
      <c r="F113" s="237">
        <v>33563</v>
      </c>
      <c r="G113" s="112">
        <f t="shared" si="9"/>
        <v>465.81999999999971</v>
      </c>
      <c r="H113" s="99">
        <f>G113+'2'!H113</f>
        <v>1368</v>
      </c>
      <c r="I113" s="165"/>
      <c r="J113" s="330">
        <f>H113/DAY(B2)</f>
        <v>456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'2'!F114</f>
        <v>25408.3</v>
      </c>
      <c r="F114" s="237">
        <v>25683.7</v>
      </c>
      <c r="G114" s="112">
        <f t="shared" si="9"/>
        <v>275.40000000000146</v>
      </c>
      <c r="H114" s="99">
        <f>G114+'2'!H114</f>
        <v>812.70000000000073</v>
      </c>
      <c r="I114" s="165"/>
      <c r="J114" s="330">
        <f>H114/DAY(B2)</f>
        <v>270.90000000000026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'2'!F115</f>
        <v>8802.7999999999993</v>
      </c>
      <c r="F115" s="237">
        <v>8813.23</v>
      </c>
      <c r="G115" s="112">
        <f t="shared" si="9"/>
        <v>10.430000000000291</v>
      </c>
      <c r="H115" s="99">
        <f>G115+'2'!H115</f>
        <v>28.229999999999563</v>
      </c>
      <c r="I115" s="165"/>
      <c r="J115" s="330">
        <f>H115/DAY(B2)</f>
        <v>9.4099999999998545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'2'!F117</f>
        <v>2632.21</v>
      </c>
      <c r="F117" s="237">
        <v>2652.96</v>
      </c>
      <c r="G117" s="112">
        <f t="shared" si="9"/>
        <v>20.75</v>
      </c>
      <c r="H117" s="99">
        <f>G117+'2'!H117</f>
        <v>62.960000000000036</v>
      </c>
      <c r="I117" s="165"/>
      <c r="J117" s="330">
        <f>H117/DAY(B2)</f>
        <v>20.986666666666679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'2'!F118</f>
        <v>242373.99</v>
      </c>
      <c r="F118" s="237">
        <v>242766.49</v>
      </c>
      <c r="G118" s="112">
        <f t="shared" si="9"/>
        <v>392.5</v>
      </c>
      <c r="H118" s="99">
        <f>G118+'2'!H118</f>
        <v>1119.4899999999907</v>
      </c>
      <c r="I118" s="165"/>
      <c r="J118" s="330">
        <f>H118/DAY(B2)</f>
        <v>373.16333333333023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'2'!F119</f>
        <v>245981.03</v>
      </c>
      <c r="F119" s="237">
        <v>246430.55</v>
      </c>
      <c r="G119" s="112">
        <f t="shared" si="9"/>
        <v>449.51999999998952</v>
      </c>
      <c r="H119" s="99">
        <f>G119+'2'!H119</f>
        <v>1304.5499999999884</v>
      </c>
      <c r="I119" s="165"/>
      <c r="J119" s="330">
        <f>H119/DAY(B2)</f>
        <v>434.8499999999961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'2'!F120</f>
        <v>30933.07</v>
      </c>
      <c r="F120" s="237">
        <v>31362.45</v>
      </c>
      <c r="G120" s="112">
        <f t="shared" si="9"/>
        <v>429.38000000000102</v>
      </c>
      <c r="H120" s="99">
        <f>G120+'2'!H120</f>
        <v>1284.4500000000007</v>
      </c>
      <c r="I120" s="165"/>
      <c r="J120" s="330">
        <f>H120/DAY(B2)</f>
        <v>428.15000000000026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'2'!F121</f>
        <v>378067.47</v>
      </c>
      <c r="F121" s="237">
        <v>378842.15</v>
      </c>
      <c r="G121" s="112">
        <f t="shared" si="9"/>
        <v>774.68000000005122</v>
      </c>
      <c r="H121" s="99">
        <f>G121+'2'!H121</f>
        <v>2313.1500000000233</v>
      </c>
      <c r="I121" s="165"/>
      <c r="J121" s="330">
        <f>H121/DAY(B2)</f>
        <v>771.0500000000078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'2'!F122</f>
        <v>120477.6</v>
      </c>
      <c r="F122" s="237">
        <v>120716.54</v>
      </c>
      <c r="G122" s="112">
        <f t="shared" si="9"/>
        <v>238.93999999998778</v>
      </c>
      <c r="H122" s="99">
        <f>G122+'2'!H122</f>
        <v>666.5399999999936</v>
      </c>
      <c r="I122" s="165"/>
      <c r="J122" s="330">
        <f>H122/DAY(B2)</f>
        <v>222.17999999999788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'2'!F123</f>
        <v>145818.76999999999</v>
      </c>
      <c r="F123" s="237">
        <v>146156.89000000001</v>
      </c>
      <c r="G123" s="112">
        <f t="shared" si="9"/>
        <v>338.12000000002445</v>
      </c>
      <c r="H123" s="99">
        <f>G123+'2'!H123</f>
        <v>1031.890000000014</v>
      </c>
      <c r="I123" s="165"/>
      <c r="J123" s="330">
        <f>H123/DAY(B2)</f>
        <v>343.96333333333797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9.25" x14ac:dyDescent="0.5">
      <c r="A125" s="865" t="s">
        <v>196</v>
      </c>
      <c r="B125" s="866"/>
      <c r="C125" s="867"/>
      <c r="D125" s="307"/>
      <c r="E125" s="308"/>
      <c r="F125" s="308"/>
      <c r="G125" s="309">
        <f>SUM(G112:G124)</f>
        <v>3463.6000000000531</v>
      </c>
      <c r="H125" s="156"/>
      <c r="I125" s="329">
        <f>G125-(G39+G53)</f>
        <v>704.80000000006476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95"/>
      <c r="F127" s="308"/>
      <c r="G127" s="309"/>
      <c r="H127" s="99">
        <f>G127+'2'!H127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'2'!F128</f>
        <v>38727.72</v>
      </c>
      <c r="F128" s="165">
        <v>39060.46</v>
      </c>
      <c r="G128" s="112">
        <f t="shared" ref="G128:G134" si="10">F128-E128</f>
        <v>332.73999999999796</v>
      </c>
      <c r="H128" s="99">
        <f>G128+'2'!H128</f>
        <v>1056.4599999999991</v>
      </c>
      <c r="I128" s="165"/>
      <c r="J128" s="330">
        <f>H128/DAY(B2)</f>
        <v>352.15333333333302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'2'!F129</f>
        <v>20725.8</v>
      </c>
      <c r="F129" s="165">
        <v>20938.84</v>
      </c>
      <c r="G129" s="112">
        <f t="shared" si="10"/>
        <v>213.04000000000087</v>
      </c>
      <c r="H129" s="99">
        <f>G129+'2'!H129</f>
        <v>617.84000000000015</v>
      </c>
      <c r="I129" s="165"/>
      <c r="J129" s="330">
        <f>H129/DAY(B2)</f>
        <v>205.94666666666672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'2'!F130</f>
        <v>19929.53</v>
      </c>
      <c r="F130" s="165">
        <v>20550.099999999999</v>
      </c>
      <c r="G130" s="112">
        <f t="shared" si="10"/>
        <v>620.56999999999971</v>
      </c>
      <c r="H130" s="99">
        <f>G130+'2'!H130</f>
        <v>2168.0999999999985</v>
      </c>
      <c r="I130" s="165"/>
      <c r="J130" s="330">
        <f>H130/DAY(B2)</f>
        <v>722.69999999999948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'2'!F131</f>
        <v>13311.723</v>
      </c>
      <c r="F131" s="165">
        <v>13412</v>
      </c>
      <c r="G131" s="112">
        <f t="shared" si="10"/>
        <v>100.27700000000004</v>
      </c>
      <c r="H131" s="99">
        <f>G131+'2'!H131</f>
        <v>259</v>
      </c>
      <c r="I131" s="165"/>
      <c r="J131" s="330">
        <f>H131/DAY(B2)</f>
        <v>86.333333333333329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'2'!F132</f>
        <v>41921.1</v>
      </c>
      <c r="F132" s="165">
        <v>42365.21</v>
      </c>
      <c r="G132" s="112">
        <f t="shared" si="10"/>
        <v>444.11000000000058</v>
      </c>
      <c r="H132" s="99">
        <f>G132+'2'!H132</f>
        <v>1342.2099999999991</v>
      </c>
      <c r="I132" s="165"/>
      <c r="J132" s="330">
        <f>H132/DAY(B2)</f>
        <v>447.40333333333302</v>
      </c>
    </row>
    <row r="133" spans="1:15" ht="27.75" x14ac:dyDescent="0.5">
      <c r="A133" s="835" t="s">
        <v>342</v>
      </c>
      <c r="B133" s="836"/>
      <c r="C133" s="837"/>
      <c r="D133" s="151" t="s">
        <v>183</v>
      </c>
      <c r="E133" s="95">
        <f>'2'!F133</f>
        <v>89368.88</v>
      </c>
      <c r="F133" s="165">
        <v>90206.44</v>
      </c>
      <c r="G133" s="112">
        <f t="shared" si="10"/>
        <v>837.55999999999767</v>
      </c>
      <c r="H133" s="99">
        <f>G133+'2'!H133</f>
        <v>2503.4400000000023</v>
      </c>
      <c r="I133" s="165"/>
      <c r="J133" s="330">
        <f>H133/DAY(B2)</f>
        <v>834.48000000000081</v>
      </c>
    </row>
    <row r="134" spans="1:15" ht="27.75" x14ac:dyDescent="0.5">
      <c r="A134" s="897" t="s">
        <v>340</v>
      </c>
      <c r="B134" s="898"/>
      <c r="C134" s="822"/>
      <c r="D134" s="151" t="s">
        <v>183</v>
      </c>
      <c r="E134" s="95">
        <f>'2'!F134</f>
        <v>670206</v>
      </c>
      <c r="F134" s="165">
        <v>670802</v>
      </c>
      <c r="G134" s="112">
        <f t="shared" si="10"/>
        <v>596</v>
      </c>
      <c r="H134" s="99">
        <f>G134+'2'!H134</f>
        <v>1922</v>
      </c>
      <c r="I134" s="165"/>
      <c r="J134" s="330">
        <f>H134/DAY(B2)</f>
        <v>640.66666666666663</v>
      </c>
    </row>
    <row r="135" spans="1:15" ht="29.25" x14ac:dyDescent="0.5">
      <c r="A135" s="865" t="s">
        <v>196</v>
      </c>
      <c r="B135" s="866"/>
      <c r="C135" s="867"/>
      <c r="D135" s="151"/>
      <c r="E135" s="95"/>
      <c r="F135" s="165"/>
      <c r="G135" s="112">
        <f>SUM(G128:G134)</f>
        <v>3144.2969999999968</v>
      </c>
      <c r="H135" s="99">
        <f>G135+'2'!H135</f>
        <v>9869.0499999999993</v>
      </c>
      <c r="I135" s="329">
        <f>G135-(G35+G49)</f>
        <v>-629.01300000000083</v>
      </c>
      <c r="J135" s="330">
        <f>H135/DAY(B2)</f>
        <v>3289.6833333333329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'2'!F138</f>
        <v>864323</v>
      </c>
      <c r="F138" s="147">
        <v>864407</v>
      </c>
      <c r="G138" s="112">
        <f t="shared" ref="G138:G152" si="11">F138-E138</f>
        <v>84</v>
      </c>
      <c r="H138" s="99">
        <f>G138+'2'!H138</f>
        <v>236</v>
      </c>
      <c r="I138" s="118"/>
      <c r="J138" s="330">
        <f>H138/DAY(B2)</f>
        <v>78.666666666666671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'2'!F139</f>
        <v>886547</v>
      </c>
      <c r="F139" s="148">
        <v>886547</v>
      </c>
      <c r="G139" s="112">
        <f t="shared" si="11"/>
        <v>0</v>
      </c>
      <c r="H139" s="99">
        <f>G139+'2'!H139</f>
        <v>1</v>
      </c>
      <c r="I139" s="118"/>
      <c r="J139" s="330">
        <f>H139/DAY(B2)</f>
        <v>0.33333333333333331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'2'!F140</f>
        <v>88895.9</v>
      </c>
      <c r="F140" s="149">
        <v>88895.9</v>
      </c>
      <c r="G140" s="112">
        <f t="shared" si="11"/>
        <v>0</v>
      </c>
      <c r="H140" s="99">
        <f>G140+'2'!H140</f>
        <v>13.899999999994179</v>
      </c>
      <c r="I140" s="118"/>
      <c r="J140" s="330">
        <f>H140/DAY(B2)</f>
        <v>4.6333333333313931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'2'!F141</f>
        <v>49670.7</v>
      </c>
      <c r="F141" s="149">
        <v>49854.8</v>
      </c>
      <c r="G141" s="112">
        <f t="shared" si="11"/>
        <v>184.10000000000582</v>
      </c>
      <c r="H141" s="99">
        <f>G141+'2'!H141</f>
        <v>548.80000000000291</v>
      </c>
      <c r="I141" s="118"/>
      <c r="J141" s="330">
        <f>H141/DAY(B2)</f>
        <v>182.9333333333343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'2'!F142</f>
        <v>19154.12</v>
      </c>
      <c r="F142" s="148">
        <v>19223.8</v>
      </c>
      <c r="G142" s="112">
        <f t="shared" si="11"/>
        <v>69.680000000000291</v>
      </c>
      <c r="H142" s="99">
        <f>G142+'2'!H142</f>
        <v>214.79999999999927</v>
      </c>
      <c r="I142" s="140"/>
      <c r="J142" s="330">
        <f>H142/DAY(B2)</f>
        <v>71.599999999999753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'2'!F143</f>
        <v>3113.3</v>
      </c>
      <c r="F143" s="149">
        <v>3121.69</v>
      </c>
      <c r="G143" s="112">
        <f t="shared" si="11"/>
        <v>8.3899999999998727</v>
      </c>
      <c r="H143" s="99">
        <f>G143+'2'!H143</f>
        <v>60.690000000000055</v>
      </c>
      <c r="I143" s="140"/>
      <c r="J143" s="330">
        <f>H143/DAY(B2)</f>
        <v>20.230000000000018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'2'!F144</f>
        <v>870123</v>
      </c>
      <c r="F144" s="149">
        <v>870344</v>
      </c>
      <c r="G144" s="112">
        <f t="shared" si="11"/>
        <v>221</v>
      </c>
      <c r="H144" s="99">
        <f>G144+'2'!H144</f>
        <v>674</v>
      </c>
      <c r="I144" s="140"/>
      <c r="J144" s="330">
        <f>H144/DAY(B2)</f>
        <v>224.66666666666666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'2'!F145</f>
        <v>4590</v>
      </c>
      <c r="F145" s="149">
        <v>4606.96</v>
      </c>
      <c r="G145" s="112">
        <f t="shared" si="11"/>
        <v>16.960000000000036</v>
      </c>
      <c r="H145" s="99">
        <f>G145+'2'!H145</f>
        <v>48.960000000000036</v>
      </c>
      <c r="I145" s="140"/>
      <c r="J145" s="330">
        <f>H145/DAY(B2)</f>
        <v>16.320000000000011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'2'!F146</f>
        <v>725840</v>
      </c>
      <c r="F146" s="147">
        <v>726266</v>
      </c>
      <c r="G146" s="112">
        <f t="shared" si="11"/>
        <v>426</v>
      </c>
      <c r="H146" s="99">
        <f>G146+'2'!H146</f>
        <v>1408</v>
      </c>
      <c r="I146" s="140"/>
      <c r="J146" s="330">
        <f>H146/DAY(B2)</f>
        <v>469.33333333333331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'2'!F147</f>
        <v>616168</v>
      </c>
      <c r="F147" s="148">
        <v>616563.80000000005</v>
      </c>
      <c r="G147" s="112">
        <f t="shared" si="11"/>
        <v>395.80000000004657</v>
      </c>
      <c r="H147" s="99">
        <f>G147+'2'!H147</f>
        <v>1281.8000000000466</v>
      </c>
      <c r="I147" s="140"/>
      <c r="J147" s="330">
        <f>H147/DAY(B2)</f>
        <v>427.26666666668217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'2'!F148</f>
        <v>683666.48</v>
      </c>
      <c r="F148" s="150">
        <v>683915.52</v>
      </c>
      <c r="G148" s="112">
        <f t="shared" si="11"/>
        <v>249.04000000003725</v>
      </c>
      <c r="H148" s="99">
        <f>G148+'2'!H148</f>
        <v>882.40000000002328</v>
      </c>
      <c r="I148" s="124"/>
      <c r="J148" s="330">
        <f>H148/DAY(B2)</f>
        <v>294.13333333334111</v>
      </c>
    </row>
    <row r="149" spans="1:10" ht="27.75" x14ac:dyDescent="0.5">
      <c r="A149" s="893" t="s">
        <v>336</v>
      </c>
      <c r="B149" s="894"/>
      <c r="C149" s="895"/>
      <c r="D149" s="227" t="s">
        <v>130</v>
      </c>
      <c r="E149" s="95">
        <f>'2'!F149</f>
        <v>11363.9</v>
      </c>
      <c r="F149" s="146">
        <v>11666.01</v>
      </c>
      <c r="G149" s="112">
        <f t="shared" si="11"/>
        <v>302.11000000000058</v>
      </c>
      <c r="H149" s="99">
        <f>G149+'2'!H149</f>
        <v>917.01000000000022</v>
      </c>
      <c r="I149" s="119"/>
      <c r="J149" s="330">
        <f>H149/DAY(B2)</f>
        <v>305.67000000000007</v>
      </c>
    </row>
    <row r="150" spans="1:10" ht="27.75" x14ac:dyDescent="0.5">
      <c r="A150" s="893" t="s">
        <v>337</v>
      </c>
      <c r="B150" s="894"/>
      <c r="C150" s="895"/>
      <c r="D150" s="117" t="s">
        <v>130</v>
      </c>
      <c r="E150" s="95">
        <f>'2'!F150</f>
        <v>4500.7</v>
      </c>
      <c r="F150" s="233">
        <v>4698.6000000000004</v>
      </c>
      <c r="G150" s="112">
        <f t="shared" si="11"/>
        <v>197.90000000000055</v>
      </c>
      <c r="H150" s="99">
        <f>G150+'2'!H150</f>
        <v>646.60000000000036</v>
      </c>
      <c r="I150" s="119"/>
      <c r="J150" s="330">
        <f>H150/DAY(B2)</f>
        <v>215.53333333333345</v>
      </c>
    </row>
    <row r="151" spans="1:10" ht="29.25" customHeight="1" x14ac:dyDescent="0.5">
      <c r="A151" s="893" t="s">
        <v>338</v>
      </c>
      <c r="B151" s="894"/>
      <c r="C151" s="895"/>
      <c r="D151" s="117" t="s">
        <v>130</v>
      </c>
      <c r="E151" s="95">
        <f>'2'!F151</f>
        <v>78774</v>
      </c>
      <c r="F151" s="233">
        <v>78989</v>
      </c>
      <c r="G151" s="112">
        <f t="shared" si="11"/>
        <v>215</v>
      </c>
      <c r="H151" s="99">
        <f>G151+'2'!H151</f>
        <v>772</v>
      </c>
      <c r="I151" s="119"/>
      <c r="J151" s="330">
        <f>H151/DAY(B2)</f>
        <v>257.33333333333331</v>
      </c>
    </row>
    <row r="152" spans="1:10" ht="29.25" customHeight="1" x14ac:dyDescent="0.5">
      <c r="A152" s="893" t="s">
        <v>339</v>
      </c>
      <c r="B152" s="894"/>
      <c r="C152" s="895"/>
      <c r="D152" s="117" t="s">
        <v>130</v>
      </c>
      <c r="E152" s="95">
        <f>'2'!F152</f>
        <v>1191.7</v>
      </c>
      <c r="F152" s="233">
        <v>1213.8</v>
      </c>
      <c r="G152" s="112">
        <f t="shared" si="11"/>
        <v>22.099999999999909</v>
      </c>
      <c r="H152" s="99">
        <f>G152+'2'!H152</f>
        <v>86.799999999999955</v>
      </c>
      <c r="I152" s="119"/>
      <c r="J152" s="330">
        <f>H152/DAY(B2)</f>
        <v>28.933333333333319</v>
      </c>
    </row>
    <row r="153" spans="1:10" ht="29.25" customHeight="1" x14ac:dyDescent="0.5">
      <c r="A153" s="865" t="s">
        <v>196</v>
      </c>
      <c r="B153" s="866"/>
      <c r="C153" s="867"/>
      <c r="D153" s="369"/>
      <c r="E153" s="370"/>
      <c r="F153" s="371"/>
      <c r="G153" s="372">
        <f>SUM(G138:G152)</f>
        <v>2392.0800000000909</v>
      </c>
      <c r="H153" s="373"/>
      <c r="I153" s="119">
        <f>G153-(G38+G52)</f>
        <v>915.44000000007691</v>
      </c>
      <c r="J153" s="374"/>
    </row>
    <row r="154" spans="1:10" ht="29.2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9.25" customHeight="1" x14ac:dyDescent="0.55000000000000004">
      <c r="A155" s="815" t="s">
        <v>345</v>
      </c>
      <c r="B155" s="815"/>
      <c r="C155" s="815"/>
      <c r="D155" s="117" t="s">
        <v>130</v>
      </c>
      <c r="E155" s="95">
        <f>'2'!F155</f>
        <v>14130</v>
      </c>
      <c r="F155" s="475">
        <v>14751.96</v>
      </c>
      <c r="G155" s="112">
        <f t="shared" ref="G155:G158" si="12">F155-E155</f>
        <v>621.95999999999913</v>
      </c>
      <c r="H155" s="99">
        <f>G155+'2'!H155</f>
        <v>1279.9599999999991</v>
      </c>
      <c r="I155" s="366"/>
      <c r="J155" s="330">
        <f>H155/DAY(B2)</f>
        <v>426.65333333333302</v>
      </c>
    </row>
    <row r="156" spans="1:10" ht="29.25" customHeight="1" x14ac:dyDescent="0.5">
      <c r="A156" s="896" t="s">
        <v>346</v>
      </c>
      <c r="B156" s="896"/>
      <c r="C156" s="896"/>
      <c r="D156" s="117" t="s">
        <v>130</v>
      </c>
      <c r="E156" s="95">
        <f>'2'!F156</f>
        <v>1143</v>
      </c>
      <c r="F156" s="475">
        <v>1197.82</v>
      </c>
      <c r="G156" s="112">
        <f t="shared" si="12"/>
        <v>54.819999999999936</v>
      </c>
      <c r="H156" s="99">
        <f>G156+'2'!H156</f>
        <v>109.81999999999994</v>
      </c>
      <c r="I156" s="165"/>
      <c r="J156" s="330">
        <f>H156/DAY(B2)</f>
        <v>36.606666666666648</v>
      </c>
    </row>
    <row r="157" spans="1:10" ht="29.25" customHeight="1" x14ac:dyDescent="0.5">
      <c r="A157" s="816" t="s">
        <v>364</v>
      </c>
      <c r="B157" s="817"/>
      <c r="C157" s="818"/>
      <c r="D157" s="117" t="s">
        <v>130</v>
      </c>
      <c r="E157" s="95">
        <f>'2'!F157</f>
        <v>1372.34</v>
      </c>
      <c r="F157" s="475">
        <v>1435.6</v>
      </c>
      <c r="G157" s="112">
        <f t="shared" si="12"/>
        <v>63.259999999999991</v>
      </c>
      <c r="H157" s="99"/>
      <c r="I157" s="165"/>
      <c r="J157" s="330"/>
    </row>
    <row r="158" spans="1:10" ht="29.25" customHeight="1" x14ac:dyDescent="0.5">
      <c r="A158" s="816" t="s">
        <v>365</v>
      </c>
      <c r="B158" s="817"/>
      <c r="C158" s="818"/>
      <c r="D158" s="117" t="s">
        <v>130</v>
      </c>
      <c r="E158" s="95">
        <f>'2'!F158</f>
        <v>7.9</v>
      </c>
      <c r="F158" s="475">
        <v>7.9</v>
      </c>
      <c r="G158" s="112">
        <f t="shared" si="12"/>
        <v>0</v>
      </c>
      <c r="H158" s="99"/>
      <c r="I158" s="165"/>
      <c r="J158" s="330"/>
    </row>
    <row r="159" spans="1:10" ht="29.25" customHeight="1" x14ac:dyDescent="0.5">
      <c r="A159" s="893"/>
      <c r="B159" s="894"/>
      <c r="C159" s="895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471153</v>
      </c>
      <c r="F161" s="235">
        <v>471153.56</v>
      </c>
      <c r="G161" s="238">
        <f t="shared" ref="G161:G165" si="13">F161-E161</f>
        <v>0.55999999999767169</v>
      </c>
      <c r="H161" s="99">
        <f>G161+'2'!H161</f>
        <v>0.40000000002328306</v>
      </c>
      <c r="I161" s="236"/>
      <c r="J161" s="239">
        <f>H161/DAY(B2)</f>
        <v>0.13333333334109435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87606</v>
      </c>
      <c r="F162" s="235">
        <v>87635.6</v>
      </c>
      <c r="G162" s="238">
        <f t="shared" si="13"/>
        <v>29.600000000005821</v>
      </c>
      <c r="H162" s="99">
        <f>G162+'2'!H162</f>
        <v>65.600000000005821</v>
      </c>
      <c r="I162" s="236"/>
      <c r="J162" s="239">
        <f>H162/DAY(B2)</f>
        <v>21.866666666668607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77895.5</v>
      </c>
      <c r="F163" s="235">
        <v>77946.5</v>
      </c>
      <c r="G163" s="238">
        <f t="shared" si="13"/>
        <v>51</v>
      </c>
      <c r="H163" s="99">
        <f>G163+'2'!H163</f>
        <v>121.5</v>
      </c>
      <c r="I163" s="236"/>
      <c r="J163" s="239">
        <f>H163/DAY(B2)</f>
        <v>40.5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4241.8999999999996</v>
      </c>
      <c r="F164" s="235">
        <v>4245.8999999999996</v>
      </c>
      <c r="G164" s="238">
        <f t="shared" si="13"/>
        <v>4</v>
      </c>
      <c r="H164" s="99">
        <f>G164+'2'!H164</f>
        <v>3.8999999999996362</v>
      </c>
      <c r="I164" s="236"/>
      <c r="J164" s="239">
        <f>H164/DAY(B2)</f>
        <v>1.2999999999998788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29653.45</v>
      </c>
      <c r="F165" s="235">
        <v>29660.5</v>
      </c>
      <c r="G165" s="238">
        <f t="shared" si="13"/>
        <v>7.0499999999992724</v>
      </c>
      <c r="H165" s="99">
        <f>G165+'2'!H165</f>
        <v>14.5</v>
      </c>
      <c r="I165" s="236"/>
      <c r="J165" s="239">
        <f>H165/DAY(B2)</f>
        <v>4.833333333333333</v>
      </c>
    </row>
    <row r="166" spans="1:10" ht="29.25" x14ac:dyDescent="0.5">
      <c r="A166" s="824"/>
      <c r="B166" s="824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9"/>
    </row>
    <row r="167" spans="1:10" ht="29.25" x14ac:dyDescent="0.5">
      <c r="A167" s="824"/>
      <c r="B167" s="824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9"/>
    </row>
    <row r="168" spans="1:10" ht="29.25" x14ac:dyDescent="0.5">
      <c r="A168" s="824"/>
      <c r="B168" s="824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'2'!F173</f>
        <v>8126</v>
      </c>
      <c r="F173" s="155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'2'!F174</f>
        <v>38308</v>
      </c>
      <c r="F174" s="157">
        <v>38308</v>
      </c>
      <c r="G174" s="155">
        <f t="shared" ref="G174:G175" si="14">F174-E174</f>
        <v>0</v>
      </c>
      <c r="H174" s="99">
        <f>G174+'2'!H174</f>
        <v>15</v>
      </c>
      <c r="I174" s="155"/>
      <c r="J174" s="178">
        <f>H174/DAY(B2)</f>
        <v>5</v>
      </c>
    </row>
    <row r="175" spans="1:10" ht="21.75" customHeight="1" x14ac:dyDescent="0.5">
      <c r="A175" s="828" t="s">
        <v>76</v>
      </c>
      <c r="B175" s="868"/>
      <c r="C175" s="829"/>
      <c r="D175" s="228" t="s">
        <v>142</v>
      </c>
      <c r="E175" s="95">
        <f>'2'!F175</f>
        <v>21537</v>
      </c>
      <c r="F175" s="155">
        <v>21539</v>
      </c>
      <c r="G175" s="155">
        <f t="shared" si="14"/>
        <v>2</v>
      </c>
      <c r="H175" s="99">
        <f>G175+'2'!H175</f>
        <v>21</v>
      </c>
      <c r="I175" s="155"/>
      <c r="J175" s="178">
        <f>H175/DAY(B2)</f>
        <v>7</v>
      </c>
    </row>
    <row r="176" spans="1:10" ht="21.75" customHeight="1" x14ac:dyDescent="0.5">
      <c r="A176" s="865" t="s">
        <v>196</v>
      </c>
      <c r="B176" s="866"/>
      <c r="C176" s="867"/>
      <c r="D176" s="228"/>
      <c r="E176" s="95"/>
      <c r="F176" s="155"/>
      <c r="G176" s="155">
        <f>SUM(G173:G175)</f>
        <v>2</v>
      </c>
      <c r="H176" s="99">
        <f>G176+'2'!H176</f>
        <v>36</v>
      </c>
      <c r="I176" s="155"/>
      <c r="J176" s="178">
        <f>H176/DAY(B2)</f>
        <v>12</v>
      </c>
    </row>
    <row r="177" spans="1:10" ht="21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28" t="s">
        <v>210</v>
      </c>
      <c r="B178" s="829"/>
      <c r="C178" s="335"/>
      <c r="D178" s="228" t="s">
        <v>142</v>
      </c>
      <c r="E178" s="95">
        <f>'2'!F178</f>
        <v>79740</v>
      </c>
      <c r="F178" s="155">
        <v>79798</v>
      </c>
      <c r="G178" s="155">
        <f>F178-E178</f>
        <v>58</v>
      </c>
      <c r="H178" s="99">
        <f>G178+'2'!H178</f>
        <v>184</v>
      </c>
      <c r="I178" s="155"/>
      <c r="J178" s="178">
        <f>H178/DAY(B2)</f>
        <v>61.333333333333336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'2'!F179</f>
        <v>33958</v>
      </c>
      <c r="F179" s="155">
        <v>33973</v>
      </c>
      <c r="G179" s="155">
        <f t="shared" ref="G179:G180" si="15">F179-E179</f>
        <v>15</v>
      </c>
      <c r="H179" s="99">
        <f>G179+'2'!H179</f>
        <v>58</v>
      </c>
      <c r="I179" s="155"/>
      <c r="J179" s="178">
        <f>H179/DAY(B2)</f>
        <v>19.333333333333332</v>
      </c>
    </row>
    <row r="180" spans="1:10" ht="22.5" customHeight="1" x14ac:dyDescent="0.5">
      <c r="A180" s="828" t="s">
        <v>212</v>
      </c>
      <c r="B180" s="829"/>
      <c r="C180" s="335"/>
      <c r="D180" s="228" t="s">
        <v>142</v>
      </c>
      <c r="E180" s="95">
        <f>'2'!F180</f>
        <v>5484</v>
      </c>
      <c r="F180" s="155">
        <v>5488</v>
      </c>
      <c r="G180" s="155">
        <f t="shared" si="15"/>
        <v>4</v>
      </c>
      <c r="H180" s="99">
        <f>G180+'2'!H180</f>
        <v>11</v>
      </c>
      <c r="I180" s="155"/>
      <c r="J180" s="178">
        <f>H180/DAY(B2)</f>
        <v>3.6666666666666665</v>
      </c>
    </row>
    <row r="181" spans="1:10" ht="29.25" x14ac:dyDescent="0.5">
      <c r="A181" s="865" t="s">
        <v>196</v>
      </c>
      <c r="B181" s="866"/>
      <c r="C181" s="867"/>
      <c r="D181" s="228"/>
      <c r="E181" s="95"/>
      <c r="F181" s="155"/>
      <c r="G181" s="155">
        <f>SUM(G178:G180)</f>
        <v>77</v>
      </c>
      <c r="H181" s="99">
        <f>G181+'2'!H181</f>
        <v>253</v>
      </c>
      <c r="I181" s="155"/>
      <c r="J181" s="178">
        <f>H181/DAY(B2)</f>
        <v>84.333333333333329</v>
      </c>
    </row>
    <row r="182" spans="1:10" ht="27" customHeight="1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28" t="s">
        <v>214</v>
      </c>
      <c r="B183" s="829"/>
      <c r="C183" s="336"/>
      <c r="D183" s="228" t="s">
        <v>142</v>
      </c>
      <c r="E183" s="95">
        <f>'2'!F183</f>
        <v>14989</v>
      </c>
      <c r="F183" s="157">
        <v>15014</v>
      </c>
      <c r="G183" s="157">
        <f>F183-E183</f>
        <v>25</v>
      </c>
      <c r="H183" s="99">
        <f>G183+'2'!H183</f>
        <v>67</v>
      </c>
      <c r="I183" s="155"/>
      <c r="J183" s="178">
        <f>H183/DAY(B2)</f>
        <v>22.333333333333332</v>
      </c>
    </row>
    <row r="184" spans="1:10" ht="25.5" customHeight="1" x14ac:dyDescent="0.5">
      <c r="A184" s="828" t="s">
        <v>215</v>
      </c>
      <c r="B184" s="829"/>
      <c r="C184" s="336"/>
      <c r="D184" s="228" t="s">
        <v>142</v>
      </c>
      <c r="E184" s="95">
        <f>'2'!F184</f>
        <v>10320</v>
      </c>
      <c r="F184" s="157">
        <v>10326</v>
      </c>
      <c r="G184" s="157">
        <f t="shared" ref="G184:G185" si="16">F184-E184</f>
        <v>6</v>
      </c>
      <c r="H184" s="99">
        <f>G184+'2'!H184</f>
        <v>25</v>
      </c>
      <c r="I184" s="155"/>
      <c r="J184" s="178">
        <f>H184/DAY(B2)</f>
        <v>8.3333333333333339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65" t="s">
        <v>196</v>
      </c>
      <c r="B186" s="866"/>
      <c r="C186" s="867"/>
      <c r="D186" s="229"/>
      <c r="E186" s="95"/>
      <c r="F186" s="157"/>
      <c r="G186" s="157">
        <f>SUM(G183:G185)</f>
        <v>31</v>
      </c>
      <c r="H186" s="99">
        <f>G186+'2'!H186</f>
        <v>92</v>
      </c>
      <c r="I186" s="157"/>
      <c r="J186" s="178">
        <f>H186/DAY(B2)</f>
        <v>30.666666666666668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86</v>
      </c>
      <c r="H187" s="99">
        <f>G187+'2'!H187</f>
        <v>196</v>
      </c>
      <c r="I187" s="158"/>
      <c r="J187" s="179">
        <f>H187/DAY(B2)</f>
        <v>65.333333333333329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107</v>
      </c>
      <c r="H188" s="99">
        <f>G188+'2'!H188</f>
        <v>460</v>
      </c>
      <c r="I188" s="158"/>
      <c r="J188" s="179">
        <f>H188/DAY(B2)</f>
        <v>153.33333333333334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77</v>
      </c>
      <c r="H189" s="99">
        <f>G189+'2'!H189</f>
        <v>253</v>
      </c>
      <c r="I189" s="158"/>
      <c r="J189" s="179">
        <f>H189/DAY(B2)</f>
        <v>84.333333333333329</v>
      </c>
    </row>
    <row r="190" spans="1:10" ht="27.75" x14ac:dyDescent="0.5">
      <c r="A190" s="821"/>
      <c r="B190" s="822"/>
      <c r="C190" s="335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7" zoomScale="55" zoomScaleNormal="48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356</v>
      </c>
      <c r="B2" s="262">
        <v>44565</v>
      </c>
      <c r="C2" s="350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153249</v>
      </c>
      <c r="F7" s="95">
        <v>173032.09</v>
      </c>
      <c r="G7" s="112">
        <f>F7-E7</f>
        <v>19783.089999999997</v>
      </c>
      <c r="H7" s="99">
        <f>G7+'3'!H7</f>
        <v>78471.09</v>
      </c>
      <c r="I7" s="113">
        <f>'1'!I7</f>
        <v>12000</v>
      </c>
      <c r="J7" s="175">
        <f>H7/DAY(B2)</f>
        <v>19617.772499999999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200756</v>
      </c>
      <c r="F8" s="114">
        <v>220974.95</v>
      </c>
      <c r="G8" s="115">
        <f>F8-E8</f>
        <v>20218.950000000012</v>
      </c>
      <c r="H8" s="99">
        <f>G8+'3'!H8</f>
        <v>80089.950000000012</v>
      </c>
      <c r="I8" s="116"/>
      <c r="J8" s="175">
        <f>H8/DAY(B2)</f>
        <v>20022.487500000003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2296070.1</v>
      </c>
      <c r="F9" s="117">
        <v>2308514.5</v>
      </c>
      <c r="G9" s="112">
        <f>F9-E9</f>
        <v>12444.399999999907</v>
      </c>
      <c r="H9" s="99">
        <f>G9+'3'!H9</f>
        <v>49738.5</v>
      </c>
      <c r="I9" s="124">
        <f>I7-J7</f>
        <v>-7617.7724999999991</v>
      </c>
      <c r="J9" s="175">
        <f>H9/DAY(B2)</f>
        <v>12434.625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560620.94999999995</v>
      </c>
      <c r="F10" s="117">
        <v>567423.27</v>
      </c>
      <c r="G10" s="112">
        <f t="shared" ref="G10:G12" si="0">F10-E10</f>
        <v>6802.3200000000652</v>
      </c>
      <c r="H10" s="99">
        <f>G10+'3'!H10</f>
        <v>26597.270000000019</v>
      </c>
      <c r="I10" s="282"/>
      <c r="J10" s="175">
        <f>H10/DAY(B2)</f>
        <v>6649.3175000000047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19246.719999999972</v>
      </c>
      <c r="H13" s="99">
        <f>G13+'3'!H13</f>
        <v>56870.519999999902</v>
      </c>
      <c r="I13" s="120">
        <f>G7-G13</f>
        <v>536.37000000002445</v>
      </c>
      <c r="J13" s="175">
        <f>H13/DAY(B2)</f>
        <v>14217.629999999976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'3'!F15</f>
        <v>1880833.4</v>
      </c>
      <c r="F15" s="123">
        <v>1881868.65</v>
      </c>
      <c r="G15" s="112">
        <f>(F15-E15)</f>
        <v>1035.25</v>
      </c>
      <c r="H15" s="99">
        <f>G15+'3'!H15</f>
        <v>3438.6499999999069</v>
      </c>
      <c r="I15" s="113">
        <f>'1'!I15</f>
        <v>800</v>
      </c>
      <c r="J15" s="175">
        <f>H15/DAY(B2)</f>
        <v>859.66249999997672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-59.662499999976717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'3'!F18</f>
        <v>30</v>
      </c>
      <c r="F18" s="122">
        <v>17</v>
      </c>
      <c r="G18" s="119">
        <f>F18*10</f>
        <v>170</v>
      </c>
      <c r="H18" s="99">
        <f>G18+'3'!H18</f>
        <v>470</v>
      </c>
      <c r="I18" s="113">
        <f>'1'!I18</f>
        <v>65</v>
      </c>
      <c r="J18" s="175">
        <f>H18/DAY(B2)</f>
        <v>117.5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'3'!F19</f>
        <v>152391</v>
      </c>
      <c r="F19" s="122">
        <v>152440</v>
      </c>
      <c r="G19" s="112">
        <f t="shared" ref="G19" si="1">F19-E19</f>
        <v>49</v>
      </c>
      <c r="H19" s="99">
        <f>G19+'3'!H19</f>
        <v>215</v>
      </c>
      <c r="I19" s="337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G20+'3'!H20</f>
        <v>685</v>
      </c>
      <c r="I20" s="338">
        <f>I18-J20</f>
        <v>-106.25</v>
      </c>
      <c r="J20" s="175">
        <f>H20/DAY(B2)</f>
        <v>171.25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20218.950000000012</v>
      </c>
      <c r="F27" s="136">
        <v>9</v>
      </c>
      <c r="G27" s="137">
        <f>E27*F27</f>
        <v>181970.5500000001</v>
      </c>
      <c r="H27" s="99">
        <f>G27+'3'!H27</f>
        <v>720809.55</v>
      </c>
      <c r="I27" s="138"/>
      <c r="J27" s="175">
        <f>H27/DAY(B2)</f>
        <v>180202.38750000001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1035.25</v>
      </c>
      <c r="F28" s="136">
        <v>52</v>
      </c>
      <c r="G28" s="137">
        <f>E28*F28</f>
        <v>53833</v>
      </c>
      <c r="H28" s="99">
        <f>G28+'3'!H28</f>
        <v>178809.79999999516</v>
      </c>
      <c r="I28" s="140"/>
      <c r="J28" s="175">
        <f>H28/DAY(B2)</f>
        <v>44702.449999998789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G30+'3'!H30</f>
        <v>31390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G31+'3'!H31</f>
        <v>37600</v>
      </c>
      <c r="I31" s="140"/>
      <c r="J31" s="175">
        <f>H31/DAY(B2)</f>
        <v>9400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256557.5500000001</v>
      </c>
      <c r="H32" s="99">
        <f>G32+'3'!H32</f>
        <v>968609.3499999952</v>
      </c>
      <c r="I32" s="144"/>
      <c r="J32" s="175">
        <f>H32/DAY(B2)</f>
        <v>242152.3374999988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158786.95000000001</v>
      </c>
      <c r="F35" s="145">
        <v>160674.78</v>
      </c>
      <c r="G35" s="112">
        <f t="shared" ref="G35:G46" si="3">F35-E35</f>
        <v>1887.8299999999872</v>
      </c>
      <c r="H35" s="99">
        <f>G35+'3'!H35</f>
        <v>7832.7799999999988</v>
      </c>
      <c r="I35" s="95"/>
      <c r="J35" s="175">
        <f>H35/DAY(B2)</f>
        <v>1958.1949999999997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23952.22</v>
      </c>
      <c r="F36" s="145">
        <v>24679.25</v>
      </c>
      <c r="G36" s="112">
        <f t="shared" si="3"/>
        <v>727.02999999999884</v>
      </c>
      <c r="H36" s="99">
        <f>G36+'3'!H36</f>
        <v>3152.25</v>
      </c>
      <c r="I36" s="95"/>
      <c r="J36" s="175">
        <f>H36/DAY(B2)</f>
        <v>788.0625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199989.95</v>
      </c>
      <c r="F37" s="145">
        <v>201516.83</v>
      </c>
      <c r="G37" s="112">
        <f t="shared" si="3"/>
        <v>1526.8799999999756</v>
      </c>
      <c r="H37" s="99">
        <f>G37+'3'!H37</f>
        <v>6123.8299999999872</v>
      </c>
      <c r="I37" s="95"/>
      <c r="J37" s="175">
        <f>H37/DAY(B2)</f>
        <v>1530.9574999999968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237187.13</v>
      </c>
      <c r="F38" s="108">
        <v>238939.49</v>
      </c>
      <c r="G38" s="112">
        <f t="shared" si="3"/>
        <v>1752.359999999986</v>
      </c>
      <c r="H38" s="99">
        <f>G38+'3'!H38</f>
        <v>6457.4899999999907</v>
      </c>
      <c r="I38" s="95"/>
      <c r="J38" s="175">
        <f>H38/DAY(B2)</f>
        <v>1614.3724999999977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419283.99</v>
      </c>
      <c r="F39" s="145">
        <v>422024.51</v>
      </c>
      <c r="G39" s="112">
        <f t="shared" si="3"/>
        <v>2740.5200000000186</v>
      </c>
      <c r="H39" s="99">
        <f>G39+'3'!H39</f>
        <v>10945.510000000009</v>
      </c>
      <c r="I39" s="95"/>
      <c r="J39" s="175">
        <f>H39/DAY(B2)</f>
        <v>2736.3775000000023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5609.98</v>
      </c>
      <c r="F40" s="145">
        <v>5609.98</v>
      </c>
      <c r="G40" s="112">
        <f t="shared" si="3"/>
        <v>0</v>
      </c>
      <c r="H40" s="99">
        <f>G40+'3'!H40</f>
        <v>-2.0000000000436557E-2</v>
      </c>
      <c r="I40" s="95"/>
      <c r="J40" s="175">
        <f>H40/DAY(B2)</f>
        <v>-5.0000000001091394E-3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0</v>
      </c>
      <c r="F41" s="145">
        <v>0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73808.600000000006</v>
      </c>
      <c r="F42" s="145">
        <v>73808.600000000006</v>
      </c>
      <c r="G42" s="112">
        <f t="shared" si="3"/>
        <v>0</v>
      </c>
      <c r="H42" s="99">
        <f>G42+'3'!H42</f>
        <v>-0.39999999999417923</v>
      </c>
      <c r="I42" s="95"/>
      <c r="J42" s="175">
        <f>H42/DAY(B2)</f>
        <v>-9.9999999998544808E-2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54679.07</v>
      </c>
      <c r="F43" s="145">
        <v>57123.72</v>
      </c>
      <c r="G43" s="112">
        <f t="shared" si="3"/>
        <v>2444.6500000000015</v>
      </c>
      <c r="H43" s="99">
        <f>G43+'3'!H43</f>
        <v>9862.7200000000012</v>
      </c>
      <c r="I43" s="95"/>
      <c r="J43" s="175">
        <f>H43/DAY(B2)</f>
        <v>2465.6800000000003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11079.269999999968</v>
      </c>
      <c r="H47" s="99">
        <f>G47+'3'!H47</f>
        <v>44374.159999999996</v>
      </c>
      <c r="I47" s="95"/>
      <c r="J47" s="175">
        <f>H47/DAY(B2)</f>
        <v>11093.539999999999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277381</v>
      </c>
      <c r="F49" s="555">
        <v>278816.03000000003</v>
      </c>
      <c r="G49" s="112">
        <f t="shared" ref="G49:G58" si="4">F49-E49</f>
        <v>1435.0300000000279</v>
      </c>
      <c r="H49" s="99">
        <f>G49+'3'!H49</f>
        <v>6576.0300000000279</v>
      </c>
      <c r="I49" s="95"/>
      <c r="J49" s="175">
        <f>H49/DAY(B2)</f>
        <v>1644.007500000007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28002.21</v>
      </c>
      <c r="F50" s="145">
        <v>29038.62</v>
      </c>
      <c r="G50" s="112">
        <f t="shared" si="4"/>
        <v>1036.4099999999999</v>
      </c>
      <c r="H50" s="99">
        <f>G50+'3'!H50</f>
        <v>4388.619999999999</v>
      </c>
      <c r="I50" s="95"/>
      <c r="J50" s="175">
        <f>H50/DAY(B2)</f>
        <v>1097.1549999999997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0</v>
      </c>
      <c r="F54" s="145">
        <v>198.08</v>
      </c>
      <c r="G54" s="112">
        <f t="shared" si="4"/>
        <v>198.08</v>
      </c>
      <c r="H54" s="99">
        <f>G54+'3'!H54</f>
        <v>212.15999999999994</v>
      </c>
      <c r="I54" s="95"/>
      <c r="J54" s="175">
        <f>H54/DAY(B2)</f>
        <v>53.039999999999985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12137.46</v>
      </c>
      <c r="F55" s="145">
        <v>15284.25</v>
      </c>
      <c r="G55" s="112">
        <f t="shared" si="4"/>
        <v>3146.7900000000009</v>
      </c>
      <c r="H55" s="99">
        <f>G55+'3'!H55</f>
        <v>11773.25</v>
      </c>
      <c r="I55" s="95"/>
      <c r="J55" s="175">
        <f>H55/DAY(B2)</f>
        <v>2943.3125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8610.5400000000009</v>
      </c>
      <c r="F56" s="145">
        <v>8610.5400000000009</v>
      </c>
      <c r="G56" s="112">
        <f t="shared" si="4"/>
        <v>0</v>
      </c>
      <c r="H56" s="99">
        <f>G56+'3'!H56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v>0</v>
      </c>
      <c r="F58" s="145">
        <v>173.66</v>
      </c>
      <c r="G58" s="112">
        <f t="shared" si="4"/>
        <v>173.66</v>
      </c>
      <c r="H58" s="99">
        <f>G58+'3'!H58</f>
        <v>514.29000000000462</v>
      </c>
      <c r="I58" s="95"/>
      <c r="J58" s="175">
        <f>H58/DAY(B2)</f>
        <v>128.57250000000116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5989.9700000000284</v>
      </c>
      <c r="H59" s="99">
        <f>G59+'3'!H59</f>
        <v>23464.350000000035</v>
      </c>
      <c r="I59" s="95">
        <f>G7-G60</f>
        <v>2713.8499999999985</v>
      </c>
      <c r="J59" s="175">
        <f>H59/DAY(B2)</f>
        <v>5866.0875000000087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17069.239999999998</v>
      </c>
      <c r="H60" s="99">
        <f>G60+'3'!H60</f>
        <v>67838.510000000024</v>
      </c>
      <c r="I60" s="95">
        <f>G13-G60</f>
        <v>2177.4799999999741</v>
      </c>
      <c r="J60" s="175">
        <f>H60/DAY(B2)</f>
        <v>16959.627500000006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'3'!F62</f>
        <v>267243</v>
      </c>
      <c r="F62" s="122">
        <v>267343</v>
      </c>
      <c r="G62" s="112">
        <f t="shared" ref="G62:G63" si="5">F62-E62</f>
        <v>100</v>
      </c>
      <c r="H62" s="99">
        <f>G62+'3'!H62</f>
        <v>130</v>
      </c>
      <c r="I62" s="118"/>
      <c r="J62" s="175">
        <f>H62/DAY(B2)</f>
        <v>32.5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'3'!F63</f>
        <v>212733</v>
      </c>
      <c r="F63" s="122">
        <v>212885</v>
      </c>
      <c r="G63" s="112">
        <f t="shared" si="5"/>
        <v>152</v>
      </c>
      <c r="H63" s="99">
        <f>G63+'3'!H63</f>
        <v>460</v>
      </c>
      <c r="I63" s="118"/>
      <c r="J63" s="175">
        <f>H63/DAY(B2)</f>
        <v>115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122"/>
      <c r="F64" s="122"/>
      <c r="G64" s="112">
        <f>G62+G63</f>
        <v>252</v>
      </c>
      <c r="H64" s="99">
        <f>G64+'3'!H64</f>
        <v>590</v>
      </c>
      <c r="I64" s="118"/>
      <c r="J64" s="175">
        <f>H64/DAY(B2)</f>
        <v>147.5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'3'!F65</f>
        <v>432812</v>
      </c>
      <c r="F65" s="122">
        <v>432893</v>
      </c>
      <c r="G65" s="112">
        <f t="shared" ref="G65:G70" si="6">F65-E65</f>
        <v>81</v>
      </c>
      <c r="H65" s="99">
        <f>G65+'3'!H65</f>
        <v>279</v>
      </c>
      <c r="I65" s="118"/>
      <c r="J65" s="175">
        <f>H65/DAY(B2)</f>
        <v>69.75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'3'!F66</f>
        <v>107287</v>
      </c>
      <c r="F66" s="122">
        <v>107308</v>
      </c>
      <c r="G66" s="112">
        <f t="shared" si="6"/>
        <v>21</v>
      </c>
      <c r="H66" s="99">
        <f>G66+'3'!H66</f>
        <v>94</v>
      </c>
      <c r="I66" s="118"/>
      <c r="J66" s="175">
        <f>H66/DAY(B2)</f>
        <v>23.5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'3'!F67</f>
        <v>104027</v>
      </c>
      <c r="F67" s="122">
        <v>104054</v>
      </c>
      <c r="G67" s="112">
        <f t="shared" si="6"/>
        <v>27</v>
      </c>
      <c r="H67" s="99">
        <f>G67+'3'!H67</f>
        <v>126</v>
      </c>
      <c r="I67" s="118"/>
      <c r="J67" s="175">
        <f>H67/DAY(B2)</f>
        <v>31.5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'3'!F68</f>
        <v>156653</v>
      </c>
      <c r="F68" s="122">
        <v>156680</v>
      </c>
      <c r="G68" s="112">
        <f t="shared" si="6"/>
        <v>27</v>
      </c>
      <c r="H68" s="99">
        <f>G68+'3'!H68</f>
        <v>60</v>
      </c>
      <c r="I68" s="118"/>
      <c r="J68" s="175">
        <f>H68/DAY(B2)</f>
        <v>15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'3'!F69</f>
        <v>10272</v>
      </c>
      <c r="F69" s="164">
        <v>10279</v>
      </c>
      <c r="G69" s="112">
        <f t="shared" si="6"/>
        <v>7</v>
      </c>
      <c r="H69" s="99">
        <f>G69+'3'!H69</f>
        <v>65</v>
      </c>
      <c r="I69" s="118"/>
      <c r="J69" s="175">
        <f>H69/DAY(B2)</f>
        <v>16.25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'3'!F70</f>
        <v>7894</v>
      </c>
      <c r="F70" s="122">
        <v>7900</v>
      </c>
      <c r="G70" s="112">
        <f t="shared" si="6"/>
        <v>6</v>
      </c>
      <c r="H70" s="99">
        <f>G70+'3'!H70</f>
        <v>38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169</v>
      </c>
      <c r="H71" s="99">
        <f>G71+'3'!H71</f>
        <v>662</v>
      </c>
      <c r="I71" s="154"/>
      <c r="J71" s="175">
        <f>H71/DAY(B2)</f>
        <v>165.5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'3'!F74</f>
        <v>892798.36</v>
      </c>
      <c r="F74" s="117">
        <v>893116.23</v>
      </c>
      <c r="G74" s="112">
        <f t="shared" ref="G74:G78" si="7">F74-E74</f>
        <v>317.86999999999534</v>
      </c>
      <c r="H74" s="99">
        <f>G74+'3'!H74</f>
        <v>1084.2299999999814</v>
      </c>
      <c r="I74" s="154"/>
      <c r="J74" s="175">
        <f>H74/DAY(B2)</f>
        <v>271.05749999999534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'3'!F76</f>
        <v>167499</v>
      </c>
      <c r="F76" s="123">
        <v>167593.32</v>
      </c>
      <c r="G76" s="112">
        <f t="shared" si="7"/>
        <v>94.320000000006985</v>
      </c>
      <c r="H76" s="99">
        <f>G76+'3'!H76</f>
        <v>386.32000000000698</v>
      </c>
      <c r="I76" s="154"/>
      <c r="J76" s="175">
        <f>H76/DAY(B2)</f>
        <v>96.580000000001746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'3'!F77</f>
        <v>40418.1</v>
      </c>
      <c r="F77" s="123">
        <v>40441</v>
      </c>
      <c r="G77" s="112">
        <f t="shared" si="7"/>
        <v>22.900000000001455</v>
      </c>
      <c r="H77" s="99">
        <f>G77+'3'!H77</f>
        <v>125</v>
      </c>
      <c r="I77" s="154"/>
      <c r="J77" s="175">
        <f>H77/DAY(B2)</f>
        <v>31.25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'3'!F78</f>
        <v>9489.2999999999993</v>
      </c>
      <c r="F78" s="123">
        <v>9490</v>
      </c>
      <c r="G78" s="112">
        <f t="shared" si="7"/>
        <v>0.7000000000007276</v>
      </c>
      <c r="H78" s="99">
        <f>G78+'3'!H78</f>
        <v>4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'3'!F79</f>
        <v>0</v>
      </c>
      <c r="F79" s="117"/>
      <c r="G79" s="112">
        <f>G15-SUM(G74:G78)</f>
        <v>599.45999999999549</v>
      </c>
      <c r="H79" s="99">
        <f>G79+'3'!H79</f>
        <v>1839.0999999999185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1035.25</v>
      </c>
      <c r="H80" s="99">
        <f>G80+'3'!H80</f>
        <v>2368.564000000013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'3'!F85</f>
        <v>2096.56</v>
      </c>
      <c r="F85" s="164">
        <v>2096.56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'3'!F86</f>
        <v>42935.15</v>
      </c>
      <c r="F86" s="164">
        <v>42959.57</v>
      </c>
      <c r="G86" s="112">
        <f t="shared" si="8"/>
        <v>24.419999999998254</v>
      </c>
      <c r="H86" s="99">
        <f>G86+'3'!H86</f>
        <v>96.569999999999709</v>
      </c>
      <c r="I86" s="118"/>
      <c r="J86" s="175">
        <f>H86/DAY(B2)</f>
        <v>24.142499999999927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'3'!F87</f>
        <v>34598.550000000003</v>
      </c>
      <c r="F87" s="164">
        <v>34598.550000000003</v>
      </c>
      <c r="G87" s="112">
        <f t="shared" si="8"/>
        <v>0</v>
      </c>
      <c r="H87" s="99">
        <f>G87+'3'!H87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'3'!F88</f>
        <v>24056.07</v>
      </c>
      <c r="F88" s="164">
        <v>24058.06</v>
      </c>
      <c r="G88" s="112">
        <f t="shared" si="8"/>
        <v>1.9900000000016007</v>
      </c>
      <c r="H88" s="99">
        <f>G88+'3'!H88</f>
        <v>11.06000000000131</v>
      </c>
      <c r="I88" s="118">
        <f>G86+G87+G88</f>
        <v>26.409999999999854</v>
      </c>
      <c r="J88" s="175">
        <f>H88/DAY(B2)</f>
        <v>2.7650000000003274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'3'!F89</f>
        <v>25667.56</v>
      </c>
      <c r="F89" s="164">
        <v>25676.28</v>
      </c>
      <c r="G89" s="112">
        <f t="shared" si="8"/>
        <v>8.7199999999975262</v>
      </c>
      <c r="H89" s="99">
        <f>G89+'3'!H89</f>
        <v>13.279999999998836</v>
      </c>
      <c r="I89" s="118"/>
      <c r="J89" s="175">
        <f>H89/DAY(B2)</f>
        <v>3.319999999999709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'3'!F90</f>
        <v>71052</v>
      </c>
      <c r="F90" s="164">
        <v>71056.14</v>
      </c>
      <c r="G90" s="112">
        <f t="shared" si="8"/>
        <v>4.1399999999994179</v>
      </c>
      <c r="H90" s="99">
        <f>G90+'3'!H90</f>
        <v>22.139999999999418</v>
      </c>
      <c r="I90" s="118">
        <f>G89+G90</f>
        <v>12.859999999996944</v>
      </c>
      <c r="J90" s="175">
        <f>H90/DAY(B2)</f>
        <v>5.5349999999998545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'3'!F92</f>
        <v>5465.21</v>
      </c>
      <c r="F92" s="122">
        <v>5476.3</v>
      </c>
      <c r="G92" s="112">
        <f t="shared" si="8"/>
        <v>11.090000000000146</v>
      </c>
      <c r="H92" s="99">
        <f>G92+'3'!H92</f>
        <v>38.300000000000182</v>
      </c>
      <c r="I92" s="165"/>
      <c r="J92" s="175">
        <f>H92/DAY(B2)</f>
        <v>9.5750000000000455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5767.5100000000166</v>
      </c>
      <c r="H94" s="99">
        <f>G94+'3'!H94</f>
        <v>24271.530000000028</v>
      </c>
      <c r="I94" s="118"/>
      <c r="J94" s="175">
        <f>H94/DAY(B2)</f>
        <v>6067.882500000007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0.2915373685303973</v>
      </c>
      <c r="H95" s="99">
        <f>G95+'3'!H95</f>
        <v>1.2376349132634819</v>
      </c>
      <c r="I95" s="167"/>
      <c r="J95" s="175">
        <f>H95/DAY(B2)</f>
        <v>0.30940872831587046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3146.7900000000009</v>
      </c>
      <c r="H96" s="99">
        <f>G96+'3'!H96</f>
        <v>11772.850000000006</v>
      </c>
      <c r="I96" s="118"/>
      <c r="J96" s="175">
        <f>H96/DAY(B2)</f>
        <v>2943.2125000000015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0.15906463550436264</v>
      </c>
      <c r="H97" s="99">
        <f>G97+'3'!H97</f>
        <v>0.60090253565353491</v>
      </c>
      <c r="I97" s="167"/>
      <c r="J97" s="175">
        <f>H97/DAY(B2)</f>
        <v>0.15022563391338373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2740.5200000000186</v>
      </c>
      <c r="H98" s="99">
        <f>G98+'3'!H98</f>
        <v>10945.510000000009</v>
      </c>
      <c r="I98" s="168"/>
      <c r="J98" s="175">
        <f>H98/DAY(B2)</f>
        <v>2736.3775000000023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0.13852840986923778</v>
      </c>
      <c r="H99" s="99">
        <f>G99+'3'!H99</f>
        <v>0.55810571186987157</v>
      </c>
      <c r="I99" s="168"/>
      <c r="J99" s="175">
        <f>H99/DAY(B2)</f>
        <v>0.13952642796746789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1752.359999999986</v>
      </c>
      <c r="H100" s="99">
        <f>G100+'3'!H100</f>
        <v>6457.4899999999907</v>
      </c>
      <c r="I100" s="118"/>
      <c r="J100" s="175">
        <f>H100/DAY(B2)</f>
        <v>1614.3724999999977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8.8578680074750019E-2</v>
      </c>
      <c r="H101" s="99">
        <f>G101+'3'!H101</f>
        <v>0.32896363444713517</v>
      </c>
      <c r="I101" s="168"/>
      <c r="J101" s="175">
        <f>H101/DAY(B2)</f>
        <v>8.2240908611783792E-2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1763.4399999999987</v>
      </c>
      <c r="H102" s="99">
        <f>G102+'3'!H102</f>
        <v>7540.869999999999</v>
      </c>
      <c r="I102" s="168"/>
      <c r="J102" s="175">
        <f>H102/DAY(B2)</f>
        <v>1885.2174999999997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8.9138754360415837E-2</v>
      </c>
      <c r="H103" s="99">
        <f>G103+'3'!H103</f>
        <v>0.38415505469740419</v>
      </c>
      <c r="I103" s="118"/>
      <c r="J103" s="175">
        <f>H103/DAY(B2)</f>
        <v>9.6038763674351046E-2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1526.8799999999756</v>
      </c>
      <c r="H104" s="99">
        <f>G104+'3'!H104</f>
        <v>6123.8299999999872</v>
      </c>
      <c r="I104" s="118"/>
      <c r="J104" s="175">
        <f>H104/DAY(B2)</f>
        <v>1530.9574999999968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7.718106726502158E-2</v>
      </c>
      <c r="H105" s="99">
        <f>G105+'3'!H105</f>
        <v>0.31216707161384483</v>
      </c>
      <c r="I105" s="187"/>
      <c r="J105" s="188">
        <f>H105/DAY(B2)</f>
        <v>7.8041767903461207E-2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'3'!F112</f>
        <v>55886.89</v>
      </c>
      <c r="F112" s="237">
        <v>55960.22</v>
      </c>
      <c r="G112" s="112">
        <f t="shared" ref="G112:G123" si="9">F112-E112</f>
        <v>73.330000000001746</v>
      </c>
      <c r="H112" s="99">
        <f>G112+'3'!H112</f>
        <v>279.22000000000116</v>
      </c>
      <c r="I112" s="165"/>
      <c r="J112" s="330">
        <f>H112/DAY(B2)</f>
        <v>69.805000000000291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'3'!F113</f>
        <v>33563</v>
      </c>
      <c r="F113" s="237">
        <v>34018.86</v>
      </c>
      <c r="G113" s="112">
        <f t="shared" si="9"/>
        <v>455.86000000000058</v>
      </c>
      <c r="H113" s="99">
        <f>G113+'3'!H113</f>
        <v>1823.8600000000006</v>
      </c>
      <c r="I113" s="165"/>
      <c r="J113" s="330">
        <f>H113/DAY(B2)</f>
        <v>455.96500000000015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'3'!F114</f>
        <v>25683.7</v>
      </c>
      <c r="F114" s="237">
        <v>25950.21</v>
      </c>
      <c r="G114" s="112">
        <f t="shared" si="9"/>
        <v>266.5099999999984</v>
      </c>
      <c r="H114" s="99">
        <f>G114+'3'!H114</f>
        <v>1079.2099999999991</v>
      </c>
      <c r="I114" s="165"/>
      <c r="J114" s="330">
        <f>H114/DAY(B2)</f>
        <v>269.80249999999978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'3'!F115</f>
        <v>8813.23</v>
      </c>
      <c r="F115" s="237">
        <v>8822.5300000000007</v>
      </c>
      <c r="G115" s="112">
        <f t="shared" si="9"/>
        <v>9.3000000000010914</v>
      </c>
      <c r="H115" s="99">
        <f>G115+'3'!H115</f>
        <v>37.530000000000655</v>
      </c>
      <c r="I115" s="165"/>
      <c r="J115" s="330">
        <f>H115/DAY(B2)</f>
        <v>9.3825000000001637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'3'!F117</f>
        <v>2652.96</v>
      </c>
      <c r="F117" s="237">
        <v>2684.43</v>
      </c>
      <c r="G117" s="112">
        <f t="shared" si="9"/>
        <v>31.4699999999998</v>
      </c>
      <c r="H117" s="99">
        <f>G117+'3'!H117</f>
        <v>94.429999999999836</v>
      </c>
      <c r="I117" s="165"/>
      <c r="J117" s="330">
        <f>H117/DAY(B2)</f>
        <v>23.607499999999959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'3'!F118</f>
        <v>242766.49</v>
      </c>
      <c r="F118" s="237">
        <v>243150.55</v>
      </c>
      <c r="G118" s="112">
        <f t="shared" si="9"/>
        <v>384.05999999999767</v>
      </c>
      <c r="H118" s="99">
        <f>G118+'3'!H118</f>
        <v>1503.5499999999884</v>
      </c>
      <c r="I118" s="165"/>
      <c r="J118" s="330">
        <f>H118/DAY(B2)</f>
        <v>375.88749999999709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'3'!F119</f>
        <v>246430.55</v>
      </c>
      <c r="F119" s="237">
        <v>246869.31</v>
      </c>
      <c r="G119" s="112">
        <f t="shared" si="9"/>
        <v>438.76000000000931</v>
      </c>
      <c r="H119" s="99">
        <f>G119+'3'!H119</f>
        <v>1743.3099999999977</v>
      </c>
      <c r="I119" s="165"/>
      <c r="J119" s="330">
        <f>H119/DAY(B2)</f>
        <v>435.82749999999942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'3'!F120</f>
        <v>31362.45</v>
      </c>
      <c r="F120" s="237">
        <v>31775.45</v>
      </c>
      <c r="G120" s="112">
        <f t="shared" si="9"/>
        <v>413</v>
      </c>
      <c r="H120" s="99">
        <f>G120+'3'!H120</f>
        <v>1697.4500000000007</v>
      </c>
      <c r="I120" s="165"/>
      <c r="J120" s="330">
        <f>H120/DAY(B2)</f>
        <v>424.36250000000018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'3'!F121</f>
        <v>378842.15</v>
      </c>
      <c r="F121" s="237">
        <v>379626.59</v>
      </c>
      <c r="G121" s="112">
        <f t="shared" si="9"/>
        <v>784.44000000000233</v>
      </c>
      <c r="H121" s="99">
        <f>G121+'3'!H121</f>
        <v>3097.5900000000256</v>
      </c>
      <c r="I121" s="165"/>
      <c r="J121" s="330">
        <f>H121/DAY(B2)</f>
        <v>774.3975000000064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'3'!F122</f>
        <v>120716.54</v>
      </c>
      <c r="F122" s="237">
        <v>120962.1</v>
      </c>
      <c r="G122" s="112">
        <f t="shared" si="9"/>
        <v>245.56000000001222</v>
      </c>
      <c r="H122" s="99">
        <f>G122+'3'!H122</f>
        <v>912.10000000000582</v>
      </c>
      <c r="I122" s="165"/>
      <c r="J122" s="330">
        <f>H122/DAY(B2)</f>
        <v>228.02500000000146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'3'!F123</f>
        <v>146156.89000000001</v>
      </c>
      <c r="F123" s="237">
        <v>146478.67000000001</v>
      </c>
      <c r="G123" s="112">
        <f t="shared" si="9"/>
        <v>321.77999999999884</v>
      </c>
      <c r="H123" s="99">
        <f>G123+'3'!H123</f>
        <v>1353.6700000000128</v>
      </c>
      <c r="I123" s="165"/>
      <c r="J123" s="330">
        <f>H123/DAY(B2)</f>
        <v>338.4175000000032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99">
        <f>G124+'3'!H124</f>
        <v>0</v>
      </c>
      <c r="I124" s="165"/>
      <c r="J124" s="329"/>
    </row>
    <row r="125" spans="1:18" ht="29.25" x14ac:dyDescent="0.5">
      <c r="A125" s="593" t="s">
        <v>196</v>
      </c>
      <c r="B125" s="594"/>
      <c r="C125" s="595"/>
      <c r="D125" s="307"/>
      <c r="E125" s="308"/>
      <c r="F125" s="308"/>
      <c r="G125" s="309">
        <f>SUM(G112:G124)</f>
        <v>3424.070000000022</v>
      </c>
      <c r="H125" s="156"/>
      <c r="I125" s="329">
        <f>G125-(G39+G53)</f>
        <v>683.55000000000337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G127+'3'!H127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'3'!F128</f>
        <v>39060.46</v>
      </c>
      <c r="F128" s="165">
        <v>39388.42</v>
      </c>
      <c r="G128" s="112">
        <f t="shared" ref="G128:G134" si="10">F128-E128</f>
        <v>327.95999999999913</v>
      </c>
      <c r="H128" s="99">
        <f>G128+'3'!H128</f>
        <v>1384.4199999999983</v>
      </c>
      <c r="I128" s="165"/>
      <c r="J128" s="330">
        <f>H128/DAY(B2)</f>
        <v>346.10499999999956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'3'!F129</f>
        <v>20938.84</v>
      </c>
      <c r="F129" s="165">
        <v>21201.37</v>
      </c>
      <c r="G129" s="112">
        <f t="shared" si="10"/>
        <v>262.52999999999884</v>
      </c>
      <c r="H129" s="99">
        <f>G129+'3'!H129</f>
        <v>880.36999999999898</v>
      </c>
      <c r="I129" s="165"/>
      <c r="J129" s="330">
        <f>H129/DAY(B2)</f>
        <v>220.09249999999975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'3'!F130</f>
        <v>20550.099999999999</v>
      </c>
      <c r="F130" s="165">
        <v>21202.17</v>
      </c>
      <c r="G130" s="112">
        <f t="shared" si="10"/>
        <v>652.06999999999971</v>
      </c>
      <c r="H130" s="99">
        <f>G130+'3'!H130</f>
        <v>2820.1699999999983</v>
      </c>
      <c r="I130" s="165"/>
      <c r="J130" s="330">
        <f>H130/DAY(B2)</f>
        <v>705.04249999999956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'3'!F131</f>
        <v>13412</v>
      </c>
      <c r="F131" s="165">
        <v>13484.52</v>
      </c>
      <c r="G131" s="112">
        <f t="shared" si="10"/>
        <v>72.520000000000437</v>
      </c>
      <c r="H131" s="99">
        <f>G131+'3'!H131</f>
        <v>331.52000000000044</v>
      </c>
      <c r="I131" s="165"/>
      <c r="J131" s="330">
        <f>H131/DAY(B2)</f>
        <v>82.880000000000109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'3'!F132</f>
        <v>42365.21</v>
      </c>
      <c r="F132" s="165">
        <v>42815.69</v>
      </c>
      <c r="G132" s="112">
        <f t="shared" si="10"/>
        <v>450.4800000000032</v>
      </c>
      <c r="H132" s="99">
        <f>G132+'3'!H132</f>
        <v>1792.6900000000023</v>
      </c>
      <c r="I132" s="165"/>
      <c r="J132" s="330">
        <f>H132/DAY(B2)</f>
        <v>448.17250000000058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'3'!F133</f>
        <v>90206.44</v>
      </c>
      <c r="F133" s="165">
        <v>91046.62</v>
      </c>
      <c r="G133" s="112">
        <f t="shared" si="10"/>
        <v>840.17999999999302</v>
      </c>
      <c r="H133" s="99">
        <f>G133+'3'!H133</f>
        <v>3343.6199999999953</v>
      </c>
      <c r="I133" s="165"/>
      <c r="J133" s="330">
        <f>H133/DAY(B2)</f>
        <v>835.90499999999884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'3'!F134</f>
        <v>670802</v>
      </c>
      <c r="F134" s="165">
        <v>671437</v>
      </c>
      <c r="G134" s="112">
        <f t="shared" si="10"/>
        <v>635</v>
      </c>
      <c r="H134" s="99">
        <f>G134+'3'!H134</f>
        <v>2557</v>
      </c>
      <c r="I134" s="165"/>
      <c r="J134" s="330">
        <f>H134/DAY(B2)</f>
        <v>639.25</v>
      </c>
    </row>
    <row r="135" spans="1:15" ht="29.25" x14ac:dyDescent="0.5">
      <c r="A135" s="865" t="s">
        <v>196</v>
      </c>
      <c r="B135" s="866"/>
      <c r="C135" s="867"/>
      <c r="D135" s="151"/>
      <c r="E135" s="95"/>
      <c r="F135" s="165"/>
      <c r="G135" s="112">
        <f>SUM(G128:G134)</f>
        <v>3240.7399999999943</v>
      </c>
      <c r="H135" s="99">
        <f>G135+'3'!H135</f>
        <v>13109.789999999994</v>
      </c>
      <c r="I135" s="329">
        <f>G135-(G35+G49)</f>
        <v>-82.120000000020809</v>
      </c>
      <c r="J135" s="330">
        <f>H135/DAY(B2)</f>
        <v>3277.4474999999984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'3'!F138</f>
        <v>864407</v>
      </c>
      <c r="F138" s="147">
        <v>864477</v>
      </c>
      <c r="G138" s="112">
        <f t="shared" ref="G138:G152" si="11">F138-E138</f>
        <v>70</v>
      </c>
      <c r="H138" s="99">
        <f>G138+'3'!H138</f>
        <v>306</v>
      </c>
      <c r="I138" s="118"/>
      <c r="J138" s="330">
        <f>H138/DAY(B2)</f>
        <v>76.5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'3'!F139</f>
        <v>886547</v>
      </c>
      <c r="F139" s="148">
        <v>886547</v>
      </c>
      <c r="G139" s="112">
        <f t="shared" si="11"/>
        <v>0</v>
      </c>
      <c r="H139" s="99">
        <f>G139+'3'!H139</f>
        <v>1</v>
      </c>
      <c r="I139" s="118"/>
      <c r="J139" s="330">
        <f>H139/DAY(B2)</f>
        <v>0.25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'3'!F140</f>
        <v>88895.9</v>
      </c>
      <c r="F140" s="149">
        <v>88898.3</v>
      </c>
      <c r="G140" s="112">
        <f t="shared" si="11"/>
        <v>2.4000000000087311</v>
      </c>
      <c r="H140" s="99">
        <f>G140+'3'!H140</f>
        <v>16.30000000000291</v>
      </c>
      <c r="I140" s="118"/>
      <c r="J140" s="330">
        <f>H140/DAY(B2)</f>
        <v>4.0750000000007276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'3'!F141</f>
        <v>49854.8</v>
      </c>
      <c r="F141" s="149">
        <v>50035.040000000001</v>
      </c>
      <c r="G141" s="112">
        <f t="shared" si="11"/>
        <v>180.23999999999796</v>
      </c>
      <c r="H141" s="99">
        <f>G141+'3'!H141</f>
        <v>729.04000000000087</v>
      </c>
      <c r="I141" s="118"/>
      <c r="J141" s="330">
        <f>H141/DAY(B2)</f>
        <v>182.26000000000022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'3'!F142</f>
        <v>19223.8</v>
      </c>
      <c r="F142" s="148">
        <v>19291.75</v>
      </c>
      <c r="G142" s="112">
        <f t="shared" si="11"/>
        <v>67.950000000000728</v>
      </c>
      <c r="H142" s="99">
        <f>G142+'3'!H142</f>
        <v>282.75</v>
      </c>
      <c r="I142" s="140"/>
      <c r="J142" s="330">
        <f>H142/DAY(B2)</f>
        <v>70.6875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'3'!F143</f>
        <v>3121.69</v>
      </c>
      <c r="F143" s="149">
        <v>3152.36</v>
      </c>
      <c r="G143" s="112">
        <f t="shared" si="11"/>
        <v>30.670000000000073</v>
      </c>
      <c r="H143" s="99">
        <f>G143+'3'!H143</f>
        <v>91.360000000000127</v>
      </c>
      <c r="I143" s="140"/>
      <c r="J143" s="330">
        <f>H143/DAY(B2)</f>
        <v>22.840000000000032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'3'!F144</f>
        <v>870344</v>
      </c>
      <c r="F144" s="149">
        <v>870569</v>
      </c>
      <c r="G144" s="112">
        <f t="shared" si="11"/>
        <v>225</v>
      </c>
      <c r="H144" s="99">
        <f>G144+'3'!H144</f>
        <v>899</v>
      </c>
      <c r="I144" s="140"/>
      <c r="J144" s="330">
        <f>H144/DAY(B2)</f>
        <v>224.75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'3'!F145</f>
        <v>4606.96</v>
      </c>
      <c r="F145" s="149">
        <v>4624.2299999999996</v>
      </c>
      <c r="G145" s="112">
        <f t="shared" si="11"/>
        <v>17.269999999999527</v>
      </c>
      <c r="H145" s="99">
        <f>G145+'3'!H145</f>
        <v>66.229999999999563</v>
      </c>
      <c r="I145" s="140"/>
      <c r="J145" s="330">
        <f>H145/DAY(B2)</f>
        <v>16.557499999999891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'3'!F146</f>
        <v>726266</v>
      </c>
      <c r="F146" s="148">
        <v>726728</v>
      </c>
      <c r="G146" s="112">
        <f t="shared" si="11"/>
        <v>462</v>
      </c>
      <c r="H146" s="99">
        <f>G146+'3'!H146</f>
        <v>1870</v>
      </c>
      <c r="I146" s="140"/>
      <c r="J146" s="330">
        <f>H146/DAY(B2)</f>
        <v>467.5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'3'!F147</f>
        <v>616563.80000000005</v>
      </c>
      <c r="F147" s="148">
        <v>616959.84</v>
      </c>
      <c r="G147" s="112">
        <f t="shared" si="11"/>
        <v>396.03999999992084</v>
      </c>
      <c r="H147" s="99">
        <f>G147+'3'!H147</f>
        <v>1677.8399999999674</v>
      </c>
      <c r="I147" s="140"/>
      <c r="J147" s="330">
        <f>H147/DAY(B2)</f>
        <v>419.45999999999185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'3'!F148</f>
        <v>683915.52</v>
      </c>
      <c r="F148" s="150">
        <v>684170.8</v>
      </c>
      <c r="G148" s="112">
        <f t="shared" si="11"/>
        <v>255.28000000002794</v>
      </c>
      <c r="H148" s="99">
        <f>G148+'3'!H148</f>
        <v>1137.6800000000512</v>
      </c>
      <c r="I148" s="124"/>
      <c r="J148" s="330">
        <f>H148/DAY(B2)</f>
        <v>284.42000000001281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'3'!F149</f>
        <v>11666.01</v>
      </c>
      <c r="F149" s="146">
        <v>12179.96</v>
      </c>
      <c r="G149" s="112">
        <f t="shared" si="11"/>
        <v>513.94999999999891</v>
      </c>
      <c r="H149" s="99">
        <f>G149+'3'!H149</f>
        <v>1430.9599999999991</v>
      </c>
      <c r="I149" s="119"/>
      <c r="J149" s="330">
        <f>H149/DAY(B2)</f>
        <v>357.73999999999978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'3'!F150</f>
        <v>4698.6000000000004</v>
      </c>
      <c r="F150" s="233">
        <v>4925.78</v>
      </c>
      <c r="G150" s="112">
        <f t="shared" si="11"/>
        <v>227.17999999999938</v>
      </c>
      <c r="H150" s="99">
        <f>G150+'3'!H150</f>
        <v>873.77999999999975</v>
      </c>
      <c r="I150" s="119"/>
      <c r="J150" s="330">
        <f>H150/DAY(B2)</f>
        <v>218.44499999999994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'3'!F151</f>
        <v>78989</v>
      </c>
      <c r="F151" s="233">
        <v>79257</v>
      </c>
      <c r="G151" s="112">
        <f t="shared" si="11"/>
        <v>268</v>
      </c>
      <c r="H151" s="99">
        <f>G151+'3'!H151</f>
        <v>1040</v>
      </c>
      <c r="I151" s="119"/>
      <c r="J151" s="330">
        <f>H151/DAY(B2)</f>
        <v>260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'3'!F152</f>
        <v>1213.8</v>
      </c>
      <c r="F152" s="233">
        <v>1224.04</v>
      </c>
      <c r="G152" s="112">
        <f t="shared" si="11"/>
        <v>10.240000000000009</v>
      </c>
      <c r="H152" s="99">
        <f>G152+'3'!H152</f>
        <v>97.039999999999964</v>
      </c>
      <c r="I152" s="119"/>
      <c r="J152" s="330">
        <f>H152/DAY(B2)</f>
        <v>24.259999999999991</v>
      </c>
    </row>
    <row r="153" spans="1:10" ht="29.25" x14ac:dyDescent="0.5">
      <c r="A153" s="865" t="s">
        <v>196</v>
      </c>
      <c r="B153" s="866"/>
      <c r="C153" s="867"/>
      <c r="D153" s="360"/>
      <c r="E153" s="362"/>
      <c r="F153" s="363"/>
      <c r="G153" s="364">
        <f>SUM(G138:G152)</f>
        <v>2726.2199999999539</v>
      </c>
      <c r="H153" s="365"/>
      <c r="I153" s="119">
        <f>G153-(G38+G52)</f>
        <v>973.85999999996784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'3'!F155</f>
        <v>14751.96</v>
      </c>
      <c r="F155" s="376">
        <v>15390.56</v>
      </c>
      <c r="G155" s="112">
        <f t="shared" ref="G155:G158" si="12">F155-E155</f>
        <v>638.60000000000036</v>
      </c>
      <c r="H155" s="99">
        <f>G155+'3'!H155</f>
        <v>1918.5599999999995</v>
      </c>
      <c r="I155" s="366"/>
      <c r="J155" s="330">
        <f>H155/DAY(B2)</f>
        <v>479.63999999999987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'3'!F156</f>
        <v>1197.82</v>
      </c>
      <c r="F156" s="155">
        <v>1255.8699999999999</v>
      </c>
      <c r="G156" s="112">
        <f t="shared" si="12"/>
        <v>58.049999999999955</v>
      </c>
      <c r="H156" s="99">
        <f>G156+'3'!H156</f>
        <v>167.86999999999989</v>
      </c>
      <c r="I156" s="165"/>
      <c r="J156" s="330">
        <f>H156/DAY(B2)</f>
        <v>41.967499999999973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'3'!F157</f>
        <v>1435.6</v>
      </c>
      <c r="F157" s="155">
        <v>1498.22</v>
      </c>
      <c r="G157" s="112">
        <f t="shared" si="12"/>
        <v>62.620000000000118</v>
      </c>
      <c r="H157" s="99">
        <f>G157+'3'!H157</f>
        <v>62.620000000000118</v>
      </c>
      <c r="I157" s="165"/>
      <c r="J157" s="330">
        <f>H157/DAY(B2)</f>
        <v>15.65500000000003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'3'!F158</f>
        <v>7.9</v>
      </c>
      <c r="F158" s="155">
        <v>8.5299999999999994</v>
      </c>
      <c r="G158" s="112">
        <f t="shared" si="12"/>
        <v>0.62999999999999901</v>
      </c>
      <c r="H158" s="99">
        <f>G158+'3'!H158</f>
        <v>0.62999999999999901</v>
      </c>
      <c r="I158" s="165"/>
      <c r="J158" s="330">
        <f>H158/DAY(B2)</f>
        <v>0.15749999999999975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471153.56</v>
      </c>
      <c r="F161" s="235">
        <v>471153.56</v>
      </c>
      <c r="G161" s="238">
        <f t="shared" ref="G161:G168" si="13">F161-E161</f>
        <v>0</v>
      </c>
      <c r="H161" s="99">
        <f>G161+'3'!H161</f>
        <v>0.40000000002328306</v>
      </c>
      <c r="I161" s="236"/>
      <c r="J161" s="239">
        <f>H161/DAY(B2)</f>
        <v>0.10000000000582077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87635.6</v>
      </c>
      <c r="F162" s="235">
        <v>87661.2</v>
      </c>
      <c r="G162" s="238">
        <f t="shared" si="13"/>
        <v>25.599999999991269</v>
      </c>
      <c r="H162" s="99">
        <f>G162+'3'!H162</f>
        <v>91.19999999999709</v>
      </c>
      <c r="I162" s="236"/>
      <c r="J162" s="239">
        <f>H162/DAY(B2)</f>
        <v>22.799999999999272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77946.5</v>
      </c>
      <c r="F163" s="235">
        <v>77995.100000000006</v>
      </c>
      <c r="G163" s="238">
        <f t="shared" si="13"/>
        <v>48.600000000005821</v>
      </c>
      <c r="H163" s="99">
        <f>G163+'3'!H163</f>
        <v>170.10000000000582</v>
      </c>
      <c r="I163" s="236"/>
      <c r="J163" s="239">
        <f>H163/DAY(B2)</f>
        <v>42.525000000001455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4245.8999999999996</v>
      </c>
      <c r="F164" s="235">
        <v>4247.3</v>
      </c>
      <c r="G164" s="238">
        <f t="shared" si="13"/>
        <v>1.4000000000005457</v>
      </c>
      <c r="H164" s="99">
        <f>G164+'3'!H164</f>
        <v>5.3000000000001819</v>
      </c>
      <c r="I164" s="236"/>
      <c r="J164" s="239">
        <f>H164/DAY(B2)</f>
        <v>1.3250000000000455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29660.5</v>
      </c>
      <c r="F165" s="235">
        <v>29670.03</v>
      </c>
      <c r="G165" s="238">
        <f t="shared" si="13"/>
        <v>9.5299999999988358</v>
      </c>
      <c r="H165" s="99">
        <f>G165+'3'!H165</f>
        <v>24.029999999998836</v>
      </c>
      <c r="I165" s="236"/>
      <c r="J165" s="239">
        <f>H165/DAY(B2)</f>
        <v>6.007499999999709</v>
      </c>
    </row>
    <row r="166" spans="1:10" ht="29.25" x14ac:dyDescent="0.5">
      <c r="A166" s="824"/>
      <c r="B166" s="824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9"/>
    </row>
    <row r="167" spans="1:10" ht="29.25" x14ac:dyDescent="0.5">
      <c r="A167" s="824"/>
      <c r="B167" s="824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9"/>
    </row>
    <row r="168" spans="1:10" ht="29.25" x14ac:dyDescent="0.5">
      <c r="A168" s="824"/>
      <c r="B168" s="824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'3'!F174</f>
        <v>38308</v>
      </c>
      <c r="F174" s="157">
        <v>38322</v>
      </c>
      <c r="G174" s="155">
        <f t="shared" ref="G174:G175" si="14">F174-E174</f>
        <v>14</v>
      </c>
      <c r="H174" s="99">
        <f>G174+'3'!H174</f>
        <v>29</v>
      </c>
      <c r="I174" s="155"/>
      <c r="J174" s="178">
        <f>H174/DAY(B2)</f>
        <v>7.25</v>
      </c>
    </row>
    <row r="175" spans="1:10" ht="25.5" customHeight="1" x14ac:dyDescent="0.5">
      <c r="A175" s="828" t="s">
        <v>76</v>
      </c>
      <c r="B175" s="868"/>
      <c r="C175" s="829"/>
      <c r="D175" s="228" t="s">
        <v>142</v>
      </c>
      <c r="E175" s="95">
        <f>'3'!F175</f>
        <v>21539</v>
      </c>
      <c r="F175" s="155">
        <v>21556</v>
      </c>
      <c r="G175" s="155">
        <f t="shared" si="14"/>
        <v>17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865" t="s">
        <v>196</v>
      </c>
      <c r="B176" s="866"/>
      <c r="C176" s="867"/>
      <c r="D176" s="228"/>
      <c r="E176" s="95"/>
      <c r="F176" s="155"/>
      <c r="G176" s="155">
        <f>SUM(G173:G175)</f>
        <v>31</v>
      </c>
      <c r="H176" s="99">
        <f>G176+'3'!H176</f>
        <v>67</v>
      </c>
      <c r="I176" s="155"/>
      <c r="J176" s="178">
        <f>H176/DAY(B2)</f>
        <v>16.75</v>
      </c>
    </row>
    <row r="177" spans="1:10" ht="28.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28" t="s">
        <v>210</v>
      </c>
      <c r="B178" s="829"/>
      <c r="C178" s="335"/>
      <c r="D178" s="228" t="s">
        <v>142</v>
      </c>
      <c r="E178" s="95">
        <f>'3'!F178</f>
        <v>79798</v>
      </c>
      <c r="F178" s="157">
        <v>79877</v>
      </c>
      <c r="G178" s="155">
        <f>F178-E178</f>
        <v>79</v>
      </c>
      <c r="H178" s="99">
        <f>G178+'3'!H178</f>
        <v>263</v>
      </c>
      <c r="I178" s="155"/>
      <c r="J178" s="178">
        <f>H178/DAY(B2)</f>
        <v>65.75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'3'!F179</f>
        <v>33973</v>
      </c>
      <c r="F179" s="155">
        <v>34008</v>
      </c>
      <c r="G179" s="155">
        <f t="shared" ref="G179:G180" si="15">F179-E179</f>
        <v>35</v>
      </c>
      <c r="H179" s="99">
        <f>G179+'3'!H179</f>
        <v>93</v>
      </c>
      <c r="I179" s="155"/>
      <c r="J179" s="178">
        <f>H179/DAY(B2)</f>
        <v>23.25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'3'!F180</f>
        <v>5488</v>
      </c>
      <c r="F180" s="155">
        <v>5504</v>
      </c>
      <c r="G180" s="155">
        <f t="shared" si="15"/>
        <v>16</v>
      </c>
      <c r="H180" s="99">
        <f>G180+'3'!H180</f>
        <v>27</v>
      </c>
      <c r="I180" s="155"/>
      <c r="J180" s="178">
        <f>H180/DAY(B2)</f>
        <v>6.75</v>
      </c>
    </row>
    <row r="181" spans="1:10" ht="21.95" customHeight="1" x14ac:dyDescent="0.5">
      <c r="A181" s="865" t="s">
        <v>196</v>
      </c>
      <c r="B181" s="866"/>
      <c r="C181" s="867"/>
      <c r="D181" s="228"/>
      <c r="E181" s="95"/>
      <c r="F181" s="155"/>
      <c r="G181" s="155">
        <f>SUM(G178:G180)</f>
        <v>130</v>
      </c>
      <c r="H181" s="99">
        <f>G181+'3'!H181</f>
        <v>383</v>
      </c>
      <c r="I181" s="155"/>
      <c r="J181" s="178">
        <f>H181/DAY(B2)</f>
        <v>95.75</v>
      </c>
    </row>
    <row r="182" spans="1:10" ht="21.95" customHeight="1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'3'!F183</f>
        <v>15014</v>
      </c>
      <c r="F183" s="157">
        <v>15024</v>
      </c>
      <c r="G183" s="157">
        <f>F183-E183</f>
        <v>10</v>
      </c>
      <c r="H183" s="99">
        <f>G183+'3'!H183</f>
        <v>77</v>
      </c>
      <c r="I183" s="155"/>
      <c r="J183" s="178">
        <f>H183/DAY(B2)</f>
        <v>19.25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'3'!F184</f>
        <v>10326</v>
      </c>
      <c r="F184" s="157">
        <v>10332</v>
      </c>
      <c r="G184" s="157">
        <f t="shared" ref="G184:G185" si="16">F184-E184</f>
        <v>6</v>
      </c>
      <c r="H184" s="99">
        <f>G184+'3'!H184</f>
        <v>31</v>
      </c>
      <c r="I184" s="155"/>
      <c r="J184" s="178">
        <f>H184/DAY(B2)</f>
        <v>7.75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65" t="s">
        <v>196</v>
      </c>
      <c r="B186" s="866"/>
      <c r="C186" s="867"/>
      <c r="D186" s="229"/>
      <c r="E186" s="95"/>
      <c r="F186" s="157"/>
      <c r="G186" s="157">
        <f>SUM(G183:G185)</f>
        <v>16</v>
      </c>
      <c r="H186" s="99">
        <f>G186+'3'!H186</f>
        <v>108</v>
      </c>
      <c r="I186" s="157"/>
      <c r="J186" s="178">
        <f>H186/DAY(B2)</f>
        <v>27</v>
      </c>
    </row>
    <row r="187" spans="1:10" ht="25.5" customHeight="1" x14ac:dyDescent="0.5">
      <c r="A187" s="821" t="s">
        <v>217</v>
      </c>
      <c r="B187" s="822"/>
      <c r="C187" s="335"/>
      <c r="D187" s="230" t="s">
        <v>142</v>
      </c>
      <c r="E187" s="95"/>
      <c r="F187" s="99"/>
      <c r="G187" s="464">
        <f>G62+G19</f>
        <v>149</v>
      </c>
      <c r="H187" s="99">
        <f>G187+'3'!H187</f>
        <v>345</v>
      </c>
      <c r="I187" s="158"/>
      <c r="J187" s="179">
        <f>H187/DAY(B2)</f>
        <v>86.25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142</v>
      </c>
      <c r="H188" s="99">
        <f>G188+'3'!H188</f>
        <v>602</v>
      </c>
      <c r="I188" s="158"/>
      <c r="J188" s="179">
        <f>H188/DAY(B2)</f>
        <v>150.5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130</v>
      </c>
      <c r="H189" s="99">
        <f>G189+'3'!H189</f>
        <v>383</v>
      </c>
      <c r="I189" s="158"/>
      <c r="J189" s="179">
        <f>H189/DAY(B2)</f>
        <v>95.75</v>
      </c>
    </row>
    <row r="190" spans="1:10" ht="27.75" x14ac:dyDescent="0.5">
      <c r="A190" s="821"/>
      <c r="B190" s="822"/>
      <c r="C190" s="335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zoomScale="53" zoomScaleNormal="48" zoomScaleSheetLayoutView="53" workbookViewId="0">
      <selection activeCell="D2" sqref="D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350</v>
      </c>
      <c r="B2" s="262">
        <v>44566</v>
      </c>
      <c r="C2" s="350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173032.09</v>
      </c>
      <c r="F7" s="95">
        <v>192932</v>
      </c>
      <c r="G7" s="112">
        <f>F7-E7</f>
        <v>19899.910000000003</v>
      </c>
      <c r="H7" s="99">
        <f>G7+'4'!H7</f>
        <v>98371</v>
      </c>
      <c r="I7" s="113">
        <f>'1'!I7</f>
        <v>12000</v>
      </c>
      <c r="J7" s="175">
        <f>H7/DAY(B2)</f>
        <v>19674.2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220974.95</v>
      </c>
      <c r="F8" s="114">
        <v>241310</v>
      </c>
      <c r="G8" s="115">
        <f>F8-E8</f>
        <v>20335.049999999988</v>
      </c>
      <c r="H8" s="99">
        <f>G8+'4'!H8</f>
        <v>100425</v>
      </c>
      <c r="I8" s="116"/>
      <c r="J8" s="175">
        <f>H8/DAY(B2)</f>
        <v>20085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2308514.5</v>
      </c>
      <c r="F9" s="117">
        <v>2320792.5</v>
      </c>
      <c r="G9" s="112">
        <f>F9-E9</f>
        <v>12278</v>
      </c>
      <c r="H9" s="99">
        <f>G9+'4'!H9</f>
        <v>62016.5</v>
      </c>
      <c r="I9" s="124">
        <f>I7-J7</f>
        <v>-7674.2000000000007</v>
      </c>
      <c r="J9" s="175">
        <f>H9/DAY(B2)</f>
        <v>12403.3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567423.27</v>
      </c>
      <c r="F10" s="117">
        <v>574520.47</v>
      </c>
      <c r="G10" s="112">
        <f t="shared" ref="G10:G12" si="0">F10-E10</f>
        <v>7097.1999999999534</v>
      </c>
      <c r="H10" s="99">
        <f>G10+'4'!H10</f>
        <v>33694.469999999972</v>
      </c>
      <c r="I10" s="282"/>
      <c r="J10" s="175">
        <f>H10/DAY(B2)</f>
        <v>6738.8939999999948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19375.199999999953</v>
      </c>
      <c r="H13" s="99">
        <f>G13+'4'!H13</f>
        <v>76245.719999999856</v>
      </c>
      <c r="I13" s="120">
        <f>G7-G13</f>
        <v>524.71000000005006</v>
      </c>
      <c r="J13" s="175">
        <f>H13/DAY(B2)</f>
        <v>15249.143999999971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'4'!F15</f>
        <v>1881868.65</v>
      </c>
      <c r="F15" s="123">
        <v>1882870.7</v>
      </c>
      <c r="G15" s="112">
        <f>(F15-E15)</f>
        <v>1002.0500000000466</v>
      </c>
      <c r="H15" s="99">
        <f>G15+'4'!H15</f>
        <v>4440.6999999999534</v>
      </c>
      <c r="I15" s="113">
        <f>'1'!I15</f>
        <v>800</v>
      </c>
      <c r="J15" s="175">
        <f>H15/DAY(B2)</f>
        <v>888.13999999999066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-88.139999999990664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'4'!F18</f>
        <v>17</v>
      </c>
      <c r="F18" s="122">
        <v>12</v>
      </c>
      <c r="G18" s="119">
        <f>F18*10</f>
        <v>120</v>
      </c>
      <c r="H18" s="99">
        <f>G18+'4'!H18</f>
        <v>590</v>
      </c>
      <c r="I18" s="113">
        <f>'1'!I18</f>
        <v>65</v>
      </c>
      <c r="J18" s="175">
        <f>H18/DAY(B2)</f>
        <v>118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'4'!F19</f>
        <v>152440</v>
      </c>
      <c r="F19" s="122">
        <v>152491</v>
      </c>
      <c r="G19" s="112">
        <f t="shared" ref="G19" si="1">F19-E19</f>
        <v>51</v>
      </c>
      <c r="H19" s="99">
        <f>G19+'4'!H19</f>
        <v>266</v>
      </c>
      <c r="I19" s="337"/>
      <c r="J19" s="175">
        <f>H19/DAY(B2)</f>
        <v>53.2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171</v>
      </c>
      <c r="H20" s="99">
        <f>G20+'4'!H20</f>
        <v>856</v>
      </c>
      <c r="I20" s="338">
        <f>I18-J20</f>
        <v>-106.19999999999999</v>
      </c>
      <c r="J20" s="175">
        <f>H20/DAY(B2)</f>
        <v>171.2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20335.049999999988</v>
      </c>
      <c r="F27" s="136">
        <v>9</v>
      </c>
      <c r="G27" s="137">
        <f>E27*F27</f>
        <v>183015.4499999999</v>
      </c>
      <c r="H27" s="99">
        <f>G27+'4'!H27</f>
        <v>903825</v>
      </c>
      <c r="I27" s="138"/>
      <c r="J27" s="175">
        <f>H27/DAY(B2)</f>
        <v>180765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1002.0500000000466</v>
      </c>
      <c r="F28" s="136">
        <v>52</v>
      </c>
      <c r="G28" s="137">
        <f>E28*F28</f>
        <v>52106.600000002421</v>
      </c>
      <c r="H28" s="99">
        <f>G28+'4'!H28</f>
        <v>230916.39999999758</v>
      </c>
      <c r="I28" s="140"/>
      <c r="J28" s="175">
        <f>H28/DAY(B2)</f>
        <v>46183.279999999519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38836</v>
      </c>
      <c r="I30" s="140"/>
      <c r="J30" s="175">
        <f>H30/DAY(B2)</f>
        <v>7767.2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G31+'4'!H31</f>
        <v>47200</v>
      </c>
      <c r="I31" s="140"/>
      <c r="J31" s="175">
        <f>H31/DAY(B2)</f>
        <v>9440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252168.05000000232</v>
      </c>
      <c r="H32" s="99">
        <f>G32+'4'!H32</f>
        <v>1220777.3999999976</v>
      </c>
      <c r="I32" s="144"/>
      <c r="J32" s="175">
        <f>H32/DAY(B2)</f>
        <v>244155.47999999952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160674.78</v>
      </c>
      <c r="F35" s="145">
        <v>162553.63</v>
      </c>
      <c r="G35" s="112">
        <f t="shared" ref="G35:G46" si="3">F35-E35</f>
        <v>1878.8500000000058</v>
      </c>
      <c r="H35" s="99">
        <f>G35+'4'!H35</f>
        <v>9711.6300000000047</v>
      </c>
      <c r="I35" s="95"/>
      <c r="J35" s="175">
        <f>H35/DAY(B2)</f>
        <v>1942.3260000000009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24679.25</v>
      </c>
      <c r="F36" s="145">
        <v>25481.79</v>
      </c>
      <c r="G36" s="112">
        <f t="shared" si="3"/>
        <v>802.54000000000087</v>
      </c>
      <c r="H36" s="99">
        <f>G36+'4'!H36</f>
        <v>3954.7900000000009</v>
      </c>
      <c r="I36" s="95"/>
      <c r="J36" s="175">
        <f>H36/DAY(B2)</f>
        <v>790.9580000000002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201516.83</v>
      </c>
      <c r="F37" s="145">
        <v>203029.89</v>
      </c>
      <c r="G37" s="112">
        <f t="shared" si="3"/>
        <v>1513.0600000000268</v>
      </c>
      <c r="H37" s="99">
        <f>G37+'4'!H37</f>
        <v>7636.890000000014</v>
      </c>
      <c r="I37" s="95"/>
      <c r="J37" s="175">
        <f>H37/DAY(B2)</f>
        <v>1527.3780000000029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238939.49</v>
      </c>
      <c r="F38" s="108">
        <v>240611.89</v>
      </c>
      <c r="G38" s="112">
        <f t="shared" si="3"/>
        <v>1672.4000000000233</v>
      </c>
      <c r="H38" s="99">
        <f>G38+'4'!H38</f>
        <v>8129.890000000014</v>
      </c>
      <c r="I38" s="95"/>
      <c r="J38" s="175">
        <f>H38/DAY(B2)</f>
        <v>1625.9780000000028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422024.51</v>
      </c>
      <c r="F39" s="145">
        <v>424693.59</v>
      </c>
      <c r="G39" s="112">
        <f t="shared" si="3"/>
        <v>2669.0800000000163</v>
      </c>
      <c r="H39" s="99">
        <f>G39+'4'!H39</f>
        <v>13614.590000000026</v>
      </c>
      <c r="I39" s="95"/>
      <c r="J39" s="175">
        <f>H39/DAY(B2)</f>
        <v>2722.9180000000051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5609.98</v>
      </c>
      <c r="F40" s="145">
        <v>6027.74</v>
      </c>
      <c r="G40" s="112">
        <f t="shared" si="3"/>
        <v>417.76000000000022</v>
      </c>
      <c r="H40" s="99">
        <f>G40+'4'!H40</f>
        <v>417.73999999999978</v>
      </c>
      <c r="I40" s="95"/>
      <c r="J40" s="175">
        <f>H40/DAY(B2)</f>
        <v>83.547999999999959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0</v>
      </c>
      <c r="F41" s="145">
        <v>0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73808.600000000006</v>
      </c>
      <c r="F42" s="145">
        <v>73808.600000000006</v>
      </c>
      <c r="G42" s="112">
        <f t="shared" si="3"/>
        <v>0</v>
      </c>
      <c r="H42" s="99">
        <f>G42+'4'!H42</f>
        <v>-0.39999999999417923</v>
      </c>
      <c r="I42" s="95"/>
      <c r="J42" s="175">
        <f>H42/DAY(B2)</f>
        <v>-7.999999999883585E-2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57123.72</v>
      </c>
      <c r="F43" s="145">
        <v>59531.19</v>
      </c>
      <c r="G43" s="112">
        <f t="shared" si="3"/>
        <v>2407.4700000000012</v>
      </c>
      <c r="H43" s="99">
        <f>G43+'4'!H43</f>
        <v>12270.190000000002</v>
      </c>
      <c r="I43" s="95"/>
      <c r="J43" s="175">
        <f>H43/DAY(B2)</f>
        <v>2454.0380000000005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11361.160000000074</v>
      </c>
      <c r="H47" s="99">
        <f>G47+'4'!H47</f>
        <v>55735.320000000072</v>
      </c>
      <c r="I47" s="95"/>
      <c r="J47" s="175">
        <f>H47/DAY(B2)</f>
        <v>11147.064000000015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278816.03000000003</v>
      </c>
      <c r="F49" s="145">
        <v>280424.89</v>
      </c>
      <c r="G49" s="112">
        <f t="shared" ref="G49:G58" si="4">F49-E49</f>
        <v>1608.859999999986</v>
      </c>
      <c r="H49" s="99">
        <f>G49+'4'!H49</f>
        <v>8184.890000000014</v>
      </c>
      <c r="I49" s="95"/>
      <c r="J49" s="175">
        <f>H49/DAY(B2)</f>
        <v>1636.9780000000028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29038.62</v>
      </c>
      <c r="F50" s="145">
        <v>30028.26</v>
      </c>
      <c r="G50" s="112">
        <f t="shared" si="4"/>
        <v>989.63999999999942</v>
      </c>
      <c r="H50" s="99">
        <f>G50+'4'!H50</f>
        <v>5378.2599999999984</v>
      </c>
      <c r="I50" s="95"/>
      <c r="J50" s="175">
        <f>H50/DAY(B2)</f>
        <v>1075.6519999999996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198.08</v>
      </c>
      <c r="F54" s="145">
        <v>659.69</v>
      </c>
      <c r="G54" s="112">
        <f t="shared" si="4"/>
        <v>461.61</v>
      </c>
      <c r="H54" s="99">
        <f>G54+'4'!H54</f>
        <v>673.77</v>
      </c>
      <c r="I54" s="95"/>
      <c r="J54" s="175">
        <f>H54/DAY(B2)</f>
        <v>134.75399999999999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15284.25</v>
      </c>
      <c r="F55" s="145">
        <v>18598.919999999998</v>
      </c>
      <c r="G55" s="112">
        <f t="shared" si="4"/>
        <v>3314.6699999999983</v>
      </c>
      <c r="H55" s="99">
        <f>G55+'4'!H55</f>
        <v>15087.919999999998</v>
      </c>
      <c r="I55" s="95"/>
      <c r="J55" s="175">
        <f>H55/DAY(B2)</f>
        <v>3017.5839999999998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8610.5400000000009</v>
      </c>
      <c r="F56" s="145">
        <v>8610.5400000000009</v>
      </c>
      <c r="G56" s="112">
        <f t="shared" si="4"/>
        <v>0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173.66</v>
      </c>
      <c r="F58" s="145">
        <v>250.47</v>
      </c>
      <c r="G58" s="112">
        <f t="shared" si="4"/>
        <v>76.81</v>
      </c>
      <c r="H58" s="99">
        <f>G58+'4'!H58</f>
        <v>591.10000000000468</v>
      </c>
      <c r="I58" s="95"/>
      <c r="J58" s="175">
        <f>H58/DAY(B2)</f>
        <v>118.22000000000094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6451.5899999999847</v>
      </c>
      <c r="H59" s="99">
        <f>G59+'4'!H59</f>
        <v>29915.940000000021</v>
      </c>
      <c r="I59" s="95">
        <f>G7-G60</f>
        <v>2087.1599999999453</v>
      </c>
      <c r="J59" s="175">
        <f>H59/DAY(B2)</f>
        <v>5983.1880000000037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17812.750000000058</v>
      </c>
      <c r="H60" s="99">
        <f>G60+'4'!H60</f>
        <v>85651.260000000082</v>
      </c>
      <c r="I60" s="95">
        <f>G13-G60</f>
        <v>1562.4499999998952</v>
      </c>
      <c r="J60" s="175">
        <f>H60/DAY(B2)</f>
        <v>17130.252000000015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'4'!F62</f>
        <v>267343</v>
      </c>
      <c r="F62" s="122">
        <v>267429</v>
      </c>
      <c r="G62" s="112">
        <f t="shared" ref="G62:G63" si="5">F62-E62</f>
        <v>86</v>
      </c>
      <c r="H62" s="99">
        <f>G62+'4'!H62</f>
        <v>216</v>
      </c>
      <c r="I62" s="118"/>
      <c r="J62" s="175">
        <f>H62/DAY(B2)</f>
        <v>43.2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'4'!F63</f>
        <v>212885</v>
      </c>
      <c r="F63" s="122">
        <v>213004</v>
      </c>
      <c r="G63" s="112">
        <f t="shared" si="5"/>
        <v>119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'4'!F64</f>
        <v>0</v>
      </c>
      <c r="F64" s="122"/>
      <c r="G64" s="112">
        <f>G62+G63</f>
        <v>205</v>
      </c>
      <c r="H64" s="99">
        <f>G64+'4'!H64</f>
        <v>795</v>
      </c>
      <c r="I64" s="118"/>
      <c r="J64" s="175">
        <f>H64/DAY(B2)</f>
        <v>159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'4'!F65</f>
        <v>432893</v>
      </c>
      <c r="F65" s="122">
        <v>432967</v>
      </c>
      <c r="G65" s="112">
        <f t="shared" ref="G65:G70" si="6">F65-E65</f>
        <v>74</v>
      </c>
      <c r="H65" s="99">
        <f>G65+'4'!H65</f>
        <v>353</v>
      </c>
      <c r="I65" s="118"/>
      <c r="J65" s="175">
        <f>H65/DAY(B2)</f>
        <v>70.599999999999994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'4'!F66</f>
        <v>107308</v>
      </c>
      <c r="F66" s="122">
        <v>107327</v>
      </c>
      <c r="G66" s="112">
        <f t="shared" si="6"/>
        <v>19</v>
      </c>
      <c r="H66" s="99">
        <f>G66+'4'!H66</f>
        <v>113</v>
      </c>
      <c r="I66" s="118"/>
      <c r="J66" s="175">
        <f>H66/DAY(B2)</f>
        <v>22.6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'4'!F67</f>
        <v>104054</v>
      </c>
      <c r="F67" s="122">
        <v>104076</v>
      </c>
      <c r="G67" s="112">
        <f t="shared" si="6"/>
        <v>22</v>
      </c>
      <c r="H67" s="99">
        <f>G67+'4'!H67</f>
        <v>148</v>
      </c>
      <c r="I67" s="118"/>
      <c r="J67" s="175">
        <f>H67/DAY(B2)</f>
        <v>29.6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'4'!F68</f>
        <v>156680</v>
      </c>
      <c r="F68" s="122">
        <v>156707</v>
      </c>
      <c r="G68" s="112">
        <f t="shared" si="6"/>
        <v>27</v>
      </c>
      <c r="H68" s="99">
        <f>G68+'4'!H68</f>
        <v>87</v>
      </c>
      <c r="I68" s="118"/>
      <c r="J68" s="175">
        <f>H68/DAY(B2)</f>
        <v>17.399999999999999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'4'!F69</f>
        <v>10279</v>
      </c>
      <c r="F69" s="122">
        <v>10290</v>
      </c>
      <c r="G69" s="112">
        <f t="shared" si="6"/>
        <v>11</v>
      </c>
      <c r="H69" s="99">
        <f>G69+'4'!H69</f>
        <v>76</v>
      </c>
      <c r="I69" s="118"/>
      <c r="J69" s="175">
        <f>H69/DAY(B2)</f>
        <v>15.2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'4'!F70</f>
        <v>7900</v>
      </c>
      <c r="F70" s="122">
        <v>7906</v>
      </c>
      <c r="G70" s="112">
        <f t="shared" si="6"/>
        <v>6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159</v>
      </c>
      <c r="H71" s="99">
        <f>G71+'4'!H71</f>
        <v>821</v>
      </c>
      <c r="I71" s="154"/>
      <c r="J71" s="175">
        <f>H71/DAY(B2)</f>
        <v>164.2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'4'!F74</f>
        <v>893116.23</v>
      </c>
      <c r="F74" s="123">
        <v>893398.49</v>
      </c>
      <c r="G74" s="112">
        <f t="shared" ref="G74:G78" si="7">F74-E74</f>
        <v>282.26000000000931</v>
      </c>
      <c r="H74" s="99">
        <f>G74+'4'!H74</f>
        <v>1366.4899999999907</v>
      </c>
      <c r="I74" s="154"/>
      <c r="J74" s="175">
        <f>H74/DAY(B2)</f>
        <v>273.29799999999813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'4'!F76</f>
        <v>167593.32</v>
      </c>
      <c r="F76" s="123">
        <v>167689</v>
      </c>
      <c r="G76" s="112">
        <f t="shared" si="7"/>
        <v>95.679999999993015</v>
      </c>
      <c r="H76" s="99">
        <f>G76+'4'!H76</f>
        <v>482</v>
      </c>
      <c r="I76" s="154"/>
      <c r="J76" s="175">
        <f>H76/DAY(B2)</f>
        <v>96.4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'4'!F77</f>
        <v>40441</v>
      </c>
      <c r="F77" s="123">
        <v>40493.300000000003</v>
      </c>
      <c r="G77" s="112">
        <f t="shared" si="7"/>
        <v>52.30000000000291</v>
      </c>
      <c r="H77" s="99">
        <f>G77+'4'!H77</f>
        <v>177.30000000000291</v>
      </c>
      <c r="I77" s="154"/>
      <c r="J77" s="175">
        <f>H77/DAY(B2)</f>
        <v>35.460000000000583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'4'!F78</f>
        <v>9490</v>
      </c>
      <c r="F78" s="123">
        <v>9491</v>
      </c>
      <c r="G78" s="112">
        <f t="shared" si="7"/>
        <v>1</v>
      </c>
      <c r="H78" s="99">
        <f>G78+'4'!H78</f>
        <v>5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117"/>
      <c r="F79" s="117"/>
      <c r="G79" s="112">
        <f>G15-SUM(G74:G78)</f>
        <v>570.81000000004133</v>
      </c>
      <c r="H79" s="99">
        <f>G79+'4'!H79</f>
        <v>2409.9099999999598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1002.0500000000466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'4'!F85</f>
        <v>2096.56</v>
      </c>
      <c r="F85" s="164">
        <v>2096.56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'4'!F86</f>
        <v>42959.57</v>
      </c>
      <c r="F86" s="164">
        <v>42983.32</v>
      </c>
      <c r="G86" s="112">
        <f t="shared" si="8"/>
        <v>23.75</v>
      </c>
      <c r="H86" s="99">
        <f>G86+'4'!H86</f>
        <v>120.31999999999971</v>
      </c>
      <c r="I86" s="118"/>
      <c r="J86" s="175">
        <f>H86/DAY(B2)</f>
        <v>24.063999999999943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'4'!F87</f>
        <v>34598.550000000003</v>
      </c>
      <c r="F87" s="164">
        <v>34598.550000000003</v>
      </c>
      <c r="G87" s="112">
        <f t="shared" si="8"/>
        <v>0</v>
      </c>
      <c r="H87" s="99">
        <f>G87+'4'!H87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'4'!F88</f>
        <v>24058.06</v>
      </c>
      <c r="F88" s="164">
        <v>24058.06</v>
      </c>
      <c r="G88" s="112">
        <f t="shared" si="8"/>
        <v>0</v>
      </c>
      <c r="H88" s="99">
        <f>G88+'4'!H88</f>
        <v>11.06000000000131</v>
      </c>
      <c r="I88" s="118">
        <f>G86+G87+G88</f>
        <v>23.75</v>
      </c>
      <c r="J88" s="175">
        <f>H88/DAY(B2)</f>
        <v>2.2120000000002618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'4'!F89</f>
        <v>25676.28</v>
      </c>
      <c r="F89" s="164">
        <v>25685.9</v>
      </c>
      <c r="G89" s="112">
        <f t="shared" si="8"/>
        <v>9.6200000000026193</v>
      </c>
      <c r="H89" s="99">
        <f>G89+'4'!H89</f>
        <v>22.900000000001455</v>
      </c>
      <c r="I89" s="118"/>
      <c r="J89" s="175">
        <f>H89/DAY(B2)</f>
        <v>4.5800000000002914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'4'!F90</f>
        <v>71056.14</v>
      </c>
      <c r="F90" s="164">
        <v>71060.179999999993</v>
      </c>
      <c r="G90" s="112">
        <f t="shared" si="8"/>
        <v>4.0399999999935972</v>
      </c>
      <c r="H90" s="99">
        <f>G90+'4'!H90</f>
        <v>26.179999999993015</v>
      </c>
      <c r="I90" s="118">
        <f>G89+G90</f>
        <v>13.659999999996217</v>
      </c>
      <c r="J90" s="175">
        <f>H90/DAY(B2)</f>
        <v>5.2359999999986027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'4'!F92</f>
        <v>5476.3</v>
      </c>
      <c r="F92" s="122">
        <v>5486.16</v>
      </c>
      <c r="G92" s="112">
        <f t="shared" si="8"/>
        <v>9.8599999999996726</v>
      </c>
      <c r="H92" s="99">
        <f>G92+'4'!H92</f>
        <v>48.159999999999854</v>
      </c>
      <c r="I92" s="165"/>
      <c r="J92" s="175">
        <f>H92/DAY(B2)</f>
        <v>9.6319999999999713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5895.179999999993</v>
      </c>
      <c r="H94" s="99">
        <f>G94+'4'!H94</f>
        <v>30166.710000000021</v>
      </c>
      <c r="I94" s="118"/>
      <c r="J94" s="175">
        <f>H94/DAY(B2)</f>
        <v>6033.3420000000042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0.2962415407908876</v>
      </c>
      <c r="H95" s="99">
        <f>G95+'4'!H95</f>
        <v>1.5338764540543695</v>
      </c>
      <c r="I95" s="167"/>
      <c r="J95" s="175">
        <f>H95/DAY(B2)</f>
        <v>0.3067752908108739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3314.6699999999983</v>
      </c>
      <c r="H96" s="99">
        <f>G96+'4'!H96</f>
        <v>15087.520000000004</v>
      </c>
      <c r="I96" s="118"/>
      <c r="J96" s="175">
        <f>H96/DAY(B2)</f>
        <v>3017.5040000000008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0.16656708497676612</v>
      </c>
      <c r="H97" s="99">
        <f>G97+'4'!H97</f>
        <v>0.767469620630301</v>
      </c>
      <c r="I97" s="167"/>
      <c r="J97" s="175">
        <f>H97/DAY(B2)</f>
        <v>0.15349392412606019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2669.0800000000163</v>
      </c>
      <c r="H98" s="99">
        <f>G98+'4'!H98</f>
        <v>13614.590000000026</v>
      </c>
      <c r="I98" s="168"/>
      <c r="J98" s="175">
        <f>H98/DAY(B2)</f>
        <v>2722.9180000000051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0.13412522971209498</v>
      </c>
      <c r="H99" s="99">
        <f>G99+'4'!H99</f>
        <v>0.69223094158196652</v>
      </c>
      <c r="I99" s="168"/>
      <c r="J99" s="175">
        <f>H99/DAY(B2)</f>
        <v>0.1384461883163933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1672.4000000000233</v>
      </c>
      <c r="H100" s="99">
        <f>G100+'4'!H100</f>
        <v>8129.890000000014</v>
      </c>
      <c r="I100" s="118"/>
      <c r="J100" s="175">
        <f>H100/DAY(B2)</f>
        <v>1625.9780000000028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8.4040581088056329E-2</v>
      </c>
      <c r="H101" s="99">
        <f>G101+'4'!H101</f>
        <v>0.41300421553519151</v>
      </c>
      <c r="I101" s="168"/>
      <c r="J101" s="175">
        <f>H101/DAY(B2)</f>
        <v>8.2600843107038302E-2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1792.1800000000003</v>
      </c>
      <c r="H102" s="99">
        <f>G102+'4'!H102</f>
        <v>9333.0499999999993</v>
      </c>
      <c r="I102" s="168"/>
      <c r="J102" s="175">
        <f>H102/DAY(B2)</f>
        <v>1866.61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9.0059703787605069E-2</v>
      </c>
      <c r="H103" s="99">
        <f>G103+'4'!H103</f>
        <v>0.47421475848500927</v>
      </c>
      <c r="I103" s="118"/>
      <c r="J103" s="175">
        <f>H103/DAY(B2)</f>
        <v>9.4842951697001854E-2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1513.0600000000268</v>
      </c>
      <c r="H104" s="99">
        <f>G104+'4'!H104</f>
        <v>7636.890000000014</v>
      </c>
      <c r="I104" s="118"/>
      <c r="J104" s="175">
        <f>H104/DAY(B2)</f>
        <v>1527.3780000000029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7.6033509699291429E-2</v>
      </c>
      <c r="H105" s="99">
        <f>G105+'4'!H105</f>
        <v>0.38820058131313628</v>
      </c>
      <c r="I105" s="187"/>
      <c r="J105" s="188">
        <f>H105/DAY(B2)</f>
        <v>7.7640116262627262E-2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'4'!F112</f>
        <v>55960.22</v>
      </c>
      <c r="F112" s="237">
        <v>56038.400000000001</v>
      </c>
      <c r="G112" s="112">
        <f t="shared" ref="G112:G123" si="9">F112-E112</f>
        <v>78.180000000000291</v>
      </c>
      <c r="H112" s="99">
        <f>G112+'4'!H112</f>
        <v>357.40000000000146</v>
      </c>
      <c r="I112" s="165"/>
      <c r="J112" s="330">
        <f>H112/DAY(B2)</f>
        <v>71.480000000000288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'4'!F113</f>
        <v>34018.86</v>
      </c>
      <c r="F113" s="237">
        <v>34460.199999999997</v>
      </c>
      <c r="G113" s="112">
        <f t="shared" si="9"/>
        <v>441.33999999999651</v>
      </c>
      <c r="H113" s="99">
        <f>G113+'4'!H113</f>
        <v>2265.1999999999971</v>
      </c>
      <c r="I113" s="165"/>
      <c r="J113" s="330">
        <f>H113/DAY(B2)</f>
        <v>453.0399999999994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'4'!F114</f>
        <v>25950.21</v>
      </c>
      <c r="F114" s="237">
        <v>26212.2</v>
      </c>
      <c r="G114" s="112">
        <f t="shared" si="9"/>
        <v>261.9900000000016</v>
      </c>
      <c r="H114" s="99">
        <f>G114+'4'!H114</f>
        <v>1341.2000000000007</v>
      </c>
      <c r="I114" s="165"/>
      <c r="J114" s="330">
        <f>H114/DAY(B2)</f>
        <v>268.24000000000012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'4'!F115</f>
        <v>8822.5300000000007</v>
      </c>
      <c r="F115" s="237">
        <v>8837.7999999999993</v>
      </c>
      <c r="G115" s="112">
        <f t="shared" si="9"/>
        <v>15.269999999998618</v>
      </c>
      <c r="H115" s="99">
        <f>G115+'4'!H115</f>
        <v>52.799999999999272</v>
      </c>
      <c r="I115" s="165"/>
      <c r="J115" s="330">
        <f>H115/DAY(B2)</f>
        <v>10.559999999999855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30">
        <f>H116/DAY(B2)</f>
        <v>0</v>
      </c>
      <c r="Q116" s="908"/>
      <c r="R116" s="908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'4'!F117</f>
        <v>2684.43</v>
      </c>
      <c r="F117" s="237">
        <v>2718.79</v>
      </c>
      <c r="G117" s="112">
        <f t="shared" si="9"/>
        <v>34.360000000000127</v>
      </c>
      <c r="H117" s="99">
        <f>G117+'4'!H117</f>
        <v>128.78999999999996</v>
      </c>
      <c r="I117" s="165"/>
      <c r="J117" s="330">
        <f>H117/DAY(B2)</f>
        <v>25.757999999999992</v>
      </c>
      <c r="Q117" s="908"/>
      <c r="R117" s="908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'4'!F118</f>
        <v>243150.55</v>
      </c>
      <c r="F118" s="237">
        <v>243529.53</v>
      </c>
      <c r="G118" s="112">
        <f t="shared" si="9"/>
        <v>378.98000000001048</v>
      </c>
      <c r="H118" s="99">
        <f>G118+'4'!H118</f>
        <v>1882.5299999999988</v>
      </c>
      <c r="I118" s="165"/>
      <c r="J118" s="330">
        <f>H118/DAY(B2)</f>
        <v>376.50599999999974</v>
      </c>
      <c r="Q118" s="908"/>
      <c r="R118" s="908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'4'!F119</f>
        <v>246869.31</v>
      </c>
      <c r="F119" s="237">
        <v>247290.93</v>
      </c>
      <c r="G119" s="112">
        <f t="shared" si="9"/>
        <v>421.61999999999534</v>
      </c>
      <c r="H119" s="99">
        <f>G119+'4'!H119</f>
        <v>2164.929999999993</v>
      </c>
      <c r="I119" s="165"/>
      <c r="J119" s="330">
        <f>H119/DAY(B2)</f>
        <v>432.98599999999863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'4'!F120</f>
        <v>31775.45</v>
      </c>
      <c r="F120" s="604">
        <v>32187</v>
      </c>
      <c r="G120" s="112">
        <f t="shared" si="9"/>
        <v>411.54999999999927</v>
      </c>
      <c r="H120" s="99">
        <f>G120+'4'!H120</f>
        <v>2109</v>
      </c>
      <c r="I120" s="165"/>
      <c r="J120" s="330">
        <f>H120/DAY(B2)</f>
        <v>421.8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'4'!F121</f>
        <v>379626.59</v>
      </c>
      <c r="F121" s="237">
        <v>380353</v>
      </c>
      <c r="G121" s="112">
        <f t="shared" si="9"/>
        <v>726.40999999997439</v>
      </c>
      <c r="H121" s="99">
        <f>G121+'4'!H121</f>
        <v>3824</v>
      </c>
      <c r="I121" s="165"/>
      <c r="J121" s="330">
        <f>H121/DAY(B2)</f>
        <v>764.8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'4'!F122</f>
        <v>120962.1</v>
      </c>
      <c r="F122" s="237">
        <v>121203.38</v>
      </c>
      <c r="G122" s="112">
        <f t="shared" si="9"/>
        <v>241.27999999999884</v>
      </c>
      <c r="H122" s="99">
        <f>G122+'4'!H122</f>
        <v>1153.3800000000047</v>
      </c>
      <c r="I122" s="165"/>
      <c r="J122" s="330">
        <f>H122/DAY(B2)</f>
        <v>230.67600000000093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'4'!F123</f>
        <v>146478.67000000001</v>
      </c>
      <c r="F123" s="237">
        <v>146792.75</v>
      </c>
      <c r="G123" s="112">
        <f t="shared" si="9"/>
        <v>314.07999999998719</v>
      </c>
      <c r="H123" s="99">
        <f>G123+'4'!H123</f>
        <v>1667.75</v>
      </c>
      <c r="I123" s="165"/>
      <c r="J123" s="330">
        <f>H123/DAY(B2)</f>
        <v>333.55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903" t="s">
        <v>196</v>
      </c>
      <c r="B125" s="903"/>
      <c r="C125" s="245"/>
      <c r="D125" s="307"/>
      <c r="E125" s="308"/>
      <c r="F125" s="308"/>
      <c r="G125" s="309">
        <f>SUM(G112:G124)</f>
        <v>3325.0599999999627</v>
      </c>
      <c r="H125" s="156"/>
      <c r="I125" s="329">
        <f>G125-(G39+G53)</f>
        <v>655.97999999994636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473"/>
      <c r="G127" s="309"/>
      <c r="H127" s="99">
        <f>G127+'4'!H127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'4'!F128</f>
        <v>39388.42</v>
      </c>
      <c r="F128" s="474">
        <v>39721.089999999997</v>
      </c>
      <c r="G128" s="112">
        <f t="shared" ref="G128:G134" si="10">F128-E128</f>
        <v>332.66999999999825</v>
      </c>
      <c r="H128" s="99">
        <f>G128+'4'!H128</f>
        <v>1717.0899999999965</v>
      </c>
      <c r="I128" s="165"/>
      <c r="J128" s="330">
        <f>H128/DAY(B2)</f>
        <v>343.41799999999932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'4'!F129</f>
        <v>21201.37</v>
      </c>
      <c r="F129" s="474">
        <v>21399.47</v>
      </c>
      <c r="G129" s="112">
        <f t="shared" si="10"/>
        <v>198.10000000000218</v>
      </c>
      <c r="H129" s="99">
        <f>G129+'4'!H129</f>
        <v>1078.4700000000012</v>
      </c>
      <c r="I129" s="165"/>
      <c r="J129" s="330">
        <f>H129/DAY(B2)</f>
        <v>215.69400000000024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'4'!F130</f>
        <v>21202.17</v>
      </c>
      <c r="F130" s="474">
        <v>21852.17</v>
      </c>
      <c r="G130" s="112">
        <f t="shared" si="10"/>
        <v>650</v>
      </c>
      <c r="H130" s="99">
        <f>G130+'4'!H130</f>
        <v>3470.1699999999983</v>
      </c>
      <c r="I130" s="165"/>
      <c r="J130" s="330">
        <f>H130/DAY(B2)</f>
        <v>694.03399999999965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'4'!F131</f>
        <v>13484.52</v>
      </c>
      <c r="F131" s="474">
        <v>13561.44</v>
      </c>
      <c r="G131" s="112">
        <f t="shared" si="10"/>
        <v>76.920000000000073</v>
      </c>
      <c r="H131" s="99">
        <f>G131+'4'!H131</f>
        <v>408.44000000000051</v>
      </c>
      <c r="I131" s="165"/>
      <c r="J131" s="330">
        <f>H131/DAY(B2)</f>
        <v>81.688000000000102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'4'!F132</f>
        <v>42815.69</v>
      </c>
      <c r="F132" s="474">
        <v>43251.08</v>
      </c>
      <c r="G132" s="112">
        <f t="shared" si="10"/>
        <v>435.38999999999942</v>
      </c>
      <c r="H132" s="99">
        <f>G132+'4'!H132</f>
        <v>2228.0800000000017</v>
      </c>
      <c r="I132" s="165"/>
      <c r="J132" s="330">
        <f>H132/DAY(B2)</f>
        <v>445.61600000000033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'4'!F133</f>
        <v>91046.62</v>
      </c>
      <c r="F133" s="474">
        <v>91892.87</v>
      </c>
      <c r="G133" s="112">
        <f t="shared" si="10"/>
        <v>846.25</v>
      </c>
      <c r="H133" s="99">
        <f>G133+'4'!H133</f>
        <v>4189.8699999999953</v>
      </c>
      <c r="I133" s="165"/>
      <c r="J133" s="330">
        <f>H133/DAY(B2)</f>
        <v>837.97399999999902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'4'!F134</f>
        <v>671437</v>
      </c>
      <c r="F134" s="474">
        <v>672078</v>
      </c>
      <c r="G134" s="112">
        <f t="shared" si="10"/>
        <v>641</v>
      </c>
      <c r="H134" s="99">
        <f>G134+'4'!H134</f>
        <v>3198</v>
      </c>
      <c r="I134" s="165"/>
      <c r="J134" s="330">
        <f>H134/DAY(B2)</f>
        <v>639.6</v>
      </c>
    </row>
    <row r="135" spans="1:15" ht="27.75" x14ac:dyDescent="0.5">
      <c r="A135" s="903" t="s">
        <v>196</v>
      </c>
      <c r="B135" s="903"/>
      <c r="C135" s="333"/>
      <c r="D135" s="151"/>
      <c r="E135" s="95"/>
      <c r="F135" s="165"/>
      <c r="G135" s="112">
        <f>SUM(G128:G134)</f>
        <v>3180.33</v>
      </c>
      <c r="H135" s="99">
        <f>G135+'4'!H135</f>
        <v>16290.119999999994</v>
      </c>
      <c r="I135" s="329">
        <f>G135-(G35+G49)</f>
        <v>-307.37999999999192</v>
      </c>
      <c r="J135" s="330">
        <f>H135/DAY(B2)</f>
        <v>3258.0239999999985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'4'!F138</f>
        <v>864477</v>
      </c>
      <c r="F138" s="147">
        <v>864536</v>
      </c>
      <c r="G138" s="112">
        <f t="shared" ref="G138:G152" si="11">F138-E138</f>
        <v>59</v>
      </c>
      <c r="H138" s="99">
        <f>G138+'4'!H138</f>
        <v>365</v>
      </c>
      <c r="I138" s="118"/>
      <c r="J138" s="330">
        <f>H138/DAY(B2)</f>
        <v>73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'4'!F139</f>
        <v>886547</v>
      </c>
      <c r="F139" s="148">
        <v>886547</v>
      </c>
      <c r="G139" s="112">
        <f t="shared" si="11"/>
        <v>0</v>
      </c>
      <c r="H139" s="99">
        <f>G139+'4'!H139</f>
        <v>1</v>
      </c>
      <c r="I139" s="118"/>
      <c r="J139" s="330">
        <f>H139/DAY(B2)</f>
        <v>0.2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'4'!F140</f>
        <v>88898.3</v>
      </c>
      <c r="F140" s="149">
        <v>88898.3</v>
      </c>
      <c r="G140" s="112">
        <f t="shared" si="11"/>
        <v>0</v>
      </c>
      <c r="H140" s="99">
        <f>G140+'4'!H140</f>
        <v>16.30000000000291</v>
      </c>
      <c r="I140" s="118"/>
      <c r="J140" s="330">
        <f>H140/DAY(B2)</f>
        <v>3.260000000000582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'4'!F141</f>
        <v>50035.040000000001</v>
      </c>
      <c r="F141" s="149">
        <v>50206.1</v>
      </c>
      <c r="G141" s="112">
        <f t="shared" si="11"/>
        <v>171.05999999999767</v>
      </c>
      <c r="H141" s="99">
        <f>G141+'4'!H141</f>
        <v>900.09999999999854</v>
      </c>
      <c r="I141" s="118"/>
      <c r="J141" s="330">
        <f>H141/DAY(B2)</f>
        <v>180.0199999999997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'4'!F142</f>
        <v>19291.75</v>
      </c>
      <c r="F142" s="148">
        <v>19368.75</v>
      </c>
      <c r="G142" s="112">
        <f t="shared" si="11"/>
        <v>77</v>
      </c>
      <c r="H142" s="99">
        <f>G142+'4'!H142</f>
        <v>359.75</v>
      </c>
      <c r="I142" s="140"/>
      <c r="J142" s="330">
        <f>H142/DAY(B2)</f>
        <v>71.95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'4'!F143</f>
        <v>3152.36</v>
      </c>
      <c r="F143" s="149">
        <v>3172.7</v>
      </c>
      <c r="G143" s="112">
        <f t="shared" si="11"/>
        <v>20.339999999999691</v>
      </c>
      <c r="H143" s="99">
        <f>G143+'4'!H143</f>
        <v>111.69999999999982</v>
      </c>
      <c r="I143" s="140"/>
      <c r="J143" s="330">
        <f>H143/DAY(B2)</f>
        <v>22.339999999999964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'4'!F144</f>
        <v>870569</v>
      </c>
      <c r="F144" s="149">
        <v>870794</v>
      </c>
      <c r="G144" s="112">
        <f t="shared" si="11"/>
        <v>225</v>
      </c>
      <c r="H144" s="99">
        <f>G144+'4'!H144</f>
        <v>1124</v>
      </c>
      <c r="I144" s="140"/>
      <c r="J144" s="330">
        <f>H144/DAY(B2)</f>
        <v>224.8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'4'!F145</f>
        <v>4624.2299999999996</v>
      </c>
      <c r="F145" s="149">
        <v>4641</v>
      </c>
      <c r="G145" s="112">
        <f t="shared" si="11"/>
        <v>16.770000000000437</v>
      </c>
      <c r="H145" s="99">
        <f>G145+'4'!H145</f>
        <v>83</v>
      </c>
      <c r="I145" s="140"/>
      <c r="J145" s="330">
        <f>H145/DAY(B2)</f>
        <v>16.600000000000001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'4'!F146</f>
        <v>726728</v>
      </c>
      <c r="F146" s="148">
        <v>727178</v>
      </c>
      <c r="G146" s="112">
        <f t="shared" si="11"/>
        <v>450</v>
      </c>
      <c r="H146" s="99">
        <f>G146+'4'!H146</f>
        <v>2320</v>
      </c>
      <c r="I146" s="140"/>
      <c r="J146" s="330">
        <f>H146/DAY(B2)</f>
        <v>464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'4'!F147</f>
        <v>616959.84</v>
      </c>
      <c r="F147" s="148">
        <v>617341</v>
      </c>
      <c r="G147" s="112">
        <f t="shared" si="11"/>
        <v>381.1600000000326</v>
      </c>
      <c r="H147" s="99">
        <f>G147+'4'!H147</f>
        <v>2059</v>
      </c>
      <c r="I147" s="140"/>
      <c r="J147" s="330">
        <f>H147/DAY(B2)</f>
        <v>411.8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'4'!F148</f>
        <v>684170.8</v>
      </c>
      <c r="F148" s="150">
        <f>684170+232</f>
        <v>684402</v>
      </c>
      <c r="G148" s="112">
        <f t="shared" si="11"/>
        <v>231.19999999995343</v>
      </c>
      <c r="H148" s="99">
        <f>G148+'4'!H148</f>
        <v>1368.8800000000047</v>
      </c>
      <c r="I148" s="124"/>
      <c r="J148" s="330">
        <f>H148/DAY(B2)</f>
        <v>273.77600000000092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'4'!F149</f>
        <v>12179.96</v>
      </c>
      <c r="F149" s="146">
        <v>12661.14</v>
      </c>
      <c r="G149" s="112">
        <f t="shared" si="11"/>
        <v>481.18000000000029</v>
      </c>
      <c r="H149" s="99">
        <f>G149+'4'!H149</f>
        <v>1912.1399999999994</v>
      </c>
      <c r="I149" s="119"/>
      <c r="J149" s="330">
        <f>H149/DAY(B2)</f>
        <v>382.42799999999988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'4'!F150</f>
        <v>4925.78</v>
      </c>
      <c r="F150" s="233">
        <v>5143.54</v>
      </c>
      <c r="G150" s="112">
        <f t="shared" si="11"/>
        <v>217.76000000000022</v>
      </c>
      <c r="H150" s="99">
        <f>G150+'4'!H150</f>
        <v>1091.54</v>
      </c>
      <c r="I150" s="119"/>
      <c r="J150" s="330">
        <f>H150/DAY(B2)</f>
        <v>218.30799999999999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'4'!F151</f>
        <v>79257</v>
      </c>
      <c r="F151" s="233">
        <v>79503</v>
      </c>
      <c r="G151" s="112">
        <f t="shared" si="11"/>
        <v>246</v>
      </c>
      <c r="H151" s="99">
        <f>G151+'4'!H151</f>
        <v>1286</v>
      </c>
      <c r="I151" s="119"/>
      <c r="J151" s="330">
        <f>H151/DAY(B2)</f>
        <v>257.2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'4'!F152</f>
        <v>1224.04</v>
      </c>
      <c r="F152" s="233">
        <v>1238.56</v>
      </c>
      <c r="G152" s="112">
        <f t="shared" si="11"/>
        <v>14.519999999999982</v>
      </c>
      <c r="H152" s="99">
        <f>G152+'4'!H152</f>
        <v>111.55999999999995</v>
      </c>
      <c r="I152" s="119"/>
      <c r="J152" s="330">
        <f>H152/DAY(B2)</f>
        <v>22.311999999999991</v>
      </c>
    </row>
    <row r="153" spans="1:10" ht="27.75" x14ac:dyDescent="0.5">
      <c r="A153" s="903" t="s">
        <v>196</v>
      </c>
      <c r="B153" s="903"/>
      <c r="C153" s="367"/>
      <c r="D153" s="360"/>
      <c r="E153" s="362"/>
      <c r="F153" s="363"/>
      <c r="G153" s="364">
        <f>SUM(G138:G152)</f>
        <v>2590.9899999999843</v>
      </c>
      <c r="H153" s="365"/>
      <c r="I153" s="119">
        <f>G153-(G38+G52)</f>
        <v>918.58999999996104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'4'!F155</f>
        <v>15390.56</v>
      </c>
      <c r="F155" s="475">
        <v>16004.02</v>
      </c>
      <c r="G155" s="112">
        <f t="shared" ref="G155:G158" si="12">F155-E155</f>
        <v>613.46000000000095</v>
      </c>
      <c r="H155" s="99">
        <f>G155+'4'!H155</f>
        <v>2532.0200000000004</v>
      </c>
      <c r="I155" s="366"/>
      <c r="J155" s="330">
        <f>H155/DAY(B2)</f>
        <v>506.40400000000011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'4'!F156</f>
        <v>1255.8699999999999</v>
      </c>
      <c r="F156" s="165">
        <v>1308.71</v>
      </c>
      <c r="G156" s="112">
        <f t="shared" si="12"/>
        <v>52.840000000000146</v>
      </c>
      <c r="H156" s="99">
        <f>G156+'4'!H156</f>
        <v>220.71000000000004</v>
      </c>
      <c r="I156" s="165"/>
      <c r="J156" s="330">
        <f>H156/DAY(B2)</f>
        <v>44.14200000000001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'4'!F157</f>
        <v>1498.22</v>
      </c>
      <c r="F157" s="165">
        <v>1560</v>
      </c>
      <c r="G157" s="112">
        <f t="shared" si="12"/>
        <v>61.779999999999973</v>
      </c>
      <c r="H157" s="99">
        <f>G157+'4'!H157</f>
        <v>124.40000000000009</v>
      </c>
      <c r="I157" s="165"/>
      <c r="J157" s="330">
        <f>H157/DAY(B2)</f>
        <v>24.880000000000017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'4'!F158</f>
        <v>8.5299999999999994</v>
      </c>
      <c r="F158" s="165">
        <v>14.34</v>
      </c>
      <c r="G158" s="112">
        <f t="shared" si="12"/>
        <v>5.8100000000000005</v>
      </c>
      <c r="H158" s="99">
        <f>G158+'4'!H158</f>
        <v>6.4399999999999995</v>
      </c>
      <c r="I158" s="165"/>
      <c r="J158" s="330">
        <f>H158/DAY(B2)</f>
        <v>1.2879999999999998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>
        <f>H159/DAY(B2)</f>
        <v>0</v>
      </c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471153.56</v>
      </c>
      <c r="F161" s="235">
        <v>471153.56</v>
      </c>
      <c r="G161" s="238">
        <f t="shared" ref="G161:G165" si="13">F161-E161</f>
        <v>0</v>
      </c>
      <c r="H161" s="99">
        <f>G161+'4'!H161</f>
        <v>0.40000000002328306</v>
      </c>
      <c r="I161" s="236"/>
      <c r="J161" s="239">
        <f>H161/DAY(B2)</f>
        <v>8.000000000465661E-2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87661.2</v>
      </c>
      <c r="F162" s="235">
        <v>87687</v>
      </c>
      <c r="G162" s="238">
        <f t="shared" si="13"/>
        <v>25.80000000000291</v>
      </c>
      <c r="H162" s="99">
        <f>G162+'4'!H162</f>
        <v>117</v>
      </c>
      <c r="I162" s="236"/>
      <c r="J162" s="239">
        <f>H162/DAY(B2)</f>
        <v>23.4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77995.100000000006</v>
      </c>
      <c r="F163" s="235">
        <v>78048.2</v>
      </c>
      <c r="G163" s="238">
        <f t="shared" si="13"/>
        <v>53.099999999991269</v>
      </c>
      <c r="H163" s="99">
        <f>G163+'4'!H163</f>
        <v>223.19999999999709</v>
      </c>
      <c r="I163" s="236"/>
      <c r="J163" s="239">
        <f>H163/DAY(B2)</f>
        <v>44.639999999999418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4247.3</v>
      </c>
      <c r="F164" s="235">
        <v>4248.6000000000004</v>
      </c>
      <c r="G164" s="238">
        <f t="shared" si="13"/>
        <v>1.3000000000001819</v>
      </c>
      <c r="H164" s="99">
        <f>G164+'4'!H164</f>
        <v>6.6000000000003638</v>
      </c>
      <c r="I164" s="236"/>
      <c r="J164" s="239">
        <f>H164/DAY(B2)</f>
        <v>1.3200000000000727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29670.03</v>
      </c>
      <c r="F165" s="235">
        <v>29679.3</v>
      </c>
      <c r="G165" s="238">
        <f t="shared" si="13"/>
        <v>9.2700000000004366</v>
      </c>
      <c r="H165" s="99">
        <f>G165+'4'!H165</f>
        <v>33.299999999999272</v>
      </c>
      <c r="I165" s="236"/>
      <c r="J165" s="239">
        <f>H165/DAY(B2)</f>
        <v>6.6599999999998545</v>
      </c>
    </row>
    <row r="166" spans="1:10" ht="29.25" x14ac:dyDescent="0.5">
      <c r="A166" s="824"/>
      <c r="B166" s="824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9"/>
    </row>
    <row r="167" spans="1:10" ht="29.25" x14ac:dyDescent="0.5">
      <c r="A167" s="824"/>
      <c r="B167" s="824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9"/>
    </row>
    <row r="168" spans="1:10" ht="29.25" x14ac:dyDescent="0.5">
      <c r="A168" s="824"/>
      <c r="B168" s="824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904"/>
      <c r="B172" s="904"/>
      <c r="C172" s="476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02" t="s">
        <v>209</v>
      </c>
      <c r="B173" s="902"/>
      <c r="C173" s="335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02" t="s">
        <v>75</v>
      </c>
      <c r="B174" s="902"/>
      <c r="C174" s="335"/>
      <c r="D174" s="155" t="s">
        <v>142</v>
      </c>
      <c r="E174" s="95">
        <f>'4'!F174</f>
        <v>38322</v>
      </c>
      <c r="F174" s="157">
        <v>38336</v>
      </c>
      <c r="G174" s="155">
        <f t="shared" ref="G174:G175" si="14">F174-E174</f>
        <v>14</v>
      </c>
      <c r="H174" s="99">
        <f>G174+'4'!H174</f>
        <v>43</v>
      </c>
      <c r="I174" s="155"/>
      <c r="J174" s="156">
        <f>H174/DAY(B2)</f>
        <v>8.6</v>
      </c>
    </row>
    <row r="175" spans="1:10" ht="27.75" x14ac:dyDescent="0.5">
      <c r="A175" s="902" t="s">
        <v>76</v>
      </c>
      <c r="B175" s="902"/>
      <c r="C175" s="902"/>
      <c r="D175" s="155" t="s">
        <v>142</v>
      </c>
      <c r="E175" s="95">
        <f>'4'!F175</f>
        <v>21556</v>
      </c>
      <c r="F175" s="157">
        <v>21567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03" t="s">
        <v>196</v>
      </c>
      <c r="B176" s="903"/>
      <c r="C176" s="335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92</v>
      </c>
      <c r="I176" s="155"/>
      <c r="J176" s="156">
        <f>H176/DAY(B2)</f>
        <v>18.399999999999999</v>
      </c>
    </row>
    <row r="177" spans="1:10" ht="27.75" x14ac:dyDescent="0.5">
      <c r="A177" s="902" t="s">
        <v>77</v>
      </c>
      <c r="B177" s="902"/>
      <c r="C177" s="335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02" t="s">
        <v>210</v>
      </c>
      <c r="B178" s="902"/>
      <c r="C178" s="335"/>
      <c r="D178" s="155" t="s">
        <v>142</v>
      </c>
      <c r="E178" s="95">
        <f>'4'!F178</f>
        <v>79877</v>
      </c>
      <c r="F178" s="155">
        <v>79974</v>
      </c>
      <c r="G178" s="155">
        <f>F178-E178</f>
        <v>97</v>
      </c>
      <c r="H178" s="99">
        <f>G178+'4'!H178</f>
        <v>360</v>
      </c>
      <c r="I178" s="155"/>
      <c r="J178" s="156">
        <f>H178/DAY(B2)</f>
        <v>72</v>
      </c>
    </row>
    <row r="179" spans="1:10" ht="27.75" x14ac:dyDescent="0.5">
      <c r="A179" s="902" t="s">
        <v>211</v>
      </c>
      <c r="B179" s="902"/>
      <c r="C179" s="335"/>
      <c r="D179" s="155" t="s">
        <v>142</v>
      </c>
      <c r="E179" s="95">
        <f>'4'!F179</f>
        <v>34008</v>
      </c>
      <c r="F179" s="155">
        <v>34024</v>
      </c>
      <c r="G179" s="155">
        <f t="shared" ref="G179:G180" si="15">F179-E179</f>
        <v>16</v>
      </c>
      <c r="H179" s="99">
        <f>G179+'4'!H179</f>
        <v>109</v>
      </c>
      <c r="I179" s="155"/>
      <c r="J179" s="156">
        <f>H179/DAY(B2)</f>
        <v>21.8</v>
      </c>
    </row>
    <row r="180" spans="1:10" ht="27.75" x14ac:dyDescent="0.5">
      <c r="A180" s="902" t="s">
        <v>212</v>
      </c>
      <c r="B180" s="902"/>
      <c r="C180" s="335"/>
      <c r="D180" s="155" t="s">
        <v>142</v>
      </c>
      <c r="E180" s="95">
        <f>'4'!F180</f>
        <v>5504</v>
      </c>
      <c r="F180" s="155">
        <v>5505</v>
      </c>
      <c r="G180" s="155">
        <f t="shared" si="15"/>
        <v>1</v>
      </c>
      <c r="H180" s="99">
        <f>G180+'4'!H180</f>
        <v>28</v>
      </c>
      <c r="I180" s="155"/>
      <c r="J180" s="156">
        <f>H180/DAY(B2)</f>
        <v>5.6</v>
      </c>
    </row>
    <row r="181" spans="1:10" ht="27.75" x14ac:dyDescent="0.5">
      <c r="A181" s="907" t="s">
        <v>108</v>
      </c>
      <c r="B181" s="907"/>
      <c r="C181" s="335"/>
      <c r="D181" s="155"/>
      <c r="E181" s="95">
        <f>'4'!F181</f>
        <v>0</v>
      </c>
      <c r="F181" s="155"/>
      <c r="G181" s="155">
        <f>SUM(G178:G180)</f>
        <v>114</v>
      </c>
      <c r="H181" s="99">
        <f>G181+'4'!H181</f>
        <v>497</v>
      </c>
      <c r="I181" s="155"/>
      <c r="J181" s="156">
        <f>H181/DAY(B2)</f>
        <v>99.4</v>
      </c>
    </row>
    <row r="182" spans="1:10" ht="27.75" x14ac:dyDescent="0.5">
      <c r="A182" s="902" t="s">
        <v>213</v>
      </c>
      <c r="B182" s="902"/>
      <c r="C182" s="335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02" t="s">
        <v>214</v>
      </c>
      <c r="B183" s="902"/>
      <c r="C183" s="336"/>
      <c r="D183" s="155" t="s">
        <v>142</v>
      </c>
      <c r="E183" s="95">
        <f>'4'!F183</f>
        <v>15024</v>
      </c>
      <c r="F183" s="157">
        <v>15037</v>
      </c>
      <c r="G183" s="157">
        <f>F183-E183</f>
        <v>13</v>
      </c>
      <c r="H183" s="99">
        <f>G183+'4'!H183</f>
        <v>90</v>
      </c>
      <c r="I183" s="155"/>
      <c r="J183" s="156">
        <f>H183/DAY(B2)</f>
        <v>18</v>
      </c>
    </row>
    <row r="184" spans="1:10" ht="27.75" x14ac:dyDescent="0.5">
      <c r="A184" s="902" t="s">
        <v>215</v>
      </c>
      <c r="B184" s="902"/>
      <c r="C184" s="336"/>
      <c r="D184" s="155" t="s">
        <v>142</v>
      </c>
      <c r="E184" s="95">
        <f>'4'!F184</f>
        <v>10332</v>
      </c>
      <c r="F184" s="157">
        <v>10338</v>
      </c>
      <c r="G184" s="157">
        <f t="shared" ref="G184:G185" si="16">F184-E184</f>
        <v>6</v>
      </c>
      <c r="H184" s="99">
        <f>G184+'4'!H184</f>
        <v>37</v>
      </c>
      <c r="I184" s="155"/>
      <c r="J184" s="156">
        <f>H184/DAY(B2)</f>
        <v>7.4</v>
      </c>
    </row>
    <row r="185" spans="1:10" ht="29.25" customHeight="1" x14ac:dyDescent="0.5">
      <c r="A185" s="902" t="s">
        <v>216</v>
      </c>
      <c r="B185" s="902"/>
      <c r="C185" s="336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03" t="s">
        <v>196</v>
      </c>
      <c r="B186" s="903"/>
      <c r="C186" s="336"/>
      <c r="D186" s="465"/>
      <c r="E186" s="95"/>
      <c r="F186" s="157"/>
      <c r="G186" s="157">
        <f>SUM(G183:G185)</f>
        <v>19</v>
      </c>
      <c r="H186" s="99">
        <f>G186+'4'!H186</f>
        <v>127</v>
      </c>
      <c r="I186" s="157"/>
      <c r="J186" s="156">
        <f>H186/DAY(B2)</f>
        <v>25.4</v>
      </c>
    </row>
    <row r="187" spans="1:10" ht="27.75" x14ac:dyDescent="0.5">
      <c r="A187" s="906" t="s">
        <v>217</v>
      </c>
      <c r="B187" s="906"/>
      <c r="C187" s="335"/>
      <c r="D187" s="157" t="s">
        <v>142</v>
      </c>
      <c r="E187" s="95"/>
      <c r="F187" s="159"/>
      <c r="G187" s="464">
        <f>G62+G19</f>
        <v>137</v>
      </c>
      <c r="H187" s="99">
        <f>G187+'4'!H187</f>
        <v>482</v>
      </c>
      <c r="I187" s="158"/>
      <c r="J187" s="159">
        <f>H187/DAY(B2)</f>
        <v>96.4</v>
      </c>
    </row>
    <row r="188" spans="1:10" ht="27.75" x14ac:dyDescent="0.5">
      <c r="A188" s="906" t="s">
        <v>218</v>
      </c>
      <c r="B188" s="906"/>
      <c r="C188" s="335"/>
      <c r="D188" s="157" t="s">
        <v>142</v>
      </c>
      <c r="E188" s="95"/>
      <c r="F188" s="159"/>
      <c r="G188" s="464">
        <f>G65+G66+G67+G69+G70</f>
        <v>132</v>
      </c>
      <c r="H188" s="99">
        <f>G188+'4'!H188</f>
        <v>734</v>
      </c>
      <c r="I188" s="158"/>
      <c r="J188" s="159">
        <f>H188/DAY(B2)</f>
        <v>146.80000000000001</v>
      </c>
    </row>
    <row r="189" spans="1:10" ht="27.75" x14ac:dyDescent="0.5">
      <c r="A189" s="906" t="s">
        <v>219</v>
      </c>
      <c r="B189" s="906"/>
      <c r="C189" s="335"/>
      <c r="D189" s="157" t="s">
        <v>142</v>
      </c>
      <c r="E189" s="95"/>
      <c r="F189" s="157"/>
      <c r="G189" s="461">
        <f>G181</f>
        <v>114</v>
      </c>
      <c r="H189" s="99">
        <f>G189+'4'!H189</f>
        <v>497</v>
      </c>
      <c r="I189" s="158"/>
      <c r="J189" s="159">
        <f>H189/DAY(B2)</f>
        <v>99.4</v>
      </c>
    </row>
    <row r="190" spans="1:10" ht="27.75" x14ac:dyDescent="0.5">
      <c r="A190" s="905"/>
      <c r="B190" s="905"/>
      <c r="C190" s="477"/>
      <c r="D190" s="478"/>
      <c r="E190" s="479"/>
      <c r="F190" s="478"/>
      <c r="G190" s="478"/>
      <c r="H190" s="480"/>
      <c r="I190" s="478"/>
      <c r="J190" s="481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33" zoomScale="55" zoomScaleSheetLayoutView="55" workbookViewId="0">
      <selection activeCell="F166" sqref="F16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363</v>
      </c>
      <c r="B2" s="262">
        <v>44567</v>
      </c>
      <c r="C2" s="350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192932</v>
      </c>
      <c r="F7" s="95">
        <v>213204</v>
      </c>
      <c r="G7" s="112">
        <f>F7-E7</f>
        <v>20272</v>
      </c>
      <c r="H7" s="99">
        <f>G7+'5'!H7</f>
        <v>118643</v>
      </c>
      <c r="I7" s="113">
        <f>'1'!I7</f>
        <v>12000</v>
      </c>
      <c r="J7" s="175">
        <f>H7/DAY(B2)</f>
        <v>19773.833333333332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241310</v>
      </c>
      <c r="F8" s="114">
        <v>262018</v>
      </c>
      <c r="G8" s="115">
        <f>F8-E8</f>
        <v>20708</v>
      </c>
      <c r="H8" s="99">
        <f>G8+'5'!H8</f>
        <v>121133</v>
      </c>
      <c r="I8" s="116"/>
      <c r="J8" s="175">
        <f>H8/DAY(B2)</f>
        <v>20188.833333333332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2320792.5</v>
      </c>
      <c r="F9" s="117">
        <v>2333339</v>
      </c>
      <c r="G9" s="112">
        <f>F9-E9</f>
        <v>12546.5</v>
      </c>
      <c r="H9" s="99">
        <f>G9+'5'!H9</f>
        <v>74563</v>
      </c>
      <c r="I9" s="124">
        <f>I7-J7</f>
        <v>-7773.8333333333321</v>
      </c>
      <c r="J9" s="175">
        <f>H9/DAY(B2)</f>
        <v>12427.166666666666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574520.47</v>
      </c>
      <c r="F10" s="117">
        <v>581680</v>
      </c>
      <c r="G10" s="112">
        <f t="shared" ref="G10:G12" si="0">F10-E10</f>
        <v>7159.5300000000279</v>
      </c>
      <c r="H10" s="99">
        <f>G10+'5'!H10</f>
        <v>40854</v>
      </c>
      <c r="I10" s="282"/>
      <c r="J10" s="175">
        <f>H10/DAY(B2)</f>
        <v>6809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19706.030000000028</v>
      </c>
      <c r="H13" s="99">
        <f>G13+'5'!H13</f>
        <v>95951.749999999884</v>
      </c>
      <c r="I13" s="120">
        <f>G7-G13</f>
        <v>565.96999999997206</v>
      </c>
      <c r="J13" s="175">
        <f>H13/DAY(B2)</f>
        <v>15991.958333333314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'5'!F15</f>
        <v>1882870.7</v>
      </c>
      <c r="F15" s="123">
        <v>1883804</v>
      </c>
      <c r="G15" s="112">
        <f>(F15-E15)</f>
        <v>933.30000000004657</v>
      </c>
      <c r="H15" s="99">
        <f>G15+'5'!H15</f>
        <v>5374</v>
      </c>
      <c r="I15" s="113">
        <f>'1'!I15</f>
        <v>800</v>
      </c>
      <c r="J15" s="175">
        <f>H15/DAY(B2)</f>
        <v>895.66666666666663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-95.666666666666629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'5'!F18</f>
        <v>12</v>
      </c>
      <c r="F18" s="122">
        <v>16</v>
      </c>
      <c r="G18" s="119">
        <f>F18*10</f>
        <v>160</v>
      </c>
      <c r="H18" s="99">
        <f>G18+'5'!H18</f>
        <v>750</v>
      </c>
      <c r="I18" s="113">
        <f>'1'!I18</f>
        <v>65</v>
      </c>
      <c r="J18" s="175">
        <f>H18/DAY(B2)</f>
        <v>125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'5'!F19</f>
        <v>152491</v>
      </c>
      <c r="F19" s="122">
        <v>152535</v>
      </c>
      <c r="G19" s="112">
        <f t="shared" ref="G19" si="1">F19-E19</f>
        <v>44</v>
      </c>
      <c r="H19" s="99">
        <f>G19+'5'!H19</f>
        <v>310</v>
      </c>
      <c r="I19" s="337"/>
      <c r="J19" s="175">
        <f>H19/DAY(B2)</f>
        <v>51.666666666666664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204</v>
      </c>
      <c r="H20" s="99">
        <f>G20+'5'!H20</f>
        <v>1060</v>
      </c>
      <c r="I20" s="338">
        <f>I18-J20</f>
        <v>-111.66666666666666</v>
      </c>
      <c r="J20" s="175">
        <f>H20/DAY(B2)</f>
        <v>176.66666666666666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20708</v>
      </c>
      <c r="F27" s="136">
        <v>9</v>
      </c>
      <c r="G27" s="137">
        <f>E27*F27</f>
        <v>186372</v>
      </c>
      <c r="H27" s="99">
        <f>G27+'5'!H27</f>
        <v>1090197</v>
      </c>
      <c r="I27" s="138"/>
      <c r="J27" s="175">
        <f>H27/DAY(B2)</f>
        <v>181699.5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933.30000000004657</v>
      </c>
      <c r="F28" s="136">
        <v>52</v>
      </c>
      <c r="G28" s="137">
        <f>E28*F28</f>
        <v>48531.600000002421</v>
      </c>
      <c r="H28" s="99">
        <f>G28+'5'!H28</f>
        <v>279448</v>
      </c>
      <c r="I28" s="140"/>
      <c r="J28" s="175">
        <f>H28/DAY(B2)</f>
        <v>46574.666666666664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146</v>
      </c>
      <c r="G30" s="137">
        <f>E30*F30</f>
        <v>6424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G31+'5'!H31</f>
        <v>60000</v>
      </c>
      <c r="I31" s="140"/>
      <c r="J31" s="175">
        <f>H31/DAY(B2)</f>
        <v>10000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254127.60000000242</v>
      </c>
      <c r="H32" s="99">
        <f>G32+'5'!H32</f>
        <v>1474905</v>
      </c>
      <c r="I32" s="144"/>
      <c r="J32" s="175">
        <f>H32/DAY(B2)</f>
        <v>245817.5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162553.63</v>
      </c>
      <c r="F35" s="145">
        <v>164358</v>
      </c>
      <c r="G35" s="112">
        <f t="shared" ref="G35:G46" si="3">F35-E35</f>
        <v>1804.3699999999953</v>
      </c>
      <c r="H35" s="99">
        <f>G35+'5'!H35</f>
        <v>11516</v>
      </c>
      <c r="I35" s="95"/>
      <c r="J35" s="175">
        <f>H35/DAY(B2)</f>
        <v>1919.3333333333333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25481.79</v>
      </c>
      <c r="F36" s="145">
        <v>26531</v>
      </c>
      <c r="G36" s="112">
        <f t="shared" si="3"/>
        <v>1049.2099999999991</v>
      </c>
      <c r="H36" s="99">
        <f>G36+'5'!H36</f>
        <v>5004</v>
      </c>
      <c r="I36" s="95"/>
      <c r="J36" s="175">
        <f>H36/DAY(B2)</f>
        <v>834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203029.89</v>
      </c>
      <c r="F37" s="145">
        <v>204547</v>
      </c>
      <c r="G37" s="112">
        <f t="shared" si="3"/>
        <v>1517.109999999986</v>
      </c>
      <c r="H37" s="99">
        <f>G37+'5'!H37</f>
        <v>9154</v>
      </c>
      <c r="I37" s="95"/>
      <c r="J37" s="175">
        <f>H37/DAY(B2)</f>
        <v>1525.6666666666667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240611.89</v>
      </c>
      <c r="F38" s="108">
        <v>242299</v>
      </c>
      <c r="G38" s="112">
        <f t="shared" si="3"/>
        <v>1687.109999999986</v>
      </c>
      <c r="H38" s="99">
        <f>G38+'5'!H38</f>
        <v>9817</v>
      </c>
      <c r="I38" s="95"/>
      <c r="J38" s="175">
        <f>H38/DAY(B2)</f>
        <v>1636.1666666666667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424693.59</v>
      </c>
      <c r="F39" s="145">
        <v>427401</v>
      </c>
      <c r="G39" s="112">
        <f t="shared" si="3"/>
        <v>2707.4099999999744</v>
      </c>
      <c r="H39" s="99">
        <f>G39+'5'!H39</f>
        <v>16322</v>
      </c>
      <c r="I39" s="95"/>
      <c r="J39" s="175">
        <f>H39/DAY(B2)</f>
        <v>2720.3333333333335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6027.74</v>
      </c>
      <c r="F40" s="145">
        <v>6693</v>
      </c>
      <c r="G40" s="112">
        <f t="shared" si="3"/>
        <v>665.26000000000022</v>
      </c>
      <c r="H40" s="99">
        <f>G40+'5'!H40</f>
        <v>1083</v>
      </c>
      <c r="I40" s="95"/>
      <c r="J40" s="175">
        <f>H40/DAY(B2)</f>
        <v>180.5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0</v>
      </c>
      <c r="F41" s="145">
        <v>0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73808.600000000006</v>
      </c>
      <c r="F42" s="145">
        <v>73808.600000000006</v>
      </c>
      <c r="G42" s="112">
        <f t="shared" si="3"/>
        <v>0</v>
      </c>
      <c r="H42" s="99">
        <f>G42+'5'!H42</f>
        <v>-0.39999999999417923</v>
      </c>
      <c r="I42" s="95"/>
      <c r="J42" s="175">
        <f>H42/DAY(B2)</f>
        <v>-6.6666666665696539E-2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59531.19</v>
      </c>
      <c r="F43" s="145">
        <v>61966</v>
      </c>
      <c r="G43" s="112">
        <f t="shared" si="3"/>
        <v>2434.8099999999977</v>
      </c>
      <c r="H43" s="99">
        <f>G43+'5'!H43</f>
        <v>14705</v>
      </c>
      <c r="I43" s="95"/>
      <c r="J43" s="175">
        <f>H43/DAY(B2)</f>
        <v>2450.8333333333335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11865.279999999939</v>
      </c>
      <c r="H47" s="99">
        <f>G47+'5'!H47</f>
        <v>67600.600000000006</v>
      </c>
      <c r="I47" s="95"/>
      <c r="J47" s="175">
        <f>H47/DAY(B2)</f>
        <v>11266.766666666668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280424.89</v>
      </c>
      <c r="F49" s="145">
        <v>282102</v>
      </c>
      <c r="G49" s="112">
        <f t="shared" ref="G49:G58" si="4">F49-E49</f>
        <v>1677.109999999986</v>
      </c>
      <c r="H49" s="99">
        <f>G49+'5'!H49</f>
        <v>9862</v>
      </c>
      <c r="I49" s="95"/>
      <c r="J49" s="175">
        <f>H49/DAY(B2)</f>
        <v>1643.6666666666667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30028.26</v>
      </c>
      <c r="F50" s="145">
        <v>31059</v>
      </c>
      <c r="G50" s="112">
        <f t="shared" si="4"/>
        <v>1030.7400000000016</v>
      </c>
      <c r="H50" s="99">
        <f>G50+'5'!H50</f>
        <v>6409</v>
      </c>
      <c r="I50" s="95"/>
      <c r="J50" s="175">
        <f>H50/DAY(B2)</f>
        <v>1068.1666666666667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659.69</v>
      </c>
      <c r="F54" s="145">
        <v>1131</v>
      </c>
      <c r="G54" s="112">
        <f t="shared" si="4"/>
        <v>471.30999999999995</v>
      </c>
      <c r="H54" s="99">
        <f>G54+'5'!H54</f>
        <v>1145.08</v>
      </c>
      <c r="I54" s="95"/>
      <c r="J54" s="175">
        <f>H54/DAY(B2)</f>
        <v>190.84666666666666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18598.919999999998</v>
      </c>
      <c r="F55" s="145">
        <v>21910</v>
      </c>
      <c r="G55" s="112">
        <f t="shared" si="4"/>
        <v>3311.0800000000017</v>
      </c>
      <c r="H55" s="99">
        <f>G55+'5'!H55</f>
        <v>18399</v>
      </c>
      <c r="I55" s="95"/>
      <c r="J55" s="175">
        <f>H55/DAY(B2)</f>
        <v>3066.5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8610.5400000000009</v>
      </c>
      <c r="F56" s="145">
        <v>8610.5400000000009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250.47</v>
      </c>
      <c r="F58" s="145">
        <v>454</v>
      </c>
      <c r="G58" s="112">
        <f t="shared" si="4"/>
        <v>203.53</v>
      </c>
      <c r="H58" s="99">
        <f>G58+'5'!H58</f>
        <v>794.63000000000466</v>
      </c>
      <c r="I58" s="95"/>
      <c r="J58" s="175">
        <f>H58/DAY(B2)</f>
        <v>132.4383333333341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6693.7699999999886</v>
      </c>
      <c r="H59" s="99">
        <f>G59+'5'!H59</f>
        <v>36609.710000000006</v>
      </c>
      <c r="I59" s="95">
        <f>G7-G60</f>
        <v>1712.9500000000735</v>
      </c>
      <c r="J59" s="175">
        <f>H59/DAY(B2)</f>
        <v>6101.6183333333347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18559.049999999927</v>
      </c>
      <c r="H60" s="99">
        <f>G60+'5'!H60</f>
        <v>104210.31000000001</v>
      </c>
      <c r="I60" s="95">
        <f>G13-G60</f>
        <v>1146.9800000001014</v>
      </c>
      <c r="J60" s="175">
        <f>H60/DAY(B2)</f>
        <v>17368.385000000002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'5'!F62</f>
        <v>267429</v>
      </c>
      <c r="F62" s="122">
        <v>267510</v>
      </c>
      <c r="G62" s="112">
        <f t="shared" ref="G62:G63" si="5">F62-E62</f>
        <v>81</v>
      </c>
      <c r="H62" s="99">
        <f>G62+'5'!H62</f>
        <v>297</v>
      </c>
      <c r="I62" s="118"/>
      <c r="J62" s="175">
        <f>H62/DAY(B2)</f>
        <v>49.5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'5'!F63</f>
        <v>213004</v>
      </c>
      <c r="F63" s="122">
        <v>213123</v>
      </c>
      <c r="G63" s="112">
        <f t="shared" si="5"/>
        <v>119</v>
      </c>
      <c r="H63" s="99">
        <f>G63+'5'!H63</f>
        <v>698</v>
      </c>
      <c r="I63" s="118"/>
      <c r="J63" s="175">
        <f>H63/DAY(B2)</f>
        <v>116.33333333333333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'5'!F64</f>
        <v>0</v>
      </c>
      <c r="F64" s="122"/>
      <c r="G64" s="112">
        <f>G62+G63</f>
        <v>200</v>
      </c>
      <c r="H64" s="99">
        <f>G64+'5'!H64</f>
        <v>995</v>
      </c>
      <c r="I64" s="118"/>
      <c r="J64" s="175">
        <f>H64/DAY(B2)</f>
        <v>165.83333333333334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'5'!F65</f>
        <v>432967</v>
      </c>
      <c r="F65" s="122">
        <v>433036</v>
      </c>
      <c r="G65" s="112">
        <f t="shared" ref="G65:G70" si="6">F65-E65</f>
        <v>69</v>
      </c>
      <c r="H65" s="99">
        <f>G65+'5'!H65</f>
        <v>422</v>
      </c>
      <c r="I65" s="118"/>
      <c r="J65" s="175">
        <f>H65/DAY(B2)</f>
        <v>70.333333333333329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'5'!F66</f>
        <v>107327</v>
      </c>
      <c r="F66" s="122">
        <v>107342</v>
      </c>
      <c r="G66" s="112">
        <f t="shared" si="6"/>
        <v>15</v>
      </c>
      <c r="H66" s="99">
        <f>G66+'5'!H66</f>
        <v>128</v>
      </c>
      <c r="I66" s="118"/>
      <c r="J66" s="175">
        <f>H66/DAY(B2)</f>
        <v>21.333333333333332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'5'!F67</f>
        <v>104076</v>
      </c>
      <c r="F67" s="122">
        <v>104097</v>
      </c>
      <c r="G67" s="112">
        <f t="shared" si="6"/>
        <v>21</v>
      </c>
      <c r="H67" s="99">
        <f>G67+'5'!H67</f>
        <v>169</v>
      </c>
      <c r="I67" s="118"/>
      <c r="J67" s="175">
        <f>H67/DAY(B2)</f>
        <v>28.166666666666668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'5'!F68</f>
        <v>156707</v>
      </c>
      <c r="F68" s="122">
        <v>156754</v>
      </c>
      <c r="G68" s="112">
        <f t="shared" si="6"/>
        <v>47</v>
      </c>
      <c r="H68" s="99">
        <f>G68+'5'!H68</f>
        <v>134</v>
      </c>
      <c r="I68" s="118"/>
      <c r="J68" s="175">
        <f>H68/DAY(B2)</f>
        <v>22.333333333333332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'5'!F69</f>
        <v>10290</v>
      </c>
      <c r="F69" s="122">
        <v>10298</v>
      </c>
      <c r="G69" s="112">
        <f t="shared" si="6"/>
        <v>8</v>
      </c>
      <c r="H69" s="99">
        <f>G69+'5'!H69</f>
        <v>84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'5'!F70</f>
        <v>7906</v>
      </c>
      <c r="F70" s="122">
        <v>7912</v>
      </c>
      <c r="G70" s="112">
        <f t="shared" si="6"/>
        <v>6</v>
      </c>
      <c r="H70" s="99">
        <f>G70+'5'!H70</f>
        <v>50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166</v>
      </c>
      <c r="H71" s="99">
        <f>G71+'5'!H71</f>
        <v>987</v>
      </c>
      <c r="I71" s="154"/>
      <c r="J71" s="175">
        <f>H71/DAY(B2)</f>
        <v>164.5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'5'!F74</f>
        <v>893398.49</v>
      </c>
      <c r="F74" s="123">
        <v>893703</v>
      </c>
      <c r="G74" s="112">
        <f t="shared" ref="G74:G78" si="7">F74-E74</f>
        <v>304.51000000000931</v>
      </c>
      <c r="H74" s="99">
        <f>G74+'5'!H74</f>
        <v>1671</v>
      </c>
      <c r="I74" s="154"/>
      <c r="J74" s="175">
        <f>H74/DAY(B2)</f>
        <v>278.5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'5'!F76</f>
        <v>167689</v>
      </c>
      <c r="F76" s="123">
        <v>167769</v>
      </c>
      <c r="G76" s="112">
        <f t="shared" si="7"/>
        <v>80</v>
      </c>
      <c r="H76" s="99">
        <f>G76+'5'!H76</f>
        <v>562</v>
      </c>
      <c r="I76" s="154"/>
      <c r="J76" s="175">
        <f>H76/DAY(B2)</f>
        <v>93.666666666666671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'5'!F77</f>
        <v>40493.300000000003</v>
      </c>
      <c r="F77" s="123">
        <v>40531</v>
      </c>
      <c r="G77" s="112">
        <f t="shared" si="7"/>
        <v>37.69999999999709</v>
      </c>
      <c r="H77" s="99">
        <f>G77+'5'!H77</f>
        <v>215</v>
      </c>
      <c r="I77" s="154"/>
      <c r="J77" s="175">
        <f>H77/DAY(B2)</f>
        <v>35.833333333333336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'5'!F78</f>
        <v>9491</v>
      </c>
      <c r="F78" s="123">
        <v>9492</v>
      </c>
      <c r="G78" s="112">
        <f t="shared" si="7"/>
        <v>1</v>
      </c>
      <c r="H78" s="99">
        <f>G78+'5'!H78</f>
        <v>6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117"/>
      <c r="F79" s="117"/>
      <c r="G79" s="112">
        <f>G15-SUM(G74:G78)</f>
        <v>510.09000000004016</v>
      </c>
      <c r="H79" s="99">
        <f>G79+'5'!H79</f>
        <v>2920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933.30000000004657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'5'!F85</f>
        <v>2096.56</v>
      </c>
      <c r="F85" s="164">
        <v>2096.56</v>
      </c>
      <c r="G85" s="112">
        <f t="shared" si="8"/>
        <v>0</v>
      </c>
      <c r="H85" s="99">
        <f>G85+'5'!H85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'5'!F86</f>
        <v>42983.32</v>
      </c>
      <c r="F86" s="164">
        <v>43007.48</v>
      </c>
      <c r="G86" s="112">
        <f t="shared" si="8"/>
        <v>24.160000000003492</v>
      </c>
      <c r="H86" s="99">
        <f>G86+'5'!H86</f>
        <v>144.4800000000032</v>
      </c>
      <c r="I86" s="118"/>
      <c r="J86" s="175">
        <f>H86/DAY(B2)</f>
        <v>24.080000000000535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'5'!F87</f>
        <v>34598.550000000003</v>
      </c>
      <c r="F87" s="164">
        <v>34598.550000000003</v>
      </c>
      <c r="G87" s="112">
        <f t="shared" si="8"/>
        <v>0</v>
      </c>
      <c r="H87" s="99">
        <f>G87+'5'!H87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'5'!F88</f>
        <v>24058.06</v>
      </c>
      <c r="F88" s="164">
        <v>24058</v>
      </c>
      <c r="G88" s="112">
        <f t="shared" si="8"/>
        <v>-6.0000000001309672E-2</v>
      </c>
      <c r="H88" s="99">
        <f>G88+'5'!H88</f>
        <v>11</v>
      </c>
      <c r="I88" s="118">
        <f>G86+G87+G88</f>
        <v>24.100000000002183</v>
      </c>
      <c r="J88" s="175">
        <f>H88/DAY(B2)</f>
        <v>1.8333333333333333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'5'!F89</f>
        <v>25685.9</v>
      </c>
      <c r="F89" s="164">
        <v>25695</v>
      </c>
      <c r="G89" s="112">
        <f t="shared" si="8"/>
        <v>9.0999999999985448</v>
      </c>
      <c r="H89" s="99">
        <f>G89+'5'!H89</f>
        <v>32</v>
      </c>
      <c r="I89" s="118"/>
      <c r="J89" s="175">
        <f>H89/DAY(B2)</f>
        <v>5.333333333333333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'5'!F90</f>
        <v>71060.179999999993</v>
      </c>
      <c r="F90" s="164">
        <v>71063</v>
      </c>
      <c r="G90" s="112">
        <f t="shared" si="8"/>
        <v>2.8200000000069849</v>
      </c>
      <c r="H90" s="99">
        <f>G90+'5'!H90</f>
        <v>29</v>
      </c>
      <c r="I90" s="118">
        <f>G89+G90</f>
        <v>11.92000000000553</v>
      </c>
      <c r="J90" s="175">
        <f>H90/DAY(B2)</f>
        <v>4.833333333333333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'5'!F92</f>
        <v>5486.16</v>
      </c>
      <c r="F92" s="122">
        <v>5496.81</v>
      </c>
      <c r="G92" s="112">
        <f t="shared" si="8"/>
        <v>10.650000000000546</v>
      </c>
      <c r="H92" s="99">
        <f>G92+'5'!H92</f>
        <v>58.8100000000004</v>
      </c>
      <c r="I92" s="165"/>
      <c r="J92" s="175">
        <f>H92/DAY(B2)</f>
        <v>9.8016666666667334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5916.289999999979</v>
      </c>
      <c r="H94" s="99">
        <f>G94+'5'!H94</f>
        <v>36083</v>
      </c>
      <c r="I94" s="118"/>
      <c r="J94" s="175">
        <f>H94/DAY(B2)</f>
        <v>6013.833333333333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0.29184540252565011</v>
      </c>
      <c r="H95" s="99">
        <f>G95+'5'!H95</f>
        <v>1.8257218565800195</v>
      </c>
      <c r="I95" s="167"/>
      <c r="J95" s="175">
        <f>H95/DAY(B2)</f>
        <v>0.30428697609666994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3311.0800000000017</v>
      </c>
      <c r="H96" s="99">
        <f>G96+'5'!H96</f>
        <v>18398.600000000006</v>
      </c>
      <c r="I96" s="118"/>
      <c r="J96" s="175">
        <f>H96/DAY(B2)</f>
        <v>3066.4333333333343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0.16333267561168122</v>
      </c>
      <c r="H97" s="99">
        <f>G97+'5'!H97</f>
        <v>0.93080229624198219</v>
      </c>
      <c r="I97" s="167"/>
      <c r="J97" s="175">
        <f>H97/DAY(B2)</f>
        <v>0.15513371604033036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2707.4099999999744</v>
      </c>
      <c r="H98" s="99">
        <f>G98+'5'!H98</f>
        <v>16322</v>
      </c>
      <c r="I98" s="168"/>
      <c r="J98" s="175">
        <f>H98/DAY(B2)</f>
        <v>2720.3333333333335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0.13355416337805714</v>
      </c>
      <c r="H99" s="99">
        <f>G99+'5'!H99</f>
        <v>0.82578510496002366</v>
      </c>
      <c r="I99" s="168"/>
      <c r="J99" s="175">
        <f>H99/DAY(B2)</f>
        <v>0.13763085082667062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1687.109999999986</v>
      </c>
      <c r="H100" s="99">
        <f>G100+'5'!H100</f>
        <v>9817</v>
      </c>
      <c r="I100" s="118"/>
      <c r="J100" s="175">
        <f>H100/DAY(B2)</f>
        <v>1636.1666666666667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8.3223658247828833E-2</v>
      </c>
      <c r="H101" s="99">
        <f>G101+'5'!H101</f>
        <v>0.49622787378302036</v>
      </c>
      <c r="I101" s="168"/>
      <c r="J101" s="175">
        <f>H101/DAY(B2)</f>
        <v>8.2704645630503393E-2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2079.9500000000007</v>
      </c>
      <c r="H102" s="99">
        <f>G102+'5'!H102</f>
        <v>11413</v>
      </c>
      <c r="I102" s="168"/>
      <c r="J102" s="175">
        <f>H102/DAY(B2)</f>
        <v>1902.1666666666667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0.10260211128650359</v>
      </c>
      <c r="H103" s="99">
        <f>G103+'5'!H103</f>
        <v>0.57681686977151281</v>
      </c>
      <c r="I103" s="118"/>
      <c r="J103" s="175">
        <f>H103/DAY(B2)</f>
        <v>9.6136144961918801E-2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1517.109999999986</v>
      </c>
      <c r="H104" s="99">
        <f>G104+'5'!H104</f>
        <v>9154</v>
      </c>
      <c r="I104" s="118"/>
      <c r="J104" s="175">
        <f>H104/DAY(B2)</f>
        <v>1525.6666666666667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7.4837707182319746E-2</v>
      </c>
      <c r="H105" s="99">
        <f>G105+'5'!H105</f>
        <v>0.46303828849545603</v>
      </c>
      <c r="I105" s="187"/>
      <c r="J105" s="188">
        <f>H105/DAY(B2)</f>
        <v>7.717304808257601E-2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'5'!F112</f>
        <v>56038.400000000001</v>
      </c>
      <c r="F112" s="237">
        <v>56116</v>
      </c>
      <c r="G112" s="112">
        <f t="shared" ref="G112:G123" si="9">F112-E112</f>
        <v>77.599999999998545</v>
      </c>
      <c r="H112" s="99">
        <f>G112+'5'!H112</f>
        <v>435</v>
      </c>
      <c r="I112" s="165"/>
      <c r="J112" s="330">
        <f>H112/DAY(B2)</f>
        <v>72.5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'5'!F113</f>
        <v>34460.199999999997</v>
      </c>
      <c r="F113" s="237">
        <v>34902</v>
      </c>
      <c r="G113" s="112">
        <f t="shared" si="9"/>
        <v>441.80000000000291</v>
      </c>
      <c r="H113" s="99">
        <f>G113+'5'!H113</f>
        <v>2707</v>
      </c>
      <c r="I113" s="165"/>
      <c r="J113" s="330">
        <f>H113/DAY(B2)</f>
        <v>451.16666666666669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'5'!F114</f>
        <v>26212.2</v>
      </c>
      <c r="F114" s="237">
        <v>26475</v>
      </c>
      <c r="G114" s="112">
        <f t="shared" si="9"/>
        <v>262.79999999999927</v>
      </c>
      <c r="H114" s="99">
        <f>G114+'5'!H114</f>
        <v>1604</v>
      </c>
      <c r="I114" s="165"/>
      <c r="J114" s="330">
        <f>H114/DAY(B2)</f>
        <v>267.33333333333331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'5'!F115</f>
        <v>8837.7999999999993</v>
      </c>
      <c r="F115" s="237">
        <v>8850</v>
      </c>
      <c r="G115" s="112">
        <f t="shared" si="9"/>
        <v>12.200000000000728</v>
      </c>
      <c r="H115" s="99">
        <f>G115+'5'!H115</f>
        <v>65</v>
      </c>
      <c r="I115" s="165"/>
      <c r="J115" s="330">
        <f>H115/DAY(B2)</f>
        <v>10.833333333333334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'5'!F117</f>
        <v>2718.79</v>
      </c>
      <c r="F117" s="237">
        <v>2749</v>
      </c>
      <c r="G117" s="112">
        <f t="shared" si="9"/>
        <v>30.210000000000036</v>
      </c>
      <c r="H117" s="99">
        <f>G117+'5'!H117</f>
        <v>159</v>
      </c>
      <c r="I117" s="165"/>
      <c r="J117" s="330">
        <f>H117/DAY(B2)</f>
        <v>26.5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'5'!F118</f>
        <v>243529.53</v>
      </c>
      <c r="F118" s="237">
        <v>243886</v>
      </c>
      <c r="G118" s="112">
        <f t="shared" si="9"/>
        <v>356.47000000000116</v>
      </c>
      <c r="H118" s="99">
        <f>G118+'5'!H118</f>
        <v>2239</v>
      </c>
      <c r="I118" s="165"/>
      <c r="J118" s="330">
        <f>H118/DAY(B2)</f>
        <v>373.16666666666669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'5'!F119</f>
        <v>247290.93</v>
      </c>
      <c r="F119" s="237">
        <v>247716</v>
      </c>
      <c r="G119" s="112">
        <f t="shared" si="9"/>
        <v>425.07000000000698</v>
      </c>
      <c r="H119" s="99">
        <f>G119+'5'!H119</f>
        <v>2590</v>
      </c>
      <c r="I119" s="165"/>
      <c r="J119" s="330">
        <f>H119/DAY(B2)</f>
        <v>431.66666666666669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'5'!F120</f>
        <v>32187</v>
      </c>
      <c r="F120" s="237">
        <v>32603</v>
      </c>
      <c r="G120" s="112">
        <f t="shared" si="9"/>
        <v>416</v>
      </c>
      <c r="H120" s="99">
        <f>G120+'5'!H120</f>
        <v>2525</v>
      </c>
      <c r="I120" s="165"/>
      <c r="J120" s="330">
        <f>H120/DAY(B2)</f>
        <v>420.83333333333331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'5'!F121</f>
        <v>380353</v>
      </c>
      <c r="F121" s="237">
        <v>381098</v>
      </c>
      <c r="G121" s="112">
        <f t="shared" si="9"/>
        <v>745</v>
      </c>
      <c r="H121" s="99">
        <f>G121+'5'!H121</f>
        <v>4569</v>
      </c>
      <c r="I121" s="165"/>
      <c r="J121" s="330">
        <f>H121/DAY(B2)</f>
        <v>761.5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'5'!F122</f>
        <v>121203.38</v>
      </c>
      <c r="F122" s="237">
        <v>121442</v>
      </c>
      <c r="G122" s="112">
        <f t="shared" si="9"/>
        <v>238.61999999999534</v>
      </c>
      <c r="H122" s="99">
        <f>G122+'5'!H122</f>
        <v>1392</v>
      </c>
      <c r="I122" s="165"/>
      <c r="J122" s="330">
        <f>H122/DAY(B2)</f>
        <v>232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'5'!F123</f>
        <v>146792.75</v>
      </c>
      <c r="F123" s="237">
        <v>147100</v>
      </c>
      <c r="G123" s="112">
        <f t="shared" si="9"/>
        <v>307.25</v>
      </c>
      <c r="H123" s="99">
        <f>G123+'5'!H123</f>
        <v>1975</v>
      </c>
      <c r="I123" s="165"/>
      <c r="J123" s="330">
        <f>H123/DAY(B2)</f>
        <v>329.16666666666669</v>
      </c>
    </row>
    <row r="124" spans="1:18" ht="29.25" customHeight="1" x14ac:dyDescent="0.5">
      <c r="A124" s="839"/>
      <c r="B124" s="840"/>
      <c r="C124" s="841"/>
      <c r="D124" s="165"/>
      <c r="E124" s="95">
        <f>'5'!F124</f>
        <v>0</v>
      </c>
      <c r="F124" s="165"/>
      <c r="G124" s="329"/>
      <c r="H124" s="156"/>
      <c r="I124" s="165"/>
      <c r="J124" s="330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3313.020000000005</v>
      </c>
      <c r="H125" s="156"/>
      <c r="I125" s="329">
        <f>G125-(G39+G53)</f>
        <v>605.6100000000306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G127+'5'!H127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'5'!F128</f>
        <v>39721.089999999997</v>
      </c>
      <c r="F128" s="165">
        <v>40028</v>
      </c>
      <c r="G128" s="112">
        <f t="shared" ref="G128:G134" si="10">F128-E128</f>
        <v>306.91000000000349</v>
      </c>
      <c r="H128" s="99">
        <f>G128+'5'!H128</f>
        <v>2024</v>
      </c>
      <c r="I128" s="165"/>
      <c r="J128" s="330">
        <f>H128/DAY(B2)</f>
        <v>337.33333333333331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'5'!F129</f>
        <v>21399.47</v>
      </c>
      <c r="F129" s="165">
        <v>21610</v>
      </c>
      <c r="G129" s="112">
        <f t="shared" si="10"/>
        <v>210.52999999999884</v>
      </c>
      <c r="H129" s="99">
        <f>G129+'5'!H129</f>
        <v>1289</v>
      </c>
      <c r="I129" s="165"/>
      <c r="J129" s="330">
        <f>H129/DAY(B2)</f>
        <v>214.83333333333334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'5'!F130</f>
        <v>21852.17</v>
      </c>
      <c r="F130" s="165">
        <v>22476</v>
      </c>
      <c r="G130" s="112">
        <f t="shared" si="10"/>
        <v>623.83000000000175</v>
      </c>
      <c r="H130" s="99">
        <f>G130+'5'!H130</f>
        <v>4094</v>
      </c>
      <c r="I130" s="165"/>
      <c r="J130" s="330">
        <f>H130/DAY(B2)</f>
        <v>682.33333333333337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'5'!F131</f>
        <v>13561.44</v>
      </c>
      <c r="F131" s="165">
        <v>13628</v>
      </c>
      <c r="G131" s="112">
        <f t="shared" si="10"/>
        <v>66.559999999999491</v>
      </c>
      <c r="H131" s="99">
        <f>G131+'5'!H131</f>
        <v>475</v>
      </c>
      <c r="I131" s="165"/>
      <c r="J131" s="330">
        <f>H131/DAY(B2)</f>
        <v>79.166666666666671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'5'!F132</f>
        <v>43251.08</v>
      </c>
      <c r="F132" s="165">
        <v>43714</v>
      </c>
      <c r="G132" s="112">
        <f t="shared" si="10"/>
        <v>462.91999999999825</v>
      </c>
      <c r="H132" s="99">
        <f>G132+'5'!H132</f>
        <v>2691</v>
      </c>
      <c r="I132" s="165"/>
      <c r="J132" s="330">
        <f>H132/DAY(B2)</f>
        <v>448.5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'5'!F133</f>
        <v>91892.87</v>
      </c>
      <c r="F133" s="165">
        <v>92706</v>
      </c>
      <c r="G133" s="112">
        <f t="shared" si="10"/>
        <v>813.13000000000466</v>
      </c>
      <c r="H133" s="99">
        <f>G133+'5'!H133</f>
        <v>5003</v>
      </c>
      <c r="I133" s="165"/>
      <c r="J133" s="330">
        <f>H133/DAY(B2)</f>
        <v>833.83333333333337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'5'!F134</f>
        <v>672078</v>
      </c>
      <c r="F134" s="165">
        <v>672722</v>
      </c>
      <c r="G134" s="112">
        <f t="shared" si="10"/>
        <v>644</v>
      </c>
      <c r="H134" s="99">
        <f>G134+'5'!H134</f>
        <v>3842</v>
      </c>
      <c r="I134" s="165"/>
      <c r="J134" s="330">
        <f>H134/DAY(B2)</f>
        <v>640.33333333333337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12"/>
      <c r="G135" s="112">
        <f>SUM(G128:G134)</f>
        <v>3127.8800000000065</v>
      </c>
      <c r="H135" s="99">
        <f>G135+'5'!H135</f>
        <v>19418</v>
      </c>
      <c r="I135" s="329">
        <f>G135-(G35+G49)</f>
        <v>-353.5999999999749</v>
      </c>
      <c r="J135" s="330">
        <f>H135/DAY(B2)</f>
        <v>3236.3333333333335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'5'!F138</f>
        <v>864536</v>
      </c>
      <c r="F138" s="147">
        <v>864599</v>
      </c>
      <c r="G138" s="112">
        <f t="shared" ref="G138:G152" si="11">F138-E138</f>
        <v>63</v>
      </c>
      <c r="H138" s="99">
        <f>G138+'5'!H138</f>
        <v>428</v>
      </c>
      <c r="I138" s="118"/>
      <c r="J138" s="330">
        <f>H138/DAY(B2)</f>
        <v>71.333333333333329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'5'!F139</f>
        <v>886547</v>
      </c>
      <c r="F139" s="148">
        <v>886549</v>
      </c>
      <c r="G139" s="112">
        <f t="shared" si="11"/>
        <v>2</v>
      </c>
      <c r="H139" s="99">
        <f>G139+'5'!H139</f>
        <v>3</v>
      </c>
      <c r="I139" s="118"/>
      <c r="J139" s="330">
        <f>H139/DAY(B2)</f>
        <v>0.5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'5'!F140</f>
        <v>88898.3</v>
      </c>
      <c r="F140" s="149">
        <v>88898.3</v>
      </c>
      <c r="G140" s="112">
        <f t="shared" si="11"/>
        <v>0</v>
      </c>
      <c r="H140" s="99">
        <f>G140+'5'!H140</f>
        <v>16.30000000000291</v>
      </c>
      <c r="I140" s="118"/>
      <c r="J140" s="330">
        <f>H140/DAY(B2)</f>
        <v>2.7166666666671517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'5'!F141</f>
        <v>50206.1</v>
      </c>
      <c r="F141" s="149">
        <v>50370</v>
      </c>
      <c r="G141" s="112">
        <f t="shared" si="11"/>
        <v>163.90000000000146</v>
      </c>
      <c r="H141" s="99">
        <f>G141+'5'!H141</f>
        <v>1064</v>
      </c>
      <c r="I141" s="118"/>
      <c r="J141" s="330">
        <f>H141/DAY(B2)</f>
        <v>177.33333333333334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'5'!F142</f>
        <v>19368.75</v>
      </c>
      <c r="F142" s="148">
        <v>19437</v>
      </c>
      <c r="G142" s="112">
        <f t="shared" si="11"/>
        <v>68.25</v>
      </c>
      <c r="H142" s="99">
        <f>G142+'5'!H142</f>
        <v>428</v>
      </c>
      <c r="I142" s="140"/>
      <c r="J142" s="330">
        <f>H142/DAY(B2)</f>
        <v>71.333333333333329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'5'!F143</f>
        <v>3172.7</v>
      </c>
      <c r="F143" s="149">
        <v>3195</v>
      </c>
      <c r="G143" s="112">
        <f t="shared" si="11"/>
        <v>22.300000000000182</v>
      </c>
      <c r="H143" s="99">
        <f>G143+'5'!H143</f>
        <v>134</v>
      </c>
      <c r="I143" s="140"/>
      <c r="J143" s="330">
        <f>H143/DAY(B2)</f>
        <v>22.333333333333332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'5'!F144</f>
        <v>870794</v>
      </c>
      <c r="F144" s="149">
        <v>871014</v>
      </c>
      <c r="G144" s="112">
        <f t="shared" si="11"/>
        <v>220</v>
      </c>
      <c r="H144" s="99">
        <f>G144+'5'!H144</f>
        <v>1344</v>
      </c>
      <c r="I144" s="140"/>
      <c r="J144" s="330">
        <f>H144/DAY(B2)</f>
        <v>224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'5'!F145</f>
        <v>4641</v>
      </c>
      <c r="F145" s="149">
        <v>4659</v>
      </c>
      <c r="G145" s="112">
        <f t="shared" si="11"/>
        <v>18</v>
      </c>
      <c r="H145" s="99">
        <f>G145+'5'!H145</f>
        <v>101</v>
      </c>
      <c r="I145" s="140"/>
      <c r="J145" s="330">
        <f>H145/DAY(B2)</f>
        <v>16.833333333333332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'5'!F146</f>
        <v>727178</v>
      </c>
      <c r="F146" s="148">
        <v>727616</v>
      </c>
      <c r="G146" s="112">
        <f t="shared" si="11"/>
        <v>438</v>
      </c>
      <c r="H146" s="99">
        <f>G146+'5'!H146</f>
        <v>2758</v>
      </c>
      <c r="I146" s="140"/>
      <c r="J146" s="330">
        <f>H146/DAY(B2)</f>
        <v>459.66666666666669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'5'!F147</f>
        <v>617341</v>
      </c>
      <c r="F147" s="148">
        <v>617718</v>
      </c>
      <c r="G147" s="112">
        <f t="shared" si="11"/>
        <v>377</v>
      </c>
      <c r="H147" s="99">
        <f>G147+'5'!H147</f>
        <v>2436</v>
      </c>
      <c r="I147" s="140"/>
      <c r="J147" s="330">
        <f>H147/DAY(B2)</f>
        <v>406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'5'!F148</f>
        <v>684402</v>
      </c>
      <c r="F148" s="150">
        <v>684690</v>
      </c>
      <c r="G148" s="112">
        <f t="shared" si="11"/>
        <v>288</v>
      </c>
      <c r="H148" s="99">
        <f>G148+'5'!H148</f>
        <v>1656.8800000000047</v>
      </c>
      <c r="I148" s="124"/>
      <c r="J148" s="330">
        <f>H148/DAY(B2)</f>
        <v>276.14666666666744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'5'!F149</f>
        <v>12661.14</v>
      </c>
      <c r="F149" s="146">
        <v>13147</v>
      </c>
      <c r="G149" s="112">
        <f t="shared" si="11"/>
        <v>485.86000000000058</v>
      </c>
      <c r="H149" s="99">
        <f>G149+'5'!H149</f>
        <v>2398</v>
      </c>
      <c r="I149" s="119"/>
      <c r="J149" s="330">
        <f>H149/DAY(B2)</f>
        <v>399.66666666666669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'5'!F150</f>
        <v>5143.54</v>
      </c>
      <c r="F150" s="233">
        <v>5359</v>
      </c>
      <c r="G150" s="112">
        <f t="shared" si="11"/>
        <v>215.46000000000004</v>
      </c>
      <c r="H150" s="99">
        <f>G150+'5'!H150</f>
        <v>1307</v>
      </c>
      <c r="I150" s="119"/>
      <c r="J150" s="330">
        <f>H150/DAY(B2)</f>
        <v>217.83333333333334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'5'!F151</f>
        <v>79503</v>
      </c>
      <c r="F151" s="233">
        <v>79746</v>
      </c>
      <c r="G151" s="112">
        <f t="shared" si="11"/>
        <v>243</v>
      </c>
      <c r="H151" s="99">
        <f>G151+'5'!H151</f>
        <v>1529</v>
      </c>
      <c r="I151" s="119"/>
      <c r="J151" s="330">
        <f>H151/DAY(B2)</f>
        <v>254.83333333333334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'5'!F152</f>
        <v>1238.56</v>
      </c>
      <c r="F152" s="233">
        <v>1253</v>
      </c>
      <c r="G152" s="112">
        <f t="shared" si="11"/>
        <v>14.440000000000055</v>
      </c>
      <c r="H152" s="99">
        <f>G152+'5'!H152</f>
        <v>126</v>
      </c>
      <c r="I152" s="119"/>
      <c r="J152" s="330">
        <f>H152/DAY(B2)</f>
        <v>21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2619.2100000000023</v>
      </c>
      <c r="H153" s="365"/>
      <c r="I153" s="119">
        <f>G153-(G38+G52)</f>
        <v>932.10000000001628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'5'!F155</f>
        <v>16004.02</v>
      </c>
      <c r="F155" s="376">
        <v>16648</v>
      </c>
      <c r="G155" s="112">
        <f t="shared" ref="G155:G156" si="12">F155-E155</f>
        <v>643.97999999999956</v>
      </c>
      <c r="H155" s="99">
        <f>G155+'5'!H155</f>
        <v>3176</v>
      </c>
      <c r="I155" s="366"/>
      <c r="J155" s="330">
        <f>H155/DAY(B2)</f>
        <v>529.33333333333337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'5'!F156</f>
        <v>1308.71</v>
      </c>
      <c r="F156" s="155">
        <v>1363</v>
      </c>
      <c r="G156" s="112">
        <f t="shared" si="12"/>
        <v>54.289999999999964</v>
      </c>
      <c r="H156" s="99">
        <f>G156+'5'!H156</f>
        <v>275</v>
      </c>
      <c r="I156" s="165"/>
      <c r="J156" s="330">
        <f>H156/DAY(B2)</f>
        <v>45.833333333333336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471153.56</v>
      </c>
      <c r="F161" s="235">
        <v>471153.56</v>
      </c>
      <c r="G161" s="238">
        <f t="shared" ref="G161:G165" si="13">F161-E161</f>
        <v>0</v>
      </c>
      <c r="H161" s="99">
        <f>G161+'5'!H161</f>
        <v>0.40000000002328306</v>
      </c>
      <c r="I161" s="236"/>
      <c r="J161" s="239">
        <f>H161/DAY(B2)</f>
        <v>6.6666666670547173E-2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87687</v>
      </c>
      <c r="F162" s="235">
        <v>87718</v>
      </c>
      <c r="G162" s="238">
        <f t="shared" si="13"/>
        <v>31</v>
      </c>
      <c r="H162" s="99">
        <f>G162+'5'!H162</f>
        <v>148</v>
      </c>
      <c r="I162" s="236"/>
      <c r="J162" s="239">
        <f>H162/DAY(B2)</f>
        <v>24.666666666666668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78048.2</v>
      </c>
      <c r="F163" s="235">
        <v>78084</v>
      </c>
      <c r="G163" s="238">
        <f t="shared" si="13"/>
        <v>35.80000000000291</v>
      </c>
      <c r="H163" s="99">
        <f>G163+'5'!H163</f>
        <v>259</v>
      </c>
      <c r="I163" s="236"/>
      <c r="J163" s="239">
        <f>H163/DAY(B2)</f>
        <v>43.166666666666664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4248.6000000000004</v>
      </c>
      <c r="F164" s="235">
        <v>4250</v>
      </c>
      <c r="G164" s="238">
        <f t="shared" si="13"/>
        <v>1.3999999999996362</v>
      </c>
      <c r="H164" s="99">
        <f>G164+'5'!H164</f>
        <v>8</v>
      </c>
      <c r="I164" s="236"/>
      <c r="J164" s="239">
        <f>H164/DAY(B2)</f>
        <v>1.3333333333333333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29679.3</v>
      </c>
      <c r="F165" s="235">
        <v>29685</v>
      </c>
      <c r="G165" s="238">
        <f t="shared" si="13"/>
        <v>5.7000000000007276</v>
      </c>
      <c r="H165" s="99">
        <f>G165+'5'!H165</f>
        <v>39</v>
      </c>
      <c r="I165" s="236"/>
      <c r="J165" s="239">
        <f>H165/DAY(B2)</f>
        <v>6.5</v>
      </c>
    </row>
    <row r="166" spans="1:10" ht="29.25" x14ac:dyDescent="0.5">
      <c r="A166" s="824"/>
      <c r="B166" s="824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'5'!F174</f>
        <v>38336</v>
      </c>
      <c r="F174" s="157">
        <v>38347</v>
      </c>
      <c r="G174" s="155">
        <f t="shared" ref="G174:G175" si="14">F174-E174</f>
        <v>11</v>
      </c>
      <c r="H174" s="99">
        <f>G174+'5'!H174</f>
        <v>54</v>
      </c>
      <c r="I174" s="155"/>
      <c r="J174" s="178">
        <f>H174/DAY(B2)</f>
        <v>9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'5'!F175</f>
        <v>21567</v>
      </c>
      <c r="F175" s="155">
        <v>21576</v>
      </c>
      <c r="G175" s="155">
        <f t="shared" si="14"/>
        <v>9</v>
      </c>
      <c r="H175" s="99">
        <f>G175+'5'!H175</f>
        <v>58</v>
      </c>
      <c r="I175" s="155"/>
      <c r="J175" s="178">
        <f>H175/DAY(B2)</f>
        <v>9.6666666666666661</v>
      </c>
    </row>
    <row r="176" spans="1:10" ht="27.75" x14ac:dyDescent="0.5">
      <c r="A176" s="596" t="s">
        <v>196</v>
      </c>
      <c r="B176" s="597"/>
      <c r="C176" s="335"/>
      <c r="D176" s="228"/>
      <c r="E176" s="95">
        <f>'5'!F176</f>
        <v>0</v>
      </c>
      <c r="F176" s="155"/>
      <c r="G176" s="155">
        <f>SUM(G173:G175)</f>
        <v>20</v>
      </c>
      <c r="H176" s="99">
        <f>G176+'5'!H176</f>
        <v>112</v>
      </c>
      <c r="I176" s="155"/>
      <c r="J176" s="178">
        <f>H176/DAY(B2)</f>
        <v>18.666666666666668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'5'!F178</f>
        <v>79974</v>
      </c>
      <c r="F178" s="155">
        <v>80046</v>
      </c>
      <c r="G178" s="155">
        <f>F178-E178</f>
        <v>72</v>
      </c>
      <c r="H178" s="99">
        <f>G178+'5'!H178</f>
        <v>432</v>
      </c>
      <c r="I178" s="155"/>
      <c r="J178" s="178">
        <f>H178/DAY(B2)</f>
        <v>72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'5'!F179</f>
        <v>34024</v>
      </c>
      <c r="F179" s="155">
        <v>34029</v>
      </c>
      <c r="G179" s="155">
        <f t="shared" ref="G179:G180" si="15">F179-E179</f>
        <v>5</v>
      </c>
      <c r="H179" s="99">
        <f>G179+'5'!H179</f>
        <v>114</v>
      </c>
      <c r="I179" s="155"/>
      <c r="J179" s="178">
        <f>H179/DAY(B2)</f>
        <v>19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'5'!F180</f>
        <v>5505</v>
      </c>
      <c r="F180" s="155">
        <v>5525</v>
      </c>
      <c r="G180" s="155">
        <f t="shared" si="15"/>
        <v>20</v>
      </c>
      <c r="H180" s="99">
        <f>G180+'5'!H180</f>
        <v>48</v>
      </c>
      <c r="I180" s="155"/>
      <c r="J180" s="178">
        <f>H180/DAY(B2)</f>
        <v>8</v>
      </c>
    </row>
    <row r="181" spans="1:10" ht="27.75" x14ac:dyDescent="0.5">
      <c r="A181" s="830" t="s">
        <v>108</v>
      </c>
      <c r="B181" s="831"/>
      <c r="C181" s="335"/>
      <c r="D181" s="228"/>
      <c r="E181" s="95">
        <f>'5'!F181</f>
        <v>0</v>
      </c>
      <c r="F181" s="155"/>
      <c r="G181" s="155">
        <f>SUM(G178:G180)</f>
        <v>97</v>
      </c>
      <c r="H181" s="99">
        <f>G181+'5'!H181</f>
        <v>594</v>
      </c>
      <c r="I181" s="155"/>
      <c r="J181" s="178">
        <f>H181/DAY(B2)</f>
        <v>99</v>
      </c>
    </row>
    <row r="182" spans="1:10" ht="27.75" x14ac:dyDescent="0.5">
      <c r="A182" s="828" t="s">
        <v>213</v>
      </c>
      <c r="B182" s="829"/>
      <c r="C182" s="335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'5'!F183</f>
        <v>15037</v>
      </c>
      <c r="F183" s="157">
        <v>15047</v>
      </c>
      <c r="G183" s="157">
        <f>F183-E183</f>
        <v>10</v>
      </c>
      <c r="H183" s="99">
        <f>G183+'5'!H183</f>
        <v>100</v>
      </c>
      <c r="I183" s="155"/>
      <c r="J183" s="178">
        <f>H183/DAY(B2)</f>
        <v>16.666666666666668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'5'!F184</f>
        <v>10338</v>
      </c>
      <c r="F184" s="157">
        <v>10345</v>
      </c>
      <c r="G184" s="157">
        <f t="shared" ref="G184:G185" si="16">F184-E184</f>
        <v>7</v>
      </c>
      <c r="H184" s="99">
        <f>G184+'5'!H184</f>
        <v>44</v>
      </c>
      <c r="I184" s="155"/>
      <c r="J184" s="178">
        <f>H184/DAY(B2)</f>
        <v>7.333333333333333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336"/>
      <c r="D186" s="229"/>
      <c r="E186" s="95"/>
      <c r="F186" s="157"/>
      <c r="G186" s="157">
        <f>SUM(G183:G185)</f>
        <v>17</v>
      </c>
      <c r="H186" s="99">
        <f>G186+'5'!H186</f>
        <v>144</v>
      </c>
      <c r="I186" s="157"/>
      <c r="J186" s="178">
        <f>H186/DAY(B2)</f>
        <v>24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125</v>
      </c>
      <c r="H187" s="99">
        <f>G187+'5'!H187</f>
        <v>607</v>
      </c>
      <c r="I187" s="158"/>
      <c r="J187" s="179">
        <f>H187/DAY(B2)</f>
        <v>101.16666666666667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119</v>
      </c>
      <c r="H188" s="99">
        <f>G188+'5'!H188</f>
        <v>853</v>
      </c>
      <c r="I188" s="158"/>
      <c r="J188" s="179">
        <f>H188/DAY(B2)</f>
        <v>142.16666666666666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97</v>
      </c>
      <c r="H189" s="99">
        <f>G189+'5'!H189</f>
        <v>594</v>
      </c>
      <c r="I189" s="158"/>
      <c r="J189" s="179">
        <f>H189/DAY(B2)</f>
        <v>99</v>
      </c>
    </row>
    <row r="190" spans="1:10" ht="27.75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91" zoomScale="60" zoomScaleNormal="77" workbookViewId="0">
      <selection activeCell="F166" sqref="F16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44568</v>
      </c>
      <c r="C2" s="350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213204</v>
      </c>
      <c r="F7" s="95">
        <v>233035</v>
      </c>
      <c r="G7" s="112">
        <f>F7-E7</f>
        <v>19831</v>
      </c>
      <c r="H7" s="99">
        <f>G7+'6'!H7</f>
        <v>138474</v>
      </c>
      <c r="I7" s="113">
        <f>'1'!I7</f>
        <v>12000</v>
      </c>
      <c r="J7" s="175">
        <f>H7/DAY(B2)</f>
        <v>19782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262018</v>
      </c>
      <c r="F8" s="114">
        <v>282279</v>
      </c>
      <c r="G8" s="115">
        <f>F8-E8</f>
        <v>20261</v>
      </c>
      <c r="H8" s="99">
        <f>G8+'6'!H8</f>
        <v>141394</v>
      </c>
      <c r="I8" s="116"/>
      <c r="J8" s="175">
        <f>H8/DAY(B2)</f>
        <v>20199.142857142859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2333339</v>
      </c>
      <c r="F9" s="117">
        <v>2345355</v>
      </c>
      <c r="G9" s="112">
        <f>F9-E9</f>
        <v>12016</v>
      </c>
      <c r="H9" s="99">
        <f>G9+'6'!H9</f>
        <v>86579</v>
      </c>
      <c r="I9" s="124">
        <f>I7-J7</f>
        <v>-7782</v>
      </c>
      <c r="J9" s="175">
        <f>H9/DAY(B2)</f>
        <v>12368.428571428571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581680</v>
      </c>
      <c r="F10" s="117">
        <v>588953</v>
      </c>
      <c r="G10" s="112">
        <f t="shared" ref="G10:G12" si="0">F10-E10</f>
        <v>7273</v>
      </c>
      <c r="H10" s="99">
        <f>G10+'6'!H10</f>
        <v>48127</v>
      </c>
      <c r="I10" s="282"/>
      <c r="J10" s="175">
        <f>H10/DAY(B2)</f>
        <v>6875.2857142857147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19289</v>
      </c>
      <c r="H13" s="99">
        <f>G13+'6'!H13</f>
        <v>115240.74999999988</v>
      </c>
      <c r="I13" s="120">
        <f>G7-G13</f>
        <v>542</v>
      </c>
      <c r="J13" s="175">
        <f>H13/DAY(B2)</f>
        <v>16462.964285714268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'6'!F15</f>
        <v>1883804</v>
      </c>
      <c r="F15" s="123">
        <v>1884767</v>
      </c>
      <c r="G15" s="112">
        <f>(F15-E15)</f>
        <v>963</v>
      </c>
      <c r="H15" s="99">
        <f>G15+'6'!H15</f>
        <v>6337</v>
      </c>
      <c r="I15" s="113">
        <f>'1'!I15</f>
        <v>800</v>
      </c>
      <c r="J15" s="175">
        <f>H15/DAY(B2)</f>
        <v>905.28571428571433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-105.28571428571433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'6'!F18</f>
        <v>16</v>
      </c>
      <c r="F18" s="122">
        <v>16</v>
      </c>
      <c r="G18" s="119">
        <f>F18*10</f>
        <v>160</v>
      </c>
      <c r="H18" s="99">
        <f>G18+'6'!H18</f>
        <v>910</v>
      </c>
      <c r="I18" s="113">
        <f>'1'!I18</f>
        <v>65</v>
      </c>
      <c r="J18" s="175">
        <f>H18/DAY(B2)</f>
        <v>130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'6'!F19</f>
        <v>152535</v>
      </c>
      <c r="F19" s="122">
        <v>152589</v>
      </c>
      <c r="G19" s="112">
        <f t="shared" ref="G19" si="1">F19-E19</f>
        <v>54</v>
      </c>
      <c r="H19" s="99">
        <f>G19+'6'!H19</f>
        <v>364</v>
      </c>
      <c r="I19" s="337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214</v>
      </c>
      <c r="H20" s="99">
        <f>G20+'6'!H20</f>
        <v>1274</v>
      </c>
      <c r="I20" s="338">
        <f>I18-J20</f>
        <v>-117</v>
      </c>
      <c r="J20" s="175">
        <f>H20/DAY(B2)</f>
        <v>182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20261</v>
      </c>
      <c r="F27" s="136">
        <v>9</v>
      </c>
      <c r="G27" s="137">
        <f>E27*F27</f>
        <v>182349</v>
      </c>
      <c r="H27" s="99">
        <f>G27+'6'!H27</f>
        <v>1272546</v>
      </c>
      <c r="I27" s="138"/>
      <c r="J27" s="175">
        <f>H27/DAY(B2)</f>
        <v>181792.28571428571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963</v>
      </c>
      <c r="F28" s="136">
        <v>52</v>
      </c>
      <c r="G28" s="137">
        <f>E28*F28</f>
        <v>50076</v>
      </c>
      <c r="H28" s="99">
        <f>G28+'6'!H28</f>
        <v>329524</v>
      </c>
      <c r="I28" s="140"/>
      <c r="J28" s="175">
        <f>H28/DAY(B2)</f>
        <v>47074.857142857145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G30+'6'!H30</f>
        <v>53144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G31+'6'!H31</f>
        <v>72800</v>
      </c>
      <c r="I31" s="140"/>
      <c r="J31" s="175">
        <f>H31/DAY(B2)</f>
        <v>10400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253109</v>
      </c>
      <c r="H32" s="99">
        <f>G32+'6'!H32</f>
        <v>1728014</v>
      </c>
      <c r="I32" s="144"/>
      <c r="J32" s="175">
        <f>H32/DAY(B2)</f>
        <v>246859.14285714287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164358</v>
      </c>
      <c r="F35" s="145">
        <v>166246</v>
      </c>
      <c r="G35" s="112">
        <f t="shared" ref="G35:G46" si="3">F35-E35</f>
        <v>1888</v>
      </c>
      <c r="H35" s="99">
        <f>G35+'6'!H35</f>
        <v>13404</v>
      </c>
      <c r="I35" s="95"/>
      <c r="J35" s="175">
        <f>H35/DAY(B2)</f>
        <v>1914.8571428571429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26531</v>
      </c>
      <c r="F36" s="145">
        <v>27229</v>
      </c>
      <c r="G36" s="112">
        <f t="shared" si="3"/>
        <v>698</v>
      </c>
      <c r="H36" s="99">
        <f>G36+'6'!H36</f>
        <v>5702</v>
      </c>
      <c r="I36" s="95"/>
      <c r="J36" s="175">
        <f>H36/DAY(B2)</f>
        <v>814.57142857142856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204547</v>
      </c>
      <c r="F37" s="145">
        <v>206071</v>
      </c>
      <c r="G37" s="112">
        <f t="shared" si="3"/>
        <v>1524</v>
      </c>
      <c r="H37" s="99">
        <f>G37+'6'!H37</f>
        <v>10678</v>
      </c>
      <c r="I37" s="95"/>
      <c r="J37" s="175">
        <f>H37/DAY(B2)</f>
        <v>1525.4285714285713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242299</v>
      </c>
      <c r="F38" s="108">
        <v>243967</v>
      </c>
      <c r="G38" s="112">
        <f t="shared" si="3"/>
        <v>1668</v>
      </c>
      <c r="H38" s="99">
        <f>G38+'6'!H38</f>
        <v>11485</v>
      </c>
      <c r="I38" s="95"/>
      <c r="J38" s="175">
        <f>H38/DAY(B2)</f>
        <v>1640.7142857142858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427401</v>
      </c>
      <c r="F39" s="145">
        <v>430076</v>
      </c>
      <c r="G39" s="112">
        <f t="shared" si="3"/>
        <v>2675</v>
      </c>
      <c r="H39" s="99">
        <f>G39+'6'!H39</f>
        <v>18997</v>
      </c>
      <c r="I39" s="95"/>
      <c r="J39" s="175">
        <f>H39/DAY(B2)</f>
        <v>2713.8571428571427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6693</v>
      </c>
      <c r="F40" s="145">
        <v>7301</v>
      </c>
      <c r="G40" s="112">
        <f t="shared" si="3"/>
        <v>608</v>
      </c>
      <c r="H40" s="99">
        <f>G40+'6'!H40</f>
        <v>1691</v>
      </c>
      <c r="I40" s="95"/>
      <c r="J40" s="175">
        <f>H40/DAY(B2)</f>
        <v>241.57142857142858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0</v>
      </c>
      <c r="F41" s="145">
        <v>0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73808.600000000006</v>
      </c>
      <c r="F42" s="145">
        <v>73808.600000000006</v>
      </c>
      <c r="G42" s="112">
        <f t="shared" si="3"/>
        <v>0</v>
      </c>
      <c r="H42" s="99">
        <f>G42+'6'!H42</f>
        <v>-0.39999999999417923</v>
      </c>
      <c r="I42" s="95"/>
      <c r="J42" s="175">
        <f>H42/DAY(B2)</f>
        <v>-5.7142857142025605E-2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61966</v>
      </c>
      <c r="F43" s="145">
        <v>64212</v>
      </c>
      <c r="G43" s="112">
        <f t="shared" si="3"/>
        <v>2246</v>
      </c>
      <c r="H43" s="99">
        <f>G43+'6'!H43</f>
        <v>16951</v>
      </c>
      <c r="I43" s="95"/>
      <c r="J43" s="175">
        <f>H43/DAY(B2)</f>
        <v>2421.5714285714284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11307</v>
      </c>
      <c r="H47" s="99">
        <f>G47+'6'!H47</f>
        <v>78907.600000000006</v>
      </c>
      <c r="I47" s="95"/>
      <c r="J47" s="175">
        <f>H47/DAY(B2)</f>
        <v>11272.514285714287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282102</v>
      </c>
      <c r="F49" s="145">
        <v>283741</v>
      </c>
      <c r="G49" s="112">
        <f t="shared" ref="G49:G58" si="4">F49-E49</f>
        <v>1639</v>
      </c>
      <c r="H49" s="99">
        <f>G49+'6'!H49</f>
        <v>11501</v>
      </c>
      <c r="I49" s="95"/>
      <c r="J49" s="175">
        <f>H49/DAY(B2)</f>
        <v>1643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31059</v>
      </c>
      <c r="F50" s="145">
        <v>32102</v>
      </c>
      <c r="G50" s="112">
        <f t="shared" si="4"/>
        <v>1043</v>
      </c>
      <c r="H50" s="99">
        <f>G50+'6'!H50</f>
        <v>7452</v>
      </c>
      <c r="I50" s="95"/>
      <c r="J50" s="175">
        <f>H50/DAY(B2)</f>
        <v>1064.5714285714287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1131</v>
      </c>
      <c r="F54" s="145">
        <v>1599</v>
      </c>
      <c r="G54" s="112">
        <f t="shared" si="4"/>
        <v>468</v>
      </c>
      <c r="H54" s="99">
        <f>G54+'6'!H54</f>
        <v>1613.08</v>
      </c>
      <c r="I54" s="95"/>
      <c r="J54" s="175">
        <f>H54/DAY(B2)</f>
        <v>230.44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21910</v>
      </c>
      <c r="F55" s="145">
        <v>25279</v>
      </c>
      <c r="G55" s="112">
        <f t="shared" si="4"/>
        <v>3369</v>
      </c>
      <c r="H55" s="99">
        <f>G55+'6'!H55</f>
        <v>21768</v>
      </c>
      <c r="I55" s="95"/>
      <c r="J55" s="175">
        <f>H55/DAY(B2)</f>
        <v>3109.7142857142858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8610.5400000000009</v>
      </c>
      <c r="F56" s="145">
        <v>8610.5400000000009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454</v>
      </c>
      <c r="F58" s="145">
        <v>653</v>
      </c>
      <c r="G58" s="112">
        <f t="shared" si="4"/>
        <v>199</v>
      </c>
      <c r="H58" s="99">
        <f>G58+'6'!H58</f>
        <v>993.63000000000466</v>
      </c>
      <c r="I58" s="95"/>
      <c r="J58" s="175">
        <f>H58/DAY(B2)</f>
        <v>141.94714285714352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6718</v>
      </c>
      <c r="H59" s="99">
        <f>G59+'6'!H59</f>
        <v>43327.710000000006</v>
      </c>
      <c r="I59" s="95">
        <f>G7-G60</f>
        <v>1806</v>
      </c>
      <c r="J59" s="175">
        <f>H59/DAY(B2)</f>
        <v>6189.6728571428584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18025</v>
      </c>
      <c r="H60" s="99">
        <f>G60+'6'!H60</f>
        <v>122235.31000000001</v>
      </c>
      <c r="I60" s="95">
        <f>G13-G60</f>
        <v>1264</v>
      </c>
      <c r="J60" s="175">
        <f>H60/DAY(B2)</f>
        <v>17462.187142857143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'6'!F62</f>
        <v>267510</v>
      </c>
      <c r="F62" s="122">
        <v>267567</v>
      </c>
      <c r="G62" s="112">
        <f t="shared" ref="G62:G63" si="5">F62-E62</f>
        <v>57</v>
      </c>
      <c r="H62" s="99">
        <f>G62+'6'!H62</f>
        <v>354</v>
      </c>
      <c r="I62" s="118"/>
      <c r="J62" s="175">
        <f>H62/DAY(B2)</f>
        <v>50.571428571428569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'6'!F63</f>
        <v>213123</v>
      </c>
      <c r="F63" s="122">
        <v>213218</v>
      </c>
      <c r="G63" s="112">
        <f t="shared" si="5"/>
        <v>95</v>
      </c>
      <c r="H63" s="99">
        <f>G63+'6'!H63</f>
        <v>793</v>
      </c>
      <c r="I63" s="118"/>
      <c r="J63" s="175">
        <f>H63/DAY(B2)</f>
        <v>113.28571428571429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'6'!F64</f>
        <v>0</v>
      </c>
      <c r="F64" s="122"/>
      <c r="G64" s="112">
        <f>G62+G63</f>
        <v>152</v>
      </c>
      <c r="H64" s="99">
        <f>G64+'6'!H64</f>
        <v>1147</v>
      </c>
      <c r="I64" s="118"/>
      <c r="J64" s="175">
        <f>H64/DAY(B2)</f>
        <v>163.85714285714286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'6'!F65</f>
        <v>433036</v>
      </c>
      <c r="F65" s="122">
        <v>433115</v>
      </c>
      <c r="G65" s="112">
        <f t="shared" ref="G65:G70" si="6">F65-E65</f>
        <v>79</v>
      </c>
      <c r="H65" s="99">
        <f>G65+'6'!H65</f>
        <v>501</v>
      </c>
      <c r="I65" s="118"/>
      <c r="J65" s="175">
        <f>H65/DAY(B2)</f>
        <v>71.571428571428569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'6'!F66</f>
        <v>107342</v>
      </c>
      <c r="F66" s="122">
        <v>107359</v>
      </c>
      <c r="G66" s="112">
        <f t="shared" si="6"/>
        <v>17</v>
      </c>
      <c r="H66" s="99">
        <f>G66+'6'!H66</f>
        <v>145</v>
      </c>
      <c r="I66" s="118"/>
      <c r="J66" s="175">
        <f>H66/DAY(B2)</f>
        <v>20.714285714285715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'6'!F67</f>
        <v>104097</v>
      </c>
      <c r="F67" s="150">
        <v>104120</v>
      </c>
      <c r="G67" s="112">
        <f t="shared" si="6"/>
        <v>23</v>
      </c>
      <c r="H67" s="99">
        <f>G67+'6'!H67</f>
        <v>192</v>
      </c>
      <c r="I67" s="118"/>
      <c r="J67" s="175">
        <f>H67/DAY(B2)</f>
        <v>27.428571428571427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'6'!F68</f>
        <v>156754</v>
      </c>
      <c r="F68" s="122">
        <v>156796</v>
      </c>
      <c r="G68" s="112">
        <f t="shared" si="6"/>
        <v>42</v>
      </c>
      <c r="H68" s="99">
        <f>G68+'6'!H68</f>
        <v>176</v>
      </c>
      <c r="I68" s="118"/>
      <c r="J68" s="175">
        <f>H68/DAY(B2)</f>
        <v>25.142857142857142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'6'!F69</f>
        <v>10298</v>
      </c>
      <c r="F69" s="122">
        <v>10305</v>
      </c>
      <c r="G69" s="112">
        <f t="shared" si="6"/>
        <v>7</v>
      </c>
      <c r="H69" s="99">
        <f>G69+'6'!H69</f>
        <v>91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'6'!F70</f>
        <v>7912</v>
      </c>
      <c r="F70" s="150">
        <v>7921</v>
      </c>
      <c r="G70" s="112">
        <f t="shared" si="6"/>
        <v>9</v>
      </c>
      <c r="H70" s="99">
        <f>G70+'6'!H70</f>
        <v>59</v>
      </c>
      <c r="I70" s="118"/>
      <c r="J70" s="175">
        <f>H70/DAY(B2)</f>
        <v>8.4285714285714288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177</v>
      </c>
      <c r="H71" s="99">
        <f>G71+'6'!H71</f>
        <v>1164</v>
      </c>
      <c r="I71" s="154"/>
      <c r="J71" s="175">
        <f>H71/DAY(B2)</f>
        <v>166.28571428571428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'6'!F74</f>
        <v>893703</v>
      </c>
      <c r="F74" s="123">
        <v>894004</v>
      </c>
      <c r="G74" s="112">
        <f t="shared" ref="G74:G78" si="7">F74-E74</f>
        <v>301</v>
      </c>
      <c r="H74" s="99">
        <f>G74+'6'!H74</f>
        <v>1972</v>
      </c>
      <c r="I74" s="154"/>
      <c r="J74" s="175">
        <f>H74/DAY(B2)</f>
        <v>281.71428571428572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'6'!F76</f>
        <v>167769</v>
      </c>
      <c r="F76" s="123">
        <v>167841</v>
      </c>
      <c r="G76" s="112">
        <f t="shared" si="7"/>
        <v>72</v>
      </c>
      <c r="H76" s="99">
        <f>G76+'6'!H76</f>
        <v>634</v>
      </c>
      <c r="I76" s="154"/>
      <c r="J76" s="175">
        <f>H76/DAY(B2)</f>
        <v>90.571428571428569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'6'!F77</f>
        <v>40531</v>
      </c>
      <c r="F77" s="123">
        <v>40570</v>
      </c>
      <c r="G77" s="112">
        <f t="shared" si="7"/>
        <v>39</v>
      </c>
      <c r="H77" s="99">
        <f>G77+'6'!H77</f>
        <v>254</v>
      </c>
      <c r="I77" s="154"/>
      <c r="J77" s="175">
        <f>H77/DAY(B2)</f>
        <v>36.285714285714285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'6'!F78</f>
        <v>9492</v>
      </c>
      <c r="F78" s="123">
        <v>9493</v>
      </c>
      <c r="G78" s="112">
        <f t="shared" si="7"/>
        <v>1</v>
      </c>
      <c r="H78" s="99">
        <f>G78+'6'!H78</f>
        <v>7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'6'!F79</f>
        <v>0</v>
      </c>
      <c r="F79" s="123"/>
      <c r="G79" s="112">
        <f>G15-SUM(G74:G78)</f>
        <v>550</v>
      </c>
      <c r="H79" s="99">
        <f>G79+'6'!H79</f>
        <v>3470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963</v>
      </c>
      <c r="H80" s="99">
        <f>G80+'6'!H80</f>
        <v>963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'6'!F85</f>
        <v>2096.56</v>
      </c>
      <c r="F85" s="164">
        <v>2096.56</v>
      </c>
      <c r="G85" s="112">
        <f t="shared" si="8"/>
        <v>0</v>
      </c>
      <c r="H85" s="99">
        <f>G85+'6'!H85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'6'!F86</f>
        <v>43007.48</v>
      </c>
      <c r="F86" s="164">
        <v>43031.92</v>
      </c>
      <c r="G86" s="112">
        <f t="shared" si="8"/>
        <v>24.439999999995052</v>
      </c>
      <c r="H86" s="99">
        <f>G86+'6'!H86</f>
        <v>168.91999999999825</v>
      </c>
      <c r="I86" s="118"/>
      <c r="J86" s="175">
        <f>H86/DAY(B2)</f>
        <v>24.131428571428323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'6'!F87</f>
        <v>34598.550000000003</v>
      </c>
      <c r="F87" s="164">
        <v>34598.550000000003</v>
      </c>
      <c r="G87" s="112">
        <f t="shared" si="8"/>
        <v>0</v>
      </c>
      <c r="H87" s="99">
        <f>G87+'6'!H87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'6'!F88</f>
        <v>24058</v>
      </c>
      <c r="F88" s="164">
        <v>24058</v>
      </c>
      <c r="G88" s="112">
        <f t="shared" si="8"/>
        <v>0</v>
      </c>
      <c r="H88" s="99">
        <f>G88+'6'!H88</f>
        <v>11</v>
      </c>
      <c r="I88" s="118">
        <f>G86+G87+G88</f>
        <v>24.439999999995052</v>
      </c>
      <c r="J88" s="175">
        <f>H88/DAY(B2)</f>
        <v>1.5714285714285714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'6'!F89</f>
        <v>25695</v>
      </c>
      <c r="F89" s="164">
        <v>25705</v>
      </c>
      <c r="G89" s="112">
        <f t="shared" si="8"/>
        <v>10</v>
      </c>
      <c r="H89" s="99">
        <f>G89+'6'!H89</f>
        <v>42</v>
      </c>
      <c r="I89" s="118"/>
      <c r="J89" s="175">
        <f>H89/DAY(B2)</f>
        <v>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'6'!F90</f>
        <v>71063</v>
      </c>
      <c r="F90" s="164">
        <v>71068</v>
      </c>
      <c r="G90" s="112">
        <f t="shared" si="8"/>
        <v>5</v>
      </c>
      <c r="H90" s="99">
        <f>G90+'6'!H90</f>
        <v>34</v>
      </c>
      <c r="I90" s="118">
        <f>G89+G90</f>
        <v>15</v>
      </c>
      <c r="J90" s="175">
        <f>H90/DAY(B2)</f>
        <v>4.8571428571428568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'6'!F92</f>
        <v>5496.81</v>
      </c>
      <c r="F92" s="122">
        <v>5507.34</v>
      </c>
      <c r="G92" s="112">
        <f t="shared" si="8"/>
        <v>10.529999999999745</v>
      </c>
      <c r="H92" s="99">
        <f>G92+'6'!H92</f>
        <v>69.340000000000146</v>
      </c>
      <c r="I92" s="165"/>
      <c r="J92" s="175">
        <f>H92/DAY(B2)</f>
        <v>9.905714285714307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5773</v>
      </c>
      <c r="H94" s="99">
        <f>G94+'6'!H94</f>
        <v>41856</v>
      </c>
      <c r="I94" s="118"/>
      <c r="J94" s="175">
        <f>H94/DAY(B2)</f>
        <v>5979.4285714285716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0.29110987847309766</v>
      </c>
      <c r="H95" s="99">
        <f>G95+'6'!H95</f>
        <v>2.1168317350531174</v>
      </c>
      <c r="I95" s="167"/>
      <c r="J95" s="175">
        <f>H95/DAY(B2)</f>
        <v>0.30240453357901675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3369</v>
      </c>
      <c r="H96" s="99">
        <f>G96+'6'!H96</f>
        <v>21767.600000000006</v>
      </c>
      <c r="I96" s="118"/>
      <c r="J96" s="175">
        <f>H96/DAY(B2)</f>
        <v>3109.6571428571438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0.16988553275175231</v>
      </c>
      <c r="H97" s="99">
        <f>G97+'6'!H97</f>
        <v>1.1006878289937345</v>
      </c>
      <c r="I97" s="167"/>
      <c r="J97" s="175">
        <f>H97/DAY(B2)</f>
        <v>0.15724111842767635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2675</v>
      </c>
      <c r="H98" s="99">
        <f>G98+'6'!H98</f>
        <v>18997</v>
      </c>
      <c r="I98" s="168"/>
      <c r="J98" s="175">
        <f>H98/DAY(B2)</f>
        <v>2713.8571428571427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0.13488981897029903</v>
      </c>
      <c r="H99" s="99">
        <f>G99+'6'!H99</f>
        <v>0.96067492393032272</v>
      </c>
      <c r="I99" s="168"/>
      <c r="J99" s="175">
        <f>H99/DAY(B2)</f>
        <v>0.13723927484718895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1668</v>
      </c>
      <c r="H100" s="99">
        <f>G100+'6'!H100</f>
        <v>11485</v>
      </c>
      <c r="I100" s="118"/>
      <c r="J100" s="175">
        <f>H100/DAY(B2)</f>
        <v>1640.7142857142858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8.4110735716807022E-2</v>
      </c>
      <c r="H101" s="99">
        <f>G101+'6'!H101</f>
        <v>0.58033860949982741</v>
      </c>
      <c r="I101" s="168"/>
      <c r="J101" s="175">
        <f>H101/DAY(B2)</f>
        <v>8.2905515642832481E-2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1741</v>
      </c>
      <c r="H102" s="99">
        <f>G102+'6'!H102</f>
        <v>13154</v>
      </c>
      <c r="I102" s="168"/>
      <c r="J102" s="175">
        <f>H102/DAY(B2)</f>
        <v>1879.1428571428571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8.7791841056931066E-2</v>
      </c>
      <c r="H103" s="99">
        <f>G103+'6'!H103</f>
        <v>0.66460871082844386</v>
      </c>
      <c r="I103" s="118"/>
      <c r="J103" s="175">
        <f>H103/DAY(B2)</f>
        <v>9.4944101546920553E-2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1524</v>
      </c>
      <c r="H104" s="99">
        <f>G104+'6'!H104</f>
        <v>10678</v>
      </c>
      <c r="I104" s="118"/>
      <c r="J104" s="175">
        <f>H104/DAY(B2)</f>
        <v>1525.4285714285713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7.6849377237658209E-2</v>
      </c>
      <c r="H105" s="99">
        <f>G105+'6'!H105</f>
        <v>0.5398876657331142</v>
      </c>
      <c r="I105" s="187"/>
      <c r="J105" s="188">
        <f>H105/DAY(B2)</f>
        <v>7.7126809390444889E-2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'6'!F112</f>
        <v>56116</v>
      </c>
      <c r="F112" s="237">
        <v>56196</v>
      </c>
      <c r="G112" s="112">
        <f t="shared" ref="G112:G123" si="9">F112-E112</f>
        <v>80</v>
      </c>
      <c r="H112" s="99">
        <f>G112+'6'!H112</f>
        <v>515</v>
      </c>
      <c r="I112" s="165"/>
      <c r="J112" s="330">
        <f>H112/DAY(B2)</f>
        <v>73.571428571428569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'6'!F113</f>
        <v>34902</v>
      </c>
      <c r="F113" s="237">
        <v>35351</v>
      </c>
      <c r="G113" s="112">
        <f t="shared" si="9"/>
        <v>449</v>
      </c>
      <c r="H113" s="99">
        <f>G113+'6'!H113</f>
        <v>3156</v>
      </c>
      <c r="I113" s="165"/>
      <c r="J113" s="330">
        <f>H113/DAY(B2)</f>
        <v>450.85714285714283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'6'!F114</f>
        <v>26475</v>
      </c>
      <c r="F114" s="237">
        <v>26732</v>
      </c>
      <c r="G114" s="112">
        <f t="shared" si="9"/>
        <v>257</v>
      </c>
      <c r="H114" s="99">
        <f>G114+'6'!H114</f>
        <v>1861</v>
      </c>
      <c r="I114" s="165"/>
      <c r="J114" s="330">
        <f>H114/DAY(B2)</f>
        <v>265.85714285714283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'6'!F115</f>
        <v>8850</v>
      </c>
      <c r="F115" s="237">
        <v>8860</v>
      </c>
      <c r="G115" s="112">
        <f t="shared" si="9"/>
        <v>10</v>
      </c>
      <c r="H115" s="99">
        <f>G115+'6'!H115</f>
        <v>75</v>
      </c>
      <c r="I115" s="165"/>
      <c r="J115" s="330">
        <f>H115/DAY(B2)</f>
        <v>10.714285714285714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'6'!F117</f>
        <v>2749</v>
      </c>
      <c r="F117" s="237">
        <v>2778</v>
      </c>
      <c r="G117" s="112">
        <f t="shared" si="9"/>
        <v>29</v>
      </c>
      <c r="H117" s="99">
        <f>G117+'6'!H117</f>
        <v>188</v>
      </c>
      <c r="I117" s="165"/>
      <c r="J117" s="330">
        <f>H117/DAY(B2)</f>
        <v>26.857142857142858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'6'!F118</f>
        <v>243886</v>
      </c>
      <c r="F118" s="237">
        <v>244525</v>
      </c>
      <c r="G118" s="112">
        <f t="shared" si="9"/>
        <v>639</v>
      </c>
      <c r="H118" s="99">
        <f>G118+'6'!H118</f>
        <v>2878</v>
      </c>
      <c r="I118" s="165"/>
      <c r="J118" s="330">
        <f>H118/DAY(B2)</f>
        <v>411.14285714285717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'6'!F119</f>
        <v>247716</v>
      </c>
      <c r="F119" s="237">
        <v>248153</v>
      </c>
      <c r="G119" s="112">
        <f t="shared" si="9"/>
        <v>437</v>
      </c>
      <c r="H119" s="99">
        <f>G119+'6'!H119</f>
        <v>3027</v>
      </c>
      <c r="I119" s="165"/>
      <c r="J119" s="330">
        <f>H119/DAY(B2)</f>
        <v>432.42857142857144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'6'!F120</f>
        <v>32603</v>
      </c>
      <c r="F120" s="237">
        <v>33031</v>
      </c>
      <c r="G120" s="112">
        <f t="shared" si="9"/>
        <v>428</v>
      </c>
      <c r="H120" s="99">
        <f>G120+'6'!H120</f>
        <v>2953</v>
      </c>
      <c r="I120" s="165"/>
      <c r="J120" s="330">
        <f>H120/DAY(B2)</f>
        <v>421.85714285714283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'6'!F121</f>
        <v>381098</v>
      </c>
      <c r="F121" s="237">
        <v>381818</v>
      </c>
      <c r="G121" s="112">
        <f t="shared" si="9"/>
        <v>720</v>
      </c>
      <c r="H121" s="99">
        <f>G121+'6'!H121</f>
        <v>5289</v>
      </c>
      <c r="I121" s="165"/>
      <c r="J121" s="330">
        <f>H121/DAY(B2)</f>
        <v>755.57142857142856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'6'!F122</f>
        <v>121442</v>
      </c>
      <c r="F122" s="237">
        <v>121682</v>
      </c>
      <c r="G122" s="112">
        <f t="shared" si="9"/>
        <v>240</v>
      </c>
      <c r="H122" s="99">
        <f>G122+'6'!H122</f>
        <v>1632</v>
      </c>
      <c r="I122" s="165"/>
      <c r="J122" s="330">
        <f>H122/DAY(B2)</f>
        <v>233.14285714285714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'6'!F123</f>
        <v>147100</v>
      </c>
      <c r="F123" s="237">
        <v>147418</v>
      </c>
      <c r="G123" s="112">
        <f t="shared" si="9"/>
        <v>318</v>
      </c>
      <c r="H123" s="99">
        <f>G123+'6'!H123</f>
        <v>2293</v>
      </c>
      <c r="I123" s="165"/>
      <c r="J123" s="330">
        <f>H123/DAY(B2)</f>
        <v>327.57142857142856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30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3607</v>
      </c>
      <c r="H125" s="156"/>
      <c r="I125" s="329">
        <f>G125-(G39+G53)</f>
        <v>932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G127+'6'!H127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'6'!F128</f>
        <v>40028</v>
      </c>
      <c r="F128" s="165">
        <v>40344</v>
      </c>
      <c r="G128" s="112">
        <f t="shared" ref="G128:G134" si="10">F128-E128</f>
        <v>316</v>
      </c>
      <c r="H128" s="99">
        <f>G128+'6'!H128</f>
        <v>2340</v>
      </c>
      <c r="I128" s="165"/>
      <c r="J128" s="330">
        <f>H128/DAY(B2)</f>
        <v>334.28571428571428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'6'!F129</f>
        <v>21610</v>
      </c>
      <c r="F129" s="165">
        <v>21860</v>
      </c>
      <c r="G129" s="112">
        <f t="shared" si="10"/>
        <v>250</v>
      </c>
      <c r="H129" s="99">
        <f>G129+'6'!H129</f>
        <v>1539</v>
      </c>
      <c r="I129" s="165"/>
      <c r="J129" s="330">
        <f>H129/DAY(B2)</f>
        <v>219.85714285714286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'6'!F130</f>
        <v>22476</v>
      </c>
      <c r="F130" s="165">
        <v>23167</v>
      </c>
      <c r="G130" s="112">
        <f t="shared" si="10"/>
        <v>691</v>
      </c>
      <c r="H130" s="99">
        <f>G130+'6'!H130</f>
        <v>4785</v>
      </c>
      <c r="I130" s="165"/>
      <c r="J130" s="330">
        <f>H130/DAY(B2)</f>
        <v>683.57142857142856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'6'!F131</f>
        <v>13628</v>
      </c>
      <c r="F131" s="165">
        <v>13703</v>
      </c>
      <c r="G131" s="112">
        <f t="shared" si="10"/>
        <v>75</v>
      </c>
      <c r="H131" s="99">
        <f>G131+'6'!H131</f>
        <v>550</v>
      </c>
      <c r="I131" s="165"/>
      <c r="J131" s="330">
        <f>H131/DAY(B2)</f>
        <v>78.571428571428569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'6'!F132</f>
        <v>43714</v>
      </c>
      <c r="F132" s="165">
        <v>44223</v>
      </c>
      <c r="G132" s="112">
        <f t="shared" si="10"/>
        <v>509</v>
      </c>
      <c r="H132" s="99">
        <f>G132+'6'!H132</f>
        <v>3200</v>
      </c>
      <c r="I132" s="165"/>
      <c r="J132" s="330">
        <f>H132/DAY(B2)</f>
        <v>457.14285714285717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'6'!F133</f>
        <v>92706</v>
      </c>
      <c r="F133" s="165">
        <v>93462</v>
      </c>
      <c r="G133" s="112">
        <f t="shared" si="10"/>
        <v>756</v>
      </c>
      <c r="H133" s="99">
        <f>G133+'6'!H133</f>
        <v>5759</v>
      </c>
      <c r="I133" s="165"/>
      <c r="J133" s="330">
        <f>H133/DAY(B2)</f>
        <v>822.71428571428567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'6'!F134</f>
        <v>672722</v>
      </c>
      <c r="F134" s="165">
        <v>673370</v>
      </c>
      <c r="G134" s="112">
        <f t="shared" si="10"/>
        <v>648</v>
      </c>
      <c r="H134" s="99">
        <f>G134+'6'!H134</f>
        <v>4490</v>
      </c>
      <c r="I134" s="165"/>
      <c r="J134" s="330">
        <f>H134/DAY(B2)</f>
        <v>641.42857142857144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3245</v>
      </c>
      <c r="H135" s="99">
        <f>G135+'6'!H135</f>
        <v>22663</v>
      </c>
      <c r="I135" s="329">
        <f>G135-(G35+G49)</f>
        <v>-282</v>
      </c>
      <c r="J135" s="330" t="e">
        <f t="shared" ref="J135" si="11">H135/DAY(B54)</f>
        <v>#DIV/0!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'6'!F138</f>
        <v>864599</v>
      </c>
      <c r="F138" s="147">
        <v>864673</v>
      </c>
      <c r="G138" s="112">
        <f t="shared" ref="G138:G152" si="12">F138-E138</f>
        <v>74</v>
      </c>
      <c r="H138" s="99">
        <f>G138+'6'!H138</f>
        <v>502</v>
      </c>
      <c r="I138" s="118"/>
      <c r="J138" s="330">
        <f>H138/DAY(B2)</f>
        <v>71.714285714285708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'6'!F139</f>
        <v>886549</v>
      </c>
      <c r="F139" s="148">
        <v>886549</v>
      </c>
      <c r="G139" s="112">
        <f t="shared" si="12"/>
        <v>0</v>
      </c>
      <c r="H139" s="99">
        <f>G139+'6'!H139</f>
        <v>3</v>
      </c>
      <c r="I139" s="118"/>
      <c r="J139" s="330">
        <f>H139/DAY(B2)</f>
        <v>0.42857142857142855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'6'!F140</f>
        <v>88898.3</v>
      </c>
      <c r="F140" s="149">
        <v>88898</v>
      </c>
      <c r="G140" s="112">
        <f t="shared" si="12"/>
        <v>-0.30000000000291038</v>
      </c>
      <c r="H140" s="99">
        <f>G140+'6'!H140</f>
        <v>16</v>
      </c>
      <c r="I140" s="118"/>
      <c r="J140" s="330">
        <f>H140/DAY(B2)</f>
        <v>2.2857142857142856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'6'!F141</f>
        <v>50370</v>
      </c>
      <c r="F141" s="149">
        <v>50542</v>
      </c>
      <c r="G141" s="112">
        <f t="shared" si="12"/>
        <v>172</v>
      </c>
      <c r="H141" s="99">
        <f>G141+'6'!H141</f>
        <v>1236</v>
      </c>
      <c r="I141" s="118"/>
      <c r="J141" s="330">
        <f>H141/DAY(B2)</f>
        <v>176.57142857142858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'6'!F142</f>
        <v>19437</v>
      </c>
      <c r="F142" s="148">
        <v>19503</v>
      </c>
      <c r="G142" s="112">
        <f t="shared" si="12"/>
        <v>66</v>
      </c>
      <c r="H142" s="99">
        <f>G142+'6'!H142</f>
        <v>494</v>
      </c>
      <c r="I142" s="140"/>
      <c r="J142" s="330">
        <f>H142/DAY(B2)</f>
        <v>70.571428571428569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'6'!F143</f>
        <v>3195</v>
      </c>
      <c r="F143" s="149">
        <v>3220</v>
      </c>
      <c r="G143" s="112">
        <f t="shared" si="12"/>
        <v>25</v>
      </c>
      <c r="H143" s="99">
        <f>G143+'6'!H143</f>
        <v>159</v>
      </c>
      <c r="I143" s="140"/>
      <c r="J143" s="330">
        <f>H143/DAY(B2)</f>
        <v>22.714285714285715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'6'!F144</f>
        <v>871014</v>
      </c>
      <c r="F144" s="149">
        <v>871244</v>
      </c>
      <c r="G144" s="112">
        <f t="shared" si="12"/>
        <v>230</v>
      </c>
      <c r="H144" s="99">
        <f>G144+'6'!H144</f>
        <v>1574</v>
      </c>
      <c r="I144" s="140"/>
      <c r="J144" s="330">
        <f>H144/DAY(B2)</f>
        <v>224.85714285714286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'6'!F145</f>
        <v>4659</v>
      </c>
      <c r="F145" s="149">
        <v>4676</v>
      </c>
      <c r="G145" s="112">
        <f t="shared" si="12"/>
        <v>17</v>
      </c>
      <c r="H145" s="99">
        <f>G145+'6'!H145</f>
        <v>118</v>
      </c>
      <c r="I145" s="140"/>
      <c r="J145" s="330">
        <f>H145/DAY(B2)</f>
        <v>16.857142857142858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'6'!F146</f>
        <v>727616</v>
      </c>
      <c r="F146" s="148">
        <v>728026</v>
      </c>
      <c r="G146" s="112">
        <f t="shared" si="12"/>
        <v>410</v>
      </c>
      <c r="H146" s="99">
        <f>G146+'6'!H146</f>
        <v>3168</v>
      </c>
      <c r="I146" s="140"/>
      <c r="J146" s="330">
        <f>H146/DAY(B2)</f>
        <v>452.57142857142856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'6'!F147</f>
        <v>617718</v>
      </c>
      <c r="F147" s="148">
        <v>618086</v>
      </c>
      <c r="G147" s="112">
        <f t="shared" si="12"/>
        <v>368</v>
      </c>
      <c r="H147" s="99">
        <f>G147+'6'!H147</f>
        <v>2804</v>
      </c>
      <c r="I147" s="140"/>
      <c r="J147" s="330">
        <f>H147/DAY(B2)</f>
        <v>400.57142857142856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'6'!F148</f>
        <v>684690</v>
      </c>
      <c r="F148" s="150">
        <v>684937</v>
      </c>
      <c r="G148" s="112">
        <f t="shared" si="12"/>
        <v>247</v>
      </c>
      <c r="H148" s="99">
        <f>G148+'6'!H148</f>
        <v>1903.8800000000047</v>
      </c>
      <c r="I148" s="124"/>
      <c r="J148" s="330">
        <f>H148/DAY(B2)</f>
        <v>271.98285714285782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'6'!F149</f>
        <v>13147</v>
      </c>
      <c r="F149" s="146">
        <v>13601</v>
      </c>
      <c r="G149" s="112">
        <f t="shared" si="12"/>
        <v>454</v>
      </c>
      <c r="H149" s="99">
        <f>G149+'6'!H149</f>
        <v>2852</v>
      </c>
      <c r="I149" s="119"/>
      <c r="J149" s="330">
        <f>H149/DAY(B2)</f>
        <v>407.42857142857144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'6'!F150</f>
        <v>5359</v>
      </c>
      <c r="F150" s="233">
        <v>5593</v>
      </c>
      <c r="G150" s="112">
        <f t="shared" si="12"/>
        <v>234</v>
      </c>
      <c r="H150" s="99">
        <f>G150+'6'!H150</f>
        <v>1541</v>
      </c>
      <c r="I150" s="119"/>
      <c r="J150" s="330">
        <f>H150/DAY(B2)</f>
        <v>220.14285714285714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'6'!F151</f>
        <v>79746</v>
      </c>
      <c r="F151" s="233">
        <v>79961</v>
      </c>
      <c r="G151" s="112">
        <f t="shared" si="12"/>
        <v>215</v>
      </c>
      <c r="H151" s="99">
        <f>G151+'6'!H151</f>
        <v>1744</v>
      </c>
      <c r="I151" s="119"/>
      <c r="J151" s="330">
        <f>H151/DAY(B2)</f>
        <v>249.14285714285714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'6'!F152</f>
        <v>1253</v>
      </c>
      <c r="F152" s="233">
        <v>1269</v>
      </c>
      <c r="G152" s="112">
        <f t="shared" si="12"/>
        <v>16</v>
      </c>
      <c r="H152" s="99">
        <f>G152+'6'!H152</f>
        <v>142</v>
      </c>
      <c r="I152" s="119"/>
      <c r="J152" s="330">
        <f>H152/DAY(B2)</f>
        <v>20.285714285714285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2527.6999999999971</v>
      </c>
      <c r="H153" s="365"/>
      <c r="I153" s="119" t="s">
        <v>207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'6'!F155</f>
        <v>16648</v>
      </c>
      <c r="F155" s="376">
        <v>17300</v>
      </c>
      <c r="G155" s="112">
        <f t="shared" ref="G155:G156" si="13">F155-E155</f>
        <v>652</v>
      </c>
      <c r="H155" s="99">
        <f>G155+'6'!H155</f>
        <v>3828</v>
      </c>
      <c r="I155" s="366"/>
      <c r="J155" s="330">
        <f>H155/DAY(B2)</f>
        <v>546.85714285714289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'6'!F156</f>
        <v>1363</v>
      </c>
      <c r="F156" s="165">
        <v>1410</v>
      </c>
      <c r="G156" s="112">
        <f t="shared" si="13"/>
        <v>47</v>
      </c>
      <c r="H156" s="99">
        <f>G156+'6'!H156</f>
        <v>322</v>
      </c>
      <c r="I156" s="165"/>
      <c r="J156" s="330">
        <f>H156/DAY(B2)</f>
        <v>46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6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471153.56</v>
      </c>
      <c r="F161" s="235">
        <v>471219</v>
      </c>
      <c r="G161" s="238">
        <f t="shared" ref="G161:G165" si="14">F161-E161</f>
        <v>65.440000000002328</v>
      </c>
      <c r="H161" s="99">
        <f>G161+'6'!H161</f>
        <v>65.840000000025611</v>
      </c>
      <c r="I161" s="236"/>
      <c r="J161" s="239">
        <f>H161/DAY(B2)</f>
        <v>9.405714285717945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87718</v>
      </c>
      <c r="F162" s="235">
        <v>87752</v>
      </c>
      <c r="G162" s="238">
        <f t="shared" si="14"/>
        <v>34</v>
      </c>
      <c r="H162" s="99">
        <f>G162+'6'!H162</f>
        <v>182</v>
      </c>
      <c r="I162" s="236"/>
      <c r="J162" s="239">
        <f>H162/DAY(B2)</f>
        <v>26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78084</v>
      </c>
      <c r="F163" s="235">
        <v>78129</v>
      </c>
      <c r="G163" s="238">
        <f t="shared" si="14"/>
        <v>45</v>
      </c>
      <c r="H163" s="99">
        <f>G163+'6'!H163</f>
        <v>304</v>
      </c>
      <c r="I163" s="236"/>
      <c r="J163" s="239">
        <f>H163/DAY(B2)</f>
        <v>43.428571428571431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4250</v>
      </c>
      <c r="F164" s="235">
        <v>4253</v>
      </c>
      <c r="G164" s="238">
        <f t="shared" si="14"/>
        <v>3</v>
      </c>
      <c r="H164" s="99">
        <f>G164+'6'!H164</f>
        <v>11</v>
      </c>
      <c r="I164" s="236"/>
      <c r="J164" s="239">
        <f>H164/DAY(B2)</f>
        <v>1.5714285714285714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29685</v>
      </c>
      <c r="F165" s="235">
        <v>29691</v>
      </c>
      <c r="G165" s="238">
        <f t="shared" si="14"/>
        <v>6</v>
      </c>
      <c r="H165" s="99">
        <f>G165+'6'!H165</f>
        <v>45</v>
      </c>
      <c r="I165" s="236"/>
      <c r="J165" s="239">
        <f>H165/DAY(B2)</f>
        <v>6.4285714285714288</v>
      </c>
    </row>
    <row r="166" spans="1:10" ht="25.5" customHeight="1" x14ac:dyDescent="0.5">
      <c r="A166" s="824"/>
      <c r="B166" s="824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'6'!F174</f>
        <v>38347</v>
      </c>
      <c r="F174" s="157">
        <v>38358</v>
      </c>
      <c r="G174" s="155">
        <f t="shared" ref="G174:G175" si="15">F174-E174</f>
        <v>11</v>
      </c>
      <c r="H174" s="99">
        <f>G174+'6'!H174</f>
        <v>65</v>
      </c>
      <c r="I174" s="155"/>
      <c r="J174" s="178">
        <f>H174/DAY(B2)</f>
        <v>9.2857142857142865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'6'!F175</f>
        <v>21576</v>
      </c>
      <c r="F175" s="155">
        <v>21587</v>
      </c>
      <c r="G175" s="155">
        <f t="shared" si="15"/>
        <v>11</v>
      </c>
      <c r="H175" s="99">
        <f>G175+'6'!H175</f>
        <v>69</v>
      </c>
      <c r="I175" s="155"/>
      <c r="J175" s="178">
        <f>H175/DAY(B2)</f>
        <v>9.8571428571428577</v>
      </c>
    </row>
    <row r="176" spans="1:10" ht="27.75" x14ac:dyDescent="0.5">
      <c r="A176" s="596" t="s">
        <v>196</v>
      </c>
      <c r="B176" s="597"/>
      <c r="C176" s="335"/>
      <c r="D176" s="228" t="s">
        <v>142</v>
      </c>
      <c r="E176" s="95"/>
      <c r="F176" s="155"/>
      <c r="G176" s="155">
        <f>SUM(G173:G175)</f>
        <v>22</v>
      </c>
      <c r="H176" s="99">
        <f>G176+'6'!H176</f>
        <v>134</v>
      </c>
      <c r="I176" s="155"/>
      <c r="J176" s="178">
        <f>H176/DAY(B2)</f>
        <v>19.142857142857142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'6'!F178</f>
        <v>80046</v>
      </c>
      <c r="F178" s="155">
        <v>80108</v>
      </c>
      <c r="G178" s="155">
        <f>F178-E178</f>
        <v>62</v>
      </c>
      <c r="H178" s="99">
        <f>G178+'6'!H178</f>
        <v>494</v>
      </c>
      <c r="I178" s="155"/>
      <c r="J178" s="178">
        <f>H178/DAY(B2)</f>
        <v>70.571428571428569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'6'!F179</f>
        <v>34029</v>
      </c>
      <c r="F179" s="155">
        <v>34038</v>
      </c>
      <c r="G179" s="155">
        <f t="shared" ref="G179:G180" si="16">F179-E179</f>
        <v>9</v>
      </c>
      <c r="H179" s="99">
        <f>G179+'6'!H179</f>
        <v>123</v>
      </c>
      <c r="I179" s="155"/>
      <c r="J179" s="178">
        <f>H179/DAY(B2)</f>
        <v>17.571428571428573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'6'!F180</f>
        <v>5525</v>
      </c>
      <c r="F180" s="155">
        <v>5528</v>
      </c>
      <c r="G180" s="155">
        <f t="shared" si="16"/>
        <v>3</v>
      </c>
      <c r="H180" s="99">
        <f>G180+'6'!H180</f>
        <v>51</v>
      </c>
      <c r="I180" s="155"/>
      <c r="J180" s="178">
        <f>H180/DAY(B2)</f>
        <v>7.2857142857142856</v>
      </c>
    </row>
    <row r="181" spans="1:10" ht="27.75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74</v>
      </c>
      <c r="H181" s="99">
        <f>G181+'6'!H181</f>
        <v>668</v>
      </c>
      <c r="I181" s="155"/>
      <c r="J181" s="178">
        <f>H181/DAY(B2)</f>
        <v>95.428571428571431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'6'!F183</f>
        <v>15047</v>
      </c>
      <c r="F183" s="157">
        <v>15055</v>
      </c>
      <c r="G183" s="157">
        <f>F183-E183</f>
        <v>8</v>
      </c>
      <c r="H183" s="99">
        <f>G183+'6'!H183</f>
        <v>108</v>
      </c>
      <c r="I183" s="155"/>
      <c r="J183" s="178">
        <f>H183/DAY(B2)</f>
        <v>15.428571428571429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'6'!F184</f>
        <v>10345</v>
      </c>
      <c r="F184" s="157">
        <v>10349</v>
      </c>
      <c r="G184" s="157">
        <f t="shared" ref="G184:G185" si="17">F184-E184</f>
        <v>4</v>
      </c>
      <c r="H184" s="99">
        <f>G184+'6'!H184</f>
        <v>48</v>
      </c>
      <c r="I184" s="155"/>
      <c r="J184" s="178">
        <f>H184/DAY(B2)</f>
        <v>6.8571428571428568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12</v>
      </c>
      <c r="H186" s="99">
        <f>G186+'6'!H186</f>
        <v>156</v>
      </c>
      <c r="I186" s="157"/>
      <c r="J186" s="178">
        <f>H186/DAY(B2)</f>
        <v>22.285714285714285</v>
      </c>
    </row>
    <row r="187" spans="1:10" ht="27.75" x14ac:dyDescent="0.5">
      <c r="A187" s="821" t="s">
        <v>217</v>
      </c>
      <c r="B187" s="822"/>
      <c r="C187" s="335"/>
      <c r="D187" s="228" t="s">
        <v>142</v>
      </c>
      <c r="E187" s="95"/>
      <c r="F187" s="159"/>
      <c r="G187" s="464">
        <f>G62+G19</f>
        <v>111</v>
      </c>
      <c r="H187" s="99">
        <f>G187+'6'!H187</f>
        <v>718</v>
      </c>
      <c r="I187" s="158"/>
      <c r="J187" s="179">
        <f>H187/DAY(B2)</f>
        <v>102.57142857142857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135</v>
      </c>
      <c r="H188" s="99">
        <f>G188+'6'!H188</f>
        <v>988</v>
      </c>
      <c r="I188" s="158"/>
      <c r="J188" s="179">
        <f>H188/DAY(B2)</f>
        <v>141.14285714285714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74</v>
      </c>
      <c r="H189" s="99">
        <f>G189+'6'!H189</f>
        <v>668</v>
      </c>
      <c r="I189" s="158"/>
      <c r="J189" s="179">
        <f>H189/DAY(B2)</f>
        <v>95.428571428571431</v>
      </c>
    </row>
    <row r="190" spans="1:10" ht="27.75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22" zoomScale="55" zoomScaleSheetLayoutView="55" workbookViewId="0">
      <selection activeCell="F31" sqref="F3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44569</v>
      </c>
      <c r="C2" s="350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233035</v>
      </c>
      <c r="F7" s="95">
        <v>252267</v>
      </c>
      <c r="G7" s="112">
        <f>F7-E7</f>
        <v>19232</v>
      </c>
      <c r="H7" s="99">
        <f>G7+'7'!H7</f>
        <v>157706</v>
      </c>
      <c r="I7" s="113">
        <f>'1'!I7</f>
        <v>12000</v>
      </c>
      <c r="J7" s="175">
        <f>H7/DAY(B2)</f>
        <v>19713.25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282279</v>
      </c>
      <c r="F8" s="114">
        <v>301926</v>
      </c>
      <c r="G8" s="115">
        <f>F8-E8</f>
        <v>19647</v>
      </c>
      <c r="H8" s="99">
        <f>G8+'7'!H8</f>
        <v>161041</v>
      </c>
      <c r="I8" s="116"/>
      <c r="J8" s="175">
        <f>H8/DAY(B2)</f>
        <v>20130.125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2345355</v>
      </c>
      <c r="F9" s="117">
        <v>2357281</v>
      </c>
      <c r="G9" s="112">
        <f>F9-E9</f>
        <v>11926</v>
      </c>
      <c r="H9" s="99">
        <f>G9+'7'!H9</f>
        <v>98505</v>
      </c>
      <c r="I9" s="124">
        <f>I7-J7</f>
        <v>-7713.25</v>
      </c>
      <c r="J9" s="175">
        <f>H9/DAY(B2)</f>
        <v>12313.125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588953</v>
      </c>
      <c r="F10" s="117">
        <v>595732</v>
      </c>
      <c r="G10" s="112">
        <f t="shared" ref="G10:G12" si="0">F10-E10</f>
        <v>6779</v>
      </c>
      <c r="H10" s="99">
        <f>G10+'7'!H10</f>
        <v>54906</v>
      </c>
      <c r="I10" s="282"/>
      <c r="J10" s="175">
        <f>H10/DAY(B2)</f>
        <v>6863.25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18705</v>
      </c>
      <c r="H13" s="99">
        <f>G13+'7'!H13</f>
        <v>133945.74999999988</v>
      </c>
      <c r="I13" s="120">
        <f>G7-G13</f>
        <v>527</v>
      </c>
      <c r="J13" s="175">
        <f>H13/DAY(B2)</f>
        <v>16743.218749999985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'7'!F15</f>
        <v>1884767</v>
      </c>
      <c r="F15" s="123">
        <v>1885692</v>
      </c>
      <c r="G15" s="112">
        <f>(F15-E15)</f>
        <v>925</v>
      </c>
      <c r="H15" s="99">
        <f>G15+'7'!H15</f>
        <v>7262</v>
      </c>
      <c r="I15" s="113">
        <f>'1'!I15</f>
        <v>800</v>
      </c>
      <c r="J15" s="175">
        <f>H15/DAY(B2)</f>
        <v>907.75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-107.75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'7'!F18</f>
        <v>16</v>
      </c>
      <c r="F18" s="122">
        <v>16</v>
      </c>
      <c r="G18" s="119">
        <f>F18*10</f>
        <v>160</v>
      </c>
      <c r="H18" s="99">
        <f>G18+'7'!H18</f>
        <v>1070</v>
      </c>
      <c r="I18" s="113">
        <f>'1'!I18</f>
        <v>65</v>
      </c>
      <c r="J18" s="175">
        <f>H18/DAY(B2)</f>
        <v>133.75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'7'!F19</f>
        <v>152589</v>
      </c>
      <c r="F19" s="122">
        <v>152640</v>
      </c>
      <c r="G19" s="112">
        <f t="shared" ref="G19" si="1">F19-E19</f>
        <v>51</v>
      </c>
      <c r="H19" s="99">
        <f>G19+'7'!H19</f>
        <v>415</v>
      </c>
      <c r="I19" s="337"/>
      <c r="J19" s="175">
        <f>H19/DAY(B2)</f>
        <v>51.875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211</v>
      </c>
      <c r="H20" s="99">
        <f>G20+'7'!H20</f>
        <v>1485</v>
      </c>
      <c r="I20" s="338">
        <f>I18-J20</f>
        <v>-120.625</v>
      </c>
      <c r="J20" s="175">
        <f>H20/DAY(B2)</f>
        <v>185.625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19647</v>
      </c>
      <c r="F27" s="136">
        <v>9</v>
      </c>
      <c r="G27" s="137">
        <f>E27*F27</f>
        <v>176823</v>
      </c>
      <c r="H27" s="99">
        <f>G27+'7'!H27</f>
        <v>1449369</v>
      </c>
      <c r="I27" s="138"/>
      <c r="J27" s="175">
        <f>H27/DAY(B2)</f>
        <v>181171.125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925</v>
      </c>
      <c r="F28" s="136">
        <v>52</v>
      </c>
      <c r="G28" s="137">
        <f>E28*F28</f>
        <v>48100</v>
      </c>
      <c r="H28" s="99">
        <f>G28+'7'!H28</f>
        <v>377624</v>
      </c>
      <c r="I28" s="140"/>
      <c r="J28" s="175">
        <f>H28/DAY(B2)</f>
        <v>47203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60590</v>
      </c>
      <c r="I30" s="140"/>
      <c r="J30" s="175">
        <f>H30/DAY(B2)</f>
        <v>7573.75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85600</v>
      </c>
      <c r="I31" s="140"/>
      <c r="J31" s="175">
        <f>H31/DAY(B2)</f>
        <v>10700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245169</v>
      </c>
      <c r="H32" s="99">
        <f>G32+'7'!H32</f>
        <v>1973183</v>
      </c>
      <c r="I32" s="144"/>
      <c r="J32" s="175">
        <f>H32/DAY(B2)</f>
        <v>246647.875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166246</v>
      </c>
      <c r="F35" s="145">
        <v>168042</v>
      </c>
      <c r="G35" s="112">
        <f t="shared" ref="G35:G46" si="3">F35-E35</f>
        <v>1796</v>
      </c>
      <c r="H35" s="99">
        <f>G35+'7'!H35</f>
        <v>15200</v>
      </c>
      <c r="I35" s="95"/>
      <c r="J35" s="175">
        <f>H35/DAY(B2)</f>
        <v>1900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27229</v>
      </c>
      <c r="F36" s="145">
        <v>27971</v>
      </c>
      <c r="G36" s="112">
        <f t="shared" si="3"/>
        <v>742</v>
      </c>
      <c r="H36" s="99">
        <f>G36+'7'!H36</f>
        <v>6444</v>
      </c>
      <c r="I36" s="95"/>
      <c r="J36" s="175">
        <f>H36/DAY(B2)</f>
        <v>805.5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206071</v>
      </c>
      <c r="F37" s="145">
        <v>207605</v>
      </c>
      <c r="G37" s="112">
        <f t="shared" si="3"/>
        <v>1534</v>
      </c>
      <c r="H37" s="99">
        <f>G37+'7'!H37</f>
        <v>12212</v>
      </c>
      <c r="I37" s="95"/>
      <c r="J37" s="175">
        <f>H37/DAY(B2)</f>
        <v>1526.5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243967</v>
      </c>
      <c r="F38" s="108">
        <v>245682</v>
      </c>
      <c r="G38" s="112">
        <f t="shared" si="3"/>
        <v>1715</v>
      </c>
      <c r="H38" s="99">
        <f>G38+'7'!H38</f>
        <v>13200</v>
      </c>
      <c r="I38" s="95"/>
      <c r="J38" s="175">
        <f>H38/DAY(B2)</f>
        <v>1650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430076</v>
      </c>
      <c r="F39" s="145">
        <v>432761</v>
      </c>
      <c r="G39" s="112">
        <f t="shared" si="3"/>
        <v>2685</v>
      </c>
      <c r="H39" s="99">
        <f>G39+'7'!H39</f>
        <v>21682</v>
      </c>
      <c r="I39" s="95"/>
      <c r="J39" s="175">
        <f>H39/DAY(B2)</f>
        <v>2710.25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7301</v>
      </c>
      <c r="F40" s="145">
        <v>7863</v>
      </c>
      <c r="G40" s="112">
        <f t="shared" si="3"/>
        <v>562</v>
      </c>
      <c r="H40" s="99">
        <f>G40+'7'!H40</f>
        <v>2253</v>
      </c>
      <c r="I40" s="95"/>
      <c r="J40" s="175">
        <f>H40/DAY(B2)</f>
        <v>281.625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0</v>
      </c>
      <c r="F41" s="145">
        <v>0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73808.600000000006</v>
      </c>
      <c r="F42" s="145">
        <v>73808.600000000006</v>
      </c>
      <c r="G42" s="112">
        <f t="shared" si="3"/>
        <v>0</v>
      </c>
      <c r="H42" s="99">
        <f>G42+'7'!H42</f>
        <v>-0.39999999999417923</v>
      </c>
      <c r="I42" s="95"/>
      <c r="J42" s="175">
        <f>H42/DAY(B2)</f>
        <v>-4.9999999999272404E-2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64212</v>
      </c>
      <c r="F43" s="145">
        <v>66382</v>
      </c>
      <c r="G43" s="112">
        <f t="shared" si="3"/>
        <v>2170</v>
      </c>
      <c r="H43" s="99">
        <f>G43+'7'!H43</f>
        <v>19121</v>
      </c>
      <c r="I43" s="95"/>
      <c r="J43" s="175">
        <f>H43/DAY(B2)</f>
        <v>2390.125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11204</v>
      </c>
      <c r="H47" s="99">
        <f>G47+'7'!H47</f>
        <v>90111.6</v>
      </c>
      <c r="I47" s="95"/>
      <c r="J47" s="175">
        <f>H47/DAY(B2)</f>
        <v>11263.95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283741</v>
      </c>
      <c r="F49" s="145">
        <v>285361</v>
      </c>
      <c r="G49" s="112">
        <f t="shared" ref="G49:G58" si="4">F49-E49</f>
        <v>1620</v>
      </c>
      <c r="H49" s="99">
        <f>G49+'7'!H49</f>
        <v>13121</v>
      </c>
      <c r="I49" s="95"/>
      <c r="J49" s="175">
        <f>H49/DAY(B2)</f>
        <v>1640.125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32102</v>
      </c>
      <c r="F50" s="145">
        <v>33076</v>
      </c>
      <c r="G50" s="112">
        <f t="shared" si="4"/>
        <v>974</v>
      </c>
      <c r="H50" s="99">
        <f>G50+'7'!H50</f>
        <v>8426</v>
      </c>
      <c r="I50" s="95"/>
      <c r="J50" s="175">
        <f>H50/DAY(B2)</f>
        <v>1053.25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1599</v>
      </c>
      <c r="F54" s="145">
        <v>2065</v>
      </c>
      <c r="G54" s="112">
        <f t="shared" si="4"/>
        <v>466</v>
      </c>
      <c r="H54" s="99">
        <f>G54+'7'!H54</f>
        <v>2079.08</v>
      </c>
      <c r="I54" s="95"/>
      <c r="J54" s="175">
        <f>H54/DAY(B2)</f>
        <v>259.88499999999999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25279</v>
      </c>
      <c r="F55" s="145">
        <v>28469</v>
      </c>
      <c r="G55" s="112">
        <f t="shared" si="4"/>
        <v>3190</v>
      </c>
      <c r="H55" s="99">
        <f>G55+'7'!H55</f>
        <v>24958</v>
      </c>
      <c r="I55" s="95"/>
      <c r="J55" s="175">
        <f>H55/DAY(B2)</f>
        <v>3119.75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8610.5400000000009</v>
      </c>
      <c r="F56" s="145">
        <v>8610.5400000000009</v>
      </c>
      <c r="G56" s="112">
        <f t="shared" si="4"/>
        <v>0</v>
      </c>
      <c r="H56" s="99">
        <f>G56+'7'!H56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653</v>
      </c>
      <c r="F58" s="145">
        <v>834</v>
      </c>
      <c r="G58" s="112">
        <f t="shared" si="4"/>
        <v>181</v>
      </c>
      <c r="H58" s="99">
        <f>G58+'7'!H58</f>
        <v>1174.6300000000047</v>
      </c>
      <c r="I58" s="95"/>
      <c r="J58" s="175">
        <f>H58/DAY(B2)</f>
        <v>146.82875000000058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6431</v>
      </c>
      <c r="H59" s="99">
        <f>G59+'7'!H59</f>
        <v>49758.710000000006</v>
      </c>
      <c r="I59" s="95">
        <f>G7-G60</f>
        <v>1597</v>
      </c>
      <c r="J59" s="175">
        <f>H59/DAY(B2)</f>
        <v>6219.8387500000008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17635</v>
      </c>
      <c r="H60" s="99">
        <f>G60+'7'!H60</f>
        <v>139870.31</v>
      </c>
      <c r="I60" s="95">
        <f>G13-G60</f>
        <v>1070</v>
      </c>
      <c r="J60" s="175">
        <f>H60/DAY(B2)</f>
        <v>17483.78875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'7'!F62</f>
        <v>267567</v>
      </c>
      <c r="F62" s="122">
        <v>267670</v>
      </c>
      <c r="G62" s="112">
        <f t="shared" ref="G62:G63" si="5">F62-E62</f>
        <v>103</v>
      </c>
      <c r="H62" s="99">
        <f>G62+'7'!H62</f>
        <v>457</v>
      </c>
      <c r="I62" s="118"/>
      <c r="J62" s="175">
        <f>H62/DAY(B2)</f>
        <v>57.125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'7'!F63</f>
        <v>213218</v>
      </c>
      <c r="F63" s="122">
        <v>213330</v>
      </c>
      <c r="G63" s="112">
        <f t="shared" si="5"/>
        <v>112</v>
      </c>
      <c r="H63" s="99">
        <f>G63+'7'!H63</f>
        <v>905</v>
      </c>
      <c r="I63" s="118"/>
      <c r="J63" s="175">
        <f>H63/DAY(B2)</f>
        <v>113.125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'7'!F64</f>
        <v>0</v>
      </c>
      <c r="F64" s="122"/>
      <c r="G64" s="112">
        <f>G62+G63</f>
        <v>215</v>
      </c>
      <c r="H64" s="99">
        <f>G64+'7'!H64</f>
        <v>1362</v>
      </c>
      <c r="I64" s="118"/>
      <c r="J64" s="175">
        <f>H64/DAY(B2)</f>
        <v>170.25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'7'!F65</f>
        <v>433115</v>
      </c>
      <c r="F65" s="122">
        <v>433207</v>
      </c>
      <c r="G65" s="112">
        <f t="shared" ref="G65:G70" si="6">F65-E65</f>
        <v>92</v>
      </c>
      <c r="H65" s="99">
        <f>G65+'7'!H65</f>
        <v>593</v>
      </c>
      <c r="I65" s="118"/>
      <c r="J65" s="175">
        <f>H65/DAY(B2)</f>
        <v>74.125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'7'!F66</f>
        <v>107359</v>
      </c>
      <c r="F66" s="122">
        <v>107379</v>
      </c>
      <c r="G66" s="112">
        <f t="shared" si="6"/>
        <v>20</v>
      </c>
      <c r="H66" s="99">
        <f>G66+'7'!H66</f>
        <v>165</v>
      </c>
      <c r="I66" s="118"/>
      <c r="J66" s="175">
        <f>H66/DAY(B2)</f>
        <v>20.625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'7'!F67</f>
        <v>104120</v>
      </c>
      <c r="F67" s="122">
        <v>104141</v>
      </c>
      <c r="G67" s="112">
        <f t="shared" si="6"/>
        <v>21</v>
      </c>
      <c r="H67" s="99">
        <f>G67+'7'!H67</f>
        <v>213</v>
      </c>
      <c r="I67" s="118"/>
      <c r="J67" s="175">
        <f>H67/DAY(B2)</f>
        <v>26.625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'7'!F68</f>
        <v>156796</v>
      </c>
      <c r="F68" s="122">
        <v>156826</v>
      </c>
      <c r="G68" s="112">
        <f t="shared" si="6"/>
        <v>30</v>
      </c>
      <c r="H68" s="99">
        <f>G68+'7'!H68</f>
        <v>206</v>
      </c>
      <c r="I68" s="118"/>
      <c r="J68" s="175">
        <f>H68/DAY(B2)</f>
        <v>25.75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'7'!F69</f>
        <v>10305</v>
      </c>
      <c r="F69" s="122">
        <v>10311</v>
      </c>
      <c r="G69" s="112">
        <f t="shared" si="6"/>
        <v>6</v>
      </c>
      <c r="H69" s="99">
        <f>G69+'7'!H69</f>
        <v>97</v>
      </c>
      <c r="I69" s="118"/>
      <c r="J69" s="175">
        <f>H69/DAY(B2)</f>
        <v>12.125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'7'!F70</f>
        <v>7921</v>
      </c>
      <c r="F70" s="122">
        <v>7929</v>
      </c>
      <c r="G70" s="112">
        <f t="shared" si="6"/>
        <v>8</v>
      </c>
      <c r="H70" s="99">
        <f>G70+'7'!H70</f>
        <v>67</v>
      </c>
      <c r="I70" s="118"/>
      <c r="J70" s="175">
        <f>H70/DAY(B2)</f>
        <v>8.375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177</v>
      </c>
      <c r="H71" s="99">
        <f>G71+'7'!H71</f>
        <v>1341</v>
      </c>
      <c r="I71" s="154"/>
      <c r="J71" s="175">
        <f>H71/DAY(B2)</f>
        <v>167.625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'7'!F74</f>
        <v>894004</v>
      </c>
      <c r="F74" s="123">
        <v>894310</v>
      </c>
      <c r="G74" s="112">
        <f t="shared" ref="G74:G78" si="7">F74-E74</f>
        <v>306</v>
      </c>
      <c r="H74" s="99">
        <f>G74+'7'!H74</f>
        <v>2278</v>
      </c>
      <c r="I74" s="154"/>
      <c r="J74" s="175">
        <f>H74/DAY(B2)</f>
        <v>284.75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'7'!F76</f>
        <v>167841</v>
      </c>
      <c r="F76" s="123">
        <v>167928</v>
      </c>
      <c r="G76" s="112">
        <f t="shared" si="7"/>
        <v>87</v>
      </c>
      <c r="H76" s="99">
        <f>G76+'7'!H76</f>
        <v>721</v>
      </c>
      <c r="I76" s="154"/>
      <c r="J76" s="175">
        <f>H76/DAY(B2)</f>
        <v>90.125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'7'!F77</f>
        <v>40570</v>
      </c>
      <c r="F77" s="123">
        <v>40594</v>
      </c>
      <c r="G77" s="112">
        <f t="shared" si="7"/>
        <v>24</v>
      </c>
      <c r="H77" s="99">
        <f>G77+'7'!H77</f>
        <v>278</v>
      </c>
      <c r="I77" s="154"/>
      <c r="J77" s="175">
        <f>H77/DAY(B2)</f>
        <v>34.75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'7'!F78</f>
        <v>9493</v>
      </c>
      <c r="F78" s="123">
        <v>9493</v>
      </c>
      <c r="G78" s="112">
        <f t="shared" si="7"/>
        <v>0</v>
      </c>
      <c r="H78" s="99">
        <f>G78+'7'!H78</f>
        <v>7</v>
      </c>
      <c r="I78" s="118"/>
      <c r="J78" s="175">
        <f>H78/DAY(B2)</f>
        <v>0.875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'7'!F79</f>
        <v>0</v>
      </c>
      <c r="F79" s="117"/>
      <c r="G79" s="112">
        <f>G15-SUM(G74:G78)</f>
        <v>508</v>
      </c>
      <c r="H79" s="99">
        <f>G79+'7'!H79</f>
        <v>3978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925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'7'!F85</f>
        <v>2096.56</v>
      </c>
      <c r="F85" s="164">
        <v>2096.56</v>
      </c>
      <c r="G85" s="112">
        <f t="shared" si="8"/>
        <v>0</v>
      </c>
      <c r="H85" s="99">
        <f>G85+'7'!H85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'7'!F86</f>
        <v>43031.92</v>
      </c>
      <c r="F86" s="164">
        <v>43056</v>
      </c>
      <c r="G86" s="112">
        <f t="shared" si="8"/>
        <v>24.080000000001746</v>
      </c>
      <c r="H86" s="99">
        <f>G86+'7'!H86</f>
        <v>193</v>
      </c>
      <c r="I86" s="118"/>
      <c r="J86" s="175">
        <f>H86/DAY(B2)</f>
        <v>24.125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'7'!F87</f>
        <v>34598.550000000003</v>
      </c>
      <c r="F87" s="164">
        <v>34598.550000000003</v>
      </c>
      <c r="G87" s="112">
        <f t="shared" si="8"/>
        <v>0</v>
      </c>
      <c r="H87" s="99">
        <f>G87+'7'!H87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'7'!F88</f>
        <v>24058</v>
      </c>
      <c r="F88" s="164">
        <v>24058</v>
      </c>
      <c r="G88" s="112">
        <f t="shared" si="8"/>
        <v>0</v>
      </c>
      <c r="H88" s="99">
        <f>G88+'7'!H88</f>
        <v>11</v>
      </c>
      <c r="I88" s="118">
        <f>G86+G87+G88</f>
        <v>24.080000000001746</v>
      </c>
      <c r="J88" s="175">
        <f>H88/DAY(B2)</f>
        <v>1.375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'7'!F89</f>
        <v>25705</v>
      </c>
      <c r="F89" s="164">
        <v>25714</v>
      </c>
      <c r="G89" s="112">
        <f t="shared" si="8"/>
        <v>9</v>
      </c>
      <c r="H89" s="99">
        <f>G89+'7'!H89</f>
        <v>51</v>
      </c>
      <c r="I89" s="118"/>
      <c r="J89" s="175">
        <f>H89/DAY(B2)</f>
        <v>6.375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'7'!F90</f>
        <v>71068</v>
      </c>
      <c r="F90" s="164">
        <v>71072</v>
      </c>
      <c r="G90" s="112">
        <f t="shared" si="8"/>
        <v>4</v>
      </c>
      <c r="H90" s="99">
        <f>G90+'7'!H90</f>
        <v>38</v>
      </c>
      <c r="I90" s="118">
        <f>G89+G90</f>
        <v>13</v>
      </c>
      <c r="J90" s="175">
        <f>H90/DAY(B2)</f>
        <v>4.75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'7'!F92</f>
        <v>5507.34</v>
      </c>
      <c r="F92" s="122">
        <v>5518</v>
      </c>
      <c r="G92" s="112">
        <f t="shared" si="8"/>
        <v>10.659999999999854</v>
      </c>
      <c r="H92" s="99">
        <f>G92+'7'!H92</f>
        <v>80</v>
      </c>
      <c r="I92" s="165"/>
      <c r="J92" s="175">
        <f>H92/DAY(B2)</f>
        <v>10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5586</v>
      </c>
      <c r="H94" s="99">
        <f>G94+'7'!H94</f>
        <v>47442</v>
      </c>
      <c r="I94" s="118"/>
      <c r="J94" s="175">
        <f>H94/DAY(B2)</f>
        <v>5930.25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0.29045341098169719</v>
      </c>
      <c r="H95" s="99">
        <f>G95+'7'!H95</f>
        <v>2.4072851460348144</v>
      </c>
      <c r="I95" s="167"/>
      <c r="J95" s="175">
        <f>H95/DAY(B2)</f>
        <v>0.3009106432543518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3190</v>
      </c>
      <c r="H96" s="99">
        <f>G96+'7'!H96</f>
        <v>24957.600000000006</v>
      </c>
      <c r="I96" s="118"/>
      <c r="J96" s="175">
        <f>H96/DAY(B2)</f>
        <v>3119.7000000000007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0.16586938435940099</v>
      </c>
      <c r="H97" s="99">
        <f>G97+'7'!H97</f>
        <v>1.2665572133531355</v>
      </c>
      <c r="I97" s="167"/>
      <c r="J97" s="175">
        <f>H97/DAY(B2)</f>
        <v>0.15831965166914194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2685</v>
      </c>
      <c r="H98" s="99">
        <f>G98+'7'!H98</f>
        <v>21682</v>
      </c>
      <c r="I98" s="168"/>
      <c r="J98" s="175">
        <f>H98/DAY(B2)</f>
        <v>2710.25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0.13961106489184691</v>
      </c>
      <c r="H99" s="99">
        <f>G99+'7'!H99</f>
        <v>1.1002859888221697</v>
      </c>
      <c r="I99" s="168"/>
      <c r="J99" s="175">
        <f>H99/DAY(B2)</f>
        <v>0.13753574860277121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1715</v>
      </c>
      <c r="H100" s="99">
        <f>G100+'7'!H100</f>
        <v>13200</v>
      </c>
      <c r="I100" s="118"/>
      <c r="J100" s="175">
        <f>H100/DAY(B2)</f>
        <v>1650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8.9174292845257908E-2</v>
      </c>
      <c r="H101" s="99">
        <f>G101+'7'!H101</f>
        <v>0.66951290234508531</v>
      </c>
      <c r="I101" s="168"/>
      <c r="J101" s="175">
        <f>H101/DAY(B2)</f>
        <v>8.3689112793135664E-2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1716</v>
      </c>
      <c r="H102" s="99">
        <f>G102+'7'!H102</f>
        <v>14870</v>
      </c>
      <c r="I102" s="168"/>
      <c r="J102" s="175">
        <f>H102/DAY(B2)</f>
        <v>1858.75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8.9226289517470886E-2</v>
      </c>
      <c r="H103" s="99">
        <f>G103+'7'!H103</f>
        <v>0.75383500034591477</v>
      </c>
      <c r="I103" s="118"/>
      <c r="J103" s="175">
        <f>H103/DAY(B2)</f>
        <v>9.4229375043239347E-2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1534</v>
      </c>
      <c r="H104" s="99">
        <f>G104+'7'!H104</f>
        <v>12212</v>
      </c>
      <c r="I104" s="118"/>
      <c r="J104" s="175">
        <f>H104/DAY(B2)</f>
        <v>1526.5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7.9762895174708817E-2</v>
      </c>
      <c r="H105" s="99">
        <f>G105+'7'!H105</f>
        <v>0.619650560907823</v>
      </c>
      <c r="I105" s="187"/>
      <c r="J105" s="188">
        <f>H105/DAY(B2)</f>
        <v>7.7456320113477875E-2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'7'!F112</f>
        <v>56196</v>
      </c>
      <c r="F112" s="237">
        <v>56274</v>
      </c>
      <c r="G112" s="112">
        <f t="shared" ref="G112:G123" si="9">F112-E112</f>
        <v>78</v>
      </c>
      <c r="H112" s="99">
        <f>G112+'7'!H112</f>
        <v>593</v>
      </c>
      <c r="I112" s="165"/>
      <c r="J112" s="330">
        <f>H112/DAY(B2)</f>
        <v>74.125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'7'!F113</f>
        <v>35351</v>
      </c>
      <c r="F113" s="237">
        <v>35802</v>
      </c>
      <c r="G113" s="112">
        <f t="shared" si="9"/>
        <v>451</v>
      </c>
      <c r="H113" s="99">
        <f>G113+'7'!H113</f>
        <v>3607</v>
      </c>
      <c r="I113" s="165"/>
      <c r="J113" s="330">
        <f>H113/DAY(B2)</f>
        <v>450.875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'7'!F114</f>
        <v>26732</v>
      </c>
      <c r="F114" s="237">
        <v>26995</v>
      </c>
      <c r="G114" s="112">
        <f t="shared" si="9"/>
        <v>263</v>
      </c>
      <c r="H114" s="99">
        <f>G114+'7'!H114</f>
        <v>2124</v>
      </c>
      <c r="I114" s="165"/>
      <c r="J114" s="330">
        <f>H114/DAY(B2)</f>
        <v>265.5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'7'!F115</f>
        <v>8860</v>
      </c>
      <c r="F115" s="237">
        <v>8871</v>
      </c>
      <c r="G115" s="112">
        <f t="shared" si="9"/>
        <v>11</v>
      </c>
      <c r="H115" s="99">
        <f>G115+'7'!H115</f>
        <v>86</v>
      </c>
      <c r="I115" s="165"/>
      <c r="J115" s="330">
        <f>H115/DAY(B2)</f>
        <v>10.75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'7'!F117</f>
        <v>2778</v>
      </c>
      <c r="F117" s="237">
        <v>2800</v>
      </c>
      <c r="G117" s="112">
        <f t="shared" si="9"/>
        <v>22</v>
      </c>
      <c r="H117" s="99">
        <f>G117+'7'!H117</f>
        <v>210</v>
      </c>
      <c r="I117" s="165"/>
      <c r="J117" s="330">
        <f>H117/DAY(B2)</f>
        <v>26.25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'7'!F118</f>
        <v>244525</v>
      </c>
      <c r="F118" s="237">
        <v>244610</v>
      </c>
      <c r="G118" s="112">
        <f t="shared" si="9"/>
        <v>85</v>
      </c>
      <c r="H118" s="99">
        <f>G118+'7'!H118</f>
        <v>2963</v>
      </c>
      <c r="I118" s="165"/>
      <c r="J118" s="330">
        <f>H118/DAY(B2)</f>
        <v>370.375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'7'!F119</f>
        <v>248153</v>
      </c>
      <c r="F119" s="237">
        <v>248606</v>
      </c>
      <c r="G119" s="112">
        <f t="shared" si="9"/>
        <v>453</v>
      </c>
      <c r="H119" s="99">
        <f>G119+'7'!H119</f>
        <v>3480</v>
      </c>
      <c r="I119" s="165"/>
      <c r="J119" s="330">
        <f>H119/DAY(B2)</f>
        <v>435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'7'!F120</f>
        <v>33031</v>
      </c>
      <c r="F120" s="237">
        <v>33445</v>
      </c>
      <c r="G120" s="112">
        <f t="shared" si="9"/>
        <v>414</v>
      </c>
      <c r="H120" s="99">
        <f>G120+'7'!H120</f>
        <v>3367</v>
      </c>
      <c r="I120" s="165"/>
      <c r="J120" s="330">
        <f>H120/DAY(B2)</f>
        <v>420.875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'7'!F121</f>
        <v>381818</v>
      </c>
      <c r="F121" s="237">
        <v>382527</v>
      </c>
      <c r="G121" s="112">
        <f t="shared" si="9"/>
        <v>709</v>
      </c>
      <c r="H121" s="99">
        <f>G121+'7'!H121</f>
        <v>5998</v>
      </c>
      <c r="I121" s="165"/>
      <c r="J121" s="330">
        <f>H121/DAY(B2)</f>
        <v>749.75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'7'!F122</f>
        <v>121682</v>
      </c>
      <c r="F122" s="237">
        <v>121898</v>
      </c>
      <c r="G122" s="112">
        <f t="shared" si="9"/>
        <v>216</v>
      </c>
      <c r="H122" s="99">
        <f>G122+'7'!H122</f>
        <v>1848</v>
      </c>
      <c r="I122" s="165"/>
      <c r="J122" s="330">
        <f>H122/DAY(B2)</f>
        <v>231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'7'!F123</f>
        <v>147418</v>
      </c>
      <c r="F123" s="237">
        <v>147737</v>
      </c>
      <c r="G123" s="112">
        <f t="shared" si="9"/>
        <v>319</v>
      </c>
      <c r="H123" s="99">
        <f>G123+'7'!H123</f>
        <v>2612</v>
      </c>
      <c r="I123" s="165"/>
      <c r="J123" s="330">
        <f>H123/DAY(B2)</f>
        <v>326.5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3021</v>
      </c>
      <c r="H125" s="156"/>
      <c r="I125" s="329">
        <f>G125-(G39+G53)</f>
        <v>336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G127+'7'!H127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'7'!F128</f>
        <v>40344</v>
      </c>
      <c r="F128" s="165">
        <v>40658</v>
      </c>
      <c r="G128" s="112">
        <f t="shared" ref="G128:G134" si="10">F128-E128</f>
        <v>314</v>
      </c>
      <c r="H128" s="99">
        <f>G128+'7'!H128</f>
        <v>2654</v>
      </c>
      <c r="I128" s="165"/>
      <c r="J128" s="330">
        <f>H128/DAY(B2)</f>
        <v>331.75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'7'!F129</f>
        <v>21860</v>
      </c>
      <c r="F129" s="165">
        <v>22071</v>
      </c>
      <c r="G129" s="112">
        <f t="shared" si="10"/>
        <v>211</v>
      </c>
      <c r="H129" s="99">
        <f>G129+'7'!H129</f>
        <v>1750</v>
      </c>
      <c r="I129" s="165"/>
      <c r="J129" s="330">
        <f>H129/DAY(B2)</f>
        <v>218.75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'7'!F130</f>
        <v>23167</v>
      </c>
      <c r="F130" s="165">
        <v>23805</v>
      </c>
      <c r="G130" s="112">
        <f t="shared" si="10"/>
        <v>638</v>
      </c>
      <c r="H130" s="99">
        <f>G130+'7'!H130</f>
        <v>5423</v>
      </c>
      <c r="I130" s="165"/>
      <c r="J130" s="330">
        <f>H130/DAY(B2)</f>
        <v>677.875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'7'!F131</f>
        <v>13703</v>
      </c>
      <c r="F131" s="165">
        <v>13770</v>
      </c>
      <c r="G131" s="112">
        <f t="shared" si="10"/>
        <v>67</v>
      </c>
      <c r="H131" s="99">
        <f>G131+'7'!H131</f>
        <v>617</v>
      </c>
      <c r="I131" s="165"/>
      <c r="J131" s="330">
        <f>H131/DAY(B2)</f>
        <v>77.125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'7'!F132</f>
        <v>44223</v>
      </c>
      <c r="F132" s="165">
        <v>44731</v>
      </c>
      <c r="G132" s="112">
        <f t="shared" si="10"/>
        <v>508</v>
      </c>
      <c r="H132" s="99">
        <f>G132+'7'!H132</f>
        <v>3708</v>
      </c>
      <c r="I132" s="165"/>
      <c r="J132" s="330">
        <f>H132/DAY(B2)</f>
        <v>463.5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'7'!F133</f>
        <v>93462</v>
      </c>
      <c r="F133" s="165">
        <v>94229</v>
      </c>
      <c r="G133" s="112">
        <f t="shared" si="10"/>
        <v>767</v>
      </c>
      <c r="H133" s="99">
        <f>G133+'7'!H133</f>
        <v>6526</v>
      </c>
      <c r="I133" s="165"/>
      <c r="J133" s="330">
        <f>H133/DAY(B2)</f>
        <v>815.75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'7'!F134</f>
        <v>673370</v>
      </c>
      <c r="F134" s="165">
        <v>673983</v>
      </c>
      <c r="G134" s="112">
        <f t="shared" si="10"/>
        <v>613</v>
      </c>
      <c r="H134" s="99">
        <f>G134+'7'!H134</f>
        <v>5103</v>
      </c>
      <c r="I134" s="165"/>
      <c r="J134" s="330">
        <f>H134/DAY(B2)</f>
        <v>637.875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3118</v>
      </c>
      <c r="H135" s="99">
        <f>G135+'7'!H135</f>
        <v>25781</v>
      </c>
      <c r="I135" s="329">
        <f>G135-(G35+G49)</f>
        <v>-298</v>
      </c>
      <c r="J135" s="330" t="e">
        <f t="shared" ref="J135" si="11">H135/DAY(B54)</f>
        <v>#DIV/0!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'7'!F138</f>
        <v>864673</v>
      </c>
      <c r="F138" s="147">
        <v>864737</v>
      </c>
      <c r="G138" s="112">
        <f t="shared" ref="G138:G152" si="12">F138-E138</f>
        <v>64</v>
      </c>
      <c r="H138" s="99">
        <f>G138+'7'!H138</f>
        <v>566</v>
      </c>
      <c r="I138" s="118"/>
      <c r="J138" s="330">
        <f>H138/DAY(B2)</f>
        <v>70.75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'7'!F139</f>
        <v>886549</v>
      </c>
      <c r="F139" s="148">
        <v>886549</v>
      </c>
      <c r="G139" s="112">
        <f t="shared" si="12"/>
        <v>0</v>
      </c>
      <c r="H139" s="99">
        <f>G139+'7'!H139</f>
        <v>3</v>
      </c>
      <c r="I139" s="118"/>
      <c r="J139" s="330">
        <f>H139/DAY(B2)</f>
        <v>0.375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'7'!F140</f>
        <v>88898</v>
      </c>
      <c r="F140" s="149">
        <v>88898</v>
      </c>
      <c r="G140" s="112">
        <f t="shared" si="12"/>
        <v>0</v>
      </c>
      <c r="H140" s="99">
        <f>G140+'7'!H140</f>
        <v>16</v>
      </c>
      <c r="I140" s="118"/>
      <c r="J140" s="330">
        <f>H140/DAY(B2)</f>
        <v>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'7'!F141</f>
        <v>50542</v>
      </c>
      <c r="F141" s="149">
        <v>50714</v>
      </c>
      <c r="G141" s="112">
        <f t="shared" si="12"/>
        <v>172</v>
      </c>
      <c r="H141" s="99">
        <f>G141+'7'!H141</f>
        <v>1408</v>
      </c>
      <c r="I141" s="118"/>
      <c r="J141" s="330">
        <f>H141/DAY(B2)</f>
        <v>176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'7'!F142</f>
        <v>19503</v>
      </c>
      <c r="F142" s="710">
        <v>19567</v>
      </c>
      <c r="G142" s="112">
        <f t="shared" si="12"/>
        <v>64</v>
      </c>
      <c r="H142" s="99">
        <f>G142+'7'!H142</f>
        <v>558</v>
      </c>
      <c r="I142" s="140"/>
      <c r="J142" s="330">
        <f>H142/DAY(B2)</f>
        <v>69.75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'7'!F143</f>
        <v>3220</v>
      </c>
      <c r="F143" s="149">
        <v>3248</v>
      </c>
      <c r="G143" s="112">
        <f t="shared" si="12"/>
        <v>28</v>
      </c>
      <c r="H143" s="99">
        <f>G143+'7'!H143</f>
        <v>187</v>
      </c>
      <c r="I143" s="140"/>
      <c r="J143" s="330">
        <f>H143/DAY(B2)</f>
        <v>23.375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'7'!F144</f>
        <v>871244</v>
      </c>
      <c r="F144" s="149">
        <v>871484</v>
      </c>
      <c r="G144" s="112">
        <f t="shared" si="12"/>
        <v>240</v>
      </c>
      <c r="H144" s="99">
        <f>G144+'7'!H144</f>
        <v>1814</v>
      </c>
      <c r="I144" s="140"/>
      <c r="J144" s="330">
        <f>H144/DAY(B2)</f>
        <v>226.75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'7'!F145</f>
        <v>4676</v>
      </c>
      <c r="F145" s="149">
        <v>4694</v>
      </c>
      <c r="G145" s="112">
        <f t="shared" si="12"/>
        <v>18</v>
      </c>
      <c r="H145" s="99">
        <f>G145+'7'!H145</f>
        <v>136</v>
      </c>
      <c r="I145" s="140"/>
      <c r="J145" s="330">
        <f>H145/DAY(B2)</f>
        <v>17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'7'!F146</f>
        <v>728026</v>
      </c>
      <c r="F146" s="148">
        <v>728434</v>
      </c>
      <c r="G146" s="112">
        <f t="shared" si="12"/>
        <v>408</v>
      </c>
      <c r="H146" s="99">
        <f>G146+'7'!H146</f>
        <v>3576</v>
      </c>
      <c r="I146" s="140"/>
      <c r="J146" s="330">
        <f>H146/DAY(B2)</f>
        <v>447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'7'!F147</f>
        <v>618086</v>
      </c>
      <c r="F147" s="148">
        <v>618444</v>
      </c>
      <c r="G147" s="112">
        <f t="shared" si="12"/>
        <v>358</v>
      </c>
      <c r="H147" s="99">
        <f>G147+'7'!H147</f>
        <v>3162</v>
      </c>
      <c r="I147" s="140"/>
      <c r="J147" s="330">
        <f>H147/DAY(B2)</f>
        <v>395.25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'7'!F148</f>
        <v>684937</v>
      </c>
      <c r="F148" s="150">
        <v>685202</v>
      </c>
      <c r="G148" s="112">
        <f t="shared" si="12"/>
        <v>265</v>
      </c>
      <c r="H148" s="99">
        <f>G148+'7'!H148</f>
        <v>2168.8800000000047</v>
      </c>
      <c r="I148" s="124"/>
      <c r="J148" s="330">
        <f>H148/DAY(B2)</f>
        <v>271.11000000000058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'7'!F149</f>
        <v>13601</v>
      </c>
      <c r="F149" s="146">
        <v>14107</v>
      </c>
      <c r="G149" s="112">
        <f t="shared" si="12"/>
        <v>506</v>
      </c>
      <c r="H149" s="99">
        <f>G149+'7'!H149</f>
        <v>3358</v>
      </c>
      <c r="I149" s="119"/>
      <c r="J149" s="330">
        <f>H149/DAY(B2)</f>
        <v>419.75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'7'!F150</f>
        <v>5593</v>
      </c>
      <c r="F150" s="233">
        <v>5811</v>
      </c>
      <c r="G150" s="112">
        <f t="shared" si="12"/>
        <v>218</v>
      </c>
      <c r="H150" s="99">
        <f>G150+'7'!H150</f>
        <v>1759</v>
      </c>
      <c r="I150" s="119"/>
      <c r="J150" s="330">
        <f>H150/DAY(B2)</f>
        <v>219.875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'7'!F151</f>
        <v>79961</v>
      </c>
      <c r="F151" s="233">
        <v>80192</v>
      </c>
      <c r="G151" s="112">
        <f t="shared" si="12"/>
        <v>231</v>
      </c>
      <c r="H151" s="99">
        <f>G151+'7'!H151</f>
        <v>1975</v>
      </c>
      <c r="I151" s="119"/>
      <c r="J151" s="330">
        <f>H151/DAY(B2)</f>
        <v>246.875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'7'!F152</f>
        <v>1269</v>
      </c>
      <c r="F152" s="233">
        <v>1289</v>
      </c>
      <c r="G152" s="112">
        <f t="shared" si="12"/>
        <v>20</v>
      </c>
      <c r="H152" s="99">
        <f>G152+'7'!H152</f>
        <v>162</v>
      </c>
      <c r="I152" s="119"/>
      <c r="J152" s="330">
        <f>H152/DAY(B2)</f>
        <v>20.25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2592</v>
      </c>
      <c r="H153" s="365"/>
      <c r="I153" s="119">
        <f>G153-(G38+G52)</f>
        <v>877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'7'!F155</f>
        <v>17300</v>
      </c>
      <c r="F155" s="376">
        <v>17939</v>
      </c>
      <c r="G155" s="112">
        <f t="shared" ref="G155:G156" si="13">F155-E155</f>
        <v>639</v>
      </c>
      <c r="H155" s="99">
        <f>G155+'7'!H155</f>
        <v>4467</v>
      </c>
      <c r="I155" s="366"/>
      <c r="J155" s="330">
        <f>H155/DAY(B2)</f>
        <v>558.375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'7'!F156</f>
        <v>1410</v>
      </c>
      <c r="F156" s="155">
        <v>1459</v>
      </c>
      <c r="G156" s="112">
        <f t="shared" si="13"/>
        <v>49</v>
      </c>
      <c r="H156" s="99">
        <f>G156+'7'!H156</f>
        <v>371</v>
      </c>
      <c r="I156" s="165"/>
      <c r="J156" s="330">
        <f>H156/DAY(B2)</f>
        <v>46.375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471219</v>
      </c>
      <c r="F161" s="235">
        <v>471225</v>
      </c>
      <c r="G161" s="238">
        <f t="shared" ref="G161:G165" si="14">F161-E161</f>
        <v>6</v>
      </c>
      <c r="H161" s="99">
        <f>G161+'7'!H161</f>
        <v>71.840000000025611</v>
      </c>
      <c r="I161" s="236"/>
      <c r="J161" s="239">
        <f>H161/DAY(B2)</f>
        <v>8.9800000000032014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87752</v>
      </c>
      <c r="F162" s="235">
        <v>87773</v>
      </c>
      <c r="G162" s="238">
        <f t="shared" si="14"/>
        <v>21</v>
      </c>
      <c r="H162" s="99">
        <f>G162+'7'!H162</f>
        <v>203</v>
      </c>
      <c r="I162" s="236"/>
      <c r="J162" s="239">
        <f>H162/DAY(B2)</f>
        <v>25.375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78129</v>
      </c>
      <c r="F163" s="235">
        <v>78155</v>
      </c>
      <c r="G163" s="238">
        <f t="shared" si="14"/>
        <v>26</v>
      </c>
      <c r="H163" s="99">
        <f>G163+'7'!H163</f>
        <v>330</v>
      </c>
      <c r="I163" s="236"/>
      <c r="J163" s="239">
        <f>H163/DAY(B2)</f>
        <v>41.25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4253</v>
      </c>
      <c r="F164" s="235">
        <v>4255</v>
      </c>
      <c r="G164" s="238">
        <f t="shared" si="14"/>
        <v>2</v>
      </c>
      <c r="H164" s="99">
        <f>G164+'7'!H164</f>
        <v>13</v>
      </c>
      <c r="I164" s="236"/>
      <c r="J164" s="239">
        <f>H164/DAY(B2)</f>
        <v>1.625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29691</v>
      </c>
      <c r="F165" s="505">
        <v>29697</v>
      </c>
      <c r="G165" s="238">
        <f t="shared" si="14"/>
        <v>6</v>
      </c>
      <c r="H165" s="99">
        <f>G165+'7'!H165</f>
        <v>51</v>
      </c>
      <c r="I165" s="236"/>
      <c r="J165" s="239">
        <f>H165/DAY(B2)</f>
        <v>6.375</v>
      </c>
    </row>
    <row r="166" spans="1:10" ht="29.25" x14ac:dyDescent="0.5">
      <c r="A166" s="824"/>
      <c r="B166" s="824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'7'!F174</f>
        <v>38358</v>
      </c>
      <c r="F174" s="157">
        <v>38370</v>
      </c>
      <c r="G174" s="155">
        <f t="shared" ref="G174:G175" si="15">F174-E174</f>
        <v>12</v>
      </c>
      <c r="H174" s="99">
        <f>G174+'7'!H174</f>
        <v>77</v>
      </c>
      <c r="I174" s="155"/>
      <c r="J174" s="178">
        <f>H174/DAY(B2)</f>
        <v>9.625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'7'!F175</f>
        <v>21587</v>
      </c>
      <c r="F175" s="155">
        <v>21596</v>
      </c>
      <c r="G175" s="155">
        <f t="shared" si="15"/>
        <v>9</v>
      </c>
      <c r="H175" s="99">
        <f>G175+'7'!H175</f>
        <v>78</v>
      </c>
      <c r="I175" s="155"/>
      <c r="J175" s="178">
        <f>H175/DAY(B2)</f>
        <v>9.75</v>
      </c>
    </row>
    <row r="176" spans="1:10" ht="27.75" x14ac:dyDescent="0.5">
      <c r="A176" s="819" t="s">
        <v>196</v>
      </c>
      <c r="B176" s="820"/>
      <c r="C176" s="335"/>
      <c r="D176" s="228" t="s">
        <v>142</v>
      </c>
      <c r="E176" s="95"/>
      <c r="F176" s="155"/>
      <c r="G176" s="155">
        <f>SUM(G173:G175)</f>
        <v>21</v>
      </c>
      <c r="H176" s="99">
        <f>G176+'7'!H176</f>
        <v>155</v>
      </c>
      <c r="I176" s="155"/>
      <c r="J176" s="178">
        <f>H176/DAY(B2)</f>
        <v>19.375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'7'!F178</f>
        <v>80108</v>
      </c>
      <c r="F178" s="155">
        <v>80168</v>
      </c>
      <c r="G178" s="155">
        <f>F178-E178</f>
        <v>60</v>
      </c>
      <c r="H178" s="99">
        <f>G178+'7'!H178</f>
        <v>554</v>
      </c>
      <c r="I178" s="155"/>
      <c r="J178" s="178">
        <f>H178/DAY(B2)</f>
        <v>69.25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'7'!F179</f>
        <v>34038</v>
      </c>
      <c r="F179" s="155">
        <v>34052</v>
      </c>
      <c r="G179" s="155">
        <f t="shared" ref="G179:G180" si="16">F179-E179</f>
        <v>14</v>
      </c>
      <c r="H179" s="99">
        <f>G179+'7'!H179</f>
        <v>137</v>
      </c>
      <c r="I179" s="155"/>
      <c r="J179" s="178">
        <f>H179/DAY(B2)</f>
        <v>17.125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'7'!F180</f>
        <v>5528</v>
      </c>
      <c r="F180" s="155">
        <v>5543</v>
      </c>
      <c r="G180" s="155">
        <f t="shared" si="16"/>
        <v>15</v>
      </c>
      <c r="H180" s="99">
        <f>G180+'7'!H180</f>
        <v>66</v>
      </c>
      <c r="I180" s="155"/>
      <c r="J180" s="178">
        <f>H180/DAY(B2)</f>
        <v>8.25</v>
      </c>
    </row>
    <row r="181" spans="1:10" ht="27.75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89</v>
      </c>
      <c r="H181" s="99">
        <f>G181+'7'!H181</f>
        <v>757</v>
      </c>
      <c r="I181" s="155"/>
      <c r="J181" s="178">
        <f>H181/DAY(B2)</f>
        <v>94.625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'7'!F183</f>
        <v>15055</v>
      </c>
      <c r="F183" s="157">
        <v>15064</v>
      </c>
      <c r="G183" s="157">
        <f>F183-E183</f>
        <v>9</v>
      </c>
      <c r="H183" s="99">
        <f>G183+'7'!H183</f>
        <v>117</v>
      </c>
      <c r="I183" s="155"/>
      <c r="J183" s="178">
        <f>H183/DAY(B2)</f>
        <v>14.625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'7'!F184</f>
        <v>10349</v>
      </c>
      <c r="F184" s="157">
        <v>10356</v>
      </c>
      <c r="G184" s="157">
        <f t="shared" ref="G184:G185" si="17">F184-E184</f>
        <v>7</v>
      </c>
      <c r="H184" s="99">
        <f>G184+'7'!H184</f>
        <v>55</v>
      </c>
      <c r="I184" s="155"/>
      <c r="J184" s="178">
        <f>H184/DAY(B2)</f>
        <v>6.875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16</v>
      </c>
      <c r="H186" s="99">
        <f>G186+'7'!H186</f>
        <v>172</v>
      </c>
      <c r="I186" s="157"/>
      <c r="J186" s="178">
        <f>H186/DAY(B2)</f>
        <v>21.5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154</v>
      </c>
      <c r="H187" s="99">
        <f>G187+'7'!H187</f>
        <v>872</v>
      </c>
      <c r="I187" s="158"/>
      <c r="J187" s="179">
        <f>H187/DAY(B2)</f>
        <v>109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147</v>
      </c>
      <c r="H188" s="99">
        <f>G188+'7'!H188</f>
        <v>1135</v>
      </c>
      <c r="I188" s="158"/>
      <c r="J188" s="179">
        <f>H188/DAY(B2)</f>
        <v>141.875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89</v>
      </c>
      <c r="H189" s="99">
        <f>G189+'7'!H189</f>
        <v>757</v>
      </c>
      <c r="I189" s="158"/>
      <c r="J189" s="179">
        <f>H189/DAY(B2)</f>
        <v>94.625</v>
      </c>
    </row>
    <row r="190" spans="1:10" ht="27.75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46" zoomScale="55" zoomScaleNormal="80" zoomScaleSheetLayoutView="55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361</v>
      </c>
      <c r="B2" s="262">
        <v>44570</v>
      </c>
      <c r="C2" s="350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23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252267</v>
      </c>
      <c r="F7" s="95">
        <v>269978</v>
      </c>
      <c r="G7" s="112">
        <f>F7-E7</f>
        <v>17711</v>
      </c>
      <c r="H7" s="99">
        <f>G7+'8'!H7</f>
        <v>175417</v>
      </c>
      <c r="I7" s="113">
        <f>'1'!I7</f>
        <v>12000</v>
      </c>
      <c r="J7" s="175">
        <f>H7/DAY(B2)</f>
        <v>19490.777777777777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301926</v>
      </c>
      <c r="F8" s="95">
        <v>319937</v>
      </c>
      <c r="G8" s="115">
        <f>F8-E8</f>
        <v>18011</v>
      </c>
      <c r="H8" s="99">
        <f>G8+'8'!H8</f>
        <v>179052</v>
      </c>
      <c r="I8" s="116"/>
      <c r="J8" s="175">
        <f>H8/DAY(B2)</f>
        <v>19894.666666666668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v>0</v>
      </c>
      <c r="F9" s="355">
        <v>11657</v>
      </c>
      <c r="G9" s="112">
        <f>F9-E9</f>
        <v>11657</v>
      </c>
      <c r="H9" s="99">
        <f>G9+'8'!H9</f>
        <v>110162</v>
      </c>
      <c r="I9" s="124">
        <f>I7-J7</f>
        <v>-7490.7777777777774</v>
      </c>
      <c r="J9" s="175">
        <f>H9/DAY(B2)</f>
        <v>12240.222222222223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v>0</v>
      </c>
      <c r="F10" s="117">
        <v>5534</v>
      </c>
      <c r="G10" s="112">
        <f t="shared" ref="G10:G12" si="0">F10-E10</f>
        <v>5534</v>
      </c>
      <c r="H10" s="99">
        <f>G10+'8'!H10</f>
        <v>60440</v>
      </c>
      <c r="I10" s="282"/>
      <c r="J10" s="175">
        <f>H10/DAY(B2)</f>
        <v>6715.5555555555557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17191</v>
      </c>
      <c r="H13" s="99">
        <f>G13+'8'!H13</f>
        <v>151136.74999999988</v>
      </c>
      <c r="I13" s="120">
        <f>G7-G13</f>
        <v>520</v>
      </c>
      <c r="J13" s="175">
        <f>H13/DAY(B2)</f>
        <v>16792.972222222208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'8'!F15</f>
        <v>1885692</v>
      </c>
      <c r="F15" s="605">
        <v>1886599</v>
      </c>
      <c r="G15" s="112">
        <f>(F15-E15)</f>
        <v>907</v>
      </c>
      <c r="H15" s="99">
        <f>G15+'8'!H15</f>
        <v>8169</v>
      </c>
      <c r="I15" s="113">
        <f>'1'!I15</f>
        <v>800</v>
      </c>
      <c r="J15" s="175">
        <f>H15/DAY(B2)</f>
        <v>907.66666666666663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-107.66666666666663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'8'!F18</f>
        <v>16</v>
      </c>
      <c r="F18" s="122">
        <v>15</v>
      </c>
      <c r="G18" s="119">
        <f>F18*10</f>
        <v>150</v>
      </c>
      <c r="H18" s="99">
        <f>G18+'8'!H18</f>
        <v>1220</v>
      </c>
      <c r="I18" s="113">
        <f>'1'!I18</f>
        <v>65</v>
      </c>
      <c r="J18" s="175">
        <f>H18/DAY(B2)</f>
        <v>135.55555555555554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'8'!F19</f>
        <v>152640</v>
      </c>
      <c r="F19" s="122">
        <v>152695</v>
      </c>
      <c r="G19" s="112">
        <f t="shared" ref="G19" si="1">F19-E19</f>
        <v>55</v>
      </c>
      <c r="H19" s="99">
        <f>G19+'8'!H19</f>
        <v>470</v>
      </c>
      <c r="I19" s="337"/>
      <c r="J19" s="175">
        <f>H19/DAY(B2)</f>
        <v>52.222222222222221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G20+'8'!H20</f>
        <v>1690</v>
      </c>
      <c r="I20" s="338">
        <f>I18-J20</f>
        <v>-122.77777777777777</v>
      </c>
      <c r="J20" s="175">
        <f>H20/DAY(B2)</f>
        <v>187.77777777777777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18011</v>
      </c>
      <c r="F27" s="136">
        <v>9</v>
      </c>
      <c r="G27" s="137">
        <f>E27*F27</f>
        <v>162099</v>
      </c>
      <c r="H27" s="99">
        <f>G27+'8'!H27</f>
        <v>1611468</v>
      </c>
      <c r="I27" s="138"/>
      <c r="J27" s="175">
        <f>H27/DAY(B2)</f>
        <v>179052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907</v>
      </c>
      <c r="F28" s="136">
        <v>52</v>
      </c>
      <c r="G28" s="137">
        <f>E28*F28</f>
        <v>47164</v>
      </c>
      <c r="H28" s="99">
        <f>G28+'8'!H28</f>
        <v>424788</v>
      </c>
      <c r="I28" s="140"/>
      <c r="J28" s="175">
        <f>H28/DAY(B2)</f>
        <v>47198.666666666664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68620</v>
      </c>
      <c r="I30" s="140"/>
      <c r="J30" s="175">
        <f>H30/DAY(B2)</f>
        <v>7624.4444444444443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G31+'8'!H31</f>
        <v>97600</v>
      </c>
      <c r="I31" s="140"/>
      <c r="J31" s="175">
        <f>H31/DAY(B2)</f>
        <v>10844.444444444445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229293</v>
      </c>
      <c r="H32" s="99">
        <f>G32+'8'!H32</f>
        <v>2202476</v>
      </c>
      <c r="I32" s="144"/>
      <c r="J32" s="175">
        <f>H32/DAY(B2)</f>
        <v>244719.55555555556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v>0</v>
      </c>
      <c r="F35" s="145">
        <v>1783</v>
      </c>
      <c r="G35" s="112">
        <f t="shared" ref="G35:G46" si="3">F35-E35</f>
        <v>1783</v>
      </c>
      <c r="H35" s="99">
        <f>G35+'8'!H35</f>
        <v>16983</v>
      </c>
      <c r="I35" s="95"/>
      <c r="J35" s="175">
        <f>H35/DAY(B2)</f>
        <v>1887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27971</v>
      </c>
      <c r="F36" s="145">
        <v>28675</v>
      </c>
      <c r="G36" s="112">
        <f t="shared" si="3"/>
        <v>704</v>
      </c>
      <c r="H36" s="99">
        <f>G36+'8'!H36</f>
        <v>7148</v>
      </c>
      <c r="I36" s="95"/>
      <c r="J36" s="175">
        <f>H36/DAY(B2)</f>
        <v>794.22222222222217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v>0</v>
      </c>
      <c r="F37" s="145">
        <v>1472</v>
      </c>
      <c r="G37" s="112">
        <f t="shared" si="3"/>
        <v>1472</v>
      </c>
      <c r="H37" s="99">
        <f>G37+'8'!H37</f>
        <v>13684</v>
      </c>
      <c r="I37" s="95"/>
      <c r="J37" s="175">
        <f>H37/DAY(B2)</f>
        <v>1520.4444444444443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v>0</v>
      </c>
      <c r="F38" s="108">
        <v>1658</v>
      </c>
      <c r="G38" s="112">
        <f t="shared" si="3"/>
        <v>1658</v>
      </c>
      <c r="H38" s="99">
        <f>G38+'8'!H38</f>
        <v>14858</v>
      </c>
      <c r="I38" s="95"/>
      <c r="J38" s="175">
        <f>H38/DAY(B2)</f>
        <v>1650.8888888888889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v>0</v>
      </c>
      <c r="F39" s="145">
        <v>2610</v>
      </c>
      <c r="G39" s="112">
        <f t="shared" si="3"/>
        <v>2610</v>
      </c>
      <c r="H39" s="99">
        <f>G39+'8'!H39</f>
        <v>24292</v>
      </c>
      <c r="I39" s="95"/>
      <c r="J39" s="175">
        <f>H39/DAY(B2)</f>
        <v>2699.1111111111113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7863</v>
      </c>
      <c r="F40" s="145">
        <v>8483</v>
      </c>
      <c r="G40" s="112">
        <f t="shared" si="3"/>
        <v>620</v>
      </c>
      <c r="H40" s="99">
        <f>G40+'8'!H40</f>
        <v>2873</v>
      </c>
      <c r="I40" s="95"/>
      <c r="J40" s="175">
        <f>H40/DAY(B2)</f>
        <v>319.22222222222223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0</v>
      </c>
      <c r="F41" s="145">
        <v>0</v>
      </c>
      <c r="G41" s="112">
        <f t="shared" si="3"/>
        <v>0</v>
      </c>
      <c r="H41" s="99">
        <f>G41+'8'!H41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73808.600000000006</v>
      </c>
      <c r="F42" s="145">
        <v>73808.600000000006</v>
      </c>
      <c r="G42" s="112">
        <f t="shared" si="3"/>
        <v>0</v>
      </c>
      <c r="H42" s="99">
        <f>G42+'8'!H42</f>
        <v>-0.39999999999417923</v>
      </c>
      <c r="I42" s="95"/>
      <c r="J42" s="175">
        <f>H42/DAY(B2)</f>
        <v>-4.4444444443797693E-2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66382</v>
      </c>
      <c r="F43" s="145">
        <v>68533</v>
      </c>
      <c r="G43" s="112">
        <f t="shared" si="3"/>
        <v>2151</v>
      </c>
      <c r="H43" s="99">
        <f>G43+'8'!H43</f>
        <v>21272</v>
      </c>
      <c r="I43" s="95"/>
      <c r="J43" s="175">
        <f>H43/DAY(B2)</f>
        <v>2363.5555555555557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10998</v>
      </c>
      <c r="H47" s="99">
        <f>G47+'8'!H47</f>
        <v>101109.6</v>
      </c>
      <c r="I47" s="95"/>
      <c r="J47" s="175">
        <f>H47/DAY(B2)</f>
        <v>11234.400000000001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0</v>
      </c>
      <c r="F49" s="145">
        <v>1306</v>
      </c>
      <c r="G49" s="112">
        <f t="shared" ref="G49:G58" si="4">F49-E49</f>
        <v>1306</v>
      </c>
      <c r="H49" s="99">
        <f>G49+'8'!H49</f>
        <v>14427</v>
      </c>
      <c r="I49" s="95"/>
      <c r="J49" s="175">
        <f>H49/DAY(B2)</f>
        <v>1603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33076</v>
      </c>
      <c r="F50" s="145">
        <v>34045</v>
      </c>
      <c r="G50" s="112">
        <f t="shared" si="4"/>
        <v>969</v>
      </c>
      <c r="H50" s="99">
        <f>G50+'8'!H50</f>
        <v>9395</v>
      </c>
      <c r="I50" s="95"/>
      <c r="J50" s="175">
        <f>H50/DAY(B2)</f>
        <v>1043.8888888888889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312</v>
      </c>
      <c r="F54" s="145">
        <v>783</v>
      </c>
      <c r="G54" s="112">
        <f t="shared" si="4"/>
        <v>471</v>
      </c>
      <c r="H54" s="99">
        <f>G54+'8'!H54</f>
        <v>2550.08</v>
      </c>
      <c r="I54" s="95"/>
      <c r="J54" s="175">
        <f>H54/DAY(B2)</f>
        <v>283.34222222222223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28469</v>
      </c>
      <c r="F55" s="145">
        <v>31231</v>
      </c>
      <c r="G55" s="112">
        <f t="shared" si="4"/>
        <v>2762</v>
      </c>
      <c r="H55" s="99">
        <f>G55+'8'!H55</f>
        <v>27720</v>
      </c>
      <c r="I55" s="95"/>
      <c r="J55" s="175">
        <f>H55/DAY(B2)</f>
        <v>3080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8610.5400000000009</v>
      </c>
      <c r="F56" s="145">
        <v>8611</v>
      </c>
      <c r="G56" s="112">
        <f t="shared" si="4"/>
        <v>0.45999999999912689</v>
      </c>
      <c r="H56" s="99">
        <f>G56+'8'!H56</f>
        <v>0.45999999999912689</v>
      </c>
      <c r="I56" s="95"/>
      <c r="J56" s="175">
        <f>H56/DAY(B2)</f>
        <v>5.1111111111014101E-2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834</v>
      </c>
      <c r="F58" s="145">
        <v>1018</v>
      </c>
      <c r="G58" s="112">
        <f t="shared" si="4"/>
        <v>184</v>
      </c>
      <c r="H58" s="99">
        <f>G58+'8'!H58</f>
        <v>1358.6300000000047</v>
      </c>
      <c r="I58" s="95"/>
      <c r="J58" s="175">
        <f>H58/DAY(B2)</f>
        <v>150.95888888888942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5692.4599999999991</v>
      </c>
      <c r="H59" s="99">
        <f>G59+'8'!H59</f>
        <v>55451.170000000006</v>
      </c>
      <c r="I59" s="95">
        <f>G7-G60</f>
        <v>1020.5400000000009</v>
      </c>
      <c r="J59" s="175">
        <f>H59/DAY(B2)</f>
        <v>6161.2411111111114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16690.46</v>
      </c>
      <c r="H60" s="99">
        <f>G60+'8'!H60</f>
        <v>156560.76999999999</v>
      </c>
      <c r="I60" s="95">
        <f>G13-G60</f>
        <v>500.54000000000087</v>
      </c>
      <c r="J60" s="175">
        <f>H60/DAY(B2)</f>
        <v>17395.641111111108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'8'!F62</f>
        <v>267670</v>
      </c>
      <c r="F62" s="122">
        <v>267750</v>
      </c>
      <c r="G62" s="112">
        <f t="shared" ref="G62:G63" si="5">F62-E62</f>
        <v>80</v>
      </c>
      <c r="H62" s="99">
        <f>G62+'8'!H62</f>
        <v>537</v>
      </c>
      <c r="I62" s="118"/>
      <c r="J62" s="175">
        <f>H62/DAY(B2)</f>
        <v>59.666666666666664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'8'!F63</f>
        <v>213330</v>
      </c>
      <c r="F63" s="122">
        <v>213397</v>
      </c>
      <c r="G63" s="112">
        <f t="shared" si="5"/>
        <v>67</v>
      </c>
      <c r="H63" s="99">
        <f>G63+'8'!H63</f>
        <v>972</v>
      </c>
      <c r="I63" s="118"/>
      <c r="J63" s="175">
        <f>H63/DAY(B2)</f>
        <v>108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'8'!F64</f>
        <v>0</v>
      </c>
      <c r="F64" s="122"/>
      <c r="G64" s="112">
        <f>G62+G63</f>
        <v>147</v>
      </c>
      <c r="H64" s="99">
        <f>G64+'8'!H64</f>
        <v>1509</v>
      </c>
      <c r="I64" s="118"/>
      <c r="J64" s="175">
        <f>H64/DAY(B2)</f>
        <v>167.66666666666666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'8'!F65</f>
        <v>433207</v>
      </c>
      <c r="F65" s="122">
        <v>433285</v>
      </c>
      <c r="G65" s="112">
        <f t="shared" ref="G65:G70" si="6">F65-E65</f>
        <v>78</v>
      </c>
      <c r="H65" s="99">
        <f>G65+'8'!H65</f>
        <v>671</v>
      </c>
      <c r="I65" s="118"/>
      <c r="J65" s="175">
        <f>H65/DAY(B2)</f>
        <v>74.555555555555557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'8'!F66</f>
        <v>107379</v>
      </c>
      <c r="F66" s="122">
        <v>107396</v>
      </c>
      <c r="G66" s="112">
        <f t="shared" si="6"/>
        <v>17</v>
      </c>
      <c r="H66" s="99">
        <f>G66+'8'!H66</f>
        <v>182</v>
      </c>
      <c r="I66" s="118"/>
      <c r="J66" s="175">
        <f>H66/DAY(B2)</f>
        <v>20.222222222222221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'8'!F67</f>
        <v>104141</v>
      </c>
      <c r="F67" s="122">
        <v>104165</v>
      </c>
      <c r="G67" s="112">
        <f t="shared" si="6"/>
        <v>24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'8'!F68</f>
        <v>156826</v>
      </c>
      <c r="F68" s="122">
        <v>156853</v>
      </c>
      <c r="G68" s="112">
        <f t="shared" si="6"/>
        <v>27</v>
      </c>
      <c r="H68" s="99">
        <f>G68+'8'!H68</f>
        <v>233</v>
      </c>
      <c r="I68" s="118"/>
      <c r="J68" s="175">
        <f>H68/DAY(B2)</f>
        <v>25.888888888888889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'8'!F69</f>
        <v>10311</v>
      </c>
      <c r="F69" s="122">
        <v>10318</v>
      </c>
      <c r="G69" s="112">
        <f t="shared" si="6"/>
        <v>7</v>
      </c>
      <c r="H69" s="99">
        <f>G69+'8'!H69</f>
        <v>104</v>
      </c>
      <c r="I69" s="118"/>
      <c r="J69" s="175">
        <f>H69/DAY(B2)</f>
        <v>11.555555555555555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'8'!F70</f>
        <v>7929</v>
      </c>
      <c r="F70" s="122">
        <v>7943</v>
      </c>
      <c r="G70" s="112">
        <f t="shared" si="6"/>
        <v>14</v>
      </c>
      <c r="H70" s="99">
        <f>G70+'8'!H70</f>
        <v>81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167</v>
      </c>
      <c r="H71" s="99">
        <f>G71+'8'!H71</f>
        <v>1508</v>
      </c>
      <c r="I71" s="154"/>
      <c r="J71" s="175">
        <f>H71/DAY(B2)</f>
        <v>167.55555555555554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'8'!F74</f>
        <v>894310</v>
      </c>
      <c r="F74" s="117">
        <v>894615</v>
      </c>
      <c r="G74" s="112">
        <f t="shared" ref="G74:G78" si="7">F74-E74</f>
        <v>305</v>
      </c>
      <c r="H74" s="99">
        <f>G74+'8'!H74</f>
        <v>2583</v>
      </c>
      <c r="I74" s="154"/>
      <c r="J74" s="175">
        <f>H74/DAY(B2)</f>
        <v>287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'8'!F76</f>
        <v>167928</v>
      </c>
      <c r="F76" s="123">
        <v>168004</v>
      </c>
      <c r="G76" s="112">
        <f t="shared" si="7"/>
        <v>76</v>
      </c>
      <c r="H76" s="99">
        <f>G76+'8'!H76</f>
        <v>797</v>
      </c>
      <c r="I76" s="154"/>
      <c r="J76" s="175">
        <f>H76/DAY(B2)</f>
        <v>88.555555555555557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'8'!F77</f>
        <v>40594</v>
      </c>
      <c r="F77" s="123">
        <v>40618</v>
      </c>
      <c r="G77" s="112">
        <f t="shared" si="7"/>
        <v>24</v>
      </c>
      <c r="H77" s="99">
        <f>G77+'8'!H77</f>
        <v>302</v>
      </c>
      <c r="I77" s="154"/>
      <c r="J77" s="175">
        <f>H77/DAY(B2)</f>
        <v>33.555555555555557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'8'!F78</f>
        <v>9493</v>
      </c>
      <c r="F78" s="123">
        <v>9493</v>
      </c>
      <c r="G78" s="112">
        <f t="shared" si="7"/>
        <v>0</v>
      </c>
      <c r="H78" s="99">
        <f>G78+'8'!H78</f>
        <v>7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'8'!F79</f>
        <v>0</v>
      </c>
      <c r="F79" s="117"/>
      <c r="G79" s="112">
        <f>G15-SUM(G74:G78)</f>
        <v>501.80000000000291</v>
      </c>
      <c r="H79" s="99">
        <f>G79+'8'!H79</f>
        <v>4479.8000000000029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907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'8'!F85</f>
        <v>2096.56</v>
      </c>
      <c r="F85" s="164">
        <v>2096.56</v>
      </c>
      <c r="G85" s="112">
        <f t="shared" si="8"/>
        <v>0</v>
      </c>
      <c r="H85" s="99">
        <f>G85+'8'!H85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'8'!F86</f>
        <v>43056</v>
      </c>
      <c r="F86" s="164">
        <v>43080</v>
      </c>
      <c r="G86" s="112">
        <f t="shared" si="8"/>
        <v>24</v>
      </c>
      <c r="H86" s="99">
        <f>G86+'8'!H86</f>
        <v>217</v>
      </c>
      <c r="I86" s="118"/>
      <c r="J86" s="175">
        <f>H86/DAY(B2)</f>
        <v>24.111111111111111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'8'!F87</f>
        <v>34598.550000000003</v>
      </c>
      <c r="F87" s="164">
        <v>34598.550000000003</v>
      </c>
      <c r="G87" s="112">
        <f t="shared" si="8"/>
        <v>0</v>
      </c>
      <c r="H87" s="99">
        <f>G87+'8'!H87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'8'!F88</f>
        <v>24058</v>
      </c>
      <c r="F88" s="164">
        <v>24058</v>
      </c>
      <c r="G88" s="112">
        <f t="shared" si="8"/>
        <v>0</v>
      </c>
      <c r="H88" s="99">
        <f>G88+'8'!H88</f>
        <v>11</v>
      </c>
      <c r="I88" s="118">
        <f>G86+G87+G88</f>
        <v>24</v>
      </c>
      <c r="J88" s="175">
        <f>H88/DAY(B2)</f>
        <v>1.2222222222222223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'8'!F89</f>
        <v>25714</v>
      </c>
      <c r="F89" s="164">
        <v>25723</v>
      </c>
      <c r="G89" s="112">
        <f t="shared" si="8"/>
        <v>9</v>
      </c>
      <c r="H89" s="99">
        <f>G89+'8'!H89</f>
        <v>60</v>
      </c>
      <c r="I89" s="118"/>
      <c r="J89" s="175">
        <f>H89/DAY(B2)</f>
        <v>6.666666666666667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'8'!F90</f>
        <v>71072</v>
      </c>
      <c r="F90" s="164">
        <v>71074</v>
      </c>
      <c r="G90" s="112">
        <f t="shared" si="8"/>
        <v>2</v>
      </c>
      <c r="H90" s="99">
        <f>G90+'8'!H90</f>
        <v>40</v>
      </c>
      <c r="I90" s="118">
        <f>G89+G90</f>
        <v>11</v>
      </c>
      <c r="J90" s="175">
        <f>H90/DAY(B2)</f>
        <v>4.4444444444444446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'8'!F92</f>
        <v>5518</v>
      </c>
      <c r="F92" s="122">
        <v>5529</v>
      </c>
      <c r="G92" s="112">
        <f t="shared" si="8"/>
        <v>11</v>
      </c>
      <c r="H92" s="99">
        <f>G92+'8'!H92</f>
        <v>91</v>
      </c>
      <c r="I92" s="165"/>
      <c r="J92" s="175">
        <f>H92/DAY(B2)</f>
        <v>10.111111111111111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5240</v>
      </c>
      <c r="H94" s="99">
        <f>G94+'8'!H94</f>
        <v>52682</v>
      </c>
      <c r="I94" s="118"/>
      <c r="J94" s="175">
        <f>H94/DAY(B2)</f>
        <v>5853.5555555555557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0.29586132911749757</v>
      </c>
      <c r="H95" s="99">
        <f>G95+'8'!H95</f>
        <v>2.703146475152312</v>
      </c>
      <c r="I95" s="167"/>
      <c r="J95" s="175">
        <f>H95/DAY(B2)</f>
        <v>0.30034960835025687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2762.4599999999991</v>
      </c>
      <c r="H96" s="99">
        <f>G96+'8'!H96</f>
        <v>27720.060000000005</v>
      </c>
      <c r="I96" s="118"/>
      <c r="J96" s="175">
        <f>H96/DAY(B2)</f>
        <v>3080.0066666666671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0.15597425328891645</v>
      </c>
      <c r="H97" s="99">
        <f>G97+'8'!H97</f>
        <v>1.4225314666420519</v>
      </c>
      <c r="I97" s="167"/>
      <c r="J97" s="175">
        <f>H97/DAY(B2)</f>
        <v>0.15805905184911687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2610</v>
      </c>
      <c r="H98" s="99">
        <f>G98+'8'!H98</f>
        <v>24292</v>
      </c>
      <c r="I98" s="168"/>
      <c r="J98" s="175">
        <f>H98/DAY(B2)</f>
        <v>2699.1111111111113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0.14736604370165435</v>
      </c>
      <c r="H99" s="99">
        <f>G99+'8'!H99</f>
        <v>1.2476520325238241</v>
      </c>
      <c r="I99" s="168"/>
      <c r="J99" s="175">
        <f>H99/DAY(B2)</f>
        <v>0.13862800361375824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1658</v>
      </c>
      <c r="H100" s="99">
        <f>G100+'8'!H100</f>
        <v>14858</v>
      </c>
      <c r="I100" s="118"/>
      <c r="J100" s="175">
        <f>H100/DAY(B2)</f>
        <v>1650.8888888888889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9.3614138106261652E-2</v>
      </c>
      <c r="H101" s="99">
        <f>G101+'8'!H101</f>
        <v>0.76312704045134694</v>
      </c>
      <c r="I101" s="168"/>
      <c r="J101" s="175">
        <f>H101/DAY(B2)</f>
        <v>8.4791893383482989E-2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1673</v>
      </c>
      <c r="H102" s="99">
        <f>G102+'8'!H102</f>
        <v>16543</v>
      </c>
      <c r="I102" s="168"/>
      <c r="J102" s="175">
        <f>H102/DAY(B2)</f>
        <v>1838.1111111111111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9.4461069391903338E-2</v>
      </c>
      <c r="H103" s="99">
        <f>G103+'8'!H103</f>
        <v>0.84829606973781813</v>
      </c>
      <c r="I103" s="118"/>
      <c r="J103" s="175">
        <f>H103/DAY(B2)</f>
        <v>9.425511885975757E-2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1472</v>
      </c>
      <c r="H104" s="99">
        <f>G104+'8'!H104</f>
        <v>13684</v>
      </c>
      <c r="I104" s="118"/>
      <c r="J104" s="175">
        <f>H104/DAY(B2)</f>
        <v>1520.4444444444443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8.311219016430467E-2</v>
      </c>
      <c r="H105" s="99">
        <f>G105+'8'!H105</f>
        <v>0.70276275107212771</v>
      </c>
      <c r="I105" s="187"/>
      <c r="J105" s="188">
        <f>H105/DAY(B2)</f>
        <v>7.8084750119125301E-2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'8'!F112</f>
        <v>56274</v>
      </c>
      <c r="F112" s="237">
        <v>56351</v>
      </c>
      <c r="G112" s="112">
        <f t="shared" ref="G112:G123" si="9">F112-E112</f>
        <v>77</v>
      </c>
      <c r="H112" s="99">
        <f>G112+'8'!H112</f>
        <v>670</v>
      </c>
      <c r="I112" s="165"/>
      <c r="J112" s="330">
        <f>H112/DAY(B2)</f>
        <v>74.444444444444443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'8'!F113</f>
        <v>35802</v>
      </c>
      <c r="F113" s="237">
        <v>36226</v>
      </c>
      <c r="G113" s="112">
        <f t="shared" si="9"/>
        <v>424</v>
      </c>
      <c r="H113" s="99">
        <f>G113+'8'!H113</f>
        <v>4031</v>
      </c>
      <c r="I113" s="165"/>
      <c r="J113" s="330">
        <f>H113/DAY(B2)</f>
        <v>447.88888888888891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'8'!F114</f>
        <v>26995</v>
      </c>
      <c r="F114" s="237">
        <v>27257</v>
      </c>
      <c r="G114" s="112">
        <f t="shared" si="9"/>
        <v>262</v>
      </c>
      <c r="H114" s="99">
        <f>G114+'8'!H114</f>
        <v>2386</v>
      </c>
      <c r="I114" s="165"/>
      <c r="J114" s="330">
        <f>H114/DAY(B2)</f>
        <v>265.11111111111109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'8'!F115</f>
        <v>8871</v>
      </c>
      <c r="F115" s="237">
        <v>8878</v>
      </c>
      <c r="G115" s="112">
        <f t="shared" si="9"/>
        <v>7</v>
      </c>
      <c r="H115" s="99">
        <f>G115+'8'!H115</f>
        <v>93</v>
      </c>
      <c r="I115" s="165"/>
      <c r="J115" s="330">
        <f>H115/DAY(B2)</f>
        <v>10.333333333333334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'8'!F117</f>
        <v>2800</v>
      </c>
      <c r="F117" s="237">
        <v>2823</v>
      </c>
      <c r="G117" s="112">
        <f t="shared" si="9"/>
        <v>23</v>
      </c>
      <c r="H117" s="99">
        <f>G117+'8'!H117</f>
        <v>233</v>
      </c>
      <c r="I117" s="165"/>
      <c r="J117" s="330">
        <f>H117/DAY(B2)</f>
        <v>25.888888888888889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'8'!F118</f>
        <v>244610</v>
      </c>
      <c r="F118" s="237">
        <v>244956</v>
      </c>
      <c r="G118" s="112">
        <f t="shared" si="9"/>
        <v>346</v>
      </c>
      <c r="H118" s="99">
        <f>G118+'8'!H118</f>
        <v>3309</v>
      </c>
      <c r="I118" s="165"/>
      <c r="J118" s="330">
        <f>H118/DAY(B2)</f>
        <v>367.66666666666669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'8'!F119</f>
        <v>248606</v>
      </c>
      <c r="F119" s="237">
        <v>249048</v>
      </c>
      <c r="G119" s="112">
        <f t="shared" si="9"/>
        <v>442</v>
      </c>
      <c r="H119" s="99">
        <f>G119+'8'!H119</f>
        <v>3922</v>
      </c>
      <c r="I119" s="165"/>
      <c r="J119" s="330">
        <f>H119/DAY(B2)</f>
        <v>435.77777777777777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'8'!F120</f>
        <v>33445</v>
      </c>
      <c r="F120" s="237">
        <v>33867</v>
      </c>
      <c r="G120" s="112">
        <f t="shared" si="9"/>
        <v>422</v>
      </c>
      <c r="H120" s="99">
        <f>G120+'8'!H120</f>
        <v>3789</v>
      </c>
      <c r="I120" s="165"/>
      <c r="J120" s="330">
        <f>H120/DAY(B2)</f>
        <v>421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'8'!F121</f>
        <v>382527</v>
      </c>
      <c r="F121" s="237">
        <v>383229</v>
      </c>
      <c r="G121" s="112">
        <f t="shared" si="9"/>
        <v>702</v>
      </c>
      <c r="H121" s="99">
        <f>G121+'8'!H121</f>
        <v>6700</v>
      </c>
      <c r="I121" s="165"/>
      <c r="J121" s="330">
        <f>H121/DAY(B2)</f>
        <v>744.44444444444446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'8'!F122</f>
        <v>121898</v>
      </c>
      <c r="F122" s="237">
        <v>122083</v>
      </c>
      <c r="G122" s="112">
        <f t="shared" si="9"/>
        <v>185</v>
      </c>
      <c r="H122" s="99">
        <f>G122+'8'!H122</f>
        <v>2033</v>
      </c>
      <c r="I122" s="165"/>
      <c r="J122" s="330">
        <f>H122/DAY(B2)</f>
        <v>225.88888888888889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'8'!F123</f>
        <v>147737</v>
      </c>
      <c r="F123" s="237">
        <v>148043</v>
      </c>
      <c r="G123" s="112">
        <f t="shared" si="9"/>
        <v>306</v>
      </c>
      <c r="H123" s="99">
        <f>G123+'8'!H123</f>
        <v>2918</v>
      </c>
      <c r="I123" s="165"/>
      <c r="J123" s="330">
        <f>H123/DAY(B2)</f>
        <v>324.22222222222223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3196</v>
      </c>
      <c r="H125" s="156"/>
      <c r="I125" s="329">
        <f>G125-(G39+G53)</f>
        <v>586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G127+'8'!H127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'8'!F128</f>
        <v>40658</v>
      </c>
      <c r="F128" s="155">
        <v>40976</v>
      </c>
      <c r="G128" s="112">
        <f t="shared" ref="G128:G134" si="10">F128-E128</f>
        <v>318</v>
      </c>
      <c r="H128" s="99">
        <f>G128+'8'!H128</f>
        <v>2972</v>
      </c>
      <c r="I128" s="165"/>
      <c r="J128" s="330">
        <f>H128/DAY(B2)</f>
        <v>330.22222222222223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'8'!F129</f>
        <v>22071</v>
      </c>
      <c r="F129" s="155">
        <v>22281</v>
      </c>
      <c r="G129" s="112">
        <f t="shared" si="10"/>
        <v>210</v>
      </c>
      <c r="H129" s="99">
        <f>G129+'8'!H129</f>
        <v>1960</v>
      </c>
      <c r="I129" s="165"/>
      <c r="J129" s="330">
        <f>H129/DAY(B2)</f>
        <v>217.77777777777777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'8'!F130</f>
        <v>23805</v>
      </c>
      <c r="F130" s="155">
        <v>24387</v>
      </c>
      <c r="G130" s="112">
        <f t="shared" si="10"/>
        <v>582</v>
      </c>
      <c r="H130" s="99">
        <f>G130+'8'!H130</f>
        <v>6005</v>
      </c>
      <c r="I130" s="165"/>
      <c r="J130" s="330">
        <f>H130/DAY(B2)</f>
        <v>667.22222222222217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'8'!F131</f>
        <v>13770</v>
      </c>
      <c r="F131" s="155">
        <v>13825</v>
      </c>
      <c r="G131" s="112">
        <f t="shared" si="10"/>
        <v>55</v>
      </c>
      <c r="H131" s="99">
        <f>G131+'8'!H131</f>
        <v>672</v>
      </c>
      <c r="I131" s="165"/>
      <c r="J131" s="330">
        <f>H131/DAY(B2)</f>
        <v>74.666666666666671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'8'!F132</f>
        <v>44731</v>
      </c>
      <c r="F132" s="155">
        <v>45241</v>
      </c>
      <c r="G132" s="112">
        <f t="shared" si="10"/>
        <v>510</v>
      </c>
      <c r="H132" s="99">
        <f>G132+'8'!H132</f>
        <v>4218</v>
      </c>
      <c r="I132" s="165"/>
      <c r="J132" s="330">
        <f>H132/DAY(B2)</f>
        <v>468.66666666666669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'8'!F133</f>
        <v>94229</v>
      </c>
      <c r="F133" s="155">
        <v>94753</v>
      </c>
      <c r="G133" s="112">
        <f t="shared" si="10"/>
        <v>524</v>
      </c>
      <c r="H133" s="99">
        <f>G133+'8'!H133</f>
        <v>7050</v>
      </c>
      <c r="I133" s="165"/>
      <c r="J133" s="330">
        <f>H133/DAY(B2)</f>
        <v>783.33333333333337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'8'!F134</f>
        <v>673983</v>
      </c>
      <c r="F134" s="155">
        <v>674585</v>
      </c>
      <c r="G134" s="112">
        <f t="shared" si="10"/>
        <v>602</v>
      </c>
      <c r="H134" s="99">
        <f>G134+'8'!H134</f>
        <v>5705</v>
      </c>
      <c r="I134" s="165"/>
      <c r="J134" s="330">
        <f>H134/DAY(B2)</f>
        <v>633.88888888888891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2801</v>
      </c>
      <c r="H135" s="99">
        <f>G135+'8'!H135</f>
        <v>28582</v>
      </c>
      <c r="I135" s="329">
        <f>G135-(G35+G49)</f>
        <v>-288</v>
      </c>
      <c r="J135" s="330">
        <f>H135/DAY(B2)</f>
        <v>3175.7777777777778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'8'!F138</f>
        <v>864737</v>
      </c>
      <c r="F138" s="147">
        <v>864791</v>
      </c>
      <c r="G138" s="112">
        <f t="shared" ref="G138:G152" si="11">F138-E138</f>
        <v>54</v>
      </c>
      <c r="H138" s="99">
        <f>G138+'8'!H138</f>
        <v>620</v>
      </c>
      <c r="I138" s="118"/>
      <c r="J138" s="330">
        <f>H138/DAY(B2)</f>
        <v>68.888888888888886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'8'!F139</f>
        <v>886549</v>
      </c>
      <c r="F139" s="148">
        <v>886549</v>
      </c>
      <c r="G139" s="112">
        <f t="shared" si="11"/>
        <v>0</v>
      </c>
      <c r="H139" s="99">
        <f>G139+'8'!H139</f>
        <v>3</v>
      </c>
      <c r="I139" s="118"/>
      <c r="J139" s="330">
        <f>H139/DAY(B2)</f>
        <v>0.33333333333333331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'8'!F140</f>
        <v>88898</v>
      </c>
      <c r="F140" s="149">
        <v>88898</v>
      </c>
      <c r="G140" s="112">
        <f t="shared" si="11"/>
        <v>0</v>
      </c>
      <c r="H140" s="99">
        <f>G140+'8'!H140</f>
        <v>16</v>
      </c>
      <c r="I140" s="118"/>
      <c r="J140" s="330">
        <f>H140/DAY(B2)</f>
        <v>1.7777777777777777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'8'!F141</f>
        <v>50714</v>
      </c>
      <c r="F141" s="149">
        <v>50890</v>
      </c>
      <c r="G141" s="112">
        <f t="shared" si="11"/>
        <v>176</v>
      </c>
      <c r="H141" s="99">
        <f>G141+'8'!H141</f>
        <v>1584</v>
      </c>
      <c r="I141" s="118"/>
      <c r="J141" s="330">
        <f>H141/DAY(B2)</f>
        <v>176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'8'!F142</f>
        <v>19567</v>
      </c>
      <c r="F142" s="148">
        <v>19639</v>
      </c>
      <c r="G142" s="112">
        <f t="shared" si="11"/>
        <v>72</v>
      </c>
      <c r="H142" s="99">
        <f>G142+'8'!H142</f>
        <v>630</v>
      </c>
      <c r="I142" s="140"/>
      <c r="J142" s="330">
        <f>H142/DAY(B2)</f>
        <v>70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'8'!F143</f>
        <v>3248</v>
      </c>
      <c r="F143" s="149">
        <v>3273</v>
      </c>
      <c r="G143" s="112">
        <f t="shared" si="11"/>
        <v>25</v>
      </c>
      <c r="H143" s="99">
        <f>G143+'8'!H143</f>
        <v>212</v>
      </c>
      <c r="I143" s="140"/>
      <c r="J143" s="330">
        <f>H143/DAY(B2)</f>
        <v>23.555555555555557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'8'!F144</f>
        <v>871484</v>
      </c>
      <c r="F144" s="149">
        <v>871704</v>
      </c>
      <c r="G144" s="112">
        <f t="shared" si="11"/>
        <v>220</v>
      </c>
      <c r="H144" s="99">
        <f>G144+'8'!H144</f>
        <v>2034</v>
      </c>
      <c r="I144" s="140"/>
      <c r="J144" s="330">
        <f>H144/DAY(B2)</f>
        <v>226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'8'!F145</f>
        <v>4694</v>
      </c>
      <c r="F145" s="149">
        <v>4712</v>
      </c>
      <c r="G145" s="112">
        <f t="shared" si="11"/>
        <v>18</v>
      </c>
      <c r="H145" s="99">
        <f>G145+'8'!H145</f>
        <v>154</v>
      </c>
      <c r="I145" s="140"/>
      <c r="J145" s="330">
        <f>H145/DAY(B2)</f>
        <v>17.111111111111111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'8'!F146</f>
        <v>728434</v>
      </c>
      <c r="F146" s="148">
        <v>728816</v>
      </c>
      <c r="G146" s="112">
        <f t="shared" si="11"/>
        <v>382</v>
      </c>
      <c r="H146" s="99">
        <f>G146+'8'!H146</f>
        <v>3958</v>
      </c>
      <c r="I146" s="140"/>
      <c r="J146" s="330">
        <f>H146/DAY(B2)</f>
        <v>439.77777777777777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'8'!F147</f>
        <v>618444</v>
      </c>
      <c r="F147" s="148">
        <v>618802</v>
      </c>
      <c r="G147" s="112">
        <f t="shared" si="11"/>
        <v>358</v>
      </c>
      <c r="H147" s="99">
        <f>G147+'8'!H147</f>
        <v>3520</v>
      </c>
      <c r="I147" s="140"/>
      <c r="J147" s="330">
        <f>H147/DAY(B2)</f>
        <v>391.11111111111109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'8'!F148</f>
        <v>685202</v>
      </c>
      <c r="F148" s="490">
        <v>685430</v>
      </c>
      <c r="G148" s="112">
        <f t="shared" si="11"/>
        <v>228</v>
      </c>
      <c r="H148" s="99">
        <f>G148+'8'!H148</f>
        <v>2396.8800000000047</v>
      </c>
      <c r="I148" s="124"/>
      <c r="J148" s="330">
        <f>H148/DAY(B2)</f>
        <v>266.3200000000005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'8'!F149</f>
        <v>14107</v>
      </c>
      <c r="F149" s="146">
        <v>14582</v>
      </c>
      <c r="G149" s="112">
        <f t="shared" si="11"/>
        <v>475</v>
      </c>
      <c r="H149" s="99">
        <f>G149+'8'!H149</f>
        <v>3833</v>
      </c>
      <c r="I149" s="119"/>
      <c r="J149" s="330">
        <f>H149/DAY(B2)</f>
        <v>425.88888888888891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'8'!F150</f>
        <v>5811</v>
      </c>
      <c r="F150" s="233">
        <v>6042</v>
      </c>
      <c r="G150" s="112">
        <f t="shared" si="11"/>
        <v>231</v>
      </c>
      <c r="H150" s="99">
        <f>G150+'8'!H150</f>
        <v>1990</v>
      </c>
      <c r="I150" s="119"/>
      <c r="J150" s="330">
        <f>H150/DAY(B2)</f>
        <v>221.11111111111111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'8'!F151</f>
        <v>80192</v>
      </c>
      <c r="F151" s="233">
        <v>80408</v>
      </c>
      <c r="G151" s="112">
        <f t="shared" si="11"/>
        <v>216</v>
      </c>
      <c r="H151" s="99">
        <f>G151+'8'!H151</f>
        <v>2191</v>
      </c>
      <c r="I151" s="119"/>
      <c r="J151" s="330">
        <f>H151/DAY(B2)</f>
        <v>243.44444444444446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'8'!F152</f>
        <v>1289</v>
      </c>
      <c r="F152" s="233">
        <v>1305</v>
      </c>
      <c r="G152" s="112">
        <f t="shared" si="11"/>
        <v>16</v>
      </c>
      <c r="H152" s="99">
        <f>G152+'8'!H152</f>
        <v>178</v>
      </c>
      <c r="I152" s="119"/>
      <c r="J152" s="330">
        <f>H152/DAY(B2)</f>
        <v>19.777777777777779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2471</v>
      </c>
      <c r="H153" s="365"/>
      <c r="I153" s="119">
        <f>G153-(G38+G52)</f>
        <v>813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'8'!F155</f>
        <v>17939</v>
      </c>
      <c r="F155" s="376">
        <v>18559</v>
      </c>
      <c r="G155" s="112">
        <f t="shared" ref="G155:G156" si="12">F155-E155</f>
        <v>620</v>
      </c>
      <c r="H155" s="99">
        <f>G155+'8'!H155</f>
        <v>5087</v>
      </c>
      <c r="I155" s="366"/>
      <c r="J155" s="330">
        <f>H155/DAY(B2)</f>
        <v>565.22222222222217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'8'!F156</f>
        <v>1459</v>
      </c>
      <c r="F156" s="155">
        <v>1508</v>
      </c>
      <c r="G156" s="112">
        <f t="shared" si="12"/>
        <v>49</v>
      </c>
      <c r="H156" s="99">
        <f>G156+'8'!H156</f>
        <v>420</v>
      </c>
      <c r="I156" s="165"/>
      <c r="J156" s="330">
        <f>H156/DAY(B2)</f>
        <v>46.666666666666664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471225</v>
      </c>
      <c r="F161" s="505">
        <v>471231</v>
      </c>
      <c r="G161" s="238">
        <f t="shared" ref="G161:G166" si="13">F161-E161</f>
        <v>6</v>
      </c>
      <c r="H161" s="99">
        <f>G161+'8'!H161</f>
        <v>77.840000000025611</v>
      </c>
      <c r="I161" s="236"/>
      <c r="J161" s="239">
        <f>H161/DAY(B2)</f>
        <v>8.6488888888917348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87773</v>
      </c>
      <c r="F162" s="235">
        <v>87796</v>
      </c>
      <c r="G162" s="238">
        <f t="shared" si="13"/>
        <v>23</v>
      </c>
      <c r="H162" s="99">
        <f>G162+'8'!H162</f>
        <v>226</v>
      </c>
      <c r="I162" s="236"/>
      <c r="J162" s="239">
        <f>H162/DAY(B2)</f>
        <v>25.111111111111111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78155</v>
      </c>
      <c r="F163" s="235">
        <v>78188</v>
      </c>
      <c r="G163" s="238">
        <f t="shared" si="13"/>
        <v>33</v>
      </c>
      <c r="H163" s="99">
        <f>G163+'8'!H163</f>
        <v>363</v>
      </c>
      <c r="I163" s="236"/>
      <c r="J163" s="239">
        <f>H163/DAY(B2)</f>
        <v>40.333333333333336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4255</v>
      </c>
      <c r="F164" s="235">
        <v>4255</v>
      </c>
      <c r="G164" s="238">
        <f t="shared" si="13"/>
        <v>0</v>
      </c>
      <c r="H164" s="99">
        <f>G164+'8'!H164</f>
        <v>13</v>
      </c>
      <c r="I164" s="236"/>
      <c r="J164" s="239">
        <f>H164/DAY(B2)</f>
        <v>1.4444444444444444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29697</v>
      </c>
      <c r="F165" s="235">
        <v>29697</v>
      </c>
      <c r="G165" s="238">
        <f t="shared" si="13"/>
        <v>0</v>
      </c>
      <c r="H165" s="99">
        <f>G165+'8'!H165</f>
        <v>51</v>
      </c>
      <c r="I165" s="236"/>
      <c r="J165" s="239">
        <f>H165/DAY(B2)</f>
        <v>5.666666666666667</v>
      </c>
    </row>
    <row r="166" spans="1:10" ht="29.25" x14ac:dyDescent="0.5">
      <c r="A166" s="824"/>
      <c r="B166" s="824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'8'!F173</f>
        <v>8126</v>
      </c>
      <c r="F173" s="155">
        <v>8126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'8'!F174</f>
        <v>38370</v>
      </c>
      <c r="F174" s="157">
        <v>38388</v>
      </c>
      <c r="G174" s="155">
        <f t="shared" ref="G174:G175" si="14">F174-E174</f>
        <v>18</v>
      </c>
      <c r="H174" s="99">
        <f>G174+'8'!H174</f>
        <v>95</v>
      </c>
      <c r="I174" s="155"/>
      <c r="J174" s="178">
        <f>H174/DAY(B2)</f>
        <v>10.555555555555555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'8'!F175</f>
        <v>21596</v>
      </c>
      <c r="F175" s="155">
        <v>21606</v>
      </c>
      <c r="G175" s="155">
        <f t="shared" si="14"/>
        <v>10</v>
      </c>
      <c r="H175" s="99">
        <f>G175+'8'!H175</f>
        <v>88</v>
      </c>
      <c r="I175" s="155"/>
      <c r="J175" s="178">
        <f>H175/DAY(B2)</f>
        <v>9.7777777777777786</v>
      </c>
    </row>
    <row r="176" spans="1:10" ht="27.75" x14ac:dyDescent="0.5">
      <c r="A176" s="819" t="s">
        <v>196</v>
      </c>
      <c r="B176" s="820"/>
      <c r="C176" s="335"/>
      <c r="D176" s="228" t="s">
        <v>142</v>
      </c>
      <c r="E176" s="95"/>
      <c r="F176" s="155"/>
      <c r="G176" s="155">
        <f>SUM(G173:G175)</f>
        <v>28</v>
      </c>
      <c r="H176" s="99">
        <f>G176+'8'!H176</f>
        <v>183</v>
      </c>
      <c r="I176" s="155"/>
      <c r="J176" s="178">
        <f>H176/DAY(B2)</f>
        <v>20.333333333333332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'8'!F178</f>
        <v>80168</v>
      </c>
      <c r="F178" s="155">
        <v>80229</v>
      </c>
      <c r="G178" s="155">
        <f>F178-E178</f>
        <v>61</v>
      </c>
      <c r="H178" s="99">
        <f>G178+'8'!H178</f>
        <v>615</v>
      </c>
      <c r="I178" s="155"/>
      <c r="J178" s="178">
        <f>H178/DAY(B2)</f>
        <v>68.333333333333329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'8'!F179</f>
        <v>34052</v>
      </c>
      <c r="F179" s="155">
        <v>34070</v>
      </c>
      <c r="G179" s="155">
        <f t="shared" ref="G179:G180" si="15">F179-E179</f>
        <v>18</v>
      </c>
      <c r="H179" s="99">
        <f>G179+'8'!H179</f>
        <v>155</v>
      </c>
      <c r="I179" s="155"/>
      <c r="J179" s="178">
        <f>H179/DAY(B2)</f>
        <v>17.222222222222221</v>
      </c>
    </row>
    <row r="180" spans="1:10" ht="31.5" customHeight="1" x14ac:dyDescent="0.5">
      <c r="A180" s="828" t="s">
        <v>212</v>
      </c>
      <c r="B180" s="829"/>
      <c r="C180" s="335"/>
      <c r="D180" s="228" t="s">
        <v>142</v>
      </c>
      <c r="E180" s="95">
        <f>'8'!F180</f>
        <v>5543</v>
      </c>
      <c r="F180" s="155">
        <v>5544</v>
      </c>
      <c r="G180" s="155">
        <f t="shared" si="15"/>
        <v>1</v>
      </c>
      <c r="H180" s="99">
        <f>G180+'8'!H180</f>
        <v>67</v>
      </c>
      <c r="I180" s="155"/>
      <c r="J180" s="178">
        <f>H180/DAY(B2)</f>
        <v>7.4444444444444446</v>
      </c>
    </row>
    <row r="181" spans="1:10" ht="27.75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80</v>
      </c>
      <c r="H181" s="99">
        <f>G181+'8'!H181</f>
        <v>837</v>
      </c>
      <c r="I181" s="155"/>
      <c r="J181" s="178">
        <f>H181/DAY(B2)</f>
        <v>93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'8'!F183</f>
        <v>15064</v>
      </c>
      <c r="F183" s="157">
        <v>15073</v>
      </c>
      <c r="G183" s="157">
        <f>F183-E183</f>
        <v>9</v>
      </c>
      <c r="H183" s="99">
        <f>G183+'8'!H183</f>
        <v>126</v>
      </c>
      <c r="I183" s="155"/>
      <c r="J183" s="178">
        <f>H183/DAY(B2)</f>
        <v>14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'8'!F184</f>
        <v>10356</v>
      </c>
      <c r="F184" s="157">
        <v>10369</v>
      </c>
      <c r="G184" s="157">
        <f t="shared" ref="G184:G185" si="16">F184-E184</f>
        <v>13</v>
      </c>
      <c r="H184" s="99">
        <f>G184+'8'!H184</f>
        <v>68</v>
      </c>
      <c r="I184" s="155"/>
      <c r="J184" s="178">
        <f>H184/DAY(B2)</f>
        <v>7.5555555555555554</v>
      </c>
    </row>
    <row r="185" spans="1:10" ht="35.25" customHeight="1" x14ac:dyDescent="0.5">
      <c r="A185" s="828" t="s">
        <v>216</v>
      </c>
      <c r="B185" s="829"/>
      <c r="C185" s="336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22</v>
      </c>
      <c r="H186" s="99">
        <f>G186+'8'!H186</f>
        <v>194</v>
      </c>
      <c r="I186" s="157"/>
      <c r="J186" s="178">
        <f>H186/DAY(B2)</f>
        <v>21.555555555555557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135</v>
      </c>
      <c r="H187" s="99">
        <f>G187+'8'!H187</f>
        <v>1007</v>
      </c>
      <c r="I187" s="158"/>
      <c r="J187" s="179">
        <f>H187/DAY(B2)</f>
        <v>111.88888888888889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140</v>
      </c>
      <c r="H188" s="99">
        <f>G188+'8'!H188</f>
        <v>1275</v>
      </c>
      <c r="I188" s="158"/>
      <c r="J188" s="179">
        <f>H188/DAY(B2)</f>
        <v>141.66666666666666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80</v>
      </c>
      <c r="H189" s="99">
        <f>G189+'8'!H189</f>
        <v>837</v>
      </c>
      <c r="I189" s="158"/>
      <c r="J189" s="179">
        <f>H189/DAY(B2)</f>
        <v>93</v>
      </c>
    </row>
    <row r="190" spans="1:10" ht="29.25" customHeight="1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97" zoomScale="50" zoomScaleNormal="55" zoomScaleSheetLayoutView="5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44540</v>
      </c>
      <c r="C2" s="350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26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269978</v>
      </c>
      <c r="F7" s="95">
        <f>E7+23500</f>
        <v>293478</v>
      </c>
      <c r="G7" s="112">
        <f>F7-E7</f>
        <v>23500</v>
      </c>
      <c r="H7" s="99">
        <f>G7+'9'!H7</f>
        <v>198917</v>
      </c>
      <c r="I7" s="113">
        <f>'1'!I7</f>
        <v>12000</v>
      </c>
      <c r="J7" s="175">
        <f>H7/DAY(B2)</f>
        <v>19891.7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319937</v>
      </c>
      <c r="F8" s="95">
        <f>E8+23500</f>
        <v>343437</v>
      </c>
      <c r="G8" s="115">
        <f>F8-E8</f>
        <v>23500</v>
      </c>
      <c r="H8" s="99">
        <f>G8+'9'!H8</f>
        <v>202552</v>
      </c>
      <c r="I8" s="116"/>
      <c r="J8" s="175">
        <f>H8/DAY(B2)</f>
        <v>20255.2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11657</v>
      </c>
      <c r="F9" s="605">
        <f>E9+14000</f>
        <v>25657</v>
      </c>
      <c r="G9" s="112">
        <f>F9-E9</f>
        <v>14000</v>
      </c>
      <c r="H9" s="99">
        <f>G9+'9'!H9</f>
        <v>124162</v>
      </c>
      <c r="I9" s="124">
        <f>I7-J7</f>
        <v>-7891.7000000000007</v>
      </c>
      <c r="J9" s="175">
        <f>H9/DAY(B2)</f>
        <v>12416.2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5534</v>
      </c>
      <c r="F10" s="117">
        <f>E10+4500</f>
        <v>10034</v>
      </c>
      <c r="G10" s="112">
        <f t="shared" ref="G10:G12" si="0">F10-E10</f>
        <v>4500</v>
      </c>
      <c r="H10" s="99">
        <f>G10+'9'!H10</f>
        <v>64940</v>
      </c>
      <c r="I10" s="282"/>
      <c r="J10" s="175">
        <f>H10/DAY(B2)</f>
        <v>6494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G13+'9'!H13</f>
        <v>169636.74999999988</v>
      </c>
      <c r="I13" s="120">
        <f>G7-G13</f>
        <v>5000</v>
      </c>
      <c r="J13" s="175">
        <f>H13/DAY(B2)</f>
        <v>16963.674999999988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'9'!F15</f>
        <v>1886599</v>
      </c>
      <c r="F15" s="232">
        <f>E15+1100</f>
        <v>1887699</v>
      </c>
      <c r="G15" s="112">
        <f>(F15-E15)</f>
        <v>1100</v>
      </c>
      <c r="H15" s="99">
        <f>G15+'9'!H15</f>
        <v>9269</v>
      </c>
      <c r="I15" s="113">
        <f>'1'!I15</f>
        <v>800</v>
      </c>
      <c r="J15" s="175">
        <f>H15/DAY(B2)</f>
        <v>926.9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-126.89999999999998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'9'!F18</f>
        <v>15</v>
      </c>
      <c r="F18" s="122">
        <f>E18+12</f>
        <v>27</v>
      </c>
      <c r="G18" s="119">
        <f>F18*10</f>
        <v>270</v>
      </c>
      <c r="H18" s="99">
        <f>G18+'9'!H18</f>
        <v>1490</v>
      </c>
      <c r="I18" s="113">
        <f>'1'!I18</f>
        <v>65</v>
      </c>
      <c r="J18" s="175">
        <f>H18/DAY(B2)</f>
        <v>149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'9'!F19</f>
        <v>152695</v>
      </c>
      <c r="F19" s="122">
        <f>E19+55</f>
        <v>152750</v>
      </c>
      <c r="G19" s="112">
        <f t="shared" ref="G19" si="1">F19-E19</f>
        <v>55</v>
      </c>
      <c r="H19" s="99">
        <f>G19+'9'!H19</f>
        <v>525</v>
      </c>
      <c r="I19" s="337"/>
      <c r="J19" s="175">
        <f>H19/DAY(B2)</f>
        <v>52.5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325</v>
      </c>
      <c r="H20" s="99">
        <f>G20+'9'!H20</f>
        <v>2015</v>
      </c>
      <c r="I20" s="338">
        <f>I18-J20</f>
        <v>-136.5</v>
      </c>
      <c r="J20" s="175">
        <f>H20/DAY(B2)</f>
        <v>201.5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G27+'9'!H27</f>
        <v>1822968</v>
      </c>
      <c r="I27" s="138"/>
      <c r="J27" s="175">
        <f>H27/DAY(B2)</f>
        <v>182296.8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G28+'9'!H28</f>
        <v>481988</v>
      </c>
      <c r="I28" s="140"/>
      <c r="J28" s="175">
        <f>H28/DAY(B2)</f>
        <v>48198.8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G30+'9'!H30</f>
        <v>76650</v>
      </c>
      <c r="I30" s="140"/>
      <c r="J30" s="175">
        <f>H30/DAY(B2)</f>
        <v>7665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G31+'9'!H31</f>
        <v>119200</v>
      </c>
      <c r="I31" s="140"/>
      <c r="J31" s="175">
        <f>H31/DAY(B2)</f>
        <v>11920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298330</v>
      </c>
      <c r="H32" s="99">
        <f>G32+'9'!H32</f>
        <v>2500806</v>
      </c>
      <c r="I32" s="144"/>
      <c r="J32" s="175">
        <f>H32/DAY(B2)</f>
        <v>250080.6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1783</v>
      </c>
      <c r="F35" s="145">
        <v>114587</v>
      </c>
      <c r="G35" s="112">
        <f t="shared" ref="G35:G46" si="3">F35-E35</f>
        <v>112804</v>
      </c>
      <c r="H35" s="99">
        <f>G35+'9'!H35</f>
        <v>129787</v>
      </c>
      <c r="I35" s="95"/>
      <c r="J35" s="175">
        <f>H35/DAY(B2)</f>
        <v>12978.7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28675</v>
      </c>
      <c r="F36" s="145">
        <v>89730</v>
      </c>
      <c r="G36" s="112">
        <f t="shared" si="3"/>
        <v>61055</v>
      </c>
      <c r="H36" s="99">
        <f>G36+'9'!H36</f>
        <v>68203</v>
      </c>
      <c r="I36" s="95"/>
      <c r="J36" s="175">
        <f>H36/DAY(B2)</f>
        <v>6820.3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1472</v>
      </c>
      <c r="F37" s="145">
        <v>162088</v>
      </c>
      <c r="G37" s="112">
        <f t="shared" si="3"/>
        <v>160616</v>
      </c>
      <c r="H37" s="99">
        <f>G37+'9'!H37</f>
        <v>174300</v>
      </c>
      <c r="I37" s="95"/>
      <c r="J37" s="175">
        <f>H37/DAY(B2)</f>
        <v>17430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1658</v>
      </c>
      <c r="F38" s="108">
        <v>190700</v>
      </c>
      <c r="G38" s="112">
        <f t="shared" si="3"/>
        <v>189042</v>
      </c>
      <c r="H38" s="99">
        <f>G38+'9'!H38</f>
        <v>203900</v>
      </c>
      <c r="I38" s="95"/>
      <c r="J38" s="175">
        <f>H38/DAY(B2)</f>
        <v>20390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2610</v>
      </c>
      <c r="F39" s="145">
        <v>350694</v>
      </c>
      <c r="G39" s="112">
        <f t="shared" si="3"/>
        <v>348084</v>
      </c>
      <c r="H39" s="99">
        <f>G39+'9'!H39</f>
        <v>372376</v>
      </c>
      <c r="I39" s="95"/>
      <c r="J39" s="175">
        <f>H39/DAY(B2)</f>
        <v>37237.599999999999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8483</v>
      </c>
      <c r="F40" s="145">
        <v>116</v>
      </c>
      <c r="G40" s="112">
        <f t="shared" si="3"/>
        <v>-8367</v>
      </c>
      <c r="H40" s="99">
        <f>G40+'9'!H40</f>
        <v>-5494</v>
      </c>
      <c r="I40" s="95"/>
      <c r="J40" s="175">
        <f>H40/DAY(B2)</f>
        <v>-549.4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0</v>
      </c>
      <c r="F41" s="145">
        <v>599900</v>
      </c>
      <c r="G41" s="112">
        <f t="shared" si="3"/>
        <v>599900</v>
      </c>
      <c r="H41" s="99">
        <f>G41+'9'!H41</f>
        <v>599900</v>
      </c>
      <c r="I41" s="95"/>
      <c r="J41" s="175">
        <f>H41/DAY(B2)</f>
        <v>59990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73808.600000000006</v>
      </c>
      <c r="F42" s="145">
        <v>343994</v>
      </c>
      <c r="G42" s="112">
        <f t="shared" si="3"/>
        <v>270185.40000000002</v>
      </c>
      <c r="H42" s="99">
        <f>G42+'9'!H42</f>
        <v>270185</v>
      </c>
      <c r="I42" s="95"/>
      <c r="J42" s="175">
        <f>H42/DAY(B2)</f>
        <v>27018.5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68533</v>
      </c>
      <c r="F43" s="145">
        <v>1555563</v>
      </c>
      <c r="G43" s="112">
        <f t="shared" si="3"/>
        <v>1487030</v>
      </c>
      <c r="H43" s="99">
        <f>G43+'9'!H43</f>
        <v>1508302</v>
      </c>
      <c r="I43" s="95"/>
      <c r="J43" s="175">
        <f>H43/DAY(B2)</f>
        <v>150830.20000000001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3220349.4</v>
      </c>
      <c r="H47" s="99">
        <f>G47+'9'!H47</f>
        <v>3321459</v>
      </c>
      <c r="I47" s="95"/>
      <c r="J47" s="175">
        <f>H47/DAY(B2)</f>
        <v>332145.90000000002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1306</v>
      </c>
      <c r="F49" s="145">
        <v>237955</v>
      </c>
      <c r="G49" s="112">
        <f t="shared" ref="G49:G58" si="4">F49-E49</f>
        <v>236649</v>
      </c>
      <c r="H49" s="99">
        <f>G49+'9'!H49</f>
        <v>251076</v>
      </c>
      <c r="I49" s="95"/>
      <c r="J49" s="175">
        <f>H49/DAY(B2)</f>
        <v>25107.599999999999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34045</v>
      </c>
      <c r="F50" s="145">
        <v>737558</v>
      </c>
      <c r="G50" s="112">
        <f t="shared" si="4"/>
        <v>703513</v>
      </c>
      <c r="H50" s="99">
        <f>G50+'9'!H50</f>
        <v>712908</v>
      </c>
      <c r="I50" s="95"/>
      <c r="J50" s="175">
        <f>H50/DAY(B2)</f>
        <v>71290.8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783</v>
      </c>
      <c r="F54" s="145">
        <v>3090</v>
      </c>
      <c r="G54" s="112">
        <f t="shared" si="4"/>
        <v>2307</v>
      </c>
      <c r="H54" s="99">
        <f>G54+'9'!H54</f>
        <v>4857.08</v>
      </c>
      <c r="I54" s="95"/>
      <c r="J54" s="175">
        <f>H54/DAY(B2)</f>
        <v>485.70799999999997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31231</v>
      </c>
      <c r="F55" s="145">
        <v>0</v>
      </c>
      <c r="G55" s="112">
        <f t="shared" si="4"/>
        <v>-31231</v>
      </c>
      <c r="H55" s="99">
        <f>G55+'9'!H55</f>
        <v>-3511</v>
      </c>
      <c r="I55" s="95"/>
      <c r="J55" s="175">
        <f>H55/DAY(B2)</f>
        <v>-351.1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8611</v>
      </c>
      <c r="F56" s="378">
        <v>213018</v>
      </c>
      <c r="G56" s="112">
        <f t="shared" si="4"/>
        <v>204407</v>
      </c>
      <c r="H56" s="99">
        <f>G56+'9'!H56</f>
        <v>204407.46</v>
      </c>
      <c r="I56" s="95"/>
      <c r="J56" s="175">
        <f>H56/DAY(B2)</f>
        <v>20440.745999999999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1018</v>
      </c>
      <c r="F58" s="378">
        <v>87614</v>
      </c>
      <c r="G58" s="112">
        <f t="shared" si="4"/>
        <v>86596</v>
      </c>
      <c r="H58" s="99">
        <f>G58+'9'!H58</f>
        <v>87954.63</v>
      </c>
      <c r="I58" s="95"/>
      <c r="J58" s="175">
        <f>H58/DAY(B2)</f>
        <v>8795.4629999999997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1202241</v>
      </c>
      <c r="H59" s="99">
        <f>G59+'9'!H59</f>
        <v>1257692.17</v>
      </c>
      <c r="I59" s="95">
        <f>G7-G60</f>
        <v>-4399090.4000000004</v>
      </c>
      <c r="J59" s="175">
        <f>H59/DAY(B2)</f>
        <v>125769.21699999999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4422590.4000000004</v>
      </c>
      <c r="H60" s="99">
        <f>G60+'9'!H60</f>
        <v>4579151.17</v>
      </c>
      <c r="I60" s="95">
        <f>G13-G60</f>
        <v>-4404090.4000000004</v>
      </c>
      <c r="J60" s="175">
        <f>H60/DAY(B2)</f>
        <v>457915.11699999997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'9'!F62</f>
        <v>267750</v>
      </c>
      <c r="F62" s="122">
        <v>264681</v>
      </c>
      <c r="G62" s="112">
        <f t="shared" ref="G62:G63" si="5">F62-E62</f>
        <v>-3069</v>
      </c>
      <c r="H62" s="99">
        <f>G62+'9'!H62</f>
        <v>-2532</v>
      </c>
      <c r="I62" s="118"/>
      <c r="J62" s="175">
        <f>H62/DAY(B2)</f>
        <v>-253.2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'9'!F63</f>
        <v>213397</v>
      </c>
      <c r="F63" s="122">
        <v>210431</v>
      </c>
      <c r="G63" s="112">
        <f t="shared" si="5"/>
        <v>-2966</v>
      </c>
      <c r="H63" s="99">
        <f>G63+'9'!H63</f>
        <v>-1994</v>
      </c>
      <c r="I63" s="118"/>
      <c r="J63" s="175">
        <f>H63/DAY(B2)</f>
        <v>-199.4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'9'!F64</f>
        <v>0</v>
      </c>
      <c r="F64" s="122"/>
      <c r="G64" s="112">
        <f>G62+G63</f>
        <v>-6035</v>
      </c>
      <c r="H64" s="99">
        <f>G64+'9'!H64</f>
        <v>-4526</v>
      </c>
      <c r="I64" s="118"/>
      <c r="J64" s="175">
        <f>H64/DAY(B2)</f>
        <v>-452.6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'9'!F65</f>
        <v>433285</v>
      </c>
      <c r="F65" s="122">
        <v>430391</v>
      </c>
      <c r="G65" s="112">
        <f t="shared" ref="G65:G70" si="6">F65-E65</f>
        <v>-2894</v>
      </c>
      <c r="H65" s="99">
        <f>G65+'9'!H65</f>
        <v>-2223</v>
      </c>
      <c r="I65" s="118"/>
      <c r="J65" s="175">
        <f>H65/DAY(B2)</f>
        <v>-222.3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'9'!F66</f>
        <v>107396</v>
      </c>
      <c r="F66" s="122">
        <v>106800</v>
      </c>
      <c r="G66" s="112">
        <f t="shared" si="6"/>
        <v>-596</v>
      </c>
      <c r="H66" s="99">
        <f>G66+'9'!H66</f>
        <v>-414</v>
      </c>
      <c r="I66" s="118"/>
      <c r="J66" s="175">
        <f>H66/DAY(B2)</f>
        <v>-41.4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'9'!F67</f>
        <v>104165</v>
      </c>
      <c r="F67" s="122">
        <v>103305</v>
      </c>
      <c r="G67" s="112">
        <f t="shared" si="6"/>
        <v>-860</v>
      </c>
      <c r="H67" s="99">
        <f>G67+'9'!H67</f>
        <v>-623</v>
      </c>
      <c r="I67" s="118"/>
      <c r="J67" s="175">
        <f>H67/DAY(B2)</f>
        <v>-62.3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'9'!F68</f>
        <v>156853</v>
      </c>
      <c r="F68" s="122">
        <v>155839</v>
      </c>
      <c r="G68" s="112">
        <f t="shared" si="6"/>
        <v>-1014</v>
      </c>
      <c r="H68" s="99">
        <f>G68+'9'!H68</f>
        <v>-781</v>
      </c>
      <c r="I68" s="118"/>
      <c r="J68" s="175">
        <f>H68/DAY(B2)</f>
        <v>-78.099999999999994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'9'!F69</f>
        <v>10318</v>
      </c>
      <c r="F69" s="122">
        <v>9969</v>
      </c>
      <c r="G69" s="112">
        <f t="shared" si="6"/>
        <v>-349</v>
      </c>
      <c r="H69" s="99">
        <f>G69+'9'!H69</f>
        <v>-245</v>
      </c>
      <c r="I69" s="118"/>
      <c r="J69" s="175">
        <f>H69/DAY(B2)</f>
        <v>-24.5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'9'!F70</f>
        <v>7943</v>
      </c>
      <c r="F70" s="122">
        <v>7648</v>
      </c>
      <c r="G70" s="112">
        <f t="shared" si="6"/>
        <v>-295</v>
      </c>
      <c r="H70" s="99">
        <f>G70+'9'!H70</f>
        <v>-214</v>
      </c>
      <c r="I70" s="118"/>
      <c r="J70" s="175">
        <f>H70/DAY(B2)</f>
        <v>-21.4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-6008</v>
      </c>
      <c r="H71" s="99">
        <f>G71+'9'!H71</f>
        <v>-4500</v>
      </c>
      <c r="I71" s="154"/>
      <c r="J71" s="175">
        <f>H71/DAY(B2)</f>
        <v>-450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'9'!F74</f>
        <v>894615</v>
      </c>
      <c r="F74" s="117">
        <v>885408</v>
      </c>
      <c r="G74" s="112">
        <f t="shared" ref="G74:G78" si="7">F74-E74</f>
        <v>-9207</v>
      </c>
      <c r="H74" s="99">
        <f>G74+'9'!H74</f>
        <v>-6624</v>
      </c>
      <c r="I74" s="154"/>
      <c r="J74" s="175">
        <f>H74/DAY(B2)</f>
        <v>-662.4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'9'!F75</f>
        <v>73587</v>
      </c>
      <c r="F75" s="123">
        <v>73830.69</v>
      </c>
      <c r="G75" s="112">
        <f t="shared" si="7"/>
        <v>243.69000000000233</v>
      </c>
      <c r="H75" s="99">
        <f>G75+'9'!H75</f>
        <v>243.88999999999942</v>
      </c>
      <c r="I75" s="154"/>
      <c r="J75" s="175">
        <f>H75/DAY(B2)</f>
        <v>24.388999999999943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'9'!F76</f>
        <v>168004</v>
      </c>
      <c r="F76" s="123">
        <v>164670</v>
      </c>
      <c r="G76" s="112">
        <f t="shared" si="7"/>
        <v>-3334</v>
      </c>
      <c r="H76" s="99">
        <f>G76+'9'!H76</f>
        <v>-2537</v>
      </c>
      <c r="I76" s="154"/>
      <c r="J76" s="175">
        <f>H76/DAY(B2)</f>
        <v>-253.7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'9'!F77</f>
        <v>40618</v>
      </c>
      <c r="F77" s="123">
        <v>39286</v>
      </c>
      <c r="G77" s="112">
        <f t="shared" si="7"/>
        <v>-1332</v>
      </c>
      <c r="H77" s="99">
        <f>G77+'9'!H77</f>
        <v>-1030</v>
      </c>
      <c r="I77" s="154"/>
      <c r="J77" s="175">
        <f>H77/DAY(B2)</f>
        <v>-103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'9'!F78</f>
        <v>9493</v>
      </c>
      <c r="F78" s="123">
        <v>9444</v>
      </c>
      <c r="G78" s="112">
        <f t="shared" si="7"/>
        <v>-49</v>
      </c>
      <c r="H78" s="99">
        <f>G78+'9'!H78</f>
        <v>-42</v>
      </c>
      <c r="I78" s="118"/>
      <c r="J78" s="175">
        <f>H78/DAY(B2)</f>
        <v>-4.2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'9'!F79</f>
        <v>0</v>
      </c>
      <c r="F79" s="117"/>
      <c r="G79" s="112">
        <f>G15-SUM(G74:G78)</f>
        <v>14778.309999999998</v>
      </c>
      <c r="H79" s="99">
        <f>G79+'9'!H79</f>
        <v>19258.11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'9'!F84</f>
        <v>41675</v>
      </c>
      <c r="F84" s="164">
        <v>41675.760000000002</v>
      </c>
      <c r="G84" s="112">
        <f t="shared" si="8"/>
        <v>0.76000000000203727</v>
      </c>
      <c r="H84" s="99">
        <f>G84+'9'!H84</f>
        <v>0.76000000000203727</v>
      </c>
      <c r="I84" s="118"/>
      <c r="J84" s="175">
        <f>H84/DAY(B2)</f>
        <v>7.6000000000203724E-2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'9'!F85</f>
        <v>2096.56</v>
      </c>
      <c r="F85" s="164">
        <v>1645</v>
      </c>
      <c r="G85" s="112">
        <f t="shared" si="8"/>
        <v>-451.55999999999995</v>
      </c>
      <c r="H85" s="99">
        <f>G85+'9'!H85</f>
        <v>-451.55999999999995</v>
      </c>
      <c r="I85" s="118">
        <f>G82+G83+G84+G85</f>
        <v>-450.79999999999791</v>
      </c>
      <c r="J85" s="175">
        <f>H85/DAY(B2)</f>
        <v>-45.155999999999992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'9'!F86</f>
        <v>43080</v>
      </c>
      <c r="F86" s="164">
        <v>42826.47</v>
      </c>
      <c r="G86" s="112">
        <f t="shared" si="8"/>
        <v>-253.52999999999884</v>
      </c>
      <c r="H86" s="99">
        <f>G86+'9'!H86</f>
        <v>-36.529999999998836</v>
      </c>
      <c r="I86" s="118"/>
      <c r="J86" s="175">
        <f>H86/DAY(B2)</f>
        <v>-3.6529999999998837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'9'!F87</f>
        <v>34598.550000000003</v>
      </c>
      <c r="F87" s="164">
        <v>34533</v>
      </c>
      <c r="G87" s="112">
        <f t="shared" si="8"/>
        <v>-65.55000000000291</v>
      </c>
      <c r="H87" s="99">
        <f>G87+'9'!H87</f>
        <v>-65.55000000000291</v>
      </c>
      <c r="I87" s="118"/>
      <c r="J87" s="175">
        <f>H87/DAY(B2)</f>
        <v>-6.555000000000291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'9'!F88</f>
        <v>24058</v>
      </c>
      <c r="F88" s="164">
        <v>23994</v>
      </c>
      <c r="G88" s="112">
        <f t="shared" si="8"/>
        <v>-64</v>
      </c>
      <c r="H88" s="99">
        <f>G88+'9'!H88</f>
        <v>-53</v>
      </c>
      <c r="I88" s="118">
        <f>G86+G87+G88</f>
        <v>-383.08000000000175</v>
      </c>
      <c r="J88" s="175">
        <f>H88/DAY(B2)</f>
        <v>-5.3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'9'!F89</f>
        <v>25723</v>
      </c>
      <c r="F89" s="164">
        <v>25494</v>
      </c>
      <c r="G89" s="112">
        <f t="shared" si="8"/>
        <v>-229</v>
      </c>
      <c r="H89" s="99">
        <f>G89+'9'!H89</f>
        <v>-169</v>
      </c>
      <c r="I89" s="118"/>
      <c r="J89" s="175">
        <f>H89/DAY(B2)</f>
        <v>-16.899999999999999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'9'!F90</f>
        <v>71074</v>
      </c>
      <c r="F90" s="164">
        <v>70901</v>
      </c>
      <c r="G90" s="112">
        <f t="shared" si="8"/>
        <v>-173</v>
      </c>
      <c r="H90" s="99">
        <f>G90+'9'!H90</f>
        <v>-133</v>
      </c>
      <c r="I90" s="118">
        <f>G89+G90</f>
        <v>-402</v>
      </c>
      <c r="J90" s="175">
        <f>H90/DAY(B2)</f>
        <v>-13.3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'9'!F92</f>
        <v>5529</v>
      </c>
      <c r="F92" s="122">
        <v>5206.5</v>
      </c>
      <c r="G92" s="112">
        <f t="shared" si="8"/>
        <v>-322.5</v>
      </c>
      <c r="H92" s="99">
        <f>G92+'9'!H92</f>
        <v>-231.5</v>
      </c>
      <c r="I92" s="165"/>
      <c r="J92" s="175">
        <f>H92/DAY(B2)</f>
        <v>-23.15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1836483</v>
      </c>
      <c r="H94" s="99">
        <f>G94+'9'!H94</f>
        <v>1889165</v>
      </c>
      <c r="I94" s="118"/>
      <c r="J94" s="175">
        <f>H94/DAY(B2)</f>
        <v>188916.5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78.148212765957453</v>
      </c>
      <c r="H95" s="99">
        <f>G95+'9'!H95</f>
        <v>80.851359241109762</v>
      </c>
      <c r="I95" s="167"/>
      <c r="J95" s="175">
        <f>H95/DAY(B2)</f>
        <v>8.0851359241109755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1043261.4</v>
      </c>
      <c r="H96" s="99">
        <f>G96+'9'!H96</f>
        <v>1070981.46</v>
      </c>
      <c r="I96" s="118"/>
      <c r="J96" s="175">
        <f>H96/DAY(B2)</f>
        <v>107098.14599999999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44.394102127659572</v>
      </c>
      <c r="H97" s="99">
        <f>G97+'9'!H97</f>
        <v>45.816633594301621</v>
      </c>
      <c r="I97" s="167"/>
      <c r="J97" s="175">
        <f>H97/DAY(B2)</f>
        <v>4.5816633594301619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348084</v>
      </c>
      <c r="H98" s="99">
        <f>G98+'9'!H98</f>
        <v>372376</v>
      </c>
      <c r="I98" s="168"/>
      <c r="J98" s="175">
        <f>H98/DAY(B2)</f>
        <v>37237.599999999999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14.812085106382979</v>
      </c>
      <c r="H99" s="99">
        <f>G99+'9'!H99</f>
        <v>16.059737138906804</v>
      </c>
      <c r="I99" s="168"/>
      <c r="J99" s="175">
        <f>H99/DAY(B2)</f>
        <v>1.6059737138906804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189042</v>
      </c>
      <c r="H100" s="99">
        <f>G100+'9'!H100</f>
        <v>203900</v>
      </c>
      <c r="I100" s="118"/>
      <c r="J100" s="175">
        <f>H100/DAY(B2)</f>
        <v>20390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8.0443404255319155</v>
      </c>
      <c r="H101" s="99">
        <f>G101+'9'!H101</f>
        <v>8.8074674659832617</v>
      </c>
      <c r="I101" s="168"/>
      <c r="J101" s="175">
        <f>H101/DAY(B2)</f>
        <v>0.88074674659832619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764568</v>
      </c>
      <c r="H102" s="99">
        <f>G102+'9'!H102</f>
        <v>781111</v>
      </c>
      <c r="I102" s="168"/>
      <c r="J102" s="175">
        <f>H102/DAY(B2)</f>
        <v>78111.100000000006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32.5348085106383</v>
      </c>
      <c r="H103" s="99">
        <f>G103+'9'!H103</f>
        <v>33.38310458037612</v>
      </c>
      <c r="I103" s="118"/>
      <c r="J103" s="175">
        <f>H103/DAY(B2)</f>
        <v>3.3383104580376122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160616</v>
      </c>
      <c r="H104" s="99">
        <f>G104+'9'!H104</f>
        <v>174300</v>
      </c>
      <c r="I104" s="118"/>
      <c r="J104" s="175">
        <f>H104/DAY(B2)</f>
        <v>17430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6.8347234042553193</v>
      </c>
      <c r="H105" s="99">
        <f>G105+'9'!H105</f>
        <v>7.5374861553274473</v>
      </c>
      <c r="I105" s="187"/>
      <c r="J105" s="188">
        <f>H105/DAY(B2)</f>
        <v>0.75374861553274475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'9'!F112</f>
        <v>56351</v>
      </c>
      <c r="F112" s="237">
        <v>54164</v>
      </c>
      <c r="G112" s="112">
        <f t="shared" ref="G112:G123" si="9">F112-E112</f>
        <v>-2187</v>
      </c>
      <c r="H112" s="99">
        <f>G112+'9'!H112</f>
        <v>-1517</v>
      </c>
      <c r="I112" s="165"/>
      <c r="J112" s="330">
        <f>H112/DAY(B2)</f>
        <v>-151.69999999999999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'9'!F113</f>
        <v>36226</v>
      </c>
      <c r="F113" s="237">
        <v>22469</v>
      </c>
      <c r="G113" s="112">
        <f t="shared" si="9"/>
        <v>-13757</v>
      </c>
      <c r="H113" s="99">
        <f>G113+'9'!H113</f>
        <v>-9726</v>
      </c>
      <c r="I113" s="165"/>
      <c r="J113" s="330">
        <f>H113/DAY(B2)</f>
        <v>-972.6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'9'!F114</f>
        <v>27257</v>
      </c>
      <c r="F114" s="237">
        <v>17343</v>
      </c>
      <c r="G114" s="112">
        <f t="shared" si="9"/>
        <v>-9914</v>
      </c>
      <c r="H114" s="99">
        <f>G114+'9'!H114</f>
        <v>-7528</v>
      </c>
      <c r="I114" s="165"/>
      <c r="J114" s="330">
        <f>H114/DAY(B2)</f>
        <v>-752.8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'9'!F115</f>
        <v>8878</v>
      </c>
      <c r="F115" s="237">
        <v>8542</v>
      </c>
      <c r="G115" s="112">
        <f t="shared" si="9"/>
        <v>-336</v>
      </c>
      <c r="H115" s="99">
        <f>G115+'9'!H115</f>
        <v>-243</v>
      </c>
      <c r="I115" s="165"/>
      <c r="J115" s="330">
        <f>H115/DAY(B2)</f>
        <v>-24.3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'9'!F117</f>
        <v>2823</v>
      </c>
      <c r="F117" s="237">
        <v>2140</v>
      </c>
      <c r="G117" s="112">
        <f t="shared" si="9"/>
        <v>-683</v>
      </c>
      <c r="H117" s="99">
        <f>G117+'9'!H117</f>
        <v>-450</v>
      </c>
      <c r="I117" s="165"/>
      <c r="J117" s="330">
        <f>H117/DAY(B2)</f>
        <v>-45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'9'!F118</f>
        <v>244956</v>
      </c>
      <c r="F118" s="237">
        <v>233568</v>
      </c>
      <c r="G118" s="112">
        <f t="shared" si="9"/>
        <v>-11388</v>
      </c>
      <c r="H118" s="99">
        <f>G118+'9'!H118</f>
        <v>-8079</v>
      </c>
      <c r="I118" s="165"/>
      <c r="J118" s="330">
        <f>H118/DAY(B2)</f>
        <v>-807.9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'9'!F119</f>
        <v>249048</v>
      </c>
      <c r="F119" s="237">
        <v>236097</v>
      </c>
      <c r="G119" s="112">
        <f t="shared" si="9"/>
        <v>-12951</v>
      </c>
      <c r="H119" s="99">
        <f>G119+'9'!H119</f>
        <v>-9029</v>
      </c>
      <c r="I119" s="165"/>
      <c r="J119" s="330">
        <f>H119/DAY(B2)</f>
        <v>-902.9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'9'!F120</f>
        <v>33867</v>
      </c>
      <c r="F120" s="237">
        <v>21425</v>
      </c>
      <c r="G120" s="112">
        <f t="shared" si="9"/>
        <v>-12442</v>
      </c>
      <c r="H120" s="99">
        <f>G120+'9'!H120</f>
        <v>-8653</v>
      </c>
      <c r="I120" s="165"/>
      <c r="J120" s="330">
        <f>H120/DAY(B2)</f>
        <v>-865.3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'9'!F121</f>
        <v>383229</v>
      </c>
      <c r="F121" s="237">
        <v>360302</v>
      </c>
      <c r="G121" s="112">
        <f t="shared" si="9"/>
        <v>-22927</v>
      </c>
      <c r="H121" s="99">
        <f>G121+'9'!H121</f>
        <v>-16227</v>
      </c>
      <c r="I121" s="165"/>
      <c r="J121" s="330">
        <f>H121/DAY(B2)</f>
        <v>-1622.7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'9'!F122</f>
        <v>122083</v>
      </c>
      <c r="F122" s="237">
        <v>114226</v>
      </c>
      <c r="G122" s="112">
        <f t="shared" si="9"/>
        <v>-7857</v>
      </c>
      <c r="H122" s="99">
        <f>G122+'9'!H122</f>
        <v>-5824</v>
      </c>
      <c r="I122" s="165"/>
      <c r="J122" s="330">
        <f>H122/DAY(B2)</f>
        <v>-582.4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'9'!F123</f>
        <v>148043</v>
      </c>
      <c r="F123" s="237">
        <v>137519</v>
      </c>
      <c r="G123" s="112">
        <f t="shared" si="9"/>
        <v>-10524</v>
      </c>
      <c r="H123" s="99">
        <f>G123+'9'!H123</f>
        <v>-7606</v>
      </c>
      <c r="I123" s="165"/>
      <c r="J123" s="330">
        <f>H123/DAY(B2)</f>
        <v>-760.6</v>
      </c>
    </row>
    <row r="124" spans="1:18" ht="29.25" customHeight="1" x14ac:dyDescent="0.5">
      <c r="A124" s="839"/>
      <c r="B124" s="840"/>
      <c r="C124" s="841"/>
      <c r="D124" s="165"/>
      <c r="E124" s="95">
        <f>'9'!F124</f>
        <v>0</v>
      </c>
      <c r="F124" s="165"/>
      <c r="G124" s="329"/>
      <c r="H124" s="99">
        <f>G124+'9'!H124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-104966</v>
      </c>
      <c r="H125" s="156"/>
      <c r="I125" s="329">
        <f>G125-(G39+G53)</f>
        <v>-453050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G127+'9'!H127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'9'!F128</f>
        <v>40976</v>
      </c>
      <c r="F128" s="155">
        <v>30863</v>
      </c>
      <c r="G128" s="112">
        <f t="shared" ref="G128:G134" si="10">F128-E128</f>
        <v>-10113</v>
      </c>
      <c r="H128" s="99">
        <f>G128+'9'!H128</f>
        <v>-7141</v>
      </c>
      <c r="I128" s="165"/>
      <c r="J128" s="330">
        <f>H128/DAY(B2)</f>
        <v>-714.1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'9'!F129</f>
        <v>22281</v>
      </c>
      <c r="F129" s="155">
        <v>15448</v>
      </c>
      <c r="G129" s="112">
        <f t="shared" si="10"/>
        <v>-6833</v>
      </c>
      <c r="H129" s="99">
        <f>G129+'9'!H129</f>
        <v>-4873</v>
      </c>
      <c r="I129" s="165"/>
      <c r="J129" s="330">
        <f>H129/DAY(B2)</f>
        <v>-487.3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'9'!F130</f>
        <v>24387</v>
      </c>
      <c r="F130" s="155">
        <v>4830</v>
      </c>
      <c r="G130" s="112">
        <f t="shared" si="10"/>
        <v>-19557</v>
      </c>
      <c r="H130" s="99">
        <f>G130+'9'!H130</f>
        <v>-13552</v>
      </c>
      <c r="I130" s="165"/>
      <c r="J130" s="330">
        <f>H130/DAY(B2)</f>
        <v>-1355.2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'9'!F131</f>
        <v>13825</v>
      </c>
      <c r="F131" s="155">
        <v>10754</v>
      </c>
      <c r="G131" s="112">
        <f t="shared" si="10"/>
        <v>-3071</v>
      </c>
      <c r="H131" s="99">
        <f>G131+'9'!H131</f>
        <v>-2399</v>
      </c>
      <c r="I131" s="165"/>
      <c r="J131" s="330">
        <f>H131/DAY(B2)</f>
        <v>-239.9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'9'!F132</f>
        <v>45241</v>
      </c>
      <c r="F132" s="155">
        <v>30676</v>
      </c>
      <c r="G132" s="112">
        <f t="shared" si="10"/>
        <v>-14565</v>
      </c>
      <c r="H132" s="99">
        <f>G132+'9'!H132</f>
        <v>-10347</v>
      </c>
      <c r="I132" s="165"/>
      <c r="J132" s="330">
        <f>H132/DAY(B2)</f>
        <v>-1034.7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'9'!F133</f>
        <v>94753</v>
      </c>
      <c r="F133" s="155">
        <v>71940</v>
      </c>
      <c r="G133" s="112">
        <f t="shared" si="10"/>
        <v>-22813</v>
      </c>
      <c r="H133" s="99">
        <f>G133+'9'!H133</f>
        <v>-15763</v>
      </c>
      <c r="I133" s="165"/>
      <c r="J133" s="330">
        <f>H133/DAY(B2)</f>
        <v>-1576.3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v>637922</v>
      </c>
      <c r="F134" s="557">
        <v>638544</v>
      </c>
      <c r="G134" s="112">
        <f t="shared" si="10"/>
        <v>622</v>
      </c>
      <c r="H134" s="99">
        <f>G134+'9'!H134</f>
        <v>6327</v>
      </c>
      <c r="I134" s="165"/>
      <c r="J134" s="330">
        <f>H134/DAY(B2)</f>
        <v>632.70000000000005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-76330</v>
      </c>
      <c r="H135" s="99">
        <f>G135+'9'!H135</f>
        <v>-47748</v>
      </c>
      <c r="I135" s="329">
        <f>G135-(G35+G49)</f>
        <v>-425783</v>
      </c>
      <c r="J135" s="330">
        <f>H135/DAY(B2)</f>
        <v>-4774.8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'9'!F138</f>
        <v>864791</v>
      </c>
      <c r="F138" s="147">
        <v>861781</v>
      </c>
      <c r="G138" s="112">
        <f t="shared" ref="G138:G152" si="11">F138-E138</f>
        <v>-3010</v>
      </c>
      <c r="H138" s="99">
        <f>G138+'9'!H138</f>
        <v>-2390</v>
      </c>
      <c r="I138" s="118"/>
      <c r="J138" s="330">
        <f>H138/DAY(B2)</f>
        <v>-239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'9'!F139</f>
        <v>886549</v>
      </c>
      <c r="F139" s="148">
        <v>886312</v>
      </c>
      <c r="G139" s="112">
        <f t="shared" si="11"/>
        <v>-237</v>
      </c>
      <c r="H139" s="99">
        <f>G139+'9'!H139</f>
        <v>-234</v>
      </c>
      <c r="I139" s="118"/>
      <c r="J139" s="330">
        <f>H139/DAY(B2)</f>
        <v>-23.4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'9'!F140</f>
        <v>88898</v>
      </c>
      <c r="F140" s="149">
        <v>88863</v>
      </c>
      <c r="G140" s="112">
        <f t="shared" si="11"/>
        <v>-35</v>
      </c>
      <c r="H140" s="99">
        <f>G140+'9'!H140</f>
        <v>-19</v>
      </c>
      <c r="I140" s="118"/>
      <c r="J140" s="330">
        <f>H140/DAY(B2)</f>
        <v>-1.9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'9'!F141</f>
        <v>50890</v>
      </c>
      <c r="F141" s="149">
        <v>45111</v>
      </c>
      <c r="G141" s="112">
        <f t="shared" si="11"/>
        <v>-5779</v>
      </c>
      <c r="H141" s="99">
        <f>G141+'9'!H141</f>
        <v>-4195</v>
      </c>
      <c r="I141" s="118"/>
      <c r="J141" s="330">
        <f>H141/DAY(B2)</f>
        <v>-419.5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'9'!F142</f>
        <v>19639</v>
      </c>
      <c r="F142" s="148">
        <v>17635</v>
      </c>
      <c r="G142" s="112">
        <f t="shared" si="11"/>
        <v>-2004</v>
      </c>
      <c r="H142" s="99">
        <f>G142+'9'!H142</f>
        <v>-1374</v>
      </c>
      <c r="I142" s="140"/>
      <c r="J142" s="330">
        <f>H142/DAY(B2)</f>
        <v>-137.4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'9'!F143</f>
        <v>3273</v>
      </c>
      <c r="F143" s="149">
        <v>2498</v>
      </c>
      <c r="G143" s="112">
        <f t="shared" si="11"/>
        <v>-775</v>
      </c>
      <c r="H143" s="99">
        <f>G143+'9'!H143</f>
        <v>-563</v>
      </c>
      <c r="I143" s="140"/>
      <c r="J143" s="330">
        <f>H143/DAY(B2)</f>
        <v>-56.3</v>
      </c>
      <c r="O143" s="148">
        <v>582206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'9'!F144</f>
        <v>871704</v>
      </c>
      <c r="F144" s="149">
        <v>864690</v>
      </c>
      <c r="G144" s="112">
        <f t="shared" si="11"/>
        <v>-7014</v>
      </c>
      <c r="H144" s="99">
        <f>G144+'9'!H144</f>
        <v>-4980</v>
      </c>
      <c r="I144" s="140"/>
      <c r="J144" s="330">
        <f>H144/DAY(B2)</f>
        <v>-498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'9'!F145</f>
        <v>4712</v>
      </c>
      <c r="F145" s="149">
        <v>3863</v>
      </c>
      <c r="G145" s="112">
        <f t="shared" si="11"/>
        <v>-849</v>
      </c>
      <c r="H145" s="99">
        <f>G145+'9'!H145</f>
        <v>-695</v>
      </c>
      <c r="I145" s="140"/>
      <c r="J145" s="330">
        <f>H145/DAY(B2)</f>
        <v>-69.5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'9'!F146</f>
        <v>728816</v>
      </c>
      <c r="F146" s="148">
        <v>714936</v>
      </c>
      <c r="G146" s="112">
        <f t="shared" si="11"/>
        <v>-13880</v>
      </c>
      <c r="H146" s="99">
        <f>G146+'9'!H146</f>
        <v>-9922</v>
      </c>
      <c r="I146" s="140"/>
      <c r="J146" s="330">
        <f>H146/DAY(B2)</f>
        <v>-992.2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'9'!F147</f>
        <v>618802</v>
      </c>
      <c r="F147" s="148">
        <v>606428</v>
      </c>
      <c r="G147" s="112">
        <f t="shared" si="11"/>
        <v>-12374</v>
      </c>
      <c r="H147" s="99">
        <f>G147+'9'!H147</f>
        <v>-8854</v>
      </c>
      <c r="I147" s="140"/>
      <c r="J147" s="330">
        <f>H147/DAY(B2)</f>
        <v>-885.4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'9'!F148</f>
        <v>685430</v>
      </c>
      <c r="F148" s="150">
        <v>676653</v>
      </c>
      <c r="G148" s="112">
        <f t="shared" si="11"/>
        <v>-8777</v>
      </c>
      <c r="H148" s="99">
        <f>G148+'9'!H148</f>
        <v>-6380.1199999999953</v>
      </c>
      <c r="I148" s="124"/>
      <c r="J148" s="330">
        <f>H148/DAY(B2)</f>
        <v>-638.01199999999949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'9'!F149</f>
        <v>14582</v>
      </c>
      <c r="F149" s="146">
        <v>99032</v>
      </c>
      <c r="G149" s="112">
        <f t="shared" si="11"/>
        <v>84450</v>
      </c>
      <c r="H149" s="99">
        <f>G149+'9'!H149</f>
        <v>88283</v>
      </c>
      <c r="I149" s="119"/>
      <c r="J149" s="330">
        <f>H149/DAY(B2)</f>
        <v>8828.2999999999993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'9'!F150</f>
        <v>6042</v>
      </c>
      <c r="F150" s="233">
        <v>7167232</v>
      </c>
      <c r="G150" s="112">
        <f t="shared" si="11"/>
        <v>7161190</v>
      </c>
      <c r="H150" s="99">
        <f>G150+'9'!H150</f>
        <v>7163180</v>
      </c>
      <c r="I150" s="119"/>
      <c r="J150" s="330">
        <f>H150/DAY(B2)</f>
        <v>716318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'9'!F151</f>
        <v>80408</v>
      </c>
      <c r="F151" s="233">
        <v>73241</v>
      </c>
      <c r="G151" s="112">
        <f t="shared" si="11"/>
        <v>-7167</v>
      </c>
      <c r="H151" s="99">
        <f>G151+'9'!H151</f>
        <v>-4976</v>
      </c>
      <c r="I151" s="119"/>
      <c r="J151" s="330">
        <f>H151/DAY(B2)</f>
        <v>-497.6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'9'!F152</f>
        <v>1305</v>
      </c>
      <c r="F152" s="233">
        <v>0</v>
      </c>
      <c r="G152" s="112">
        <f t="shared" si="11"/>
        <v>-1305</v>
      </c>
      <c r="H152" s="99">
        <f>G152+'9'!H152</f>
        <v>-1127</v>
      </c>
      <c r="I152" s="119"/>
      <c r="J152" s="330">
        <f>H152/DAY(B2)</f>
        <v>-112.7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7182434</v>
      </c>
      <c r="H153" s="365"/>
      <c r="I153" s="119">
        <f>G153-(G38+G52)</f>
        <v>6993392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'9'!F155</f>
        <v>18559</v>
      </c>
      <c r="F155" s="376">
        <v>77600</v>
      </c>
      <c r="G155" s="112">
        <f t="shared" ref="G155:G156" si="12">F155-E155</f>
        <v>59041</v>
      </c>
      <c r="H155" s="99">
        <f>G155+'9'!H155</f>
        <v>64128</v>
      </c>
      <c r="I155" s="366"/>
      <c r="J155" s="330">
        <f>H155/DAY(B2)</f>
        <v>6412.8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'9'!F156</f>
        <v>1508</v>
      </c>
      <c r="F156" s="155">
        <v>0</v>
      </c>
      <c r="G156" s="112">
        <f t="shared" si="12"/>
        <v>-1508</v>
      </c>
      <c r="H156" s="99">
        <f>G156+'9'!H156</f>
        <v>-1088</v>
      </c>
      <c r="I156" s="165"/>
      <c r="J156" s="330">
        <f>H156/DAY(B2)</f>
        <v>-108.8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471231</v>
      </c>
      <c r="F161" s="235">
        <v>471120</v>
      </c>
      <c r="G161" s="238">
        <f t="shared" ref="G161:G165" si="13">F161-E161</f>
        <v>-111</v>
      </c>
      <c r="H161" s="99">
        <f>G161+'9'!H161</f>
        <v>-33.159999999974389</v>
      </c>
      <c r="I161" s="236"/>
      <c r="J161" s="239">
        <f>H161/DAY(B2)</f>
        <v>-3.3159999999974388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87796</v>
      </c>
      <c r="F162" s="235">
        <v>86974</v>
      </c>
      <c r="G162" s="238">
        <f t="shared" si="13"/>
        <v>-822</v>
      </c>
      <c r="H162" s="99">
        <f>G162+'9'!H162</f>
        <v>-596</v>
      </c>
      <c r="I162" s="236"/>
      <c r="J162" s="239">
        <f>H162/DAY(B2)</f>
        <v>-59.6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78188</v>
      </c>
      <c r="F163" s="235">
        <v>76335</v>
      </c>
      <c r="G163" s="238">
        <f t="shared" si="13"/>
        <v>-1853</v>
      </c>
      <c r="H163" s="99">
        <f>G163+'9'!H163</f>
        <v>-1490</v>
      </c>
      <c r="I163" s="236"/>
      <c r="J163" s="239">
        <f>H163/DAY(B2)</f>
        <v>-149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4255</v>
      </c>
      <c r="F164" s="235">
        <v>4150</v>
      </c>
      <c r="G164" s="238">
        <f t="shared" si="13"/>
        <v>-105</v>
      </c>
      <c r="H164" s="99">
        <f>G164+'9'!H164</f>
        <v>-92</v>
      </c>
      <c r="I164" s="236"/>
      <c r="J164" s="239">
        <f>H164/DAY(B2)</f>
        <v>-9.1999999999999993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29697</v>
      </c>
      <c r="F165" s="235">
        <v>29506</v>
      </c>
      <c r="G165" s="238">
        <f t="shared" si="13"/>
        <v>-191</v>
      </c>
      <c r="H165" s="99">
        <f>G165+'9'!H165</f>
        <v>-140</v>
      </c>
      <c r="I165" s="236"/>
      <c r="J165" s="239">
        <f>H165/DAY(B2)</f>
        <v>-14</v>
      </c>
    </row>
    <row r="166" spans="1:10" ht="29.25" x14ac:dyDescent="0.5">
      <c r="A166" s="824"/>
      <c r="B166" s="824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'9'!F173</f>
        <v>8126</v>
      </c>
      <c r="F173" s="155">
        <v>8107</v>
      </c>
      <c r="G173" s="155">
        <f>F173-E173</f>
        <v>-19</v>
      </c>
      <c r="H173" s="99">
        <f>G173+'9'!H173</f>
        <v>-19</v>
      </c>
      <c r="I173" s="155"/>
      <c r="J173" s="178">
        <f>H173/DAY(B2)</f>
        <v>-1.9</v>
      </c>
    </row>
    <row r="174" spans="1:10" ht="34.5" customHeight="1" x14ac:dyDescent="0.5">
      <c r="A174" s="828" t="s">
        <v>75</v>
      </c>
      <c r="B174" s="829"/>
      <c r="C174" s="335"/>
      <c r="D174" s="228" t="s">
        <v>142</v>
      </c>
      <c r="E174" s="95">
        <f>'9'!F174</f>
        <v>38388</v>
      </c>
      <c r="F174" s="157">
        <v>37969</v>
      </c>
      <c r="G174" s="155">
        <f t="shared" ref="G174:G175" si="14">F174-E174</f>
        <v>-419</v>
      </c>
      <c r="H174" s="99">
        <f>G174+'9'!H174</f>
        <v>-324</v>
      </c>
      <c r="I174" s="155"/>
      <c r="J174" s="178">
        <f>H174/DAY(B2)</f>
        <v>-32.4</v>
      </c>
    </row>
    <row r="175" spans="1:10" ht="31.5" customHeight="1" x14ac:dyDescent="0.5">
      <c r="A175" s="828" t="s">
        <v>76</v>
      </c>
      <c r="B175" s="868"/>
      <c r="C175" s="829"/>
      <c r="D175" s="228" t="s">
        <v>142</v>
      </c>
      <c r="E175" s="95">
        <f>'9'!F175</f>
        <v>21606</v>
      </c>
      <c r="F175" s="155">
        <v>21265</v>
      </c>
      <c r="G175" s="155">
        <f t="shared" si="14"/>
        <v>-341</v>
      </c>
      <c r="H175" s="99">
        <f>G175+'9'!H175</f>
        <v>-253</v>
      </c>
      <c r="I175" s="155"/>
      <c r="J175" s="178">
        <f>H175/DAY(B2)</f>
        <v>-25.3</v>
      </c>
    </row>
    <row r="176" spans="1:10" ht="21.75" customHeight="1" x14ac:dyDescent="0.5">
      <c r="A176" s="819" t="s">
        <v>196</v>
      </c>
      <c r="B176" s="820"/>
      <c r="C176" s="335"/>
      <c r="D176" s="228"/>
      <c r="E176" s="95"/>
      <c r="F176" s="155"/>
      <c r="G176" s="155">
        <f>SUM(G173:G175)</f>
        <v>-779</v>
      </c>
      <c r="H176" s="99">
        <f>G176+'9'!H176</f>
        <v>-596</v>
      </c>
      <c r="I176" s="155"/>
      <c r="J176" s="178">
        <f>H176/DAY(B2)</f>
        <v>-59.6</v>
      </c>
    </row>
    <row r="177" spans="1:10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28" t="s">
        <v>210</v>
      </c>
      <c r="B178" s="829"/>
      <c r="C178" s="335"/>
      <c r="D178" s="228" t="s">
        <v>142</v>
      </c>
      <c r="E178" s="95">
        <f>'9'!F178</f>
        <v>80229</v>
      </c>
      <c r="F178" s="155">
        <v>78098</v>
      </c>
      <c r="G178" s="155">
        <f>F178-E178</f>
        <v>-2131</v>
      </c>
      <c r="H178" s="99">
        <f>G178+'9'!H178</f>
        <v>-1516</v>
      </c>
      <c r="I178" s="155"/>
      <c r="J178" s="178">
        <f>H178/DAY(B2)</f>
        <v>-151.6</v>
      </c>
    </row>
    <row r="179" spans="1:10" ht="27.75" customHeight="1" x14ac:dyDescent="0.5">
      <c r="A179" s="828" t="s">
        <v>211</v>
      </c>
      <c r="B179" s="829"/>
      <c r="C179" s="335"/>
      <c r="D179" s="228" t="s">
        <v>142</v>
      </c>
      <c r="E179" s="95">
        <f>'9'!F179</f>
        <v>34070</v>
      </c>
      <c r="F179" s="155">
        <v>33888</v>
      </c>
      <c r="G179" s="155">
        <f t="shared" ref="G179:G180" si="15">F179-E179</f>
        <v>-182</v>
      </c>
      <c r="H179" s="99">
        <f>G179+'9'!H179</f>
        <v>-27</v>
      </c>
      <c r="I179" s="155"/>
      <c r="J179" s="178">
        <f>H179/DAY(B2)</f>
        <v>-2.7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'9'!F180</f>
        <v>5544</v>
      </c>
      <c r="F180" s="155">
        <v>5335</v>
      </c>
      <c r="G180" s="155">
        <f t="shared" si="15"/>
        <v>-209</v>
      </c>
      <c r="H180" s="99">
        <f>G180+'9'!H180</f>
        <v>-142</v>
      </c>
      <c r="I180" s="155"/>
      <c r="J180" s="178">
        <f>H180/DAY(B2)</f>
        <v>-14.2</v>
      </c>
    </row>
    <row r="181" spans="1:10" ht="27.75" x14ac:dyDescent="0.5">
      <c r="A181" s="830" t="s">
        <v>108</v>
      </c>
      <c r="B181" s="831"/>
      <c r="C181" s="335"/>
      <c r="D181" s="228"/>
      <c r="E181" s="95"/>
      <c r="F181" s="155"/>
      <c r="G181" s="155">
        <f>SUM(G178:G180)</f>
        <v>-2522</v>
      </c>
      <c r="H181" s="99">
        <f>G181+'9'!H181</f>
        <v>-1685</v>
      </c>
      <c r="I181" s="155"/>
      <c r="J181" s="178">
        <f>H181/DAY(B2)</f>
        <v>-168.5</v>
      </c>
    </row>
    <row r="182" spans="1:10" ht="27.75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'9'!F183</f>
        <v>15073</v>
      </c>
      <c r="F183" s="157">
        <v>14649</v>
      </c>
      <c r="G183" s="157">
        <f>F183-E183</f>
        <v>-424</v>
      </c>
      <c r="H183" s="99">
        <f>G183+'9'!H183</f>
        <v>-298</v>
      </c>
      <c r="I183" s="155"/>
      <c r="J183" s="178">
        <f>H183/DAY(B2)</f>
        <v>-29.8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'9'!F184</f>
        <v>10369</v>
      </c>
      <c r="F184" s="157">
        <v>10119</v>
      </c>
      <c r="G184" s="157">
        <f t="shared" ref="G184:G185" si="16">F184-E184</f>
        <v>-250</v>
      </c>
      <c r="H184" s="99">
        <f>G184+'9'!H184</f>
        <v>-182</v>
      </c>
      <c r="I184" s="155"/>
      <c r="J184" s="178">
        <f>H184/DAY(B2)</f>
        <v>-18.2</v>
      </c>
    </row>
    <row r="185" spans="1:10" ht="37.5" customHeight="1" x14ac:dyDescent="0.5">
      <c r="A185" s="828" t="s">
        <v>216</v>
      </c>
      <c r="B185" s="829"/>
      <c r="C185" s="336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19" t="s">
        <v>196</v>
      </c>
      <c r="B186" s="820"/>
      <c r="C186" s="336"/>
      <c r="D186" s="229"/>
      <c r="E186" s="95"/>
      <c r="F186" s="157"/>
      <c r="G186" s="157">
        <f>SUM(G183:G185)</f>
        <v>-674</v>
      </c>
      <c r="H186" s="99">
        <f>G186+'9'!H186</f>
        <v>-480</v>
      </c>
      <c r="I186" s="157"/>
      <c r="J186" s="178">
        <f>H186/DAY(B2)</f>
        <v>-48</v>
      </c>
    </row>
    <row r="187" spans="1:10" ht="21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556">
        <f>G62+G19</f>
        <v>-3014</v>
      </c>
      <c r="H187" s="99">
        <f>G187+'9'!H187</f>
        <v>-2007</v>
      </c>
      <c r="I187" s="158"/>
      <c r="J187" s="179">
        <f>H187/DAY(B2)</f>
        <v>-200.7</v>
      </c>
    </row>
    <row r="188" spans="1:10" ht="21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556">
        <f>G65+G66+G67+G69+G70</f>
        <v>-4994</v>
      </c>
      <c r="H188" s="99">
        <f>G188+'9'!H188</f>
        <v>-3719</v>
      </c>
      <c r="I188" s="158"/>
      <c r="J188" s="179">
        <f>H188/DAY(B2)</f>
        <v>-371.9</v>
      </c>
    </row>
    <row r="189" spans="1:10" ht="21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534">
        <f>G181</f>
        <v>-2522</v>
      </c>
      <c r="H189" s="99">
        <f>G189+'9'!H189</f>
        <v>-1685</v>
      </c>
      <c r="I189" s="158"/>
      <c r="J189" s="179">
        <f>H189/DAY(B2)</f>
        <v>-168.5</v>
      </c>
    </row>
    <row r="190" spans="1:10" ht="27" customHeight="1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64" zoomScale="55" zoomScaleNormal="55" workbookViewId="0">
      <selection activeCell="F18" sqref="F18: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 x14ac:dyDescent="0.5">
      <c r="A2" s="191" t="s">
        <v>357</v>
      </c>
      <c r="B2" s="262">
        <v>44541</v>
      </c>
      <c r="C2" s="350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50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293478</v>
      </c>
      <c r="F7" s="95">
        <f>E7+23500</f>
        <v>316978</v>
      </c>
      <c r="G7" s="112">
        <f>F7-E7</f>
        <v>23500</v>
      </c>
      <c r="H7" s="99">
        <f>G7+'10'!H7</f>
        <v>222417</v>
      </c>
      <c r="I7" s="113">
        <f>'1'!I7</f>
        <v>12000</v>
      </c>
      <c r="J7" s="175">
        <f>H7/DAY(B2)</f>
        <v>20219.727272727272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343437</v>
      </c>
      <c r="F8" s="95">
        <f>E8+23500</f>
        <v>366937</v>
      </c>
      <c r="G8" s="115">
        <f>F8-E8</f>
        <v>23500</v>
      </c>
      <c r="H8" s="99">
        <f>G8+'10'!H8</f>
        <v>226052</v>
      </c>
      <c r="I8" s="116"/>
      <c r="J8" s="175">
        <f>H8/DAY(B2)</f>
        <v>20550.18181818182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25657</v>
      </c>
      <c r="F9" s="605">
        <f>E9+14000</f>
        <v>39657</v>
      </c>
      <c r="G9" s="112">
        <f>F9-E9</f>
        <v>14000</v>
      </c>
      <c r="H9" s="99">
        <f>G9+'10'!H9</f>
        <v>138162</v>
      </c>
      <c r="I9" s="124">
        <f>I7-J7</f>
        <v>-8219.7272727272721</v>
      </c>
      <c r="J9" s="175">
        <f>H9/DAY(B2)</f>
        <v>12560.181818181818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10034</v>
      </c>
      <c r="F10" s="355">
        <f>E10+4500</f>
        <v>14534</v>
      </c>
      <c r="G10" s="112">
        <f t="shared" ref="G10:G12" si="0">F10-E10</f>
        <v>4500</v>
      </c>
      <c r="H10" s="99">
        <f>G10+'10'!H10</f>
        <v>69440</v>
      </c>
      <c r="I10" s="282"/>
      <c r="J10" s="175">
        <f>H10/DAY(B2)</f>
        <v>6312.727272727273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G13+'10'!H13</f>
        <v>188136.74999999988</v>
      </c>
      <c r="I13" s="120">
        <f>G7-G13</f>
        <v>5000</v>
      </c>
      <c r="J13" s="175">
        <f>H13/DAY(B2)</f>
        <v>17103.340909090897</v>
      </c>
      <c r="K13" s="79"/>
      <c r="L13" s="66"/>
      <c r="N13" s="87"/>
      <c r="O13" s="71"/>
    </row>
    <row r="14" spans="1:15" ht="30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7" t="s">
        <v>138</v>
      </c>
      <c r="B15" s="205"/>
      <c r="C15" s="205"/>
      <c r="D15" s="151" t="s">
        <v>139</v>
      </c>
      <c r="E15" s="95">
        <f>'10'!F15</f>
        <v>1887699</v>
      </c>
      <c r="F15" s="605">
        <f>E15+1100</f>
        <v>1888799</v>
      </c>
      <c r="G15" s="112">
        <f>(F15-E15)</f>
        <v>1100</v>
      </c>
      <c r="H15" s="99">
        <f>G15+'10'!H15</f>
        <v>10369</v>
      </c>
      <c r="I15" s="113">
        <f>'1'!I15</f>
        <v>800</v>
      </c>
      <c r="J15" s="175">
        <f>H15/DAY(B2)</f>
        <v>942.63636363636363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-142.63636363636363</v>
      </c>
      <c r="J16" s="176"/>
      <c r="K16" s="79"/>
      <c r="L16" s="66"/>
      <c r="N16" s="87"/>
      <c r="O16" s="71"/>
    </row>
    <row r="17" spans="1:15" ht="30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6" t="s">
        <v>141</v>
      </c>
      <c r="B18" s="857"/>
      <c r="C18" s="858"/>
      <c r="D18" s="151" t="s">
        <v>142</v>
      </c>
      <c r="E18" s="95">
        <f>'10'!F18</f>
        <v>27</v>
      </c>
      <c r="F18" s="122">
        <f>E18+12</f>
        <v>39</v>
      </c>
      <c r="G18" s="119">
        <f>F18*10</f>
        <v>390</v>
      </c>
      <c r="H18" s="99">
        <f>G18+'10'!H18</f>
        <v>1880</v>
      </c>
      <c r="I18" s="113">
        <f>'1'!I18</f>
        <v>65</v>
      </c>
      <c r="J18" s="175">
        <f>H18/DAY(B2)</f>
        <v>170.90909090909091</v>
      </c>
      <c r="K18" s="79"/>
      <c r="L18" s="66"/>
      <c r="N18" s="87"/>
      <c r="O18" s="71"/>
    </row>
    <row r="19" spans="1:15" ht="30.75" customHeight="1" x14ac:dyDescent="0.5">
      <c r="A19" s="856" t="s">
        <v>69</v>
      </c>
      <c r="B19" s="857"/>
      <c r="C19" s="858"/>
      <c r="D19" s="151" t="s">
        <v>142</v>
      </c>
      <c r="E19" s="95">
        <f>'10'!F19</f>
        <v>152750</v>
      </c>
      <c r="F19" s="122">
        <f>E19+55</f>
        <v>152805</v>
      </c>
      <c r="G19" s="112">
        <f t="shared" ref="G19" si="1">F19-E19</f>
        <v>55</v>
      </c>
      <c r="H19" s="99">
        <f>G19+'10'!H19</f>
        <v>580</v>
      </c>
      <c r="I19" s="337"/>
      <c r="J19" s="175">
        <f>H19/DAY(B2)</f>
        <v>52.727272727272727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445</v>
      </c>
      <c r="H20" s="99">
        <f>G20+'10'!H20</f>
        <v>2460</v>
      </c>
      <c r="I20" s="338">
        <f>I18-J20</f>
        <v>-158.63636363636363</v>
      </c>
      <c r="J20" s="175">
        <f>H20/DAY(B2)</f>
        <v>223.63636363636363</v>
      </c>
      <c r="K20" s="79"/>
      <c r="L20" s="66"/>
      <c r="N20" s="87"/>
      <c r="O20" s="71"/>
    </row>
    <row r="21" spans="1:15" ht="30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7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7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G27+'10'!H27</f>
        <v>2034468</v>
      </c>
      <c r="I27" s="138"/>
      <c r="J27" s="175">
        <f>H27/DAY(B2)</f>
        <v>184951.63636363635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G28+'10'!H28</f>
        <v>539188</v>
      </c>
      <c r="I28" s="140"/>
      <c r="J28" s="175">
        <f>H28/DAY(B2)</f>
        <v>49017.090909090912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G30+'10'!H30</f>
        <v>84680</v>
      </c>
      <c r="I30" s="140"/>
      <c r="J30" s="175">
        <f>H30/DAY(B2)</f>
        <v>7698.181818181818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390</v>
      </c>
      <c r="F31" s="136">
        <v>80</v>
      </c>
      <c r="G31" s="137">
        <f>E31*F31</f>
        <v>31200</v>
      </c>
      <c r="H31" s="99">
        <f>G31+'10'!H31</f>
        <v>150400</v>
      </c>
      <c r="I31" s="140"/>
      <c r="J31" s="175">
        <f>H31/DAY(B2)</f>
        <v>13672.727272727272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307930</v>
      </c>
      <c r="H32" s="99">
        <f>G32+'10'!H32</f>
        <v>2808736</v>
      </c>
      <c r="I32" s="144"/>
      <c r="J32" s="175">
        <f>H32/DAY(B2)</f>
        <v>255339.63636363635</v>
      </c>
      <c r="K32" s="63"/>
      <c r="L32" s="89"/>
      <c r="N32" s="87"/>
      <c r="O32" s="71"/>
    </row>
    <row r="33" spans="1:15" ht="30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114587</v>
      </c>
      <c r="F35" s="145">
        <v>116723</v>
      </c>
      <c r="G35" s="112">
        <f t="shared" ref="G35:G46" si="3">F35-E35</f>
        <v>2136</v>
      </c>
      <c r="H35" s="99">
        <f>G35+'10'!H35</f>
        <v>131923</v>
      </c>
      <c r="I35" s="95"/>
      <c r="J35" s="175">
        <f>H35/DAY(B2)</f>
        <v>11993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v>0</v>
      </c>
      <c r="F36" s="145">
        <v>806</v>
      </c>
      <c r="G36" s="112">
        <f t="shared" si="3"/>
        <v>806</v>
      </c>
      <c r="H36" s="99">
        <f>G36+'10'!H36</f>
        <v>69009</v>
      </c>
      <c r="I36" s="95"/>
      <c r="J36" s="175">
        <f>H36/DAY(B2)</f>
        <v>6273.545454545455</v>
      </c>
      <c r="K36" s="79"/>
      <c r="L36" s="66"/>
      <c r="N36" s="87"/>
      <c r="O36" s="346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162088</v>
      </c>
      <c r="F37" s="145">
        <v>163693</v>
      </c>
      <c r="G37" s="112">
        <f t="shared" si="3"/>
        <v>1605</v>
      </c>
      <c r="H37" s="99">
        <f>G37+'10'!H37</f>
        <v>175905</v>
      </c>
      <c r="I37" s="95"/>
      <c r="J37" s="175">
        <f>H37/DAY(B2)</f>
        <v>15991.363636363636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190700</v>
      </c>
      <c r="F38" s="108">
        <v>192862</v>
      </c>
      <c r="G38" s="112">
        <f t="shared" si="3"/>
        <v>2162</v>
      </c>
      <c r="H38" s="99">
        <f>G38+'10'!H38</f>
        <v>206062</v>
      </c>
      <c r="I38" s="95"/>
      <c r="J38" s="175">
        <f>H38/DAY(B2)</f>
        <v>18732.909090909092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350694</v>
      </c>
      <c r="F39" s="145">
        <v>353654</v>
      </c>
      <c r="G39" s="112">
        <f t="shared" si="3"/>
        <v>2960</v>
      </c>
      <c r="H39" s="99">
        <f>G39+'10'!H39</f>
        <v>375336</v>
      </c>
      <c r="I39" s="95"/>
      <c r="J39" s="175">
        <f>H39/DAY(B2)</f>
        <v>34121.454545454544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116</v>
      </c>
      <c r="F40" s="145">
        <v>116</v>
      </c>
      <c r="G40" s="112">
        <f t="shared" si="3"/>
        <v>0</v>
      </c>
      <c r="H40" s="99">
        <f>G40+'10'!H40</f>
        <v>-5494</v>
      </c>
      <c r="I40" s="95"/>
      <c r="J40" s="175">
        <f>H40/DAY(B2)</f>
        <v>-499.45454545454544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v>0</v>
      </c>
      <c r="F41" s="145">
        <v>0</v>
      </c>
      <c r="G41" s="112">
        <f t="shared" si="3"/>
        <v>0</v>
      </c>
      <c r="H41" s="99">
        <f>G41+'10'!H41</f>
        <v>599900</v>
      </c>
      <c r="I41" s="95"/>
      <c r="J41" s="175">
        <f>H41/DAY(B2)</f>
        <v>54536.36363636364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343994</v>
      </c>
      <c r="F42" s="145">
        <v>348499</v>
      </c>
      <c r="G42" s="112">
        <f t="shared" si="3"/>
        <v>4505</v>
      </c>
      <c r="H42" s="99">
        <f>G42+'10'!H42</f>
        <v>274690</v>
      </c>
      <c r="I42" s="95"/>
      <c r="J42" s="175">
        <f>H42/DAY(B2)</f>
        <v>24971.81818181818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78">
        <v>2753</v>
      </c>
      <c r="G43" s="112">
        <f t="shared" si="3"/>
        <v>2753</v>
      </c>
      <c r="H43" s="99">
        <f>G43+'10'!H43</f>
        <v>1511055</v>
      </c>
      <c r="I43" s="95"/>
      <c r="J43" s="175">
        <f>H43/DAY(B2)</f>
        <v>137368.63636363635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16927</v>
      </c>
      <c r="H47" s="99">
        <f>G47+'10'!H47</f>
        <v>3338386</v>
      </c>
      <c r="I47" s="95"/>
      <c r="J47" s="175">
        <f>H47/DAY(B2)</f>
        <v>303489.63636363635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237955</v>
      </c>
      <c r="F49" s="145">
        <v>239685</v>
      </c>
      <c r="G49" s="112">
        <f t="shared" ref="G49:G58" si="4">F49-E49</f>
        <v>1730</v>
      </c>
      <c r="H49" s="99">
        <f>G49+'10'!H49</f>
        <v>252806</v>
      </c>
      <c r="I49" s="95"/>
      <c r="J49" s="175">
        <f>H49/DAY(B2)</f>
        <v>22982.363636363636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1517</v>
      </c>
      <c r="G50" s="112">
        <f t="shared" si="4"/>
        <v>1517</v>
      </c>
      <c r="H50" s="99">
        <f>G50+'10'!H50</f>
        <v>714425</v>
      </c>
      <c r="I50" s="95"/>
      <c r="J50" s="175">
        <f>H50/DAY(B2)</f>
        <v>64947.727272727272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3090</v>
      </c>
      <c r="F54" s="145">
        <v>3095</v>
      </c>
      <c r="G54" s="112">
        <f t="shared" si="4"/>
        <v>5</v>
      </c>
      <c r="H54" s="99">
        <f>G54+'10'!H54</f>
        <v>4862.08</v>
      </c>
      <c r="I54" s="95"/>
      <c r="J54" s="175">
        <f>H54/DAY(B2)</f>
        <v>442.00727272727272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0</v>
      </c>
      <c r="G55" s="112">
        <f t="shared" si="4"/>
        <v>0</v>
      </c>
      <c r="H55" s="99">
        <f>G55+'10'!H55</f>
        <v>-3511</v>
      </c>
      <c r="I55" s="95"/>
      <c r="J55" s="175">
        <f>H55/DAY(B2)</f>
        <v>-319.18181818181819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953</v>
      </c>
      <c r="F56" s="378">
        <v>1915</v>
      </c>
      <c r="G56" s="112">
        <f t="shared" si="4"/>
        <v>962</v>
      </c>
      <c r="H56" s="99">
        <f>G56+'10'!H56</f>
        <v>205369.46</v>
      </c>
      <c r="I56" s="95"/>
      <c r="J56" s="175">
        <f>H56/DAY(B2)</f>
        <v>18669.950909090909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87614</v>
      </c>
      <c r="F58" s="145">
        <v>87874</v>
      </c>
      <c r="G58" s="112">
        <f t="shared" si="4"/>
        <v>260</v>
      </c>
      <c r="H58" s="99">
        <f>G58+'10'!H58</f>
        <v>88214.63</v>
      </c>
      <c r="I58" s="95"/>
      <c r="J58" s="175">
        <f>H58/DAY(B2)</f>
        <v>8019.5118181818189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4474</v>
      </c>
      <c r="H59" s="99">
        <f>G59+'10'!H59</f>
        <v>1262166.17</v>
      </c>
      <c r="I59" s="95">
        <f>G7-G60</f>
        <v>2099</v>
      </c>
      <c r="J59" s="175">
        <f>H59/DAY(B2)</f>
        <v>114742.37909090909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21401</v>
      </c>
      <c r="H60" s="99">
        <f>G60+'10'!H60</f>
        <v>4600552.17</v>
      </c>
      <c r="I60" s="95">
        <f>G13-G60</f>
        <v>-2901</v>
      </c>
      <c r="J60" s="175">
        <f>H60/DAY(B2)</f>
        <v>418232.01545454544</v>
      </c>
      <c r="K60" s="79"/>
      <c r="L60" s="66"/>
      <c r="N60" s="87"/>
      <c r="O60" s="71"/>
    </row>
    <row r="61" spans="1:15" s="68" customFormat="1" ht="30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0.75" customHeight="1" x14ac:dyDescent="0.5">
      <c r="A62" s="856" t="s">
        <v>198</v>
      </c>
      <c r="B62" s="857"/>
      <c r="C62" s="858"/>
      <c r="D62" s="151" t="s">
        <v>142</v>
      </c>
      <c r="E62" s="95">
        <f>'10'!F62</f>
        <v>264681</v>
      </c>
      <c r="F62" s="122">
        <v>264797</v>
      </c>
      <c r="G62" s="112">
        <f t="shared" ref="G62:G63" si="5">F62-E62</f>
        <v>116</v>
      </c>
      <c r="H62" s="99">
        <f>G62+'10'!H62</f>
        <v>-2416</v>
      </c>
      <c r="I62" s="118"/>
      <c r="J62" s="175">
        <f>H62/DAY(B2)</f>
        <v>-219.63636363636363</v>
      </c>
      <c r="K62" s="80"/>
      <c r="L62" s="66"/>
      <c r="N62" s="87"/>
      <c r="O62" s="71"/>
    </row>
    <row r="63" spans="1:15" ht="30.75" customHeight="1" x14ac:dyDescent="0.5">
      <c r="A63" s="856" t="s">
        <v>199</v>
      </c>
      <c r="B63" s="857"/>
      <c r="C63" s="858"/>
      <c r="D63" s="151" t="s">
        <v>142</v>
      </c>
      <c r="E63" s="95">
        <f>'10'!F63</f>
        <v>210431</v>
      </c>
      <c r="F63" s="150">
        <v>210557</v>
      </c>
      <c r="G63" s="112">
        <f t="shared" si="5"/>
        <v>126</v>
      </c>
      <c r="H63" s="99">
        <f>G63+'10'!H63</f>
        <v>-1868</v>
      </c>
      <c r="I63" s="118"/>
      <c r="J63" s="175">
        <f>H63/DAY(B2)</f>
        <v>-169.81818181818181</v>
      </c>
      <c r="K63" s="69"/>
      <c r="L63" s="66"/>
      <c r="N63" s="87"/>
      <c r="O63" s="71"/>
    </row>
    <row r="64" spans="1:15" ht="30.75" customHeight="1" x14ac:dyDescent="0.5">
      <c r="A64" s="865" t="s">
        <v>200</v>
      </c>
      <c r="B64" s="866"/>
      <c r="C64" s="867"/>
      <c r="D64" s="151"/>
      <c r="E64" s="95">
        <f>'10'!F64</f>
        <v>0</v>
      </c>
      <c r="F64" s="122"/>
      <c r="G64" s="112">
        <f>G62+G63</f>
        <v>242</v>
      </c>
      <c r="H64" s="99">
        <f>G64+'10'!H64</f>
        <v>-4284</v>
      </c>
      <c r="I64" s="118"/>
      <c r="J64" s="175">
        <f>H64/DAY(B2)</f>
        <v>-389.45454545454544</v>
      </c>
      <c r="K64" s="69"/>
      <c r="L64" s="66"/>
      <c r="N64" s="87"/>
      <c r="O64" s="71"/>
    </row>
    <row r="65" spans="1:15" ht="30.75" customHeight="1" x14ac:dyDescent="0.5">
      <c r="A65" s="856" t="s">
        <v>201</v>
      </c>
      <c r="B65" s="857"/>
      <c r="C65" s="858"/>
      <c r="D65" s="151" t="s">
        <v>142</v>
      </c>
      <c r="E65" s="95">
        <f>'10'!F65</f>
        <v>430391</v>
      </c>
      <c r="F65" s="122">
        <v>430495</v>
      </c>
      <c r="G65" s="112">
        <f t="shared" ref="G65:G70" si="6">F65-E65</f>
        <v>104</v>
      </c>
      <c r="H65" s="99">
        <f>G65+'10'!H65</f>
        <v>-2119</v>
      </c>
      <c r="I65" s="118"/>
      <c r="J65" s="175">
        <f>H65/DAY(B2)</f>
        <v>-192.63636363636363</v>
      </c>
      <c r="K65" s="69"/>
      <c r="L65" s="66"/>
      <c r="N65" s="87"/>
      <c r="O65" s="71"/>
    </row>
    <row r="66" spans="1:15" ht="30.75" customHeight="1" x14ac:dyDescent="0.5">
      <c r="A66" s="347" t="s">
        <v>202</v>
      </c>
      <c r="B66" s="348"/>
      <c r="C66" s="348"/>
      <c r="D66" s="151" t="s">
        <v>142</v>
      </c>
      <c r="E66" s="95">
        <f>'10'!F66</f>
        <v>106800</v>
      </c>
      <c r="F66" s="122">
        <v>106820</v>
      </c>
      <c r="G66" s="112">
        <f t="shared" si="6"/>
        <v>20</v>
      </c>
      <c r="H66" s="99">
        <f>G66+'10'!H66</f>
        <v>-394</v>
      </c>
      <c r="I66" s="118"/>
      <c r="J66" s="175">
        <f>H66/DAY(B2)</f>
        <v>-35.81818181818182</v>
      </c>
      <c r="K66" s="78"/>
      <c r="L66" s="66"/>
      <c r="N66" s="87"/>
      <c r="O66" s="71"/>
    </row>
    <row r="67" spans="1:15" ht="30.75" customHeight="1" x14ac:dyDescent="0.5">
      <c r="A67" s="347" t="s">
        <v>203</v>
      </c>
      <c r="B67" s="348"/>
      <c r="C67" s="348"/>
      <c r="D67" s="151" t="s">
        <v>142</v>
      </c>
      <c r="E67" s="95">
        <f>'10'!F67</f>
        <v>103305</v>
      </c>
      <c r="F67" s="122">
        <v>103339</v>
      </c>
      <c r="G67" s="112">
        <f t="shared" si="6"/>
        <v>34</v>
      </c>
      <c r="H67" s="99">
        <f>G67+'10'!H67</f>
        <v>-589</v>
      </c>
      <c r="I67" s="118"/>
      <c r="J67" s="175">
        <f>H67/DAY(B2)</f>
        <v>-53.545454545454547</v>
      </c>
      <c r="K67" s="81"/>
      <c r="L67" s="66"/>
      <c r="N67" s="87"/>
      <c r="O67" s="71"/>
    </row>
    <row r="68" spans="1:15" ht="30.75" customHeight="1" x14ac:dyDescent="0.5">
      <c r="A68" s="347" t="s">
        <v>204</v>
      </c>
      <c r="B68" s="348"/>
      <c r="C68" s="348"/>
      <c r="D68" s="151" t="s">
        <v>142</v>
      </c>
      <c r="E68" s="95">
        <f>'10'!F68</f>
        <v>155839</v>
      </c>
      <c r="F68" s="122">
        <v>155878</v>
      </c>
      <c r="G68" s="112">
        <f t="shared" si="6"/>
        <v>39</v>
      </c>
      <c r="H68" s="99">
        <f>G68+'10'!H68</f>
        <v>-742</v>
      </c>
      <c r="I68" s="118"/>
      <c r="J68" s="175">
        <f>H68/DAY(B2)</f>
        <v>-67.454545454545453</v>
      </c>
      <c r="K68" s="69"/>
      <c r="L68" s="66"/>
      <c r="N68" s="87"/>
      <c r="O68" s="71"/>
    </row>
    <row r="69" spans="1:15" ht="30.75" customHeight="1" x14ac:dyDescent="0.5">
      <c r="A69" s="347" t="s">
        <v>205</v>
      </c>
      <c r="B69" s="348"/>
      <c r="C69" s="348"/>
      <c r="D69" s="151" t="s">
        <v>142</v>
      </c>
      <c r="E69" s="95">
        <f>'10'!F69</f>
        <v>9969</v>
      </c>
      <c r="F69" s="122">
        <v>9977</v>
      </c>
      <c r="G69" s="112">
        <f t="shared" si="6"/>
        <v>8</v>
      </c>
      <c r="H69" s="99">
        <f>G69+'10'!H69</f>
        <v>-237</v>
      </c>
      <c r="I69" s="118"/>
      <c r="J69" s="175">
        <f>H69/DAY(B2)</f>
        <v>-21.545454545454547</v>
      </c>
      <c r="K69" s="69"/>
      <c r="L69" s="66"/>
      <c r="N69" s="87"/>
      <c r="O69" s="71"/>
    </row>
    <row r="70" spans="1:15" ht="30.75" customHeight="1" x14ac:dyDescent="0.5">
      <c r="A70" s="347" t="s">
        <v>206</v>
      </c>
      <c r="B70" s="348"/>
      <c r="C70" s="348"/>
      <c r="D70" s="151" t="s">
        <v>142</v>
      </c>
      <c r="E70" s="95">
        <f>'10'!F70</f>
        <v>7648</v>
      </c>
      <c r="F70" s="122">
        <v>7659</v>
      </c>
      <c r="G70" s="112">
        <f t="shared" si="6"/>
        <v>11</v>
      </c>
      <c r="H70" s="99">
        <f>G70+'10'!H70</f>
        <v>-203</v>
      </c>
      <c r="I70" s="118"/>
      <c r="J70" s="175">
        <f>H70/DAY(B2)</f>
        <v>-18.454545454545453</v>
      </c>
      <c r="K70" s="69"/>
      <c r="L70" s="66"/>
      <c r="N70" s="87"/>
      <c r="O70" s="71"/>
    </row>
    <row r="71" spans="1:15" ht="30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216</v>
      </c>
      <c r="H71" s="99">
        <f>G71+'10'!H71</f>
        <v>-4284</v>
      </c>
      <c r="I71" s="154"/>
      <c r="J71" s="175">
        <f>H71/DAY(B2)</f>
        <v>-389.45454545454544</v>
      </c>
      <c r="K71" s="69"/>
      <c r="L71" s="66"/>
      <c r="N71" s="87"/>
      <c r="O71" s="71"/>
    </row>
    <row r="72" spans="1:15" s="88" customFormat="1" ht="30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0.75" customHeight="1" x14ac:dyDescent="0.5">
      <c r="A74" s="856" t="s">
        <v>220</v>
      </c>
      <c r="B74" s="857"/>
      <c r="C74" s="858"/>
      <c r="D74" s="151" t="s">
        <v>139</v>
      </c>
      <c r="E74" s="95">
        <f>'10'!F74</f>
        <v>885408</v>
      </c>
      <c r="F74" s="117">
        <v>885717</v>
      </c>
      <c r="G74" s="112">
        <f t="shared" ref="G74:G78" si="7">F74-E74</f>
        <v>309</v>
      </c>
      <c r="H74" s="99">
        <f>G74+'10'!H74</f>
        <v>-6315</v>
      </c>
      <c r="I74" s="154"/>
      <c r="J74" s="175">
        <f>H74/DAY(B2)</f>
        <v>-574.09090909090912</v>
      </c>
      <c r="K74" s="69"/>
      <c r="L74" s="66"/>
      <c r="N74" s="87"/>
      <c r="O74" s="71"/>
    </row>
    <row r="75" spans="1:15" ht="30.75" customHeight="1" x14ac:dyDescent="0.5">
      <c r="A75" s="856" t="s">
        <v>221</v>
      </c>
      <c r="B75" s="857"/>
      <c r="C75" s="858"/>
      <c r="D75" s="151" t="s">
        <v>139</v>
      </c>
      <c r="E75" s="95">
        <f>'10'!F75</f>
        <v>73830.69</v>
      </c>
      <c r="F75" s="123">
        <v>73830.69</v>
      </c>
      <c r="G75" s="112">
        <f t="shared" si="7"/>
        <v>0</v>
      </c>
      <c r="H75" s="99">
        <f>G75+'10'!H75</f>
        <v>243.88999999999942</v>
      </c>
      <c r="I75" s="154"/>
      <c r="J75" s="175">
        <f>H75/DAY(B2)</f>
        <v>22.171818181818129</v>
      </c>
      <c r="K75" s="69"/>
      <c r="L75" s="66"/>
      <c r="N75" s="87"/>
      <c r="O75" s="71"/>
    </row>
    <row r="76" spans="1:15" ht="30.75" customHeight="1" x14ac:dyDescent="0.5">
      <c r="A76" s="853" t="s">
        <v>222</v>
      </c>
      <c r="B76" s="854"/>
      <c r="C76" s="855"/>
      <c r="D76" s="151" t="s">
        <v>139</v>
      </c>
      <c r="E76" s="95">
        <f>'10'!F76</f>
        <v>164670</v>
      </c>
      <c r="F76" s="123">
        <v>164811</v>
      </c>
      <c r="G76" s="112">
        <f t="shared" si="7"/>
        <v>141</v>
      </c>
      <c r="H76" s="99">
        <f>G76+'10'!H76</f>
        <v>-2396</v>
      </c>
      <c r="I76" s="154"/>
      <c r="J76" s="175">
        <f>H76/DAY(B2)</f>
        <v>-217.81818181818181</v>
      </c>
      <c r="K76" s="69"/>
      <c r="L76" s="66"/>
      <c r="N76" s="87"/>
      <c r="O76" s="71"/>
    </row>
    <row r="77" spans="1:15" ht="30.75" customHeight="1" x14ac:dyDescent="0.5">
      <c r="A77" s="853" t="s">
        <v>223</v>
      </c>
      <c r="B77" s="854"/>
      <c r="C77" s="855"/>
      <c r="D77" s="151" t="s">
        <v>139</v>
      </c>
      <c r="E77" s="95">
        <f>'10'!F77</f>
        <v>39286</v>
      </c>
      <c r="F77" s="123">
        <v>39330</v>
      </c>
      <c r="G77" s="112">
        <f t="shared" si="7"/>
        <v>44</v>
      </c>
      <c r="H77" s="99">
        <f>G77+'10'!H77</f>
        <v>-986</v>
      </c>
      <c r="I77" s="154"/>
      <c r="J77" s="175">
        <f>H77/DAY(B2)</f>
        <v>-89.63636363636364</v>
      </c>
      <c r="K77" s="69"/>
      <c r="L77" s="66"/>
      <c r="N77" s="87"/>
      <c r="O77" s="71"/>
    </row>
    <row r="78" spans="1:15" ht="30.75" customHeight="1" x14ac:dyDescent="0.5">
      <c r="A78" s="853" t="s">
        <v>224</v>
      </c>
      <c r="B78" s="854"/>
      <c r="C78" s="855"/>
      <c r="D78" s="151" t="s">
        <v>139</v>
      </c>
      <c r="E78" s="95">
        <f>'10'!F78</f>
        <v>9444</v>
      </c>
      <c r="F78" s="123">
        <v>9447</v>
      </c>
      <c r="G78" s="112">
        <f t="shared" si="7"/>
        <v>3</v>
      </c>
      <c r="H78" s="99">
        <f>G78+'10'!H78</f>
        <v>-39</v>
      </c>
      <c r="I78" s="118"/>
      <c r="J78" s="175">
        <f>H78/DAY(B2)</f>
        <v>-3.5454545454545454</v>
      </c>
      <c r="K78" s="69"/>
      <c r="L78" s="66"/>
      <c r="N78" s="87"/>
      <c r="O78" s="71"/>
    </row>
    <row r="79" spans="1:15" s="57" customFormat="1" ht="30.75" customHeight="1" x14ac:dyDescent="0.5">
      <c r="A79" s="853" t="s">
        <v>225</v>
      </c>
      <c r="B79" s="854"/>
      <c r="C79" s="855"/>
      <c r="D79" s="151"/>
      <c r="E79" s="95">
        <f>'10'!F79</f>
        <v>0</v>
      </c>
      <c r="F79" s="117"/>
      <c r="G79" s="112">
        <f>G15-SUM(G74:G78)</f>
        <v>603</v>
      </c>
      <c r="H79" s="99">
        <f>G79+'10'!H79</f>
        <v>19861.11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7" t="s">
        <v>227</v>
      </c>
      <c r="B82" s="348"/>
      <c r="C82" s="348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7" t="s">
        <v>229</v>
      </c>
      <c r="B83" s="348"/>
      <c r="C83" s="348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7" t="s">
        <v>230</v>
      </c>
      <c r="B84" s="348"/>
      <c r="C84" s="348"/>
      <c r="D84" s="151" t="s">
        <v>228</v>
      </c>
      <c r="E84" s="95">
        <f>'10'!F84</f>
        <v>41675.760000000002</v>
      </c>
      <c r="F84" s="164">
        <v>41675.760000000002</v>
      </c>
      <c r="G84" s="112">
        <f t="shared" si="8"/>
        <v>0</v>
      </c>
      <c r="H84" s="99">
        <f>G84+'10'!H84</f>
        <v>0.76000000000203727</v>
      </c>
      <c r="I84" s="118"/>
      <c r="J84" s="175">
        <f>H84/DAY(B2)</f>
        <v>6.9090909091094291E-2</v>
      </c>
      <c r="O84" s="71"/>
    </row>
    <row r="85" spans="1:15" ht="30.75" customHeight="1" x14ac:dyDescent="0.5">
      <c r="A85" s="347" t="s">
        <v>231</v>
      </c>
      <c r="B85" s="348"/>
      <c r="C85" s="348"/>
      <c r="D85" s="151" t="s">
        <v>228</v>
      </c>
      <c r="E85" s="95">
        <f>'10'!F85</f>
        <v>1645</v>
      </c>
      <c r="F85" s="164">
        <v>1669</v>
      </c>
      <c r="G85" s="112">
        <f t="shared" si="8"/>
        <v>24</v>
      </c>
      <c r="H85" s="99">
        <f>G85+'10'!H85</f>
        <v>-427.55999999999995</v>
      </c>
      <c r="I85" s="118">
        <f>G82+G83+G84+G85</f>
        <v>24</v>
      </c>
      <c r="J85" s="175">
        <f>H85/DAY(B2)</f>
        <v>-38.869090909090907</v>
      </c>
      <c r="O85" s="71"/>
    </row>
    <row r="86" spans="1:15" ht="30.75" customHeight="1" x14ac:dyDescent="0.5">
      <c r="A86" s="347" t="s">
        <v>232</v>
      </c>
      <c r="B86" s="348"/>
      <c r="C86" s="348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-36.529999999998836</v>
      </c>
      <c r="I86" s="118"/>
      <c r="J86" s="175">
        <f>H86/DAY(B2)</f>
        <v>-3.3209090909089851</v>
      </c>
      <c r="O86" s="71"/>
    </row>
    <row r="87" spans="1:15" ht="30.75" customHeight="1" x14ac:dyDescent="0.5">
      <c r="A87" s="347" t="s">
        <v>233</v>
      </c>
      <c r="B87" s="348"/>
      <c r="C87" s="348"/>
      <c r="D87" s="151" t="s">
        <v>228</v>
      </c>
      <c r="E87" s="95">
        <f>'10'!F87</f>
        <v>34533</v>
      </c>
      <c r="F87" s="164">
        <v>34541.519999999997</v>
      </c>
      <c r="G87" s="112">
        <f t="shared" si="8"/>
        <v>8.5199999999967986</v>
      </c>
      <c r="H87" s="99">
        <f>G87+'10'!H87</f>
        <v>-57.030000000006112</v>
      </c>
      <c r="I87" s="118"/>
      <c r="J87" s="175">
        <f>H87/DAY(B2)</f>
        <v>-5.1845454545460106</v>
      </c>
      <c r="O87" s="71"/>
    </row>
    <row r="88" spans="1:15" ht="30.75" customHeight="1" x14ac:dyDescent="0.5">
      <c r="A88" s="347" t="s">
        <v>234</v>
      </c>
      <c r="B88" s="348"/>
      <c r="C88" s="348"/>
      <c r="D88" s="151" t="s">
        <v>228</v>
      </c>
      <c r="E88" s="95">
        <f>'10'!F88</f>
        <v>23994</v>
      </c>
      <c r="F88" s="164">
        <v>23994</v>
      </c>
      <c r="G88" s="112">
        <f t="shared" si="8"/>
        <v>0</v>
      </c>
      <c r="H88" s="99">
        <f>G88+'10'!H88</f>
        <v>-53</v>
      </c>
      <c r="I88" s="118">
        <f>G86+G87+G88</f>
        <v>8.5199999999967986</v>
      </c>
      <c r="J88" s="175">
        <f>H88/DAY(B2)</f>
        <v>-4.8181818181818183</v>
      </c>
      <c r="O88" s="71"/>
    </row>
    <row r="89" spans="1:15" ht="30.75" customHeight="1" x14ac:dyDescent="0.5">
      <c r="A89" s="347" t="s">
        <v>235</v>
      </c>
      <c r="B89" s="348"/>
      <c r="C89" s="348"/>
      <c r="D89" s="151" t="s">
        <v>228</v>
      </c>
      <c r="E89" s="95">
        <f>'10'!F89</f>
        <v>25494</v>
      </c>
      <c r="F89" s="164">
        <v>25507</v>
      </c>
      <c r="G89" s="112">
        <f t="shared" si="8"/>
        <v>13</v>
      </c>
      <c r="H89" s="99">
        <f>G89+'10'!H89</f>
        <v>-156</v>
      </c>
      <c r="I89" s="118"/>
      <c r="J89" s="175">
        <f>H89/DAY(B2)</f>
        <v>-14.181818181818182</v>
      </c>
      <c r="O89" s="71"/>
    </row>
    <row r="90" spans="1:15" ht="30.75" customHeight="1" x14ac:dyDescent="0.5">
      <c r="A90" s="347" t="s">
        <v>236</v>
      </c>
      <c r="B90" s="348"/>
      <c r="C90" s="348"/>
      <c r="D90" s="151" t="s">
        <v>228</v>
      </c>
      <c r="E90" s="95">
        <f>'10'!F90</f>
        <v>70901</v>
      </c>
      <c r="F90" s="164">
        <v>70906</v>
      </c>
      <c r="G90" s="112">
        <f t="shared" si="8"/>
        <v>5</v>
      </c>
      <c r="H90" s="99">
        <f>G90+'10'!H90</f>
        <v>-128</v>
      </c>
      <c r="I90" s="118">
        <f>G89+G90</f>
        <v>18</v>
      </c>
      <c r="J90" s="175">
        <f>H90/DAY(B2)</f>
        <v>-11.636363636363637</v>
      </c>
      <c r="O90" s="71"/>
    </row>
    <row r="91" spans="1:15" ht="30.75" customHeight="1" x14ac:dyDescent="0.5">
      <c r="A91" s="347" t="s">
        <v>237</v>
      </c>
      <c r="B91" s="348"/>
      <c r="C91" s="348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7" t="s">
        <v>238</v>
      </c>
      <c r="B92" s="348"/>
      <c r="C92" s="348"/>
      <c r="D92" s="151" t="s">
        <v>228</v>
      </c>
      <c r="E92" s="95">
        <f>'10'!F92</f>
        <v>5206.5</v>
      </c>
      <c r="F92" s="122">
        <v>5217</v>
      </c>
      <c r="G92" s="112">
        <f t="shared" si="8"/>
        <v>10.5</v>
      </c>
      <c r="H92" s="99">
        <f>G92+'10'!H92</f>
        <v>-221</v>
      </c>
      <c r="I92" s="165"/>
      <c r="J92" s="175">
        <f>H92/DAY(B2)</f>
        <v>-20.09090909090909</v>
      </c>
      <c r="O92" s="71"/>
    </row>
    <row r="93" spans="1:15" ht="30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6619</v>
      </c>
      <c r="H94" s="99">
        <f>G94+'10'!H94</f>
        <v>1895784</v>
      </c>
      <c r="I94" s="118"/>
      <c r="J94" s="175">
        <f>H94/DAY(B2)</f>
        <v>172344</v>
      </c>
      <c r="K94" s="69"/>
      <c r="L94" s="66"/>
      <c r="O94" s="71"/>
    </row>
    <row r="95" spans="1:15" ht="30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0.28165957446808509</v>
      </c>
      <c r="H95" s="99">
        <f>G95+'10'!H95</f>
        <v>81.133018815577842</v>
      </c>
      <c r="I95" s="167"/>
      <c r="J95" s="175">
        <f>H95/DAY(B2)</f>
        <v>7.3757289832343496</v>
      </c>
      <c r="K95" s="69"/>
      <c r="L95" s="66"/>
      <c r="O95" s="71"/>
    </row>
    <row r="96" spans="1:15" ht="30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5467</v>
      </c>
      <c r="H96" s="99">
        <f>G96+'10'!H96</f>
        <v>1076448.46</v>
      </c>
      <c r="I96" s="118"/>
      <c r="J96" s="175">
        <f>H96/DAY(B2)</f>
        <v>97858.950909090912</v>
      </c>
      <c r="K96" s="69"/>
      <c r="L96" s="66"/>
      <c r="O96" s="71"/>
    </row>
    <row r="97" spans="1:15" ht="30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0.23263829787234042</v>
      </c>
      <c r="H97" s="99">
        <f>G97+'10'!H97</f>
        <v>46.049271892173962</v>
      </c>
      <c r="I97" s="167"/>
      <c r="J97" s="175">
        <f>H97/DAY(B2)</f>
        <v>4.1862974447430874</v>
      </c>
      <c r="K97" s="69"/>
      <c r="L97" s="66"/>
      <c r="O97" s="71"/>
    </row>
    <row r="98" spans="1:15" ht="30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2960</v>
      </c>
      <c r="H98" s="99">
        <f>G98+'10'!H98</f>
        <v>375336</v>
      </c>
      <c r="I98" s="168"/>
      <c r="J98" s="175">
        <f>H98/DAY(B2)</f>
        <v>34121.454545454544</v>
      </c>
      <c r="K98" s="69"/>
      <c r="L98" s="66"/>
      <c r="O98" s="71"/>
    </row>
    <row r="99" spans="1:15" ht="30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0.12595744680851065</v>
      </c>
      <c r="H99" s="99">
        <f>G99+'10'!H99</f>
        <v>16.185694585715314</v>
      </c>
      <c r="I99" s="168"/>
      <c r="J99" s="175">
        <f>H99/DAY(B2)</f>
        <v>1.471426780519574</v>
      </c>
      <c r="O99" s="71"/>
    </row>
    <row r="100" spans="1:15" ht="30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2162</v>
      </c>
      <c r="H100" s="99">
        <f>G100+'10'!H100</f>
        <v>206062</v>
      </c>
      <c r="I100" s="118"/>
      <c r="J100" s="175">
        <f>H100/DAY(B2)</f>
        <v>18732.909090909092</v>
      </c>
      <c r="K100" s="70"/>
      <c r="O100" s="71"/>
    </row>
    <row r="101" spans="1:15" ht="30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9.1999999999999998E-2</v>
      </c>
      <c r="H101" s="99">
        <f>G101+'10'!H101</f>
        <v>8.8994674659832622</v>
      </c>
      <c r="I101" s="168"/>
      <c r="J101" s="175">
        <f>H101/DAY(B2)</f>
        <v>0.80904249690756924</v>
      </c>
      <c r="O101" s="71"/>
    </row>
    <row r="102" spans="1:15" ht="30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2323</v>
      </c>
      <c r="H102" s="99">
        <f>G102+'10'!H102</f>
        <v>783434</v>
      </c>
      <c r="I102" s="168"/>
      <c r="J102" s="175">
        <f>H102/DAY(B2)</f>
        <v>71221.272727272721</v>
      </c>
      <c r="O102" s="71"/>
    </row>
    <row r="103" spans="1:15" ht="30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9.8851063829787228E-2</v>
      </c>
      <c r="H103" s="99">
        <f>G103+'10'!H103</f>
        <v>33.481955644205904</v>
      </c>
      <c r="I103" s="118"/>
      <c r="J103" s="175">
        <f>H103/DAY(B2)</f>
        <v>3.0438141494732638</v>
      </c>
      <c r="O103" s="71"/>
    </row>
    <row r="104" spans="1:15" ht="30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1605</v>
      </c>
      <c r="H104" s="99">
        <f>G104+'10'!H104</f>
        <v>175905</v>
      </c>
      <c r="I104" s="118"/>
      <c r="J104" s="175">
        <f>H104/DAY(B2)</f>
        <v>15991.363636363636</v>
      </c>
      <c r="O104" s="71"/>
    </row>
    <row r="105" spans="1:15" ht="30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6.8297872340425531E-2</v>
      </c>
      <c r="H105" s="99">
        <f>G105+'10'!H105</f>
        <v>7.6057840276678732</v>
      </c>
      <c r="I105" s="187"/>
      <c r="J105" s="188">
        <f>H105/DAY(B2)</f>
        <v>0.69143491160617032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30.75" customHeight="1" x14ac:dyDescent="0.5">
      <c r="A109" s="873"/>
      <c r="B109" s="873"/>
    </row>
    <row r="110" spans="1:15" ht="30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30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30.75" customHeight="1" x14ac:dyDescent="0.5">
      <c r="A112" s="835" t="s">
        <v>252</v>
      </c>
      <c r="B112" s="836"/>
      <c r="C112" s="837"/>
      <c r="D112" s="146" t="s">
        <v>183</v>
      </c>
      <c r="E112" s="95">
        <f>'10'!F112</f>
        <v>54164</v>
      </c>
      <c r="F112" s="237">
        <v>54245</v>
      </c>
      <c r="G112" s="112">
        <f t="shared" ref="G112:G123" si="9">F112-E112</f>
        <v>81</v>
      </c>
      <c r="H112" s="99">
        <f>G112+'10'!H112</f>
        <v>-1436</v>
      </c>
      <c r="I112" s="165"/>
      <c r="J112" s="330">
        <f>H112/DAY(B2)</f>
        <v>-130.54545454545453</v>
      </c>
    </row>
    <row r="113" spans="1:18" ht="30.75" customHeight="1" x14ac:dyDescent="0.5">
      <c r="A113" s="835" t="s">
        <v>253</v>
      </c>
      <c r="B113" s="836"/>
      <c r="C113" s="837"/>
      <c r="D113" s="146" t="s">
        <v>183</v>
      </c>
      <c r="E113" s="95">
        <f>'10'!F113</f>
        <v>22469</v>
      </c>
      <c r="F113" s="237">
        <v>22946</v>
      </c>
      <c r="G113" s="112">
        <f t="shared" si="9"/>
        <v>477</v>
      </c>
      <c r="H113" s="99">
        <f>G113+'10'!H113</f>
        <v>-9249</v>
      </c>
      <c r="I113" s="165"/>
      <c r="J113" s="330">
        <f>H113/DAY(B2)</f>
        <v>-840.81818181818187</v>
      </c>
    </row>
    <row r="114" spans="1:18" ht="30.75" customHeight="1" x14ac:dyDescent="0.5">
      <c r="A114" s="835" t="s">
        <v>254</v>
      </c>
      <c r="B114" s="836"/>
      <c r="C114" s="837"/>
      <c r="D114" s="146" t="s">
        <v>183</v>
      </c>
      <c r="E114" s="95">
        <f>'10'!F114</f>
        <v>17343</v>
      </c>
      <c r="F114" s="237">
        <v>17816</v>
      </c>
      <c r="G114" s="112">
        <f t="shared" si="9"/>
        <v>473</v>
      </c>
      <c r="H114" s="99">
        <f>G114+'10'!H114</f>
        <v>-7055</v>
      </c>
      <c r="I114" s="165"/>
      <c r="J114" s="330">
        <f>H114/DAY(B2)</f>
        <v>-641.36363636363637</v>
      </c>
    </row>
    <row r="115" spans="1:18" ht="30.75" customHeight="1" x14ac:dyDescent="0.5">
      <c r="A115" s="835" t="s">
        <v>255</v>
      </c>
      <c r="B115" s="836"/>
      <c r="C115" s="837"/>
      <c r="D115" s="146" t="s">
        <v>183</v>
      </c>
      <c r="E115" s="95">
        <f>'10'!F115</f>
        <v>8542</v>
      </c>
      <c r="F115" s="237">
        <v>8551</v>
      </c>
      <c r="G115" s="112">
        <f t="shared" si="9"/>
        <v>9</v>
      </c>
      <c r="H115" s="99">
        <f>G115+'10'!H115</f>
        <v>-234</v>
      </c>
      <c r="I115" s="165"/>
      <c r="J115" s="330">
        <f>H115/DAY(B2)</f>
        <v>-21.272727272727273</v>
      </c>
    </row>
    <row r="116" spans="1:18" ht="30.75" customHeight="1" x14ac:dyDescent="0.5">
      <c r="A116" s="842" t="s">
        <v>96</v>
      </c>
      <c r="B116" s="843"/>
      <c r="C116" s="844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30.75" customHeight="1" x14ac:dyDescent="0.5">
      <c r="A117" s="842" t="s">
        <v>184</v>
      </c>
      <c r="B117" s="843"/>
      <c r="C117" s="844"/>
      <c r="D117" s="146" t="s">
        <v>183</v>
      </c>
      <c r="E117" s="95">
        <f>'10'!F117</f>
        <v>2140</v>
      </c>
      <c r="F117" s="237">
        <v>2161</v>
      </c>
      <c r="G117" s="112">
        <f t="shared" si="9"/>
        <v>21</v>
      </c>
      <c r="H117" s="99">
        <f>G117+'10'!H117</f>
        <v>-429</v>
      </c>
      <c r="I117" s="165"/>
      <c r="J117" s="330">
        <f>H117/DAY(B2)</f>
        <v>-39</v>
      </c>
      <c r="Q117" s="835" t="s">
        <v>312</v>
      </c>
      <c r="R117" s="837"/>
    </row>
    <row r="118" spans="1:18" ht="30.75" customHeight="1" x14ac:dyDescent="0.5">
      <c r="A118" s="834" t="s">
        <v>97</v>
      </c>
      <c r="B118" s="834"/>
      <c r="C118" s="834"/>
      <c r="D118" s="151" t="s">
        <v>183</v>
      </c>
      <c r="E118" s="95">
        <f>'10'!F118</f>
        <v>233568</v>
      </c>
      <c r="F118" s="237">
        <v>233880</v>
      </c>
      <c r="G118" s="112">
        <f t="shared" si="9"/>
        <v>312</v>
      </c>
      <c r="H118" s="99">
        <f>G118+'10'!H118</f>
        <v>-7767</v>
      </c>
      <c r="I118" s="165"/>
      <c r="J118" s="330">
        <f>H118/DAY(B2)</f>
        <v>-706.09090909090912</v>
      </c>
      <c r="Q118" s="835" t="s">
        <v>311</v>
      </c>
      <c r="R118" s="837"/>
    </row>
    <row r="119" spans="1:18" ht="30.75" customHeight="1" x14ac:dyDescent="0.5">
      <c r="A119" s="834" t="s">
        <v>98</v>
      </c>
      <c r="B119" s="834"/>
      <c r="C119" s="834"/>
      <c r="D119" s="151" t="s">
        <v>183</v>
      </c>
      <c r="E119" s="95">
        <f>'10'!F119</f>
        <v>236097</v>
      </c>
      <c r="F119" s="237">
        <v>236534</v>
      </c>
      <c r="G119" s="112">
        <f t="shared" si="9"/>
        <v>437</v>
      </c>
      <c r="H119" s="99">
        <f>G119+'10'!H119</f>
        <v>-8592</v>
      </c>
      <c r="I119" s="165"/>
      <c r="J119" s="330">
        <f>H119/DAY(B2)</f>
        <v>-781.09090909090912</v>
      </c>
    </row>
    <row r="120" spans="1:18" ht="30.75" customHeight="1" x14ac:dyDescent="0.5">
      <c r="A120" s="834" t="s">
        <v>99</v>
      </c>
      <c r="B120" s="834"/>
      <c r="C120" s="834"/>
      <c r="D120" s="151" t="s">
        <v>183</v>
      </c>
      <c r="E120" s="95">
        <f>'10'!F120</f>
        <v>21425</v>
      </c>
      <c r="F120" s="237">
        <v>21845</v>
      </c>
      <c r="G120" s="112">
        <f t="shared" si="9"/>
        <v>420</v>
      </c>
      <c r="H120" s="99">
        <f>G120+'10'!H120</f>
        <v>-8233</v>
      </c>
      <c r="I120" s="165"/>
      <c r="J120" s="330">
        <f>H120/DAY(B2)</f>
        <v>-748.4545454545455</v>
      </c>
    </row>
    <row r="121" spans="1:18" ht="30.75" customHeight="1" x14ac:dyDescent="0.5">
      <c r="A121" s="834" t="s">
        <v>100</v>
      </c>
      <c r="B121" s="834"/>
      <c r="C121" s="834"/>
      <c r="D121" s="151" t="s">
        <v>183</v>
      </c>
      <c r="E121" s="95">
        <f>'10'!F121</f>
        <v>360302</v>
      </c>
      <c r="F121" s="237">
        <v>361070</v>
      </c>
      <c r="G121" s="112">
        <f t="shared" si="9"/>
        <v>768</v>
      </c>
      <c r="H121" s="99">
        <f>G121+'10'!H121</f>
        <v>-15459</v>
      </c>
      <c r="I121" s="165"/>
      <c r="J121" s="330">
        <f>H121/DAY(B2)</f>
        <v>-1405.3636363636363</v>
      </c>
    </row>
    <row r="122" spans="1:18" ht="30.75" customHeight="1" x14ac:dyDescent="0.5">
      <c r="A122" s="834" t="s">
        <v>101</v>
      </c>
      <c r="B122" s="834"/>
      <c r="C122" s="834"/>
      <c r="D122" s="151" t="s">
        <v>183</v>
      </c>
      <c r="E122" s="95">
        <f>'10'!F122</f>
        <v>114226</v>
      </c>
      <c r="F122" s="237">
        <v>114524</v>
      </c>
      <c r="G122" s="112">
        <f t="shared" si="9"/>
        <v>298</v>
      </c>
      <c r="H122" s="99">
        <f>G122+'10'!H122</f>
        <v>-5526</v>
      </c>
      <c r="I122" s="165"/>
      <c r="J122" s="330">
        <f>H122/DAY(B2)</f>
        <v>-502.36363636363637</v>
      </c>
    </row>
    <row r="123" spans="1:18" ht="30.75" customHeight="1" x14ac:dyDescent="0.5">
      <c r="A123" s="834" t="s">
        <v>102</v>
      </c>
      <c r="B123" s="834"/>
      <c r="C123" s="834"/>
      <c r="D123" s="151" t="s">
        <v>183</v>
      </c>
      <c r="E123" s="95">
        <f>'10'!F123</f>
        <v>137519</v>
      </c>
      <c r="F123" s="237">
        <v>137858</v>
      </c>
      <c r="G123" s="112">
        <f t="shared" si="9"/>
        <v>339</v>
      </c>
      <c r="H123" s="99">
        <f>G123+'10'!H123</f>
        <v>-7267</v>
      </c>
      <c r="I123" s="165"/>
      <c r="J123" s="330">
        <f>H123/DAY(B2)</f>
        <v>-660.63636363636363</v>
      </c>
    </row>
    <row r="124" spans="1:18" ht="30.7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30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3635</v>
      </c>
      <c r="H125" s="156"/>
      <c r="I125" s="329">
        <f>G125-(G39+G53)</f>
        <v>675</v>
      </c>
      <c r="J125" s="329"/>
    </row>
    <row r="126" spans="1:18" ht="30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30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G127+'10'!H127</f>
        <v>0</v>
      </c>
      <c r="I127" s="165"/>
      <c r="J127" s="330">
        <f>H127/DAY(B2)</f>
        <v>0</v>
      </c>
    </row>
    <row r="128" spans="1:18" ht="30.75" customHeight="1" x14ac:dyDescent="0.5">
      <c r="A128" s="835" t="s">
        <v>318</v>
      </c>
      <c r="B128" s="836"/>
      <c r="C128" s="837"/>
      <c r="D128" s="151" t="s">
        <v>183</v>
      </c>
      <c r="E128" s="95">
        <f>'10'!F128</f>
        <v>30863</v>
      </c>
      <c r="F128" s="155">
        <v>31198</v>
      </c>
      <c r="G128" s="112">
        <f t="shared" ref="G128:G134" si="10">F128-E128</f>
        <v>335</v>
      </c>
      <c r="H128" s="99">
        <f>G128+'10'!H128</f>
        <v>-6806</v>
      </c>
      <c r="I128" s="165"/>
      <c r="J128" s="330">
        <f>H128/DAY(B2)</f>
        <v>-618.72727272727275</v>
      </c>
    </row>
    <row r="129" spans="1:15" ht="30.75" customHeight="1" x14ac:dyDescent="0.5">
      <c r="A129" s="331" t="s">
        <v>319</v>
      </c>
      <c r="B129" s="332"/>
      <c r="C129" s="333"/>
      <c r="D129" s="151" t="s">
        <v>183</v>
      </c>
      <c r="E129" s="95">
        <f>'10'!F129</f>
        <v>15448</v>
      </c>
      <c r="F129" s="155">
        <v>15662</v>
      </c>
      <c r="G129" s="112">
        <f t="shared" si="10"/>
        <v>214</v>
      </c>
      <c r="H129" s="99">
        <f>G129+'10'!H129</f>
        <v>-4659</v>
      </c>
      <c r="I129" s="165"/>
      <c r="J129" s="330">
        <f>H129/DAY(B2)</f>
        <v>-423.54545454545456</v>
      </c>
      <c r="N129" s="240"/>
      <c r="O129" s="241"/>
    </row>
    <row r="130" spans="1:15" ht="30.75" customHeight="1" x14ac:dyDescent="0.5">
      <c r="A130" s="331" t="s">
        <v>320</v>
      </c>
      <c r="B130" s="332"/>
      <c r="C130" s="333"/>
      <c r="D130" s="151" t="s">
        <v>183</v>
      </c>
      <c r="E130" s="95">
        <f>'10'!F130</f>
        <v>4830</v>
      </c>
      <c r="F130" s="155">
        <v>5125</v>
      </c>
      <c r="G130" s="112">
        <f t="shared" si="10"/>
        <v>295</v>
      </c>
      <c r="H130" s="99">
        <f>G130+'10'!H130</f>
        <v>-13257</v>
      </c>
      <c r="I130" s="165"/>
      <c r="J130" s="330">
        <f>H130/DAY(B2)</f>
        <v>-1205.1818181818182</v>
      </c>
      <c r="N130" s="240"/>
      <c r="O130" s="241"/>
    </row>
    <row r="131" spans="1:15" ht="30.75" customHeight="1" x14ac:dyDescent="0.5">
      <c r="A131" s="835" t="s">
        <v>321</v>
      </c>
      <c r="B131" s="836"/>
      <c r="C131" s="837"/>
      <c r="D131" s="151" t="s">
        <v>183</v>
      </c>
      <c r="E131" s="95">
        <f>'10'!F131</f>
        <v>10754</v>
      </c>
      <c r="F131" s="155">
        <v>10878</v>
      </c>
      <c r="G131" s="112">
        <f t="shared" si="10"/>
        <v>124</v>
      </c>
      <c r="H131" s="99">
        <f>G131+'10'!H131</f>
        <v>-2275</v>
      </c>
      <c r="I131" s="165"/>
      <c r="J131" s="330">
        <f>H131/DAY(B2)</f>
        <v>-206.81818181818181</v>
      </c>
      <c r="N131" s="240"/>
      <c r="O131" s="241"/>
    </row>
    <row r="132" spans="1:15" ht="30.75" customHeight="1" x14ac:dyDescent="0.5">
      <c r="A132" s="835" t="s">
        <v>322</v>
      </c>
      <c r="B132" s="836"/>
      <c r="C132" s="837"/>
      <c r="D132" s="151" t="s">
        <v>183</v>
      </c>
      <c r="E132" s="95">
        <f>'10'!F132</f>
        <v>30676</v>
      </c>
      <c r="F132" s="155">
        <v>31162</v>
      </c>
      <c r="G132" s="112">
        <f t="shared" si="10"/>
        <v>486</v>
      </c>
      <c r="H132" s="99">
        <f>G132+'10'!H132</f>
        <v>-9861</v>
      </c>
      <c r="I132" s="165"/>
      <c r="J132" s="330">
        <f>H132/DAY(B2)</f>
        <v>-896.4545454545455</v>
      </c>
    </row>
    <row r="133" spans="1:15" ht="30.75" customHeight="1" x14ac:dyDescent="0.5">
      <c r="A133" s="835" t="s">
        <v>362</v>
      </c>
      <c r="B133" s="836"/>
      <c r="C133" s="837"/>
      <c r="D133" s="151" t="s">
        <v>183</v>
      </c>
      <c r="E133" s="95">
        <f>'10'!F133</f>
        <v>71940</v>
      </c>
      <c r="F133" s="155">
        <v>72797</v>
      </c>
      <c r="G133" s="112">
        <f t="shared" si="10"/>
        <v>857</v>
      </c>
      <c r="H133" s="99">
        <f>G133+'10'!H133</f>
        <v>-14906</v>
      </c>
      <c r="I133" s="165"/>
      <c r="J133" s="330">
        <f>H133/DAY(B2)</f>
        <v>-1355.090909090909</v>
      </c>
    </row>
    <row r="134" spans="1:15" ht="30.75" customHeight="1" x14ac:dyDescent="0.5">
      <c r="A134" s="835" t="s">
        <v>340</v>
      </c>
      <c r="B134" s="836"/>
      <c r="C134" s="837"/>
      <c r="D134" s="151" t="s">
        <v>183</v>
      </c>
      <c r="E134" s="95">
        <f>'10'!F134</f>
        <v>638544</v>
      </c>
      <c r="F134" s="557">
        <v>639181</v>
      </c>
      <c r="G134" s="112">
        <f t="shared" si="10"/>
        <v>637</v>
      </c>
      <c r="H134" s="99">
        <f>G134+'10'!H134</f>
        <v>6964</v>
      </c>
      <c r="I134" s="165"/>
      <c r="J134" s="330">
        <f>H134/DAY(B2)</f>
        <v>633.09090909090912</v>
      </c>
    </row>
    <row r="135" spans="1:15" ht="30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2948</v>
      </c>
      <c r="H135" s="99">
        <f>G135+'10'!H135</f>
        <v>-44800</v>
      </c>
      <c r="I135" s="329">
        <f>G135-(G35+G49)</f>
        <v>-918</v>
      </c>
      <c r="J135" s="330">
        <f>H135/DAY(B2)</f>
        <v>-4072.7272727272725</v>
      </c>
    </row>
    <row r="136" spans="1:15" ht="30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9"/>
    </row>
    <row r="138" spans="1:15" ht="30.75" customHeight="1" x14ac:dyDescent="0.5">
      <c r="A138" s="834" t="s">
        <v>185</v>
      </c>
      <c r="B138" s="834"/>
      <c r="C138" s="834"/>
      <c r="D138" s="151" t="s">
        <v>183</v>
      </c>
      <c r="E138" s="95">
        <f>'10'!F138</f>
        <v>861781</v>
      </c>
      <c r="F138" s="147">
        <v>861908</v>
      </c>
      <c r="G138" s="112">
        <f t="shared" ref="G138:G152" si="11">F138-E138</f>
        <v>127</v>
      </c>
      <c r="H138" s="99">
        <f>G138+'10'!H138</f>
        <v>-2263</v>
      </c>
      <c r="I138" s="118"/>
      <c r="J138" s="330">
        <f>H138/DAY(B2)</f>
        <v>-205.72727272727272</v>
      </c>
    </row>
    <row r="139" spans="1:15" ht="30.75" customHeight="1" x14ac:dyDescent="0.5">
      <c r="A139" s="834" t="s">
        <v>186</v>
      </c>
      <c r="B139" s="834"/>
      <c r="C139" s="834"/>
      <c r="D139" s="151" t="s">
        <v>183</v>
      </c>
      <c r="E139" s="95">
        <f>'10'!F139</f>
        <v>886312</v>
      </c>
      <c r="F139" s="148">
        <v>886355</v>
      </c>
      <c r="G139" s="112">
        <f t="shared" si="11"/>
        <v>43</v>
      </c>
      <c r="H139" s="99">
        <f>G139+'10'!H139</f>
        <v>-191</v>
      </c>
      <c r="I139" s="118"/>
      <c r="J139" s="330">
        <f>H139/DAY(B2)</f>
        <v>-17.363636363636363</v>
      </c>
    </row>
    <row r="140" spans="1:15" ht="30.75" customHeight="1" x14ac:dyDescent="0.5">
      <c r="A140" s="834" t="s">
        <v>187</v>
      </c>
      <c r="B140" s="834"/>
      <c r="C140" s="834"/>
      <c r="D140" s="151" t="s">
        <v>183</v>
      </c>
      <c r="E140" s="95">
        <f>'10'!F140</f>
        <v>88863</v>
      </c>
      <c r="F140" s="149">
        <v>88863</v>
      </c>
      <c r="G140" s="112">
        <f t="shared" si="11"/>
        <v>0</v>
      </c>
      <c r="H140" s="99">
        <f>G140+'10'!H140</f>
        <v>-19</v>
      </c>
      <c r="I140" s="118"/>
      <c r="J140" s="330">
        <f>H140/DAY(B2)</f>
        <v>-1.7272727272727273</v>
      </c>
    </row>
    <row r="141" spans="1:15" ht="30.75" customHeight="1" x14ac:dyDescent="0.5">
      <c r="A141" s="815" t="s">
        <v>188</v>
      </c>
      <c r="B141" s="815"/>
      <c r="C141" s="815"/>
      <c r="D141" s="151" t="s">
        <v>183</v>
      </c>
      <c r="E141" s="95">
        <f>'10'!F141</f>
        <v>45111</v>
      </c>
      <c r="F141" s="149">
        <v>45310</v>
      </c>
      <c r="G141" s="112">
        <f t="shared" si="11"/>
        <v>199</v>
      </c>
      <c r="H141" s="99">
        <f>G141+'10'!H141</f>
        <v>-3996</v>
      </c>
      <c r="I141" s="118"/>
      <c r="J141" s="330">
        <f>H141/DAY(B2)</f>
        <v>-363.27272727272725</v>
      </c>
    </row>
    <row r="142" spans="1:15" ht="30.75" customHeight="1" x14ac:dyDescent="0.5">
      <c r="A142" s="815" t="s">
        <v>189</v>
      </c>
      <c r="B142" s="815"/>
      <c r="C142" s="815"/>
      <c r="D142" s="151" t="s">
        <v>183</v>
      </c>
      <c r="E142" s="95">
        <f>'10'!F142</f>
        <v>17635</v>
      </c>
      <c r="F142" s="148">
        <v>17653</v>
      </c>
      <c r="G142" s="112">
        <f t="shared" si="11"/>
        <v>18</v>
      </c>
      <c r="H142" s="99">
        <f>G142+'10'!H142</f>
        <v>-1356</v>
      </c>
      <c r="I142" s="140"/>
      <c r="J142" s="330">
        <f>H142/DAY(B2)</f>
        <v>-123.27272727272727</v>
      </c>
    </row>
    <row r="143" spans="1:15" ht="30.75" customHeight="1" x14ac:dyDescent="0.5">
      <c r="A143" s="834" t="s">
        <v>91</v>
      </c>
      <c r="B143" s="834"/>
      <c r="C143" s="834"/>
      <c r="D143" s="151" t="s">
        <v>183</v>
      </c>
      <c r="E143" s="95">
        <f>'10'!F143</f>
        <v>2498</v>
      </c>
      <c r="F143" s="149">
        <v>2523</v>
      </c>
      <c r="G143" s="112">
        <f t="shared" si="11"/>
        <v>25</v>
      </c>
      <c r="H143" s="99">
        <f>G143+'10'!H143</f>
        <v>-538</v>
      </c>
      <c r="I143" s="140"/>
      <c r="J143" s="330">
        <f>H143/DAY(B2)</f>
        <v>-48.909090909090907</v>
      </c>
    </row>
    <row r="144" spans="1:15" ht="30.75" customHeight="1" x14ac:dyDescent="0.5">
      <c r="A144" s="815" t="s">
        <v>90</v>
      </c>
      <c r="B144" s="815"/>
      <c r="C144" s="815"/>
      <c r="D144" s="151" t="s">
        <v>183</v>
      </c>
      <c r="E144" s="95">
        <f>'10'!F144</f>
        <v>864690</v>
      </c>
      <c r="F144" s="149">
        <v>864924</v>
      </c>
      <c r="G144" s="112">
        <f t="shared" si="11"/>
        <v>234</v>
      </c>
      <c r="H144" s="99">
        <f>G144+'10'!H144</f>
        <v>-4746</v>
      </c>
      <c r="I144" s="140"/>
      <c r="J144" s="330">
        <f>H144/DAY(B2)</f>
        <v>-431.45454545454544</v>
      </c>
    </row>
    <row r="145" spans="1:10" ht="30.75" customHeight="1" x14ac:dyDescent="0.5">
      <c r="A145" s="834" t="s">
        <v>190</v>
      </c>
      <c r="B145" s="834"/>
      <c r="C145" s="834"/>
      <c r="D145" s="152" t="s">
        <v>183</v>
      </c>
      <c r="E145" s="95">
        <f>'10'!F145</f>
        <v>3863</v>
      </c>
      <c r="F145" s="149">
        <v>3920</v>
      </c>
      <c r="G145" s="112">
        <f t="shared" si="11"/>
        <v>57</v>
      </c>
      <c r="H145" s="99">
        <f>G145+'10'!H145</f>
        <v>-638</v>
      </c>
      <c r="I145" s="140"/>
      <c r="J145" s="330">
        <f>H145/DAY(B2)</f>
        <v>-58</v>
      </c>
    </row>
    <row r="146" spans="1:10" ht="30.75" customHeight="1" x14ac:dyDescent="0.5">
      <c r="A146" s="869" t="s">
        <v>191</v>
      </c>
      <c r="B146" s="854"/>
      <c r="C146" s="855"/>
      <c r="D146" s="152" t="s">
        <v>183</v>
      </c>
      <c r="E146" s="95">
        <f>'10'!F146</f>
        <v>714936</v>
      </c>
      <c r="F146" s="148">
        <v>715412</v>
      </c>
      <c r="G146" s="112">
        <f t="shared" si="11"/>
        <v>476</v>
      </c>
      <c r="H146" s="99">
        <f>G146+'10'!H146</f>
        <v>-9446</v>
      </c>
      <c r="I146" s="140"/>
      <c r="J146" s="330">
        <f>H146/DAY(B2)</f>
        <v>-858.72727272727275</v>
      </c>
    </row>
    <row r="147" spans="1:10" ht="30.75" customHeight="1" x14ac:dyDescent="0.5">
      <c r="A147" s="815" t="s">
        <v>192</v>
      </c>
      <c r="B147" s="815"/>
      <c r="C147" s="815"/>
      <c r="D147" s="152" t="s">
        <v>183</v>
      </c>
      <c r="E147" s="95">
        <f>'10'!F147</f>
        <v>606428</v>
      </c>
      <c r="F147" s="148">
        <v>606893</v>
      </c>
      <c r="G147" s="112">
        <f t="shared" si="11"/>
        <v>465</v>
      </c>
      <c r="H147" s="99">
        <f>G147+'10'!H147</f>
        <v>-8389</v>
      </c>
      <c r="I147" s="140"/>
      <c r="J147" s="330">
        <f>H147/DAY(B2)</f>
        <v>-762.63636363636363</v>
      </c>
    </row>
    <row r="148" spans="1:10" ht="30.75" customHeight="1" x14ac:dyDescent="0.5">
      <c r="A148" s="816" t="s">
        <v>193</v>
      </c>
      <c r="B148" s="817"/>
      <c r="C148" s="818"/>
      <c r="D148" s="123" t="s">
        <v>130</v>
      </c>
      <c r="E148" s="95">
        <f>'10'!F148</f>
        <v>676653</v>
      </c>
      <c r="F148" s="150">
        <v>676970</v>
      </c>
      <c r="G148" s="112">
        <f t="shared" si="11"/>
        <v>317</v>
      </c>
      <c r="H148" s="99">
        <f>G148+'10'!H148</f>
        <v>-6063.1199999999953</v>
      </c>
      <c r="I148" s="124"/>
      <c r="J148" s="330">
        <f>H148/DAY(B2)</f>
        <v>-551.19272727272687</v>
      </c>
    </row>
    <row r="149" spans="1:10" ht="30.75" customHeight="1" x14ac:dyDescent="0.5">
      <c r="A149" s="816" t="s">
        <v>336</v>
      </c>
      <c r="B149" s="817"/>
      <c r="C149" s="818"/>
      <c r="D149" s="227" t="s">
        <v>130</v>
      </c>
      <c r="E149" s="95">
        <f>'10'!F149</f>
        <v>99032</v>
      </c>
      <c r="F149" s="146">
        <v>99458</v>
      </c>
      <c r="G149" s="112">
        <f t="shared" si="11"/>
        <v>426</v>
      </c>
      <c r="H149" s="99">
        <f>G149+'10'!H149</f>
        <v>88709</v>
      </c>
      <c r="I149" s="119"/>
      <c r="J149" s="330">
        <f>H149/DAY(B2)</f>
        <v>8064.454545454545</v>
      </c>
    </row>
    <row r="150" spans="1:10" ht="30.75" customHeight="1" x14ac:dyDescent="0.5">
      <c r="A150" s="816" t="s">
        <v>337</v>
      </c>
      <c r="B150" s="817"/>
      <c r="C150" s="818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7163180</v>
      </c>
      <c r="I150" s="119"/>
      <c r="J150" s="330">
        <f>H150/DAY(B2)</f>
        <v>651198.18181818177</v>
      </c>
    </row>
    <row r="151" spans="1:10" ht="30.75" customHeight="1" x14ac:dyDescent="0.5">
      <c r="A151" s="816" t="s">
        <v>338</v>
      </c>
      <c r="B151" s="817"/>
      <c r="C151" s="818"/>
      <c r="D151" s="117" t="s">
        <v>130</v>
      </c>
      <c r="E151" s="95">
        <f>'10'!F151</f>
        <v>73241</v>
      </c>
      <c r="F151" s="233">
        <v>73486</v>
      </c>
      <c r="G151" s="112">
        <f t="shared" si="11"/>
        <v>245</v>
      </c>
      <c r="H151" s="99">
        <f>G151+'10'!H151</f>
        <v>-4731</v>
      </c>
      <c r="I151" s="119"/>
      <c r="J151" s="330">
        <f>H151/DAY(B2)</f>
        <v>-430.09090909090907</v>
      </c>
    </row>
    <row r="152" spans="1:10" ht="30.75" customHeight="1" x14ac:dyDescent="0.5">
      <c r="A152" s="816" t="s">
        <v>339</v>
      </c>
      <c r="B152" s="817"/>
      <c r="C152" s="818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-1127</v>
      </c>
      <c r="I152" s="119"/>
      <c r="J152" s="330">
        <f>H152/DAY(B2)</f>
        <v>-102.45454545454545</v>
      </c>
    </row>
    <row r="153" spans="1:10" ht="30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2632</v>
      </c>
      <c r="H153" s="365"/>
      <c r="I153" s="119">
        <f>G153-(G38+G52)</f>
        <v>470</v>
      </c>
      <c r="J153" s="368"/>
    </row>
    <row r="154" spans="1:10" ht="30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0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'10'!F155</f>
        <v>77600</v>
      </c>
      <c r="F155" s="557">
        <v>77609</v>
      </c>
      <c r="G155" s="112">
        <f t="shared" ref="G155:G156" si="12">F155-E155</f>
        <v>9</v>
      </c>
      <c r="H155" s="99">
        <f>G155+'10'!H155</f>
        <v>64137</v>
      </c>
      <c r="I155" s="366"/>
      <c r="J155" s="330">
        <f>H155/DAY(B2)</f>
        <v>5830.636363636364</v>
      </c>
    </row>
    <row r="156" spans="1:10" ht="30.75" customHeight="1" x14ac:dyDescent="0.5">
      <c r="A156" s="815" t="s">
        <v>347</v>
      </c>
      <c r="B156" s="815"/>
      <c r="C156" s="815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-1088</v>
      </c>
      <c r="I156" s="165"/>
      <c r="J156" s="330">
        <f>H156/DAY(B2)</f>
        <v>-98.909090909090907</v>
      </c>
    </row>
    <row r="157" spans="1:10" ht="30.75" customHeight="1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30.75" customHeight="1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30.75" customHeight="1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0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471120</v>
      </c>
      <c r="F161" s="235">
        <v>471121</v>
      </c>
      <c r="G161" s="238">
        <f t="shared" ref="G161:G165" si="13">F161-E161</f>
        <v>1</v>
      </c>
      <c r="H161" s="99">
        <f>G161+'10'!H161</f>
        <v>-32.159999999974389</v>
      </c>
      <c r="I161" s="236"/>
      <c r="J161" s="239">
        <f>H161/DAY(B2)</f>
        <v>-2.9236363636340355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86974</v>
      </c>
      <c r="F162" s="235">
        <v>86991</v>
      </c>
      <c r="G162" s="238">
        <f t="shared" si="13"/>
        <v>17</v>
      </c>
      <c r="H162" s="99">
        <f>G162+'10'!H162</f>
        <v>-579</v>
      </c>
      <c r="I162" s="236"/>
      <c r="J162" s="239">
        <f>H162/DAY(B2)</f>
        <v>-52.636363636363633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76335</v>
      </c>
      <c r="F163" s="235">
        <v>76380</v>
      </c>
      <c r="G163" s="238">
        <f t="shared" si="13"/>
        <v>45</v>
      </c>
      <c r="H163" s="99">
        <f>G163+'10'!H163</f>
        <v>-1445</v>
      </c>
      <c r="I163" s="236"/>
      <c r="J163" s="239">
        <f>H163/DAY(B2)</f>
        <v>-131.36363636363637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4150</v>
      </c>
      <c r="F164" s="235">
        <v>4153</v>
      </c>
      <c r="G164" s="238">
        <f t="shared" si="13"/>
        <v>3</v>
      </c>
      <c r="H164" s="99">
        <f>G164+'10'!H164</f>
        <v>-89</v>
      </c>
      <c r="I164" s="236"/>
      <c r="J164" s="239">
        <f>H164/DAY(B2)</f>
        <v>-8.0909090909090917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29506</v>
      </c>
      <c r="F165" s="235">
        <v>29510</v>
      </c>
      <c r="G165" s="238">
        <f t="shared" si="13"/>
        <v>4</v>
      </c>
      <c r="H165" s="99">
        <f>G165+'10'!H165</f>
        <v>-136</v>
      </c>
      <c r="I165" s="236"/>
      <c r="J165" s="239">
        <f>H165/DAY(B2)</f>
        <v>-12.363636363636363</v>
      </c>
    </row>
    <row r="166" spans="1:10" ht="30.75" customHeight="1" x14ac:dyDescent="0.5">
      <c r="A166" s="824"/>
      <c r="B166" s="824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24"/>
      <c r="B167" s="824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24"/>
      <c r="B168" s="824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30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28" t="s">
        <v>209</v>
      </c>
      <c r="B173" s="829"/>
      <c r="C173" s="335"/>
      <c r="D173" s="228" t="s">
        <v>142</v>
      </c>
      <c r="E173" s="95">
        <f>'10'!F173</f>
        <v>8107</v>
      </c>
      <c r="F173" s="557">
        <v>8107</v>
      </c>
      <c r="G173" s="155">
        <f>F173-E173</f>
        <v>0</v>
      </c>
      <c r="H173" s="99">
        <f>G173+'10'!H173</f>
        <v>-19</v>
      </c>
      <c r="I173" s="155"/>
      <c r="J173" s="178">
        <f>H173/DAY(B2)</f>
        <v>-1.7272727272727273</v>
      </c>
    </row>
    <row r="174" spans="1:10" ht="30.75" customHeight="1" x14ac:dyDescent="0.5">
      <c r="A174" s="828" t="s">
        <v>75</v>
      </c>
      <c r="B174" s="829"/>
      <c r="C174" s="335"/>
      <c r="D174" s="228" t="s">
        <v>142</v>
      </c>
      <c r="E174" s="95">
        <f>'10'!F174</f>
        <v>37969</v>
      </c>
      <c r="F174" s="157">
        <v>37989</v>
      </c>
      <c r="G174" s="155">
        <f t="shared" ref="G174:G175" si="14">F174-E174</f>
        <v>20</v>
      </c>
      <c r="H174" s="99">
        <f>G174+'10'!H174</f>
        <v>-304</v>
      </c>
      <c r="I174" s="155"/>
      <c r="J174" s="178">
        <f>H174/DAY(B2)</f>
        <v>-27.636363636363637</v>
      </c>
    </row>
    <row r="175" spans="1:10" ht="30.75" customHeight="1" x14ac:dyDescent="0.5">
      <c r="A175" s="828" t="s">
        <v>76</v>
      </c>
      <c r="B175" s="868"/>
      <c r="C175" s="829"/>
      <c r="D175" s="228" t="s">
        <v>142</v>
      </c>
      <c r="E175" s="95">
        <f>'10'!F175</f>
        <v>21265</v>
      </c>
      <c r="F175" s="155">
        <v>21279</v>
      </c>
      <c r="G175" s="155">
        <f t="shared" si="14"/>
        <v>14</v>
      </c>
      <c r="H175" s="99">
        <f>G175+'10'!H175</f>
        <v>-239</v>
      </c>
      <c r="I175" s="155"/>
      <c r="J175" s="178">
        <f>H175/DAY(B2)</f>
        <v>-21.727272727272727</v>
      </c>
    </row>
    <row r="176" spans="1:10" ht="30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34</v>
      </c>
      <c r="H176" s="99">
        <f>G176+'10'!H176</f>
        <v>-562</v>
      </c>
      <c r="I176" s="155"/>
      <c r="J176" s="178">
        <f>H176/DAY(B2)</f>
        <v>-51.090909090909093</v>
      </c>
    </row>
    <row r="177" spans="1:10" ht="30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28" t="s">
        <v>210</v>
      </c>
      <c r="B178" s="829"/>
      <c r="C178" s="335"/>
      <c r="D178" s="228" t="s">
        <v>142</v>
      </c>
      <c r="E178" s="95">
        <f>'10'!F178</f>
        <v>78098</v>
      </c>
      <c r="F178" s="155">
        <v>78181</v>
      </c>
      <c r="G178" s="155">
        <f>F178-E178</f>
        <v>83</v>
      </c>
      <c r="H178" s="99">
        <f>G178+'10'!H178</f>
        <v>-1433</v>
      </c>
      <c r="I178" s="155"/>
      <c r="J178" s="178">
        <f>H178/DAY(B2)</f>
        <v>-130.27272727272728</v>
      </c>
    </row>
    <row r="179" spans="1:10" ht="30.75" customHeight="1" x14ac:dyDescent="0.5">
      <c r="A179" s="828" t="s">
        <v>211</v>
      </c>
      <c r="B179" s="829"/>
      <c r="C179" s="335"/>
      <c r="D179" s="228" t="s">
        <v>142</v>
      </c>
      <c r="E179" s="95">
        <f>'10'!F179</f>
        <v>33888</v>
      </c>
      <c r="F179" s="155">
        <v>33888</v>
      </c>
      <c r="G179" s="155">
        <f t="shared" ref="G179:G180" si="15">F179-E179</f>
        <v>0</v>
      </c>
      <c r="H179" s="99">
        <f>G179+'10'!H179</f>
        <v>-27</v>
      </c>
      <c r="I179" s="155"/>
      <c r="J179" s="178">
        <f>H179/DAY(B2)</f>
        <v>-2.4545454545454546</v>
      </c>
    </row>
    <row r="180" spans="1:10" ht="30.75" customHeight="1" x14ac:dyDescent="0.5">
      <c r="A180" s="828" t="s">
        <v>212</v>
      </c>
      <c r="B180" s="829"/>
      <c r="C180" s="335"/>
      <c r="D180" s="228" t="s">
        <v>142</v>
      </c>
      <c r="E180" s="95">
        <f>'10'!F180</f>
        <v>5335</v>
      </c>
      <c r="F180" s="155">
        <v>5347</v>
      </c>
      <c r="G180" s="155">
        <f t="shared" si="15"/>
        <v>12</v>
      </c>
      <c r="H180" s="99">
        <f>G180+'10'!H180</f>
        <v>-130</v>
      </c>
      <c r="I180" s="155"/>
      <c r="J180" s="178">
        <f>H180/DAY(B2)</f>
        <v>-11.818181818181818</v>
      </c>
    </row>
    <row r="181" spans="1:10" ht="30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95</v>
      </c>
      <c r="H181" s="99">
        <f>G181+'10'!H181</f>
        <v>-1590</v>
      </c>
      <c r="I181" s="155"/>
      <c r="J181" s="178">
        <f>H181/DAY(B2)</f>
        <v>-144.54545454545453</v>
      </c>
    </row>
    <row r="182" spans="1:10" ht="30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28" t="s">
        <v>214</v>
      </c>
      <c r="B183" s="829"/>
      <c r="C183" s="336"/>
      <c r="D183" s="228" t="s">
        <v>142</v>
      </c>
      <c r="E183" s="95">
        <f>'10'!F183</f>
        <v>14649</v>
      </c>
      <c r="F183" s="157">
        <v>14659</v>
      </c>
      <c r="G183" s="157">
        <f>F183-E183</f>
        <v>10</v>
      </c>
      <c r="H183" s="99">
        <f>G183+'10'!H183</f>
        <v>-288</v>
      </c>
      <c r="I183" s="155"/>
      <c r="J183" s="178">
        <f>H183/DAY(B2)</f>
        <v>-26.181818181818183</v>
      </c>
    </row>
    <row r="184" spans="1:10" ht="30.75" customHeight="1" x14ac:dyDescent="0.5">
      <c r="A184" s="828" t="s">
        <v>215</v>
      </c>
      <c r="B184" s="829"/>
      <c r="C184" s="336"/>
      <c r="D184" s="228" t="s">
        <v>142</v>
      </c>
      <c r="E184" s="95">
        <f>'10'!F184</f>
        <v>10119</v>
      </c>
      <c r="F184" s="157">
        <v>10129</v>
      </c>
      <c r="G184" s="157">
        <f t="shared" ref="G184:G185" si="16">F184-E184</f>
        <v>10</v>
      </c>
      <c r="H184" s="99">
        <f>G184+'10'!H184</f>
        <v>-172</v>
      </c>
      <c r="I184" s="155"/>
      <c r="J184" s="178">
        <f>H184/DAY(B2)</f>
        <v>-15.636363636363637</v>
      </c>
    </row>
    <row r="185" spans="1:10" ht="30.75" customHeight="1" x14ac:dyDescent="0.5">
      <c r="A185" s="828" t="s">
        <v>216</v>
      </c>
      <c r="B185" s="829"/>
      <c r="C185" s="336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20</v>
      </c>
      <c r="H186" s="99">
        <f>G186+'10'!H186</f>
        <v>-460</v>
      </c>
      <c r="I186" s="157"/>
      <c r="J186" s="178">
        <f>H186/DAY(B2)</f>
        <v>-41.81818181818182</v>
      </c>
    </row>
    <row r="187" spans="1:10" ht="30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171</v>
      </c>
      <c r="H187" s="99">
        <f>G187+'10'!H187</f>
        <v>-1836</v>
      </c>
      <c r="I187" s="158"/>
      <c r="J187" s="179">
        <f>H187/DAY(B2)</f>
        <v>-166.90909090909091</v>
      </c>
    </row>
    <row r="188" spans="1:10" ht="30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177</v>
      </c>
      <c r="H188" s="99">
        <f>G188+'10'!H188</f>
        <v>-3542</v>
      </c>
      <c r="I188" s="158"/>
      <c r="J188" s="179">
        <f>H188/DAY(B2)</f>
        <v>-322</v>
      </c>
    </row>
    <row r="189" spans="1:10" ht="30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95</v>
      </c>
      <c r="H189" s="99">
        <f>G189+'10'!H189</f>
        <v>-1590</v>
      </c>
      <c r="I189" s="158"/>
      <c r="J189" s="179">
        <f>H189/DAY(B2)</f>
        <v>-144.54545454545453</v>
      </c>
    </row>
    <row r="190" spans="1:10" ht="30.75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18" zoomScale="50" zoomScaleNormal="75" zoomScaleSheetLayoutView="50" workbookViewId="0">
      <selection activeCell="F18" sqref="F18:F19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2.25" customHeight="1" x14ac:dyDescent="0.5">
      <c r="A2" s="191" t="s">
        <v>363</v>
      </c>
      <c r="B2" s="262">
        <v>44542</v>
      </c>
      <c r="C2" s="350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50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316978</v>
      </c>
      <c r="F7" s="95">
        <f>E7+23500</f>
        <v>340478</v>
      </c>
      <c r="G7" s="112">
        <f>F7-E7</f>
        <v>23500</v>
      </c>
      <c r="H7" s="99">
        <f>G7+'11'!H7</f>
        <v>245917</v>
      </c>
      <c r="I7" s="113">
        <f>'1'!I7</f>
        <v>12000</v>
      </c>
      <c r="J7" s="175">
        <f>H7/DAY(B2)</f>
        <v>20493.083333333332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366937</v>
      </c>
      <c r="F8" s="95">
        <f>E8+23500</f>
        <v>390437</v>
      </c>
      <c r="G8" s="115">
        <f>F8-E8</f>
        <v>23500</v>
      </c>
      <c r="H8" s="99">
        <f>G8+'11'!H8</f>
        <v>249552</v>
      </c>
      <c r="I8" s="116"/>
      <c r="J8" s="175">
        <f>H8/DAY(B2)</f>
        <v>20796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39657</v>
      </c>
      <c r="F9" s="605">
        <f>E9+14000</f>
        <v>53657</v>
      </c>
      <c r="G9" s="112">
        <f>F9-E9</f>
        <v>14000</v>
      </c>
      <c r="H9" s="99">
        <f>G9+'11'!H9</f>
        <v>152162</v>
      </c>
      <c r="I9" s="124">
        <f>I7-J7</f>
        <v>-8493.0833333333321</v>
      </c>
      <c r="J9" s="175">
        <f>H9/DAY(B2)</f>
        <v>12680.166666666666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14534</v>
      </c>
      <c r="F10" s="355">
        <f>E10+4500</f>
        <v>19034</v>
      </c>
      <c r="G10" s="112">
        <f t="shared" ref="G10:G12" si="0">F10-E10</f>
        <v>4500</v>
      </c>
      <c r="H10" s="99">
        <f>G10+'11'!H10</f>
        <v>73940</v>
      </c>
      <c r="I10" s="282"/>
      <c r="J10" s="175">
        <f>H10/DAY(B2)</f>
        <v>6161.666666666667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G13+'11'!H13</f>
        <v>206636.74999999988</v>
      </c>
      <c r="I13" s="120">
        <f>G7-G13</f>
        <v>5000</v>
      </c>
      <c r="J13" s="175">
        <f>H13/DAY(B2)</f>
        <v>17219.729166666657</v>
      </c>
      <c r="K13" s="79"/>
      <c r="L13" s="66"/>
      <c r="N13" s="87"/>
      <c r="O13" s="71"/>
    </row>
    <row r="14" spans="1:15" ht="32.2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7" t="s">
        <v>138</v>
      </c>
      <c r="B15" s="205"/>
      <c r="C15" s="205"/>
      <c r="D15" s="151" t="s">
        <v>139</v>
      </c>
      <c r="E15" s="95">
        <f>'11'!F15</f>
        <v>1888799</v>
      </c>
      <c r="F15" s="123">
        <f>E15+1100</f>
        <v>1889899</v>
      </c>
      <c r="G15" s="112">
        <f>(F15-E15)</f>
        <v>1100</v>
      </c>
      <c r="H15" s="99">
        <f>G15+'11'!H15</f>
        <v>11469</v>
      </c>
      <c r="I15" s="113">
        <f>'1'!I15</f>
        <v>800</v>
      </c>
      <c r="J15" s="175">
        <f>H15/DAY(B2)</f>
        <v>955.75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-155.75</v>
      </c>
      <c r="J16" s="176"/>
      <c r="K16" s="79"/>
      <c r="L16" s="66"/>
      <c r="N16" s="87"/>
      <c r="O16" s="71"/>
    </row>
    <row r="17" spans="1:15" ht="32.2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56" t="s">
        <v>141</v>
      </c>
      <c r="B18" s="857"/>
      <c r="C18" s="858"/>
      <c r="D18" s="151" t="s">
        <v>142</v>
      </c>
      <c r="E18" s="95">
        <f>'11'!F18</f>
        <v>39</v>
      </c>
      <c r="F18" s="122">
        <f>E18+12</f>
        <v>51</v>
      </c>
      <c r="G18" s="119">
        <f>F18*10</f>
        <v>510</v>
      </c>
      <c r="H18" s="99">
        <f>G18+'11'!H18</f>
        <v>2390</v>
      </c>
      <c r="I18" s="113">
        <f>'1'!I18</f>
        <v>65</v>
      </c>
      <c r="J18" s="175">
        <f>H18/DAY(B2)</f>
        <v>199.16666666666666</v>
      </c>
      <c r="K18" s="79"/>
      <c r="L18" s="66"/>
      <c r="N18" s="87"/>
      <c r="O18" s="71"/>
    </row>
    <row r="19" spans="1:15" ht="32.25" customHeight="1" x14ac:dyDescent="0.5">
      <c r="A19" s="856" t="s">
        <v>69</v>
      </c>
      <c r="B19" s="857"/>
      <c r="C19" s="858"/>
      <c r="D19" s="151" t="s">
        <v>142</v>
      </c>
      <c r="E19" s="95">
        <f>'11'!F19</f>
        <v>152805</v>
      </c>
      <c r="F19" s="122">
        <f>E19+55</f>
        <v>152860</v>
      </c>
      <c r="G19" s="112">
        <f t="shared" ref="G19" si="1">F19-E19</f>
        <v>55</v>
      </c>
      <c r="H19" s="99">
        <f>G19+'11'!H19</f>
        <v>635</v>
      </c>
      <c r="I19" s="337"/>
      <c r="J19" s="175">
        <f>H19/DAY(B2)</f>
        <v>52.916666666666664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565</v>
      </c>
      <c r="H20" s="99">
        <f>G20+'11'!H20</f>
        <v>3025</v>
      </c>
      <c r="I20" s="338">
        <f>I18-J20</f>
        <v>-187.08333333333334</v>
      </c>
      <c r="J20" s="175">
        <f>H20/DAY(B2)</f>
        <v>252.08333333333334</v>
      </c>
      <c r="K20" s="79"/>
      <c r="L20" s="66"/>
      <c r="N20" s="87"/>
      <c r="O20" s="71"/>
    </row>
    <row r="21" spans="1:15" ht="32.2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7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7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G27+'11'!H27</f>
        <v>2245968</v>
      </c>
      <c r="I27" s="138"/>
      <c r="J27" s="175">
        <f>H27/DAY(B2)</f>
        <v>187164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G28+'11'!H28</f>
        <v>596388</v>
      </c>
      <c r="I28" s="140"/>
      <c r="J28" s="175">
        <f>H28/DAY(B2)</f>
        <v>49699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G30+'11'!H30</f>
        <v>92710</v>
      </c>
      <c r="I30" s="140"/>
      <c r="J30" s="175">
        <f>H30/DAY(B2)</f>
        <v>7725.833333333333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510</v>
      </c>
      <c r="F31" s="136">
        <v>80</v>
      </c>
      <c r="G31" s="137">
        <f>E31*F31</f>
        <v>40800</v>
      </c>
      <c r="H31" s="99">
        <f>G31+'11'!H31</f>
        <v>191200</v>
      </c>
      <c r="I31" s="140"/>
      <c r="J31" s="175">
        <f>H31/DAY(B2)</f>
        <v>15933.333333333334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317530</v>
      </c>
      <c r="H32" s="99">
        <f>G32+'11'!H32</f>
        <v>3126266</v>
      </c>
      <c r="I32" s="144"/>
      <c r="J32" s="175">
        <f>H32/DAY(B2)</f>
        <v>260522.16666666666</v>
      </c>
      <c r="K32" s="63"/>
      <c r="L32" s="89"/>
      <c r="N32" s="87"/>
      <c r="O32" s="71"/>
    </row>
    <row r="33" spans="1:15" ht="32.2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116723</v>
      </c>
      <c r="F35" s="145">
        <v>118861</v>
      </c>
      <c r="G35" s="112">
        <f t="shared" ref="G35:G46" si="3">F35-E35</f>
        <v>2138</v>
      </c>
      <c r="H35" s="99">
        <f>G35+'11'!H35</f>
        <v>134061</v>
      </c>
      <c r="I35" s="95"/>
      <c r="J35" s="175">
        <f>H35/DAY(B2)</f>
        <v>11171.75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806</v>
      </c>
      <c r="F36" s="145">
        <v>1947</v>
      </c>
      <c r="G36" s="112">
        <f t="shared" si="3"/>
        <v>1141</v>
      </c>
      <c r="H36" s="99">
        <f>G36+'11'!H36</f>
        <v>70150</v>
      </c>
      <c r="I36" s="95"/>
      <c r="J36" s="175">
        <f>H36/DAY(B2)</f>
        <v>5845.833333333333</v>
      </c>
      <c r="K36" s="79"/>
      <c r="L36" s="66"/>
      <c r="N36" s="87"/>
      <c r="O36" s="346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163693</v>
      </c>
      <c r="F37" s="378">
        <v>165381</v>
      </c>
      <c r="G37" s="112">
        <f t="shared" si="3"/>
        <v>1688</v>
      </c>
      <c r="H37" s="99">
        <f>G37+'11'!H37</f>
        <v>177593</v>
      </c>
      <c r="I37" s="95"/>
      <c r="J37" s="175">
        <f>H37/DAY(B2)</f>
        <v>14799.416666666666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192862</v>
      </c>
      <c r="F38" s="108">
        <v>195037</v>
      </c>
      <c r="G38" s="112">
        <f t="shared" si="3"/>
        <v>2175</v>
      </c>
      <c r="H38" s="99">
        <f>G38+'11'!H38</f>
        <v>208237</v>
      </c>
      <c r="I38" s="95"/>
      <c r="J38" s="175">
        <f>H38/DAY(B2)</f>
        <v>17353.083333333332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353654</v>
      </c>
      <c r="F39" s="145">
        <v>356708</v>
      </c>
      <c r="G39" s="112">
        <f t="shared" si="3"/>
        <v>3054</v>
      </c>
      <c r="H39" s="99">
        <f>G39+'11'!H39</f>
        <v>378390</v>
      </c>
      <c r="I39" s="95"/>
      <c r="J39" s="175">
        <f>H39/DAY(B2)</f>
        <v>31532.5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116</v>
      </c>
      <c r="F40" s="145">
        <v>116</v>
      </c>
      <c r="G40" s="112">
        <f t="shared" si="3"/>
        <v>0</v>
      </c>
      <c r="H40" s="99">
        <f>G40+'11'!H40</f>
        <v>-5494</v>
      </c>
      <c r="I40" s="95"/>
      <c r="J40" s="175">
        <f>H40/DAY(B2)</f>
        <v>-457.83333333333331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599900</v>
      </c>
      <c r="I41" s="95"/>
      <c r="J41" s="175">
        <f>H41/DAY(B2)</f>
        <v>49991.666666666664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348499</v>
      </c>
      <c r="F42" s="145">
        <v>352828</v>
      </c>
      <c r="G42" s="112">
        <f t="shared" si="3"/>
        <v>4329</v>
      </c>
      <c r="H42" s="99">
        <f>G42+'11'!H42</f>
        <v>279019</v>
      </c>
      <c r="I42" s="95"/>
      <c r="J42" s="175">
        <f>H42/DAY(B2)</f>
        <v>23251.583333333332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78">
        <v>2634</v>
      </c>
      <c r="G43" s="112">
        <f t="shared" si="3"/>
        <v>2634</v>
      </c>
      <c r="H43" s="99">
        <f>G43+'11'!H43</f>
        <v>1513689</v>
      </c>
      <c r="I43" s="95"/>
      <c r="J43" s="175">
        <f>H43/DAY(B2)</f>
        <v>126140.75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17159</v>
      </c>
      <c r="H47" s="99">
        <f>G47+'11'!H47</f>
        <v>3355545</v>
      </c>
      <c r="I47" s="95"/>
      <c r="J47" s="175">
        <f>H47/DAY(B2)</f>
        <v>279628.75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239685</v>
      </c>
      <c r="F49" s="145">
        <v>241445</v>
      </c>
      <c r="G49" s="112">
        <f t="shared" ref="G49:G58" si="4">F49-E49</f>
        <v>1760</v>
      </c>
      <c r="H49" s="99">
        <f>G49+'11'!H49</f>
        <v>254566</v>
      </c>
      <c r="I49" s="95"/>
      <c r="J49" s="175">
        <f>H49/DAY(B2)</f>
        <v>21213.833333333332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1046</v>
      </c>
      <c r="G50" s="112">
        <f t="shared" si="4"/>
        <v>1046</v>
      </c>
      <c r="H50" s="99">
        <f>G50+'11'!H50</f>
        <v>715471</v>
      </c>
      <c r="I50" s="95"/>
      <c r="J50" s="175">
        <f>H50/DAY(B2)</f>
        <v>59622.583333333336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3095</v>
      </c>
      <c r="F54" s="145">
        <v>3099</v>
      </c>
      <c r="G54" s="112">
        <f t="shared" si="4"/>
        <v>4</v>
      </c>
      <c r="H54" s="99">
        <f>G54+'11'!H54</f>
        <v>4866.08</v>
      </c>
      <c r="I54" s="95"/>
      <c r="J54" s="175">
        <f>H54/DAY(B2)</f>
        <v>405.50666666666666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0</v>
      </c>
      <c r="F55" s="145">
        <v>0</v>
      </c>
      <c r="G55" s="112">
        <f t="shared" si="4"/>
        <v>0</v>
      </c>
      <c r="H55" s="99">
        <f>G55+'11'!H55</f>
        <v>-3511</v>
      </c>
      <c r="I55" s="95"/>
      <c r="J55" s="175">
        <f>H55/DAY(B2)</f>
        <v>-292.58333333333331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1915</v>
      </c>
      <c r="F56" s="145">
        <v>3097</v>
      </c>
      <c r="G56" s="112">
        <f t="shared" si="4"/>
        <v>1182</v>
      </c>
      <c r="H56" s="99">
        <f>G56+'11'!H56</f>
        <v>206551.46</v>
      </c>
      <c r="I56" s="95"/>
      <c r="J56" s="175">
        <f>H56/DAY(B2)</f>
        <v>17212.621666666666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87874</v>
      </c>
      <c r="F58" s="145">
        <v>88111</v>
      </c>
      <c r="G58" s="112">
        <f t="shared" si="4"/>
        <v>237</v>
      </c>
      <c r="H58" s="99">
        <f>G58+'11'!H58</f>
        <v>88451.63</v>
      </c>
      <c r="I58" s="95"/>
      <c r="J58" s="175">
        <f>H58/DAY(B2)</f>
        <v>7370.9691666666668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4229</v>
      </c>
      <c r="H59" s="99">
        <f>G59+'11'!H59</f>
        <v>1266395.17</v>
      </c>
      <c r="I59" s="95">
        <f>G7-G60</f>
        <v>2112</v>
      </c>
      <c r="J59" s="175">
        <f>H59/DAY(B2)</f>
        <v>105532.93083333333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21388</v>
      </c>
      <c r="H60" s="99">
        <f>G60+'11'!H60</f>
        <v>4621940.17</v>
      </c>
      <c r="I60" s="95">
        <f>G13-G60</f>
        <v>-2888</v>
      </c>
      <c r="J60" s="175">
        <f>H60/DAY(B2)</f>
        <v>385161.68083333335</v>
      </c>
      <c r="K60" s="79"/>
      <c r="L60" s="66"/>
      <c r="N60" s="87"/>
      <c r="O60" s="71"/>
    </row>
    <row r="61" spans="1:15" s="68" customFormat="1" ht="32.2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2.25" customHeight="1" x14ac:dyDescent="0.5">
      <c r="A62" s="856" t="s">
        <v>198</v>
      </c>
      <c r="B62" s="857"/>
      <c r="C62" s="858"/>
      <c r="D62" s="151" t="s">
        <v>142</v>
      </c>
      <c r="E62" s="95">
        <f>'11'!F62</f>
        <v>264797</v>
      </c>
      <c r="F62" s="122">
        <v>264941</v>
      </c>
      <c r="G62" s="112">
        <f t="shared" ref="G62:G63" si="5">F62-E62</f>
        <v>144</v>
      </c>
      <c r="H62" s="99">
        <f>G62+'11'!H62</f>
        <v>-2272</v>
      </c>
      <c r="I62" s="118"/>
      <c r="J62" s="175">
        <f>H62/DAY(B2)</f>
        <v>-189.33333333333334</v>
      </c>
      <c r="K62" s="80"/>
      <c r="L62" s="66"/>
      <c r="N62" s="87"/>
      <c r="O62" s="71"/>
    </row>
    <row r="63" spans="1:15" ht="32.25" customHeight="1" x14ac:dyDescent="0.5">
      <c r="A63" s="856" t="s">
        <v>199</v>
      </c>
      <c r="B63" s="857"/>
      <c r="C63" s="858"/>
      <c r="D63" s="151" t="s">
        <v>142</v>
      </c>
      <c r="E63" s="95">
        <f>'11'!F63</f>
        <v>210557</v>
      </c>
      <c r="F63" s="122">
        <v>210687</v>
      </c>
      <c r="G63" s="112">
        <f t="shared" si="5"/>
        <v>130</v>
      </c>
      <c r="H63" s="99">
        <f>G63+'11'!H63</f>
        <v>-1738</v>
      </c>
      <c r="I63" s="118"/>
      <c r="J63" s="175">
        <f>H63/DAY(B2)</f>
        <v>-144.83333333333334</v>
      </c>
      <c r="K63" s="69"/>
      <c r="L63" s="66"/>
      <c r="N63" s="87"/>
      <c r="O63" s="71"/>
    </row>
    <row r="64" spans="1:15" ht="32.25" customHeight="1" x14ac:dyDescent="0.5">
      <c r="A64" s="865" t="s">
        <v>200</v>
      </c>
      <c r="B64" s="866"/>
      <c r="C64" s="867"/>
      <c r="D64" s="151"/>
      <c r="E64" s="95">
        <f>'11'!F64</f>
        <v>0</v>
      </c>
      <c r="F64" s="122"/>
      <c r="G64" s="112">
        <f>G62+G63</f>
        <v>274</v>
      </c>
      <c r="H64" s="99">
        <f>G64+'11'!H64</f>
        <v>-4010</v>
      </c>
      <c r="I64" s="118"/>
      <c r="J64" s="175">
        <f>H64/DAY(B2)</f>
        <v>-334.16666666666669</v>
      </c>
      <c r="K64" s="69"/>
      <c r="L64" s="66"/>
      <c r="N64" s="87"/>
      <c r="O64" s="71"/>
    </row>
    <row r="65" spans="1:15" ht="32.25" customHeight="1" x14ac:dyDescent="0.5">
      <c r="A65" s="856" t="s">
        <v>201</v>
      </c>
      <c r="B65" s="857"/>
      <c r="C65" s="858"/>
      <c r="D65" s="151" t="s">
        <v>142</v>
      </c>
      <c r="E65" s="95">
        <f>'11'!F65</f>
        <v>430495</v>
      </c>
      <c r="F65" s="122">
        <v>430600</v>
      </c>
      <c r="G65" s="112">
        <f t="shared" ref="G65:G70" si="6">F65-E65</f>
        <v>105</v>
      </c>
      <c r="H65" s="99">
        <f>G65+'11'!H65</f>
        <v>-2014</v>
      </c>
      <c r="I65" s="118"/>
      <c r="J65" s="175">
        <f>H65/DAY(B2)</f>
        <v>-167.83333333333334</v>
      </c>
      <c r="K65" s="69"/>
      <c r="L65" s="66"/>
      <c r="N65" s="87"/>
      <c r="O65" s="71"/>
    </row>
    <row r="66" spans="1:15" ht="32.25" customHeight="1" x14ac:dyDescent="0.5">
      <c r="A66" s="347" t="s">
        <v>202</v>
      </c>
      <c r="B66" s="348"/>
      <c r="C66" s="348"/>
      <c r="D66" s="151" t="s">
        <v>142</v>
      </c>
      <c r="E66" s="95">
        <f>'11'!F66</f>
        <v>106820</v>
      </c>
      <c r="F66" s="122">
        <v>106841</v>
      </c>
      <c r="G66" s="112">
        <f t="shared" si="6"/>
        <v>21</v>
      </c>
      <c r="H66" s="99">
        <f>G66+'11'!H66</f>
        <v>-373</v>
      </c>
      <c r="I66" s="118"/>
      <c r="J66" s="175">
        <f>H66/DAY(B2)</f>
        <v>-31.083333333333332</v>
      </c>
      <c r="K66" s="78"/>
      <c r="L66" s="66"/>
      <c r="N66" s="87"/>
      <c r="O66" s="71"/>
    </row>
    <row r="67" spans="1:15" ht="32.25" customHeight="1" x14ac:dyDescent="0.5">
      <c r="A67" s="347" t="s">
        <v>203</v>
      </c>
      <c r="B67" s="348"/>
      <c r="C67" s="348"/>
      <c r="D67" s="151" t="s">
        <v>142</v>
      </c>
      <c r="E67" s="95">
        <f>'11'!F67</f>
        <v>103339</v>
      </c>
      <c r="F67" s="122">
        <v>103372</v>
      </c>
      <c r="G67" s="112">
        <f t="shared" si="6"/>
        <v>33</v>
      </c>
      <c r="H67" s="99">
        <f>G67+'11'!H67</f>
        <v>-556</v>
      </c>
      <c r="I67" s="118"/>
      <c r="J67" s="175">
        <f>H67/DAY(B2)</f>
        <v>-46.333333333333336</v>
      </c>
      <c r="K67" s="81"/>
      <c r="L67" s="66"/>
      <c r="N67" s="87"/>
      <c r="O67" s="71"/>
    </row>
    <row r="68" spans="1:15" ht="32.25" customHeight="1" x14ac:dyDescent="0.5">
      <c r="A68" s="347" t="s">
        <v>204</v>
      </c>
      <c r="B68" s="348"/>
      <c r="C68" s="348"/>
      <c r="D68" s="151" t="s">
        <v>142</v>
      </c>
      <c r="E68" s="95">
        <f>'11'!F68</f>
        <v>155878</v>
      </c>
      <c r="F68" s="122">
        <v>155922</v>
      </c>
      <c r="G68" s="112">
        <f t="shared" si="6"/>
        <v>44</v>
      </c>
      <c r="H68" s="99">
        <f>G68+'11'!H68</f>
        <v>-698</v>
      </c>
      <c r="I68" s="118"/>
      <c r="J68" s="175">
        <f>H68/DAY(B2)</f>
        <v>-58.166666666666664</v>
      </c>
      <c r="K68" s="69"/>
      <c r="L68" s="66"/>
      <c r="N68" s="87"/>
      <c r="O68" s="71"/>
    </row>
    <row r="69" spans="1:15" ht="32.25" customHeight="1" x14ac:dyDescent="0.5">
      <c r="A69" s="347" t="s">
        <v>205</v>
      </c>
      <c r="B69" s="348"/>
      <c r="C69" s="348"/>
      <c r="D69" s="151" t="s">
        <v>142</v>
      </c>
      <c r="E69" s="95">
        <f>'11'!F69</f>
        <v>9977</v>
      </c>
      <c r="F69" s="122">
        <v>9984</v>
      </c>
      <c r="G69" s="112">
        <f t="shared" si="6"/>
        <v>7</v>
      </c>
      <c r="H69" s="99">
        <f>G69+'11'!H69</f>
        <v>-230</v>
      </c>
      <c r="I69" s="118"/>
      <c r="J69" s="175">
        <f>H69/DAY(B2)</f>
        <v>-19.166666666666668</v>
      </c>
      <c r="K69" s="69"/>
      <c r="L69" s="66"/>
      <c r="N69" s="87"/>
      <c r="O69" s="71"/>
    </row>
    <row r="70" spans="1:15" ht="32.25" customHeight="1" x14ac:dyDescent="0.5">
      <c r="A70" s="347" t="s">
        <v>206</v>
      </c>
      <c r="B70" s="348"/>
      <c r="C70" s="348"/>
      <c r="D70" s="151" t="s">
        <v>142</v>
      </c>
      <c r="E70" s="95">
        <f>'11'!F70</f>
        <v>7659</v>
      </c>
      <c r="F70" s="122">
        <v>7668</v>
      </c>
      <c r="G70" s="112">
        <f t="shared" si="6"/>
        <v>9</v>
      </c>
      <c r="H70" s="99">
        <f>G70+'11'!H70</f>
        <v>-194</v>
      </c>
      <c r="I70" s="118"/>
      <c r="J70" s="175">
        <f>H70/DAY(B2)</f>
        <v>-16.166666666666668</v>
      </c>
      <c r="K70" s="69"/>
      <c r="L70" s="66"/>
      <c r="N70" s="87"/>
      <c r="O70" s="71"/>
    </row>
    <row r="71" spans="1:15" ht="32.2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219</v>
      </c>
      <c r="H71" s="99">
        <f>G71+'11'!H71</f>
        <v>-4065</v>
      </c>
      <c r="I71" s="154"/>
      <c r="J71" s="175">
        <f>H71/DAY(B2)</f>
        <v>-338.75</v>
      </c>
      <c r="K71" s="69"/>
      <c r="L71" s="66"/>
      <c r="N71" s="87"/>
      <c r="O71" s="71"/>
    </row>
    <row r="72" spans="1:15" s="88" customFormat="1" ht="32.2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2.25" customHeight="1" x14ac:dyDescent="0.5">
      <c r="A74" s="856" t="s">
        <v>220</v>
      </c>
      <c r="B74" s="857"/>
      <c r="C74" s="858"/>
      <c r="D74" s="151" t="s">
        <v>139</v>
      </c>
      <c r="E74" s="95">
        <f>'11'!F74</f>
        <v>885717</v>
      </c>
      <c r="F74" s="117">
        <v>886017</v>
      </c>
      <c r="G74" s="112">
        <f t="shared" ref="G74:G78" si="7">F74-E74</f>
        <v>300</v>
      </c>
      <c r="H74" s="99">
        <f>G74+'11'!H74</f>
        <v>-6015</v>
      </c>
      <c r="I74" s="154"/>
      <c r="J74" s="175">
        <f>H74/DAY(B2)</f>
        <v>-501.25</v>
      </c>
      <c r="K74" s="69"/>
      <c r="L74" s="66"/>
      <c r="N74" s="87"/>
      <c r="O74" s="71"/>
    </row>
    <row r="75" spans="1:15" ht="32.25" customHeight="1" x14ac:dyDescent="0.5">
      <c r="A75" s="856" t="s">
        <v>221</v>
      </c>
      <c r="B75" s="857"/>
      <c r="C75" s="858"/>
      <c r="D75" s="151" t="s">
        <v>139</v>
      </c>
      <c r="E75" s="95">
        <f>'11'!F75</f>
        <v>73830.69</v>
      </c>
      <c r="F75" s="123">
        <v>73830.69</v>
      </c>
      <c r="G75" s="112">
        <f t="shared" si="7"/>
        <v>0</v>
      </c>
      <c r="H75" s="99">
        <f>G75+'11'!H75</f>
        <v>243.88999999999942</v>
      </c>
      <c r="I75" s="154"/>
      <c r="J75" s="175">
        <f>H75/DAY(B2)</f>
        <v>20.324166666666617</v>
      </c>
      <c r="K75" s="69"/>
      <c r="L75" s="66"/>
      <c r="N75" s="87"/>
      <c r="O75" s="71"/>
    </row>
    <row r="76" spans="1:15" ht="32.25" customHeight="1" x14ac:dyDescent="0.5">
      <c r="A76" s="853" t="s">
        <v>222</v>
      </c>
      <c r="B76" s="854"/>
      <c r="C76" s="855"/>
      <c r="D76" s="151" t="s">
        <v>139</v>
      </c>
      <c r="E76" s="95">
        <f>'11'!F76</f>
        <v>164811</v>
      </c>
      <c r="F76" s="123">
        <v>164963</v>
      </c>
      <c r="G76" s="112">
        <f t="shared" si="7"/>
        <v>152</v>
      </c>
      <c r="H76" s="99">
        <f>G76+'11'!H76</f>
        <v>-2244</v>
      </c>
      <c r="I76" s="154"/>
      <c r="J76" s="175">
        <f>H76/DAY(B2)</f>
        <v>-187</v>
      </c>
      <c r="K76" s="69"/>
      <c r="L76" s="66"/>
      <c r="N76" s="87"/>
      <c r="O76" s="71"/>
    </row>
    <row r="77" spans="1:15" ht="32.25" customHeight="1" x14ac:dyDescent="0.5">
      <c r="A77" s="853" t="s">
        <v>223</v>
      </c>
      <c r="B77" s="854"/>
      <c r="C77" s="855"/>
      <c r="D77" s="151" t="s">
        <v>139</v>
      </c>
      <c r="E77" s="95">
        <f>'11'!F77</f>
        <v>39330</v>
      </c>
      <c r="F77" s="123">
        <v>39376</v>
      </c>
      <c r="G77" s="112">
        <f t="shared" si="7"/>
        <v>46</v>
      </c>
      <c r="H77" s="99">
        <f>G77+'11'!H77</f>
        <v>-940</v>
      </c>
      <c r="I77" s="154"/>
      <c r="J77" s="175">
        <f>H77/DAY(B2)</f>
        <v>-78.333333333333329</v>
      </c>
      <c r="K77" s="69"/>
      <c r="L77" s="66"/>
      <c r="N77" s="87"/>
      <c r="O77" s="71"/>
    </row>
    <row r="78" spans="1:15" ht="32.25" customHeight="1" x14ac:dyDescent="0.5">
      <c r="A78" s="853" t="s">
        <v>224</v>
      </c>
      <c r="B78" s="854"/>
      <c r="C78" s="855"/>
      <c r="D78" s="151" t="s">
        <v>139</v>
      </c>
      <c r="E78" s="95">
        <f>'11'!F78</f>
        <v>9447</v>
      </c>
      <c r="F78" s="123">
        <v>9452</v>
      </c>
      <c r="G78" s="112">
        <f t="shared" si="7"/>
        <v>5</v>
      </c>
      <c r="H78" s="99">
        <f>G78+'11'!H78</f>
        <v>-34</v>
      </c>
      <c r="I78" s="118"/>
      <c r="J78" s="175">
        <f>H78/DAY(B2)</f>
        <v>-2.8333333333333335</v>
      </c>
      <c r="K78" s="69"/>
      <c r="L78" s="66"/>
      <c r="N78" s="87"/>
      <c r="O78" s="71"/>
    </row>
    <row r="79" spans="1:15" s="57" customFormat="1" ht="32.25" customHeight="1" x14ac:dyDescent="0.5">
      <c r="A79" s="853" t="s">
        <v>225</v>
      </c>
      <c r="B79" s="854"/>
      <c r="C79" s="855"/>
      <c r="D79" s="151"/>
      <c r="E79" s="95">
        <f>'11'!F79</f>
        <v>0</v>
      </c>
      <c r="F79" s="117"/>
      <c r="G79" s="112">
        <f>G15-SUM(G74:G78)</f>
        <v>597</v>
      </c>
      <c r="H79" s="99">
        <f>G79+'11'!H79</f>
        <v>20458.11</v>
      </c>
      <c r="I79" s="118"/>
      <c r="J79" s="175">
        <f>H79/DAY(B2)</f>
        <v>1704.8425</v>
      </c>
      <c r="K79" s="59"/>
      <c r="L79" s="58"/>
      <c r="N79" s="87"/>
      <c r="O79" s="71"/>
    </row>
    <row r="80" spans="1:15" s="57" customFormat="1" ht="32.2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>
        <f>G80+'11'!H80</f>
        <v>1100</v>
      </c>
      <c r="I80" s="118"/>
      <c r="J80" s="175">
        <f>H80/DAY(B2)</f>
        <v>91.666666666666671</v>
      </c>
      <c r="K80" s="59"/>
      <c r="L80" s="58"/>
      <c r="N80" s="87"/>
      <c r="O80" s="71"/>
    </row>
    <row r="81" spans="1:15" ht="32.2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7" t="s">
        <v>227</v>
      </c>
      <c r="B82" s="348"/>
      <c r="C82" s="348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7" t="s">
        <v>229</v>
      </c>
      <c r="B83" s="348"/>
      <c r="C83" s="348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7" t="s">
        <v>230</v>
      </c>
      <c r="B84" s="348"/>
      <c r="C84" s="348"/>
      <c r="D84" s="151" t="s">
        <v>228</v>
      </c>
      <c r="E84" s="95">
        <f>'11'!F84</f>
        <v>41675.760000000002</v>
      </c>
      <c r="F84" s="164">
        <v>41675.760000000002</v>
      </c>
      <c r="G84" s="112">
        <f t="shared" si="8"/>
        <v>0</v>
      </c>
      <c r="H84" s="99">
        <f>G84+'11'!H84</f>
        <v>0.76000000000203727</v>
      </c>
      <c r="I84" s="118"/>
      <c r="J84" s="175">
        <f>H84/DAY(B2)</f>
        <v>6.3333333333503106E-2</v>
      </c>
      <c r="O84" s="71"/>
    </row>
    <row r="85" spans="1:15" ht="32.25" customHeight="1" x14ac:dyDescent="0.5">
      <c r="A85" s="347" t="s">
        <v>231</v>
      </c>
      <c r="B85" s="348"/>
      <c r="C85" s="348"/>
      <c r="D85" s="151" t="s">
        <v>228</v>
      </c>
      <c r="E85" s="95">
        <f>'11'!F85</f>
        <v>1669</v>
      </c>
      <c r="F85" s="164">
        <v>1693</v>
      </c>
      <c r="G85" s="112">
        <f t="shared" si="8"/>
        <v>24</v>
      </c>
      <c r="H85" s="99">
        <f>G85+'11'!H85</f>
        <v>-403.55999999999995</v>
      </c>
      <c r="I85" s="118">
        <f>G82+G83+G84+G85</f>
        <v>24</v>
      </c>
      <c r="J85" s="175">
        <f>H85/DAY(B2)</f>
        <v>-33.629999999999995</v>
      </c>
      <c r="O85" s="71"/>
    </row>
    <row r="86" spans="1:15" ht="32.25" customHeight="1" x14ac:dyDescent="0.5">
      <c r="A86" s="347" t="s">
        <v>232</v>
      </c>
      <c r="B86" s="348"/>
      <c r="C86" s="348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-36.529999999998836</v>
      </c>
      <c r="I86" s="118"/>
      <c r="J86" s="175">
        <f>H86/DAY(B2)</f>
        <v>-3.0441666666665697</v>
      </c>
      <c r="O86" s="71"/>
    </row>
    <row r="87" spans="1:15" ht="32.25" customHeight="1" x14ac:dyDescent="0.5">
      <c r="A87" s="347" t="s">
        <v>233</v>
      </c>
      <c r="B87" s="348"/>
      <c r="C87" s="348"/>
      <c r="D87" s="151" t="s">
        <v>228</v>
      </c>
      <c r="E87" s="95">
        <f>'11'!F87</f>
        <v>34541.519999999997</v>
      </c>
      <c r="F87" s="164">
        <v>34552.449999999997</v>
      </c>
      <c r="G87" s="112">
        <f t="shared" si="8"/>
        <v>10.930000000000291</v>
      </c>
      <c r="H87" s="99">
        <f>G87+'11'!H87</f>
        <v>-46.100000000005821</v>
      </c>
      <c r="I87" s="118"/>
      <c r="J87" s="175">
        <f>H87/DAY(B2)</f>
        <v>-3.8416666666671517</v>
      </c>
      <c r="O87" s="71"/>
    </row>
    <row r="88" spans="1:15" ht="32.25" customHeight="1" x14ac:dyDescent="0.5">
      <c r="A88" s="347" t="s">
        <v>234</v>
      </c>
      <c r="B88" s="348"/>
      <c r="C88" s="348"/>
      <c r="D88" s="151" t="s">
        <v>228</v>
      </c>
      <c r="E88" s="95">
        <f>'11'!F88</f>
        <v>23994</v>
      </c>
      <c r="F88" s="164">
        <v>24005.53</v>
      </c>
      <c r="G88" s="112">
        <f t="shared" si="8"/>
        <v>11.529999999998836</v>
      </c>
      <c r="H88" s="99">
        <f>G88+'11'!H88</f>
        <v>-41.470000000001164</v>
      </c>
      <c r="I88" s="118">
        <f>G86+G87+G88</f>
        <v>22.459999999999127</v>
      </c>
      <c r="J88" s="175">
        <f>H88/DAY(B2)</f>
        <v>-3.4558333333334303</v>
      </c>
      <c r="O88" s="71"/>
    </row>
    <row r="89" spans="1:15" ht="32.25" customHeight="1" x14ac:dyDescent="0.5">
      <c r="A89" s="347" t="s">
        <v>235</v>
      </c>
      <c r="B89" s="348"/>
      <c r="C89" s="348"/>
      <c r="D89" s="151" t="s">
        <v>228</v>
      </c>
      <c r="E89" s="95">
        <f>'11'!F89</f>
        <v>25507</v>
      </c>
      <c r="F89" s="164">
        <v>25506.639999999999</v>
      </c>
      <c r="G89" s="112">
        <f t="shared" si="8"/>
        <v>-0.36000000000058208</v>
      </c>
      <c r="H89" s="99">
        <f>G89+'11'!H89</f>
        <v>-156.36000000000058</v>
      </c>
      <c r="I89" s="118"/>
      <c r="J89" s="175">
        <f>H89/DAY(B2)</f>
        <v>-13.030000000000049</v>
      </c>
      <c r="O89" s="71"/>
    </row>
    <row r="90" spans="1:15" ht="32.25" customHeight="1" x14ac:dyDescent="0.5">
      <c r="A90" s="347" t="s">
        <v>236</v>
      </c>
      <c r="B90" s="348"/>
      <c r="C90" s="348"/>
      <c r="D90" s="151" t="s">
        <v>228</v>
      </c>
      <c r="E90" s="95">
        <f>'11'!F90</f>
        <v>70906</v>
      </c>
      <c r="F90" s="164">
        <v>70914</v>
      </c>
      <c r="G90" s="112">
        <f t="shared" si="8"/>
        <v>8</v>
      </c>
      <c r="H90" s="99">
        <f>G90+'11'!H90</f>
        <v>-120</v>
      </c>
      <c r="I90" s="118">
        <f>G89+G90</f>
        <v>7.6399999999994179</v>
      </c>
      <c r="J90" s="175">
        <f>H90/DAY(B2)</f>
        <v>-10</v>
      </c>
      <c r="O90" s="71"/>
    </row>
    <row r="91" spans="1:15" ht="32.25" customHeight="1" x14ac:dyDescent="0.5">
      <c r="A91" s="347" t="s">
        <v>237</v>
      </c>
      <c r="B91" s="348"/>
      <c r="C91" s="348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</v>
      </c>
      <c r="I91" s="165"/>
      <c r="J91" s="175">
        <f>H91/DAY(B2)</f>
        <v>0</v>
      </c>
      <c r="O91" s="71"/>
    </row>
    <row r="92" spans="1:15" ht="32.25" customHeight="1" x14ac:dyDescent="0.5">
      <c r="A92" s="347" t="s">
        <v>238</v>
      </c>
      <c r="B92" s="348"/>
      <c r="C92" s="348"/>
      <c r="D92" s="151" t="s">
        <v>228</v>
      </c>
      <c r="E92" s="95">
        <f>'11'!F92</f>
        <v>5217</v>
      </c>
      <c r="F92" s="122">
        <v>5227.75</v>
      </c>
      <c r="G92" s="112">
        <f t="shared" si="8"/>
        <v>10.75</v>
      </c>
      <c r="H92" s="99">
        <f>G92+'11'!H92</f>
        <v>-210.25</v>
      </c>
      <c r="I92" s="165"/>
      <c r="J92" s="175">
        <f>H92/DAY(B2)</f>
        <v>-17.520833333333332</v>
      </c>
      <c r="O92" s="71"/>
    </row>
    <row r="93" spans="1:15" ht="32.2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6532</v>
      </c>
      <c r="H94" s="99">
        <f>G94+'11'!H94</f>
        <v>1902316</v>
      </c>
      <c r="I94" s="118"/>
      <c r="J94" s="175">
        <f>H94/DAY(B2)</f>
        <v>158526.33333333334</v>
      </c>
      <c r="K94" s="69"/>
      <c r="L94" s="66"/>
      <c r="O94" s="71"/>
    </row>
    <row r="95" spans="1:15" ht="32.2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0.27795744680851064</v>
      </c>
      <c r="H95" s="99">
        <f>G95+'11'!H95</f>
        <v>81.410976262386356</v>
      </c>
      <c r="I95" s="167"/>
      <c r="J95" s="175">
        <f>H95/DAY(B2)</f>
        <v>6.7842480218655297</v>
      </c>
      <c r="K95" s="69"/>
      <c r="L95" s="66"/>
      <c r="O95" s="71"/>
    </row>
    <row r="96" spans="1:15" ht="32.2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5511</v>
      </c>
      <c r="H96" s="99">
        <f>G96+'11'!H96</f>
        <v>1081959.46</v>
      </c>
      <c r="I96" s="118"/>
      <c r="J96" s="175">
        <f>H96/DAY(B2)</f>
        <v>90163.28833333333</v>
      </c>
      <c r="K96" s="69"/>
      <c r="L96" s="66"/>
      <c r="O96" s="71"/>
    </row>
    <row r="97" spans="1:15" ht="32.2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0.23451063829787233</v>
      </c>
      <c r="H97" s="99">
        <f>G97+'11'!H97</f>
        <v>46.283782530471832</v>
      </c>
      <c r="I97" s="167"/>
      <c r="J97" s="175">
        <f>H97/DAY(B2)</f>
        <v>3.8569818775393192</v>
      </c>
      <c r="K97" s="69"/>
      <c r="L97" s="66"/>
      <c r="O97" s="71"/>
    </row>
    <row r="98" spans="1:15" ht="32.2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3054</v>
      </c>
      <c r="H98" s="99">
        <f>G98+'11'!H98</f>
        <v>378390</v>
      </c>
      <c r="I98" s="168"/>
      <c r="J98" s="175">
        <f>H98/DAY(B2)</f>
        <v>31532.5</v>
      </c>
      <c r="K98" s="69"/>
      <c r="L98" s="66"/>
      <c r="O98" s="71"/>
    </row>
    <row r="99" spans="1:15" ht="32.2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0.12995744680851065</v>
      </c>
      <c r="H99" s="99">
        <f>G99+'11'!H99</f>
        <v>16.315652032523825</v>
      </c>
      <c r="I99" s="168"/>
      <c r="J99" s="175">
        <f>H99/DAY(B2)</f>
        <v>1.3596376693769854</v>
      </c>
      <c r="O99" s="71"/>
    </row>
    <row r="100" spans="1:15" ht="32.2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2175</v>
      </c>
      <c r="H100" s="99">
        <f>G100+'11'!H100</f>
        <v>208237</v>
      </c>
      <c r="I100" s="118"/>
      <c r="J100" s="175">
        <f>H100/DAY(B2)</f>
        <v>17353.083333333332</v>
      </c>
      <c r="K100" s="70"/>
      <c r="O100" s="71"/>
    </row>
    <row r="101" spans="1:15" ht="32.2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9.2553191489361697E-2</v>
      </c>
      <c r="H101" s="99">
        <f>G101+'11'!H101</f>
        <v>8.992020657472624</v>
      </c>
      <c r="I101" s="168"/>
      <c r="J101" s="175">
        <f>H101/DAY(B2)</f>
        <v>0.74933505478938534</v>
      </c>
      <c r="O101" s="71"/>
    </row>
    <row r="102" spans="1:15" ht="32.2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2187</v>
      </c>
      <c r="H102" s="99">
        <f>G102+'11'!H102</f>
        <v>785621</v>
      </c>
      <c r="I102" s="168"/>
      <c r="J102" s="175">
        <f>H102/DAY(B2)</f>
        <v>65468.416666666664</v>
      </c>
      <c r="O102" s="71"/>
    </row>
    <row r="103" spans="1:15" ht="32.2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9.3063829787234043E-2</v>
      </c>
      <c r="H103" s="99">
        <f>G103+'11'!H103</f>
        <v>33.575019473993137</v>
      </c>
      <c r="I103" s="118"/>
      <c r="J103" s="175">
        <f>H103/DAY(B2)</f>
        <v>2.7979182894994281</v>
      </c>
      <c r="O103" s="71"/>
    </row>
    <row r="104" spans="1:15" ht="32.2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1688</v>
      </c>
      <c r="H104" s="99">
        <f>G104+'11'!H104</f>
        <v>177593</v>
      </c>
      <c r="I104" s="118"/>
      <c r="J104" s="175">
        <f>H104/DAY(B2)</f>
        <v>14799.416666666666</v>
      </c>
      <c r="O104" s="71"/>
    </row>
    <row r="105" spans="1:15" ht="32.2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7.1829787234042555E-2</v>
      </c>
      <c r="H105" s="99">
        <f>G105+'11'!H105</f>
        <v>7.6776138149019157</v>
      </c>
      <c r="I105" s="187"/>
      <c r="J105" s="188">
        <f>H105/DAY(B2)</f>
        <v>0.63980115124182635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32.25" customHeight="1" x14ac:dyDescent="0.5">
      <c r="A109" s="873"/>
      <c r="B109" s="873"/>
    </row>
    <row r="110" spans="1:15" ht="32.2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32.2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32.25" customHeight="1" x14ac:dyDescent="0.5">
      <c r="A112" s="835" t="s">
        <v>252</v>
      </c>
      <c r="B112" s="836"/>
      <c r="C112" s="837"/>
      <c r="D112" s="146" t="s">
        <v>183</v>
      </c>
      <c r="E112" s="95">
        <f>'11'!F112</f>
        <v>54245</v>
      </c>
      <c r="F112" s="237">
        <v>54324</v>
      </c>
      <c r="G112" s="112">
        <f t="shared" ref="G112:G123" si="9">F112-E112</f>
        <v>79</v>
      </c>
      <c r="H112" s="99">
        <f>G112+'11'!H112</f>
        <v>-1357</v>
      </c>
      <c r="I112" s="165"/>
      <c r="J112" s="330">
        <f>H112/DAY(B2)</f>
        <v>-113.08333333333333</v>
      </c>
    </row>
    <row r="113" spans="1:18" ht="32.25" customHeight="1" x14ac:dyDescent="0.5">
      <c r="A113" s="835" t="s">
        <v>253</v>
      </c>
      <c r="B113" s="836"/>
      <c r="C113" s="837"/>
      <c r="D113" s="146" t="s">
        <v>183</v>
      </c>
      <c r="E113" s="95">
        <f>'11'!F113</f>
        <v>22946</v>
      </c>
      <c r="F113" s="237">
        <v>23419</v>
      </c>
      <c r="G113" s="112">
        <f t="shared" si="9"/>
        <v>473</v>
      </c>
      <c r="H113" s="99">
        <f>G113+'11'!H113</f>
        <v>-8776</v>
      </c>
      <c r="I113" s="165"/>
      <c r="J113" s="330">
        <f>H113/DAY(B2)</f>
        <v>-731.33333333333337</v>
      </c>
    </row>
    <row r="114" spans="1:18" ht="32.25" customHeight="1" x14ac:dyDescent="0.5">
      <c r="A114" s="835" t="s">
        <v>254</v>
      </c>
      <c r="B114" s="836"/>
      <c r="C114" s="837"/>
      <c r="D114" s="146" t="s">
        <v>183</v>
      </c>
      <c r="E114" s="95">
        <f>'11'!F114</f>
        <v>17816</v>
      </c>
      <c r="F114" s="237">
        <v>18384</v>
      </c>
      <c r="G114" s="112">
        <f t="shared" si="9"/>
        <v>568</v>
      </c>
      <c r="H114" s="99">
        <f>G114+'11'!H114</f>
        <v>-6487</v>
      </c>
      <c r="I114" s="165"/>
      <c r="J114" s="330">
        <f>H114/DAY(B2)</f>
        <v>-540.58333333333337</v>
      </c>
    </row>
    <row r="115" spans="1:18" ht="32.25" customHeight="1" x14ac:dyDescent="0.5">
      <c r="A115" s="835" t="s">
        <v>255</v>
      </c>
      <c r="B115" s="836"/>
      <c r="C115" s="837"/>
      <c r="D115" s="146" t="s">
        <v>183</v>
      </c>
      <c r="E115" s="95">
        <f>'11'!F115</f>
        <v>8551</v>
      </c>
      <c r="F115" s="237">
        <v>8565</v>
      </c>
      <c r="G115" s="112">
        <f t="shared" si="9"/>
        <v>14</v>
      </c>
      <c r="H115" s="99">
        <f>G115+'11'!H115</f>
        <v>-220</v>
      </c>
      <c r="I115" s="165"/>
      <c r="J115" s="330">
        <f>H115/DAY(B2)</f>
        <v>-18.333333333333332</v>
      </c>
    </row>
    <row r="116" spans="1:18" ht="32.25" customHeight="1" x14ac:dyDescent="0.5">
      <c r="A116" s="842" t="s">
        <v>96</v>
      </c>
      <c r="B116" s="843"/>
      <c r="C116" s="844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32.25" customHeight="1" x14ac:dyDescent="0.5">
      <c r="A117" s="842" t="s">
        <v>184</v>
      </c>
      <c r="B117" s="843"/>
      <c r="C117" s="844"/>
      <c r="D117" s="146" t="s">
        <v>183</v>
      </c>
      <c r="E117" s="95">
        <f>'11'!F117</f>
        <v>2161</v>
      </c>
      <c r="F117" s="237">
        <v>2185</v>
      </c>
      <c r="G117" s="112">
        <f t="shared" si="9"/>
        <v>24</v>
      </c>
      <c r="H117" s="99">
        <f>G117+'11'!H117</f>
        <v>-405</v>
      </c>
      <c r="I117" s="165"/>
      <c r="J117" s="330">
        <f>H117/DAY(B2)</f>
        <v>-33.75</v>
      </c>
      <c r="Q117" s="835" t="s">
        <v>312</v>
      </c>
      <c r="R117" s="837"/>
    </row>
    <row r="118" spans="1:18" ht="32.25" customHeight="1" x14ac:dyDescent="0.5">
      <c r="A118" s="834" t="s">
        <v>97</v>
      </c>
      <c r="B118" s="834"/>
      <c r="C118" s="834"/>
      <c r="D118" s="151" t="s">
        <v>183</v>
      </c>
      <c r="E118" s="95">
        <f>'11'!F118</f>
        <v>233880</v>
      </c>
      <c r="F118" s="237">
        <v>234210</v>
      </c>
      <c r="G118" s="112">
        <f t="shared" si="9"/>
        <v>330</v>
      </c>
      <c r="H118" s="99">
        <f>G118+'11'!H118</f>
        <v>-7437</v>
      </c>
      <c r="I118" s="165"/>
      <c r="J118" s="330">
        <f>H118/DAY(B2)</f>
        <v>-619.75</v>
      </c>
      <c r="Q118" s="835" t="s">
        <v>311</v>
      </c>
      <c r="R118" s="837"/>
    </row>
    <row r="119" spans="1:18" ht="32.25" customHeight="1" x14ac:dyDescent="0.5">
      <c r="A119" s="834" t="s">
        <v>98</v>
      </c>
      <c r="B119" s="834"/>
      <c r="C119" s="834"/>
      <c r="D119" s="151" t="s">
        <v>183</v>
      </c>
      <c r="E119" s="95">
        <f>'11'!F119</f>
        <v>236534</v>
      </c>
      <c r="F119" s="237">
        <v>236980</v>
      </c>
      <c r="G119" s="112">
        <f t="shared" si="9"/>
        <v>446</v>
      </c>
      <c r="H119" s="99">
        <f>G119+'11'!H119</f>
        <v>-8146</v>
      </c>
      <c r="I119" s="165"/>
      <c r="J119" s="330">
        <f>H119/DAY(B2)</f>
        <v>-678.83333333333337</v>
      </c>
    </row>
    <row r="120" spans="1:18" ht="32.25" customHeight="1" x14ac:dyDescent="0.5">
      <c r="A120" s="834" t="s">
        <v>99</v>
      </c>
      <c r="B120" s="834"/>
      <c r="C120" s="834"/>
      <c r="D120" s="151" t="s">
        <v>183</v>
      </c>
      <c r="E120" s="95">
        <f>'11'!F120</f>
        <v>21845</v>
      </c>
      <c r="F120" s="237">
        <v>22258</v>
      </c>
      <c r="G120" s="112">
        <f t="shared" si="9"/>
        <v>413</v>
      </c>
      <c r="H120" s="99">
        <f>G120+'11'!H120</f>
        <v>-7820</v>
      </c>
      <c r="I120" s="165"/>
      <c r="J120" s="330">
        <f>H120/DAY(B2)</f>
        <v>-651.66666666666663</v>
      </c>
    </row>
    <row r="121" spans="1:18" ht="32.25" customHeight="1" x14ac:dyDescent="0.5">
      <c r="A121" s="834" t="s">
        <v>100</v>
      </c>
      <c r="B121" s="834"/>
      <c r="C121" s="834"/>
      <c r="D121" s="151" t="s">
        <v>183</v>
      </c>
      <c r="E121" s="95">
        <f>'11'!F121</f>
        <v>361070</v>
      </c>
      <c r="F121" s="237">
        <v>361834</v>
      </c>
      <c r="G121" s="112">
        <f t="shared" si="9"/>
        <v>764</v>
      </c>
      <c r="H121" s="99">
        <f>G121+'11'!H121</f>
        <v>-14695</v>
      </c>
      <c r="I121" s="165"/>
      <c r="J121" s="330">
        <f>H121/DAY(B2)</f>
        <v>-1224.5833333333333</v>
      </c>
    </row>
    <row r="122" spans="1:18" ht="32.25" customHeight="1" x14ac:dyDescent="0.5">
      <c r="A122" s="834" t="s">
        <v>101</v>
      </c>
      <c r="B122" s="834"/>
      <c r="C122" s="834"/>
      <c r="D122" s="151" t="s">
        <v>183</v>
      </c>
      <c r="E122" s="95">
        <f>'11'!F122</f>
        <v>114524</v>
      </c>
      <c r="F122" s="237">
        <v>114827</v>
      </c>
      <c r="G122" s="112">
        <f t="shared" si="9"/>
        <v>303</v>
      </c>
      <c r="H122" s="99">
        <f>G122+'11'!H122</f>
        <v>-5223</v>
      </c>
      <c r="I122" s="165"/>
      <c r="J122" s="330">
        <f>H122/DAY(B2)</f>
        <v>-435.25</v>
      </c>
    </row>
    <row r="123" spans="1:18" ht="32.25" customHeight="1" x14ac:dyDescent="0.5">
      <c r="A123" s="834" t="s">
        <v>102</v>
      </c>
      <c r="B123" s="834"/>
      <c r="C123" s="834"/>
      <c r="D123" s="151" t="s">
        <v>183</v>
      </c>
      <c r="E123" s="95">
        <f>'11'!F123</f>
        <v>137858</v>
      </c>
      <c r="F123" s="237">
        <v>138210</v>
      </c>
      <c r="G123" s="112">
        <f t="shared" si="9"/>
        <v>352</v>
      </c>
      <c r="H123" s="99">
        <f>G123+'11'!H123</f>
        <v>-6915</v>
      </c>
      <c r="I123" s="165"/>
      <c r="J123" s="330">
        <f>H123/DAY(B2)</f>
        <v>-576.25</v>
      </c>
    </row>
    <row r="124" spans="1:18" ht="32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32.2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3766</v>
      </c>
      <c r="H125" s="156"/>
      <c r="I125" s="329">
        <f>G125-(G39+G53)</f>
        <v>712</v>
      </c>
      <c r="J125" s="329"/>
    </row>
    <row r="126" spans="1:18" ht="32.2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32.2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G127+'11'!H127</f>
        <v>0</v>
      </c>
      <c r="I127" s="165"/>
      <c r="J127" s="330">
        <f>H127/DAY(B2)</f>
        <v>0</v>
      </c>
    </row>
    <row r="128" spans="1:18" ht="32.25" customHeight="1" x14ac:dyDescent="0.5">
      <c r="A128" s="835" t="s">
        <v>318</v>
      </c>
      <c r="B128" s="836"/>
      <c r="C128" s="837"/>
      <c r="D128" s="151" t="s">
        <v>183</v>
      </c>
      <c r="E128" s="95">
        <f>'11'!F128</f>
        <v>31198</v>
      </c>
      <c r="F128" s="165">
        <v>31527</v>
      </c>
      <c r="G128" s="112">
        <f t="shared" ref="G128:G134" si="10">F128-E128</f>
        <v>329</v>
      </c>
      <c r="H128" s="99">
        <f>G128+'11'!H128</f>
        <v>-6477</v>
      </c>
      <c r="I128" s="165"/>
      <c r="J128" s="330">
        <f>H128/DAY(B2)</f>
        <v>-539.75</v>
      </c>
    </row>
    <row r="129" spans="1:15" ht="32.25" customHeight="1" x14ac:dyDescent="0.5">
      <c r="A129" s="331" t="s">
        <v>319</v>
      </c>
      <c r="B129" s="332"/>
      <c r="C129" s="333"/>
      <c r="D129" s="151" t="s">
        <v>183</v>
      </c>
      <c r="E129" s="95">
        <f>'11'!F129</f>
        <v>15662</v>
      </c>
      <c r="F129" s="165">
        <v>15924</v>
      </c>
      <c r="G129" s="112">
        <f t="shared" si="10"/>
        <v>262</v>
      </c>
      <c r="H129" s="99">
        <f>G129+'11'!H129</f>
        <v>-4397</v>
      </c>
      <c r="I129" s="165"/>
      <c r="J129" s="330">
        <f>H129/DAY(B2)</f>
        <v>-366.41666666666669</v>
      </c>
      <c r="N129" s="240"/>
      <c r="O129" s="241"/>
    </row>
    <row r="130" spans="1:15" ht="32.25" customHeight="1" x14ac:dyDescent="0.5">
      <c r="A130" s="331" t="s">
        <v>320</v>
      </c>
      <c r="B130" s="332"/>
      <c r="C130" s="333"/>
      <c r="D130" s="151" t="s">
        <v>183</v>
      </c>
      <c r="E130" s="95">
        <f>'11'!F130</f>
        <v>5125</v>
      </c>
      <c r="F130" s="165">
        <v>5424</v>
      </c>
      <c r="G130" s="112">
        <f t="shared" si="10"/>
        <v>299</v>
      </c>
      <c r="H130" s="99">
        <f>G130+'11'!H130</f>
        <v>-12958</v>
      </c>
      <c r="I130" s="165"/>
      <c r="J130" s="330">
        <f>H130/DAY(B2)</f>
        <v>-1079.8333333333333</v>
      </c>
      <c r="N130" s="240"/>
      <c r="O130" s="241"/>
    </row>
    <row r="131" spans="1:15" ht="32.25" customHeight="1" x14ac:dyDescent="0.5">
      <c r="A131" s="835" t="s">
        <v>321</v>
      </c>
      <c r="B131" s="836"/>
      <c r="C131" s="837"/>
      <c r="D131" s="151" t="s">
        <v>183</v>
      </c>
      <c r="E131" s="95">
        <f>'11'!F131</f>
        <v>10878</v>
      </c>
      <c r="F131" s="165">
        <v>11019</v>
      </c>
      <c r="G131" s="112">
        <f t="shared" si="10"/>
        <v>141</v>
      </c>
      <c r="H131" s="99">
        <f>G131+'11'!H131</f>
        <v>-2134</v>
      </c>
      <c r="I131" s="165"/>
      <c r="J131" s="330">
        <f>H131/DAY(B2)</f>
        <v>-177.83333333333334</v>
      </c>
      <c r="N131" s="240"/>
      <c r="O131" s="241"/>
    </row>
    <row r="132" spans="1:15" ht="32.25" customHeight="1" x14ac:dyDescent="0.5">
      <c r="A132" s="835" t="s">
        <v>322</v>
      </c>
      <c r="B132" s="836"/>
      <c r="C132" s="837"/>
      <c r="D132" s="151" t="s">
        <v>183</v>
      </c>
      <c r="E132" s="95">
        <f>'11'!F132</f>
        <v>31162</v>
      </c>
      <c r="F132" s="165">
        <v>31649</v>
      </c>
      <c r="G132" s="112">
        <f t="shared" si="10"/>
        <v>487</v>
      </c>
      <c r="H132" s="99">
        <f>G132+'11'!H132</f>
        <v>-9374</v>
      </c>
      <c r="I132" s="165"/>
      <c r="J132" s="330">
        <f>H132/DAY(B2)</f>
        <v>-781.16666666666663</v>
      </c>
    </row>
    <row r="133" spans="1:15" ht="32.25" customHeight="1" x14ac:dyDescent="0.5">
      <c r="A133" s="835" t="s">
        <v>362</v>
      </c>
      <c r="B133" s="836"/>
      <c r="C133" s="837"/>
      <c r="D133" s="151" t="s">
        <v>183</v>
      </c>
      <c r="E133" s="95">
        <f>'11'!F133</f>
        <v>72797</v>
      </c>
      <c r="F133" s="165">
        <v>73649</v>
      </c>
      <c r="G133" s="112">
        <f t="shared" si="10"/>
        <v>852</v>
      </c>
      <c r="H133" s="99">
        <f>G133+'11'!H133</f>
        <v>-14054</v>
      </c>
      <c r="I133" s="165"/>
      <c r="J133" s="330">
        <f>H133/DAY(B2)</f>
        <v>-1171.1666666666667</v>
      </c>
    </row>
    <row r="134" spans="1:15" ht="32.25" customHeight="1" x14ac:dyDescent="0.5">
      <c r="A134" s="835" t="s">
        <v>340</v>
      </c>
      <c r="B134" s="836"/>
      <c r="C134" s="837"/>
      <c r="D134" s="151" t="s">
        <v>183</v>
      </c>
      <c r="E134" s="95">
        <v>658098</v>
      </c>
      <c r="F134" s="165">
        <v>658749</v>
      </c>
      <c r="G134" s="112">
        <f t="shared" si="10"/>
        <v>651</v>
      </c>
      <c r="H134" s="99">
        <f>G134+'11'!H134</f>
        <v>7615</v>
      </c>
      <c r="I134" s="165"/>
      <c r="J134" s="330">
        <f>H134/DAY(B2)</f>
        <v>634.58333333333337</v>
      </c>
    </row>
    <row r="135" spans="1:15" ht="32.2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3021</v>
      </c>
      <c r="H135" s="99">
        <f>G135+'10'!H135</f>
        <v>-44727</v>
      </c>
      <c r="I135" s="329">
        <f>G135-(G35+G49)</f>
        <v>-877</v>
      </c>
      <c r="J135" s="330"/>
    </row>
    <row r="136" spans="1:15" ht="32.2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32.25" customHeight="1" x14ac:dyDescent="0.5">
      <c r="A138" s="834" t="s">
        <v>185</v>
      </c>
      <c r="B138" s="834"/>
      <c r="C138" s="834"/>
      <c r="D138" s="151" t="s">
        <v>183</v>
      </c>
      <c r="E138" s="95">
        <f>'11'!F138</f>
        <v>861908</v>
      </c>
      <c r="F138" s="147">
        <v>862014</v>
      </c>
      <c r="G138" s="112">
        <f t="shared" ref="G138:G152" si="11">F138-E138</f>
        <v>106</v>
      </c>
      <c r="H138" s="99">
        <f>G138+'11'!H138</f>
        <v>-2157</v>
      </c>
      <c r="I138" s="118"/>
      <c r="J138" s="330">
        <f>H138/DAY(B2)</f>
        <v>-179.75</v>
      </c>
    </row>
    <row r="139" spans="1:15" ht="32.25" customHeight="1" x14ac:dyDescent="0.5">
      <c r="A139" s="834" t="s">
        <v>186</v>
      </c>
      <c r="B139" s="834"/>
      <c r="C139" s="834"/>
      <c r="D139" s="151" t="s">
        <v>183</v>
      </c>
      <c r="E139" s="95">
        <f>'11'!F139</f>
        <v>886355</v>
      </c>
      <c r="F139" s="148">
        <v>886362</v>
      </c>
      <c r="G139" s="112">
        <f t="shared" si="11"/>
        <v>7</v>
      </c>
      <c r="H139" s="99">
        <f>G139+'11'!H139</f>
        <v>-184</v>
      </c>
      <c r="I139" s="118"/>
      <c r="J139" s="330">
        <f>H139/DAY(B2)</f>
        <v>-15.333333333333334</v>
      </c>
    </row>
    <row r="140" spans="1:15" ht="32.25" customHeight="1" x14ac:dyDescent="0.5">
      <c r="A140" s="834" t="s">
        <v>187</v>
      </c>
      <c r="B140" s="834"/>
      <c r="C140" s="834"/>
      <c r="D140" s="151" t="s">
        <v>183</v>
      </c>
      <c r="E140" s="95">
        <f>'11'!F140</f>
        <v>88863</v>
      </c>
      <c r="F140" s="149">
        <v>88863</v>
      </c>
      <c r="G140" s="112">
        <f t="shared" si="11"/>
        <v>0</v>
      </c>
      <c r="H140" s="99">
        <f>G140+'11'!H140</f>
        <v>-19</v>
      </c>
      <c r="I140" s="118"/>
      <c r="J140" s="330">
        <f>H140/DAY(B2)</f>
        <v>-1.5833333333333333</v>
      </c>
    </row>
    <row r="141" spans="1:15" ht="32.25" customHeight="1" x14ac:dyDescent="0.5">
      <c r="A141" s="815" t="s">
        <v>188</v>
      </c>
      <c r="B141" s="815"/>
      <c r="C141" s="815"/>
      <c r="D141" s="151" t="s">
        <v>183</v>
      </c>
      <c r="E141" s="95">
        <f>'11'!F141</f>
        <v>45310</v>
      </c>
      <c r="F141" s="149">
        <v>45504</v>
      </c>
      <c r="G141" s="112">
        <f t="shared" si="11"/>
        <v>194</v>
      </c>
      <c r="H141" s="99">
        <f>G141+'11'!H141</f>
        <v>-3802</v>
      </c>
      <c r="I141" s="118"/>
      <c r="J141" s="330">
        <f>H141/DAY(B2)</f>
        <v>-316.83333333333331</v>
      </c>
    </row>
    <row r="142" spans="1:15" ht="32.25" customHeight="1" x14ac:dyDescent="0.5">
      <c r="A142" s="815" t="s">
        <v>189</v>
      </c>
      <c r="B142" s="815"/>
      <c r="C142" s="815"/>
      <c r="D142" s="151" t="s">
        <v>183</v>
      </c>
      <c r="E142" s="95">
        <f>'11'!F142</f>
        <v>17653</v>
      </c>
      <c r="F142" s="148">
        <v>17671</v>
      </c>
      <c r="G142" s="112">
        <f t="shared" si="11"/>
        <v>18</v>
      </c>
      <c r="H142" s="99">
        <f>G142+'11'!H142</f>
        <v>-1338</v>
      </c>
      <c r="I142" s="140"/>
      <c r="J142" s="330">
        <f>H142/DAY(B2)</f>
        <v>-111.5</v>
      </c>
    </row>
    <row r="143" spans="1:15" ht="32.25" customHeight="1" x14ac:dyDescent="0.5">
      <c r="A143" s="834" t="s">
        <v>91</v>
      </c>
      <c r="B143" s="834"/>
      <c r="C143" s="834"/>
      <c r="D143" s="151" t="s">
        <v>183</v>
      </c>
      <c r="E143" s="95">
        <f>'11'!F143</f>
        <v>2523</v>
      </c>
      <c r="F143" s="149">
        <v>2554</v>
      </c>
      <c r="G143" s="112">
        <f t="shared" si="11"/>
        <v>31</v>
      </c>
      <c r="H143" s="99">
        <f>G143+'11'!H143</f>
        <v>-507</v>
      </c>
      <c r="I143" s="140"/>
      <c r="J143" s="330">
        <f>H143/DAY(B2)</f>
        <v>-42.25</v>
      </c>
    </row>
    <row r="144" spans="1:15" ht="32.25" customHeight="1" x14ac:dyDescent="0.5">
      <c r="A144" s="815" t="s">
        <v>90</v>
      </c>
      <c r="B144" s="815"/>
      <c r="C144" s="815"/>
      <c r="D144" s="151" t="s">
        <v>183</v>
      </c>
      <c r="E144" s="95">
        <f>'11'!F144</f>
        <v>864924</v>
      </c>
      <c r="F144" s="149">
        <v>865154</v>
      </c>
      <c r="G144" s="112">
        <f t="shared" si="11"/>
        <v>230</v>
      </c>
      <c r="H144" s="99">
        <f>G144+'11'!H144</f>
        <v>-4516</v>
      </c>
      <c r="I144" s="140"/>
      <c r="J144" s="330">
        <f>H144/DAY(B2)</f>
        <v>-376.33333333333331</v>
      </c>
    </row>
    <row r="145" spans="1:10" ht="32.25" customHeight="1" x14ac:dyDescent="0.5">
      <c r="A145" s="834" t="s">
        <v>190</v>
      </c>
      <c r="B145" s="834"/>
      <c r="C145" s="834"/>
      <c r="D145" s="152" t="s">
        <v>183</v>
      </c>
      <c r="E145" s="95">
        <f>'11'!F145</f>
        <v>3920</v>
      </c>
      <c r="F145" s="149">
        <v>3996</v>
      </c>
      <c r="G145" s="112">
        <f t="shared" si="11"/>
        <v>76</v>
      </c>
      <c r="H145" s="99">
        <f>G145+'11'!H145</f>
        <v>-562</v>
      </c>
      <c r="I145" s="140"/>
      <c r="J145" s="330">
        <f>H145/DAY(B2)</f>
        <v>-46.833333333333336</v>
      </c>
    </row>
    <row r="146" spans="1:10" ht="32.25" customHeight="1" x14ac:dyDescent="0.5">
      <c r="A146" s="869" t="s">
        <v>191</v>
      </c>
      <c r="B146" s="854"/>
      <c r="C146" s="855"/>
      <c r="D146" s="152" t="s">
        <v>183</v>
      </c>
      <c r="E146" s="95">
        <f>'11'!F146</f>
        <v>715412</v>
      </c>
      <c r="F146" s="148">
        <v>715892</v>
      </c>
      <c r="G146" s="112">
        <f t="shared" si="11"/>
        <v>480</v>
      </c>
      <c r="H146" s="99">
        <f>G146+'11'!H146</f>
        <v>-8966</v>
      </c>
      <c r="I146" s="140"/>
      <c r="J146" s="330">
        <f>H146/DAY(B2)</f>
        <v>-747.16666666666663</v>
      </c>
    </row>
    <row r="147" spans="1:10" ht="32.25" customHeight="1" x14ac:dyDescent="0.5">
      <c r="A147" s="815" t="s">
        <v>192</v>
      </c>
      <c r="B147" s="815"/>
      <c r="C147" s="815"/>
      <c r="D147" s="152" t="s">
        <v>183</v>
      </c>
      <c r="E147" s="95">
        <f>'11'!F147</f>
        <v>606893</v>
      </c>
      <c r="F147" s="148">
        <v>607354</v>
      </c>
      <c r="G147" s="112">
        <f t="shared" si="11"/>
        <v>461</v>
      </c>
      <c r="H147" s="99">
        <f>G147+'11'!H147</f>
        <v>-7928</v>
      </c>
      <c r="I147" s="140"/>
      <c r="J147" s="330">
        <f>H147/DAY(B2)</f>
        <v>-660.66666666666663</v>
      </c>
    </row>
    <row r="148" spans="1:10" ht="32.25" customHeight="1" x14ac:dyDescent="0.5">
      <c r="A148" s="816" t="s">
        <v>193</v>
      </c>
      <c r="B148" s="817"/>
      <c r="C148" s="818"/>
      <c r="D148" s="123" t="s">
        <v>130</v>
      </c>
      <c r="E148" s="95">
        <f>'11'!F148</f>
        <v>676970</v>
      </c>
      <c r="F148" s="150">
        <v>677328</v>
      </c>
      <c r="G148" s="112">
        <f t="shared" si="11"/>
        <v>358</v>
      </c>
      <c r="H148" s="99">
        <f>G148+'11'!H148</f>
        <v>-5705.1199999999953</v>
      </c>
      <c r="I148" s="124"/>
      <c r="J148" s="330">
        <f>H148/DAY(B2)</f>
        <v>-475.42666666666628</v>
      </c>
    </row>
    <row r="149" spans="1:10" ht="32.25" customHeight="1" x14ac:dyDescent="0.5">
      <c r="A149" s="816" t="s">
        <v>336</v>
      </c>
      <c r="B149" s="817"/>
      <c r="C149" s="818"/>
      <c r="D149" s="227" t="s">
        <v>130</v>
      </c>
      <c r="E149" s="95">
        <f>'11'!F149</f>
        <v>99458</v>
      </c>
      <c r="F149" s="146">
        <v>99883</v>
      </c>
      <c r="G149" s="112">
        <f t="shared" si="11"/>
        <v>425</v>
      </c>
      <c r="H149" s="99">
        <f>G149+'11'!H149</f>
        <v>89134</v>
      </c>
      <c r="I149" s="119"/>
      <c r="J149" s="330">
        <f>H149/DAY(B2)</f>
        <v>7427.833333333333</v>
      </c>
    </row>
    <row r="150" spans="1:10" ht="32.25" customHeight="1" x14ac:dyDescent="0.5">
      <c r="A150" s="816" t="s">
        <v>337</v>
      </c>
      <c r="B150" s="817"/>
      <c r="C150" s="818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7163180</v>
      </c>
      <c r="I150" s="119"/>
      <c r="J150" s="330">
        <f>H150/DAY(B2)</f>
        <v>596931.66666666663</v>
      </c>
    </row>
    <row r="151" spans="1:10" ht="32.25" customHeight="1" x14ac:dyDescent="0.5">
      <c r="A151" s="816" t="s">
        <v>338</v>
      </c>
      <c r="B151" s="817"/>
      <c r="C151" s="818"/>
      <c r="D151" s="117" t="s">
        <v>130</v>
      </c>
      <c r="E151" s="95">
        <f>'11'!F151</f>
        <v>73486</v>
      </c>
      <c r="F151" s="233">
        <v>73586</v>
      </c>
      <c r="G151" s="112">
        <f t="shared" si="11"/>
        <v>100</v>
      </c>
      <c r="H151" s="99">
        <f>G151+'11'!H151</f>
        <v>-4631</v>
      </c>
      <c r="I151" s="119"/>
      <c r="J151" s="330">
        <f>H151/DAY(B2)</f>
        <v>-385.91666666666669</v>
      </c>
    </row>
    <row r="152" spans="1:10" ht="32.25" customHeight="1" x14ac:dyDescent="0.5">
      <c r="A152" s="816" t="s">
        <v>339</v>
      </c>
      <c r="B152" s="817"/>
      <c r="C152" s="818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-1127</v>
      </c>
      <c r="I152" s="119"/>
      <c r="J152" s="330">
        <f>H152/DAY(B2)</f>
        <v>-93.916666666666671</v>
      </c>
    </row>
    <row r="153" spans="1:10" ht="32.2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2486</v>
      </c>
      <c r="H153" s="365"/>
      <c r="I153" s="119">
        <f>G153-(G38+G52)</f>
        <v>311</v>
      </c>
      <c r="J153" s="368"/>
    </row>
    <row r="154" spans="1:10" ht="32.2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2.2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'11'!F155</f>
        <v>77609</v>
      </c>
      <c r="F155" s="376">
        <v>77617</v>
      </c>
      <c r="G155" s="112">
        <f t="shared" ref="G155:G156" si="12">F155-E155</f>
        <v>8</v>
      </c>
      <c r="H155" s="99">
        <f>G155+'11'!H155</f>
        <v>64145</v>
      </c>
      <c r="I155" s="366"/>
      <c r="J155" s="330">
        <f>H155/DAY(B2)</f>
        <v>5345.416666666667</v>
      </c>
    </row>
    <row r="156" spans="1:10" ht="32.25" customHeight="1" x14ac:dyDescent="0.5">
      <c r="A156" s="815" t="s">
        <v>347</v>
      </c>
      <c r="B156" s="815"/>
      <c r="C156" s="815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-1088</v>
      </c>
      <c r="I156" s="165"/>
      <c r="J156" s="330">
        <f>H156/DAY(B2)</f>
        <v>-90.666666666666671</v>
      </c>
    </row>
    <row r="157" spans="1:10" ht="32.25" customHeight="1" x14ac:dyDescent="0.5">
      <c r="A157" s="816" t="s">
        <v>364</v>
      </c>
      <c r="B157" s="817"/>
      <c r="C157" s="818"/>
      <c r="D157" s="117" t="s">
        <v>130</v>
      </c>
      <c r="E157" s="95"/>
      <c r="F157" s="165"/>
      <c r="G157" s="112"/>
      <c r="H157" s="99"/>
      <c r="I157" s="165"/>
      <c r="J157" s="330"/>
    </row>
    <row r="158" spans="1:10" ht="32.25" customHeight="1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112"/>
      <c r="H158" s="99"/>
      <c r="I158" s="165"/>
      <c r="J158" s="330"/>
    </row>
    <row r="159" spans="1:10" ht="32.2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2.2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471121</v>
      </c>
      <c r="F161" s="235">
        <v>471122</v>
      </c>
      <c r="G161" s="238">
        <f t="shared" ref="G161:G165" si="13">F161-E161</f>
        <v>1</v>
      </c>
      <c r="H161" s="99">
        <f>G161+'11'!H161</f>
        <v>-31.159999999974389</v>
      </c>
      <c r="I161" s="236"/>
      <c r="J161" s="239">
        <f>H161/DAY(B2)</f>
        <v>-2.5966666666645324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86991</v>
      </c>
      <c r="F162" s="235">
        <v>87006</v>
      </c>
      <c r="G162" s="238">
        <f t="shared" si="13"/>
        <v>15</v>
      </c>
      <c r="H162" s="99">
        <f>G162+'11'!H162</f>
        <v>-564</v>
      </c>
      <c r="I162" s="236"/>
      <c r="J162" s="239">
        <f>H162/DAY(B2)</f>
        <v>-47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76380</v>
      </c>
      <c r="F163" s="235">
        <v>76428</v>
      </c>
      <c r="G163" s="238">
        <f t="shared" si="13"/>
        <v>48</v>
      </c>
      <c r="H163" s="99">
        <f>G163+'11'!H163</f>
        <v>-1397</v>
      </c>
      <c r="I163" s="236"/>
      <c r="J163" s="239">
        <f>H163/DAY(B2)</f>
        <v>-116.41666666666667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4153</v>
      </c>
      <c r="F164" s="235">
        <v>4156</v>
      </c>
      <c r="G164" s="238">
        <f t="shared" si="13"/>
        <v>3</v>
      </c>
      <c r="H164" s="99">
        <f>G164+'11'!H164</f>
        <v>-86</v>
      </c>
      <c r="I164" s="236"/>
      <c r="J164" s="239">
        <f>H164/DAY(B2)</f>
        <v>-7.166666666666667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29510</v>
      </c>
      <c r="F165" s="235">
        <v>29511</v>
      </c>
      <c r="G165" s="238">
        <f t="shared" si="13"/>
        <v>1</v>
      </c>
      <c r="H165" s="99">
        <f>G165+'11'!H165</f>
        <v>-135</v>
      </c>
      <c r="I165" s="236"/>
      <c r="J165" s="239">
        <f>H165/DAY(B2)</f>
        <v>-11.25</v>
      </c>
    </row>
    <row r="166" spans="1:10" ht="32.25" customHeight="1" x14ac:dyDescent="0.5">
      <c r="A166" s="824"/>
      <c r="B166" s="824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24"/>
      <c r="B167" s="824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24"/>
      <c r="B168" s="824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32.2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28" t="s">
        <v>209</v>
      </c>
      <c r="B173" s="829"/>
      <c r="C173" s="335"/>
      <c r="D173" s="228" t="s">
        <v>142</v>
      </c>
      <c r="E173" s="95">
        <f>'11'!F173</f>
        <v>8107</v>
      </c>
      <c r="F173" s="155">
        <v>8110</v>
      </c>
      <c r="G173" s="155">
        <f>F173-E173</f>
        <v>3</v>
      </c>
      <c r="H173" s="99">
        <f>G173+'11'!H173</f>
        <v>-16</v>
      </c>
      <c r="I173" s="155"/>
      <c r="J173" s="178">
        <f>H173/DAY(B2)</f>
        <v>-1.3333333333333333</v>
      </c>
    </row>
    <row r="174" spans="1:10" ht="32.25" customHeight="1" x14ac:dyDescent="0.5">
      <c r="A174" s="828" t="s">
        <v>75</v>
      </c>
      <c r="B174" s="829"/>
      <c r="C174" s="335"/>
      <c r="D174" s="228" t="s">
        <v>142</v>
      </c>
      <c r="E174" s="95">
        <v>37524</v>
      </c>
      <c r="F174" s="157">
        <v>37543</v>
      </c>
      <c r="G174" s="155">
        <f t="shared" ref="G174:G175" si="14">F174-E174</f>
        <v>19</v>
      </c>
      <c r="H174" s="99">
        <f>G174+'11'!H174</f>
        <v>-285</v>
      </c>
      <c r="I174" s="155"/>
      <c r="J174" s="178">
        <f>H174/DAY(B2)</f>
        <v>-23.75</v>
      </c>
    </row>
    <row r="175" spans="1:10" ht="32.25" customHeight="1" x14ac:dyDescent="0.5">
      <c r="A175" s="828" t="s">
        <v>76</v>
      </c>
      <c r="B175" s="868"/>
      <c r="C175" s="829"/>
      <c r="D175" s="228" t="s">
        <v>142</v>
      </c>
      <c r="E175" s="95">
        <f>'11'!F175</f>
        <v>21279</v>
      </c>
      <c r="F175" s="155">
        <v>21293</v>
      </c>
      <c r="G175" s="155">
        <f t="shared" si="14"/>
        <v>14</v>
      </c>
      <c r="H175" s="99">
        <f>G175+'11'!H175</f>
        <v>-225</v>
      </c>
      <c r="I175" s="155"/>
      <c r="J175" s="178">
        <f>H175/DAY(B2)</f>
        <v>-18.75</v>
      </c>
    </row>
    <row r="176" spans="1:10" ht="32.25" customHeight="1" x14ac:dyDescent="0.5">
      <c r="A176" s="596" t="s">
        <v>196</v>
      </c>
      <c r="B176" s="597"/>
      <c r="C176" s="487"/>
      <c r="D176" s="228" t="s">
        <v>142</v>
      </c>
      <c r="E176" s="95"/>
      <c r="F176" s="155"/>
      <c r="G176" s="155">
        <f>SUM(G173:G175)</f>
        <v>36</v>
      </c>
      <c r="H176" s="99">
        <f>G176+'11'!H176</f>
        <v>-526</v>
      </c>
      <c r="I176" s="155"/>
      <c r="J176" s="178">
        <f>H176/DAY(B2)</f>
        <v>-43.833333333333336</v>
      </c>
    </row>
    <row r="177" spans="1:10" ht="32.2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28" t="s">
        <v>210</v>
      </c>
      <c r="B178" s="829"/>
      <c r="C178" s="335"/>
      <c r="D178" s="228" t="s">
        <v>142</v>
      </c>
      <c r="E178" s="95">
        <f>'11'!F178</f>
        <v>78181</v>
      </c>
      <c r="F178" s="155">
        <v>78290</v>
      </c>
      <c r="G178" s="155">
        <f>F178-E178</f>
        <v>109</v>
      </c>
      <c r="H178" s="99">
        <f>G178+'11'!H178</f>
        <v>-1324</v>
      </c>
      <c r="I178" s="155"/>
      <c r="J178" s="178">
        <f>H178/DAY(B2)</f>
        <v>-110.33333333333333</v>
      </c>
    </row>
    <row r="179" spans="1:10" ht="32.25" customHeight="1" x14ac:dyDescent="0.5">
      <c r="A179" s="828" t="s">
        <v>211</v>
      </c>
      <c r="B179" s="829"/>
      <c r="C179" s="335"/>
      <c r="D179" s="228" t="s">
        <v>142</v>
      </c>
      <c r="E179" s="95">
        <f>'11'!F179</f>
        <v>33888</v>
      </c>
      <c r="F179" s="155">
        <v>33888</v>
      </c>
      <c r="G179" s="155">
        <f t="shared" ref="G179:G180" si="15">F179-E179</f>
        <v>0</v>
      </c>
      <c r="H179" s="99">
        <f>G179+'11'!H179</f>
        <v>-27</v>
      </c>
      <c r="I179" s="155"/>
      <c r="J179" s="178">
        <f>H179/DAY(B2)</f>
        <v>-2.25</v>
      </c>
    </row>
    <row r="180" spans="1:10" ht="32.25" customHeight="1" x14ac:dyDescent="0.5">
      <c r="A180" s="828" t="s">
        <v>212</v>
      </c>
      <c r="B180" s="829"/>
      <c r="C180" s="335"/>
      <c r="D180" s="228" t="s">
        <v>142</v>
      </c>
      <c r="E180" s="95">
        <f>'11'!F180</f>
        <v>5347</v>
      </c>
      <c r="F180" s="155">
        <v>5348</v>
      </c>
      <c r="G180" s="155">
        <f t="shared" si="15"/>
        <v>1</v>
      </c>
      <c r="H180" s="99">
        <f>G180+'11'!H180</f>
        <v>-129</v>
      </c>
      <c r="I180" s="155"/>
      <c r="J180" s="178">
        <f>H180/DAY(B2)</f>
        <v>-10.75</v>
      </c>
    </row>
    <row r="181" spans="1:10" ht="32.2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110</v>
      </c>
      <c r="H181" s="99">
        <f>G181+'11'!H181</f>
        <v>-1480</v>
      </c>
      <c r="I181" s="155"/>
      <c r="J181" s="178">
        <f>H181/DAY(B2)</f>
        <v>-123.33333333333333</v>
      </c>
    </row>
    <row r="182" spans="1:10" ht="32.2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28" t="s">
        <v>214</v>
      </c>
      <c r="B183" s="829"/>
      <c r="C183" s="336"/>
      <c r="D183" s="228" t="s">
        <v>142</v>
      </c>
      <c r="E183" s="95">
        <f>'11'!F183</f>
        <v>14659</v>
      </c>
      <c r="F183" s="157">
        <v>14668</v>
      </c>
      <c r="G183" s="157">
        <f>F183-E183</f>
        <v>9</v>
      </c>
      <c r="H183" s="99">
        <f>G183+'11'!H183</f>
        <v>-279</v>
      </c>
      <c r="I183" s="155"/>
      <c r="J183" s="178">
        <f>H183/DAY(B2)</f>
        <v>-23.25</v>
      </c>
    </row>
    <row r="184" spans="1:10" ht="32.25" customHeight="1" x14ac:dyDescent="0.5">
      <c r="A184" s="828" t="s">
        <v>215</v>
      </c>
      <c r="B184" s="829"/>
      <c r="C184" s="336"/>
      <c r="D184" s="228" t="s">
        <v>142</v>
      </c>
      <c r="E184" s="95">
        <f>'11'!F184</f>
        <v>10129</v>
      </c>
      <c r="F184" s="157">
        <v>10139</v>
      </c>
      <c r="G184" s="157">
        <f t="shared" ref="G184:G185" si="16">F184-E184</f>
        <v>10</v>
      </c>
      <c r="H184" s="99">
        <f>G184+'11'!H184</f>
        <v>-162</v>
      </c>
      <c r="I184" s="155"/>
      <c r="J184" s="178">
        <f>H184/DAY(B2)</f>
        <v>-13.5</v>
      </c>
    </row>
    <row r="185" spans="1:10" ht="32.25" customHeight="1" x14ac:dyDescent="0.5">
      <c r="A185" s="828" t="s">
        <v>216</v>
      </c>
      <c r="B185" s="829"/>
      <c r="C185" s="336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19</v>
      </c>
      <c r="H186" s="99">
        <f>G186+'11'!H186</f>
        <v>-441</v>
      </c>
      <c r="I186" s="157"/>
      <c r="J186" s="178">
        <f>H186/DAY(B2)</f>
        <v>-36.75</v>
      </c>
    </row>
    <row r="187" spans="1:10" ht="32.2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199</v>
      </c>
      <c r="H187" s="99">
        <f>G187+'11'!H187</f>
        <v>-1637</v>
      </c>
      <c r="I187" s="158"/>
      <c r="J187" s="179">
        <f>H187/DAY(B2)</f>
        <v>-136.41666666666666</v>
      </c>
    </row>
    <row r="188" spans="1:10" ht="32.2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175</v>
      </c>
      <c r="H188" s="99">
        <f>G188+'11'!H188</f>
        <v>-3367</v>
      </c>
      <c r="I188" s="158"/>
      <c r="J188" s="179">
        <f>H188/DAY(B2)</f>
        <v>-280.58333333333331</v>
      </c>
    </row>
    <row r="189" spans="1:10" ht="32.2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110</v>
      </c>
      <c r="H189" s="99">
        <f>G189+'11'!H189</f>
        <v>-1480</v>
      </c>
      <c r="I189" s="158"/>
      <c r="J189" s="179">
        <f>H189/DAY(B2)</f>
        <v>-123.33333333333333</v>
      </c>
    </row>
    <row r="190" spans="1:10" ht="32.25" customHeight="1" x14ac:dyDescent="0.5">
      <c r="A190" s="742"/>
      <c r="B190" s="743"/>
      <c r="C190" s="485"/>
      <c r="D190" s="482"/>
      <c r="E190" s="479"/>
      <c r="F190" s="482"/>
      <c r="G190" s="482"/>
      <c r="H190" s="488"/>
      <c r="I190" s="482"/>
      <c r="J190" s="484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67" zoomScale="50" zoomScaleSheetLayoutView="50" workbookViewId="0">
      <selection activeCell="F18" sqref="F18:F1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 x14ac:dyDescent="0.5">
      <c r="A2" s="191" t="s">
        <v>303</v>
      </c>
      <c r="B2" s="262">
        <v>44543</v>
      </c>
      <c r="C2" s="350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0.72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340478</v>
      </c>
      <c r="F7" s="95">
        <f>E7+23500</f>
        <v>363978</v>
      </c>
      <c r="G7" s="112">
        <f>F7-E7</f>
        <v>23500</v>
      </c>
      <c r="H7" s="99">
        <f>G7+'12'!H7</f>
        <v>269417</v>
      </c>
      <c r="I7" s="113">
        <f>'1'!I7</f>
        <v>12000</v>
      </c>
      <c r="J7" s="175">
        <f>H7/DAY(B2)</f>
        <v>20724.384615384617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390437</v>
      </c>
      <c r="F8" s="95">
        <f>E8+23500</f>
        <v>413937</v>
      </c>
      <c r="G8" s="115">
        <f>F8-E8</f>
        <v>23500</v>
      </c>
      <c r="H8" s="99">
        <f>G8+'12'!H8</f>
        <v>273052</v>
      </c>
      <c r="I8" s="116"/>
      <c r="J8" s="175">
        <f>H8/DAY(B2)</f>
        <v>21004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53657</v>
      </c>
      <c r="F9" s="605">
        <f>E9+14000</f>
        <v>67657</v>
      </c>
      <c r="G9" s="112">
        <f>F9-E9</f>
        <v>14000</v>
      </c>
      <c r="H9" s="99">
        <f>G9+'12'!H9</f>
        <v>166162</v>
      </c>
      <c r="I9" s="124">
        <f>I7-J7</f>
        <v>-8724.3846153846171</v>
      </c>
      <c r="J9" s="175">
        <f>H9/DAY(B2)</f>
        <v>12781.692307692309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5">
        <v>471050</v>
      </c>
      <c r="F10" s="355">
        <f>E10+4500</f>
        <v>475550</v>
      </c>
      <c r="G10" s="112">
        <f t="shared" ref="G10:G12" si="0">F10-E10</f>
        <v>4500</v>
      </c>
      <c r="H10" s="99">
        <f>G10+'12'!H10</f>
        <v>78440</v>
      </c>
      <c r="I10" s="282"/>
      <c r="J10" s="175">
        <f>H10/DAY(B2)</f>
        <v>6033.8461538461543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G13+'12'!H13</f>
        <v>225136.74999999988</v>
      </c>
      <c r="I13" s="120">
        <f>G7-G13</f>
        <v>5000</v>
      </c>
      <c r="J13" s="175">
        <f>H13/DAY(B2)</f>
        <v>17318.211538461528</v>
      </c>
      <c r="K13" s="79"/>
      <c r="L13" s="66"/>
      <c r="N13" s="87"/>
      <c r="O13" s="71"/>
    </row>
    <row r="14" spans="1:15" ht="27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95">
        <f>'12'!F15</f>
        <v>1889899</v>
      </c>
      <c r="F15" s="123">
        <f>E15+1100</f>
        <v>1890999</v>
      </c>
      <c r="G15" s="112">
        <f>(F15-E15)</f>
        <v>1100</v>
      </c>
      <c r="H15" s="99">
        <f>G15+'12'!H15</f>
        <v>12569</v>
      </c>
      <c r="I15" s="113">
        <f>'1'!I15</f>
        <v>800</v>
      </c>
      <c r="J15" s="175">
        <f>H15/DAY(B2)</f>
        <v>966.84615384615381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-166.84615384615381</v>
      </c>
      <c r="J16" s="176"/>
      <c r="K16" s="79"/>
      <c r="L16" s="66"/>
      <c r="N16" s="87"/>
      <c r="O16" s="71"/>
    </row>
    <row r="17" spans="1:15" ht="27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6" t="s">
        <v>141</v>
      </c>
      <c r="B18" s="857"/>
      <c r="C18" s="858"/>
      <c r="D18" s="151" t="s">
        <v>142</v>
      </c>
      <c r="E18" s="95">
        <f>'12'!F18</f>
        <v>51</v>
      </c>
      <c r="F18" s="122">
        <f>E18+12</f>
        <v>63</v>
      </c>
      <c r="G18" s="119">
        <f>F18*10</f>
        <v>630</v>
      </c>
      <c r="H18" s="99">
        <f>G18+'12'!H18</f>
        <v>3020</v>
      </c>
      <c r="I18" s="113">
        <f>'1'!I18</f>
        <v>65</v>
      </c>
      <c r="J18" s="175">
        <f>H18/DAY(B2)</f>
        <v>232.30769230769232</v>
      </c>
      <c r="K18" s="79"/>
      <c r="L18" s="66"/>
      <c r="N18" s="87"/>
      <c r="O18" s="71"/>
    </row>
    <row r="19" spans="1:15" ht="27.75" customHeight="1" x14ac:dyDescent="0.5">
      <c r="A19" s="856" t="s">
        <v>69</v>
      </c>
      <c r="B19" s="857"/>
      <c r="C19" s="858"/>
      <c r="D19" s="151" t="s">
        <v>142</v>
      </c>
      <c r="E19" s="95">
        <f>'12'!F19</f>
        <v>152860</v>
      </c>
      <c r="F19" s="122">
        <f>E19+55</f>
        <v>152915</v>
      </c>
      <c r="G19" s="112">
        <f t="shared" ref="G19" si="1">F19-E19</f>
        <v>55</v>
      </c>
      <c r="H19" s="99">
        <f>G19+'12'!H19</f>
        <v>690</v>
      </c>
      <c r="I19" s="337"/>
      <c r="J19" s="175">
        <f>H19/DAY(B2)</f>
        <v>53.07692307692308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685</v>
      </c>
      <c r="H20" s="99">
        <f>G20+'12'!H20</f>
        <v>3710</v>
      </c>
      <c r="I20" s="338">
        <f>I18-J20</f>
        <v>-220.38461538461536</v>
      </c>
      <c r="J20" s="175">
        <f>H20/DAY(B2)</f>
        <v>285.38461538461536</v>
      </c>
      <c r="K20" s="79"/>
      <c r="L20" s="66"/>
      <c r="N20" s="87"/>
      <c r="O20" s="71"/>
    </row>
    <row r="21" spans="1:15" ht="27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G27+'12'!H27</f>
        <v>2457468</v>
      </c>
      <c r="I27" s="138"/>
      <c r="J27" s="175">
        <f>H27/DAY(B2)</f>
        <v>189036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G28+'12'!H28</f>
        <v>653588</v>
      </c>
      <c r="I28" s="140"/>
      <c r="J28" s="175">
        <f>H28/DAY(B2)</f>
        <v>50276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G30+'12'!H30</f>
        <v>100740</v>
      </c>
      <c r="I30" s="140"/>
      <c r="J30" s="175">
        <f>H30/DAY(B2)</f>
        <v>7749.2307692307695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630</v>
      </c>
      <c r="F31" s="136">
        <v>80</v>
      </c>
      <c r="G31" s="137">
        <f>E31*F31</f>
        <v>50400</v>
      </c>
      <c r="H31" s="99">
        <f>G31+'12'!H31</f>
        <v>241600</v>
      </c>
      <c r="I31" s="140"/>
      <c r="J31" s="175">
        <f>H31/DAY(B2)</f>
        <v>18584.615384615383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327130</v>
      </c>
      <c r="H32" s="99">
        <f>G32+'12'!H32</f>
        <v>3453396</v>
      </c>
      <c r="I32" s="144"/>
      <c r="J32" s="175">
        <f>H32/DAY(B2)</f>
        <v>265645.84615384613</v>
      </c>
      <c r="K32" s="63"/>
      <c r="L32" s="89"/>
      <c r="N32" s="87"/>
      <c r="O32" s="71"/>
    </row>
    <row r="33" spans="1:15" ht="27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118861</v>
      </c>
      <c r="F35" s="145">
        <v>120865</v>
      </c>
      <c r="G35" s="112">
        <f t="shared" ref="G35:G46" si="3">F35-E35</f>
        <v>2004</v>
      </c>
      <c r="H35" s="99">
        <f>G35+'12'!H35</f>
        <v>136065</v>
      </c>
      <c r="I35" s="95"/>
      <c r="J35" s="175">
        <f>H35/DAY(B2)</f>
        <v>10466.538461538461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1947</v>
      </c>
      <c r="F36" s="145">
        <v>3152</v>
      </c>
      <c r="G36" s="112">
        <f t="shared" si="3"/>
        <v>1205</v>
      </c>
      <c r="H36" s="99">
        <f>G36+'12'!H36</f>
        <v>71355</v>
      </c>
      <c r="I36" s="95"/>
      <c r="J36" s="175">
        <f>H36/DAY(B2)</f>
        <v>5488.8461538461543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165381</v>
      </c>
      <c r="F37" s="145">
        <v>166812</v>
      </c>
      <c r="G37" s="112">
        <f t="shared" si="3"/>
        <v>1431</v>
      </c>
      <c r="H37" s="99">
        <f>G37+'12'!H37</f>
        <v>179024</v>
      </c>
      <c r="I37" s="95"/>
      <c r="J37" s="175">
        <f>H37/DAY(B2)</f>
        <v>13771.076923076924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195037</v>
      </c>
      <c r="F38" s="108">
        <v>197132</v>
      </c>
      <c r="G38" s="112">
        <f t="shared" si="3"/>
        <v>2095</v>
      </c>
      <c r="H38" s="99">
        <f>G38+'12'!H38</f>
        <v>210332</v>
      </c>
      <c r="I38" s="95"/>
      <c r="J38" s="175">
        <f>H38/DAY(B2)</f>
        <v>16179.384615384615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356708</v>
      </c>
      <c r="F39" s="145">
        <v>359809</v>
      </c>
      <c r="G39" s="112">
        <f t="shared" si="3"/>
        <v>3101</v>
      </c>
      <c r="H39" s="99">
        <f>G39+'12'!H39</f>
        <v>381491</v>
      </c>
      <c r="I39" s="95"/>
      <c r="J39" s="175">
        <f>H39/DAY(B2)</f>
        <v>29345.461538461539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116</v>
      </c>
      <c r="F40" s="145">
        <v>116</v>
      </c>
      <c r="G40" s="112">
        <f t="shared" si="3"/>
        <v>0</v>
      </c>
      <c r="H40" s="99">
        <f>G40+'12'!H40</f>
        <v>-5494</v>
      </c>
      <c r="I40" s="95"/>
      <c r="J40" s="175">
        <f>H40/DAY(B2)</f>
        <v>-422.61538461538464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599900</v>
      </c>
      <c r="I41" s="95"/>
      <c r="J41" s="175">
        <f>H41/DAY(B2)</f>
        <v>46146.153846153844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352828</v>
      </c>
      <c r="F42" s="145">
        <v>357660</v>
      </c>
      <c r="G42" s="112">
        <f t="shared" si="3"/>
        <v>4832</v>
      </c>
      <c r="H42" s="99">
        <f>G42+'12'!H42</f>
        <v>283851</v>
      </c>
      <c r="I42" s="95"/>
      <c r="J42" s="175">
        <f>H42/DAY(B2)</f>
        <v>21834.692307692309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2634</v>
      </c>
      <c r="F43" s="145">
        <v>5405</v>
      </c>
      <c r="G43" s="112">
        <f t="shared" si="3"/>
        <v>2771</v>
      </c>
      <c r="H43" s="99">
        <f>G43+'12'!H43</f>
        <v>1516460</v>
      </c>
      <c r="I43" s="95"/>
      <c r="J43" s="175">
        <f>H43/DAY(B2)</f>
        <v>116650.76923076923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17439</v>
      </c>
      <c r="H47" s="99">
        <f>G47+'12'!H47</f>
        <v>3372984</v>
      </c>
      <c r="I47" s="95"/>
      <c r="J47" s="175">
        <f>H47/DAY(B2)</f>
        <v>259460.30769230769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241445</v>
      </c>
      <c r="F49" s="145">
        <v>243208</v>
      </c>
      <c r="G49" s="112">
        <f t="shared" ref="G49:G58" si="4">F49-E49</f>
        <v>1763</v>
      </c>
      <c r="H49" s="99">
        <f>G49+'12'!H49</f>
        <v>256329</v>
      </c>
      <c r="I49" s="95"/>
      <c r="J49" s="175">
        <f>H49/DAY(B2)</f>
        <v>19717.615384615383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1046</v>
      </c>
      <c r="F50" s="145">
        <v>2747</v>
      </c>
      <c r="G50" s="112">
        <f t="shared" si="4"/>
        <v>1701</v>
      </c>
      <c r="H50" s="99">
        <f>G50+'12'!H50</f>
        <v>717172</v>
      </c>
      <c r="I50" s="95"/>
      <c r="J50" s="175">
        <f>H50/DAY(B2)</f>
        <v>55167.076923076922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3099</v>
      </c>
      <c r="F54" s="145">
        <v>3104</v>
      </c>
      <c r="G54" s="112">
        <f t="shared" si="4"/>
        <v>5</v>
      </c>
      <c r="H54" s="99">
        <f>G54+'12'!H54</f>
        <v>4871.08</v>
      </c>
      <c r="I54" s="95"/>
      <c r="J54" s="175">
        <f>H54/DAY(B2)</f>
        <v>374.69846153846152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0</v>
      </c>
      <c r="F55" s="145">
        <v>0</v>
      </c>
      <c r="G55" s="112">
        <f t="shared" si="4"/>
        <v>0</v>
      </c>
      <c r="H55" s="99">
        <f>G55+'12'!H55</f>
        <v>-3511</v>
      </c>
      <c r="I55" s="95"/>
      <c r="J55" s="175">
        <f>H55/DAY(B2)</f>
        <v>-270.07692307692309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3097</v>
      </c>
      <c r="F56" s="145">
        <v>3337</v>
      </c>
      <c r="G56" s="112">
        <f t="shared" si="4"/>
        <v>240</v>
      </c>
      <c r="H56" s="99">
        <f>G56+'12'!H56</f>
        <v>206791.46</v>
      </c>
      <c r="I56" s="95"/>
      <c r="J56" s="175">
        <f>H56/DAY(B2)</f>
        <v>15907.035384615385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88111</v>
      </c>
      <c r="F58" s="145">
        <v>88341</v>
      </c>
      <c r="G58" s="112">
        <f t="shared" si="4"/>
        <v>230</v>
      </c>
      <c r="H58" s="99">
        <f>G58+'12'!H58</f>
        <v>88681.63</v>
      </c>
      <c r="I58" s="95"/>
      <c r="J58" s="175">
        <f>H58/DAY(B2)</f>
        <v>6821.6638461538469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3939</v>
      </c>
      <c r="H59" s="99">
        <f>G59+'12'!H59</f>
        <v>1270334.17</v>
      </c>
      <c r="I59" s="95">
        <f>G7-G60</f>
        <v>2122</v>
      </c>
      <c r="J59" s="175">
        <f>H59/DAY(B2)</f>
        <v>97718.013076923075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21378</v>
      </c>
      <c r="H60" s="99">
        <f>G60+'12'!H60</f>
        <v>4643318.17</v>
      </c>
      <c r="I60" s="95">
        <f>G13-G60</f>
        <v>-2878</v>
      </c>
      <c r="J60" s="175">
        <f>H60/DAY(B2)</f>
        <v>357178.32076923078</v>
      </c>
      <c r="K60" s="79"/>
      <c r="L60" s="66"/>
      <c r="N60" s="87"/>
      <c r="O60" s="71"/>
    </row>
    <row r="61" spans="1:15" s="68" customFormat="1" ht="27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56" t="s">
        <v>198</v>
      </c>
      <c r="B62" s="857"/>
      <c r="C62" s="858"/>
      <c r="D62" s="151" t="s">
        <v>142</v>
      </c>
      <c r="E62" s="95">
        <f>'12'!F62</f>
        <v>264941</v>
      </c>
      <c r="F62" s="122">
        <v>265087</v>
      </c>
      <c r="G62" s="112">
        <f t="shared" ref="G62:G63" si="5">F62-E62</f>
        <v>146</v>
      </c>
      <c r="H62" s="99">
        <f>G62+'12'!H62</f>
        <v>-2126</v>
      </c>
      <c r="I62" s="118"/>
      <c r="J62" s="175">
        <f>H62/DAY(B2)</f>
        <v>-163.53846153846155</v>
      </c>
      <c r="K62" s="80"/>
      <c r="L62" s="66"/>
      <c r="N62" s="87"/>
      <c r="O62" s="71"/>
    </row>
    <row r="63" spans="1:15" ht="27.75" customHeight="1" x14ac:dyDescent="0.5">
      <c r="A63" s="856" t="s">
        <v>199</v>
      </c>
      <c r="B63" s="857"/>
      <c r="C63" s="858"/>
      <c r="D63" s="151" t="s">
        <v>142</v>
      </c>
      <c r="E63" s="95">
        <f>'12'!F63</f>
        <v>210687</v>
      </c>
      <c r="F63" s="122">
        <v>210812</v>
      </c>
      <c r="G63" s="112">
        <f t="shared" si="5"/>
        <v>125</v>
      </c>
      <c r="H63" s="99">
        <f>G63+'12'!H63</f>
        <v>-1613</v>
      </c>
      <c r="I63" s="118"/>
      <c r="J63" s="175">
        <f>H63/DAY(B2)</f>
        <v>-124.07692307692308</v>
      </c>
      <c r="K63" s="69"/>
      <c r="L63" s="66"/>
      <c r="N63" s="87"/>
      <c r="O63" s="71"/>
    </row>
    <row r="64" spans="1:15" ht="27.75" customHeight="1" x14ac:dyDescent="0.5">
      <c r="A64" s="865" t="s">
        <v>200</v>
      </c>
      <c r="B64" s="866"/>
      <c r="C64" s="867"/>
      <c r="D64" s="151"/>
      <c r="E64" s="95">
        <f>'12'!F64</f>
        <v>0</v>
      </c>
      <c r="F64" s="122"/>
      <c r="G64" s="112">
        <f>G62+G63</f>
        <v>271</v>
      </c>
      <c r="H64" s="99">
        <f>G64+'12'!H64</f>
        <v>-3739</v>
      </c>
      <c r="I64" s="118"/>
      <c r="J64" s="175">
        <f>H64/DAY(B2)</f>
        <v>-287.61538461538464</v>
      </c>
      <c r="K64" s="69"/>
      <c r="L64" s="66"/>
      <c r="N64" s="87"/>
      <c r="O64" s="71"/>
    </row>
    <row r="65" spans="1:15" ht="27.75" customHeight="1" x14ac:dyDescent="0.5">
      <c r="A65" s="856" t="s">
        <v>201</v>
      </c>
      <c r="B65" s="857"/>
      <c r="C65" s="858"/>
      <c r="D65" s="151" t="s">
        <v>142</v>
      </c>
      <c r="E65" s="95">
        <f>'12'!F65</f>
        <v>430600</v>
      </c>
      <c r="F65" s="122">
        <v>430752</v>
      </c>
      <c r="G65" s="112">
        <f t="shared" ref="G65:G70" si="6">F65-E65</f>
        <v>152</v>
      </c>
      <c r="H65" s="99">
        <f>G65+'12'!H65</f>
        <v>-1862</v>
      </c>
      <c r="I65" s="118"/>
      <c r="J65" s="175">
        <f>H65/DAY(B2)</f>
        <v>-143.23076923076923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'12'!F66</f>
        <v>106841</v>
      </c>
      <c r="F66" s="122">
        <v>106860</v>
      </c>
      <c r="G66" s="112">
        <f t="shared" si="6"/>
        <v>19</v>
      </c>
      <c r="H66" s="99">
        <f>G66+'12'!H66</f>
        <v>-354</v>
      </c>
      <c r="I66" s="118"/>
      <c r="J66" s="175">
        <f>H66/DAY(B2)</f>
        <v>-27.23076923076923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'12'!F67</f>
        <v>103372</v>
      </c>
      <c r="F67" s="122">
        <v>103402</v>
      </c>
      <c r="G67" s="112">
        <f t="shared" si="6"/>
        <v>30</v>
      </c>
      <c r="H67" s="99">
        <f>G67+'12'!H67</f>
        <v>-526</v>
      </c>
      <c r="I67" s="118"/>
      <c r="J67" s="175">
        <f>H67/DAY(B2)</f>
        <v>-40.46153846153846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'12'!F68</f>
        <v>155922</v>
      </c>
      <c r="F68" s="122">
        <v>155968</v>
      </c>
      <c r="G68" s="112">
        <f t="shared" si="6"/>
        <v>46</v>
      </c>
      <c r="H68" s="99">
        <f>G68+'12'!H68</f>
        <v>-652</v>
      </c>
      <c r="I68" s="118"/>
      <c r="J68" s="175">
        <f>H68/DAY(B2)</f>
        <v>-50.153846153846153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'12'!F69</f>
        <v>9984</v>
      </c>
      <c r="F69" s="122">
        <v>10000</v>
      </c>
      <c r="G69" s="112">
        <f t="shared" si="6"/>
        <v>16</v>
      </c>
      <c r="H69" s="99">
        <f>G69+'12'!H69</f>
        <v>-214</v>
      </c>
      <c r="I69" s="118"/>
      <c r="J69" s="175">
        <f>H69/DAY(B2)</f>
        <v>-16.46153846153846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'12'!F70</f>
        <v>7668</v>
      </c>
      <c r="F70" s="122">
        <v>7682</v>
      </c>
      <c r="G70" s="112">
        <f t="shared" si="6"/>
        <v>14</v>
      </c>
      <c r="H70" s="99">
        <f>G70+'12'!H70</f>
        <v>-180</v>
      </c>
      <c r="I70" s="118"/>
      <c r="J70" s="175">
        <f>H70/DAY(B2)</f>
        <v>-13.846153846153847</v>
      </c>
      <c r="K70" s="69"/>
      <c r="L70" s="66"/>
      <c r="N70" s="87"/>
      <c r="O70" s="71"/>
    </row>
    <row r="71" spans="1:15" ht="27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277</v>
      </c>
      <c r="H71" s="99">
        <f>G71+'12'!H71</f>
        <v>-3788</v>
      </c>
      <c r="I71" s="154"/>
      <c r="J71" s="175">
        <f>H71/DAY(B2)</f>
        <v>-291.38461538461536</v>
      </c>
      <c r="K71" s="69"/>
      <c r="L71" s="66"/>
      <c r="N71" s="87"/>
      <c r="O71" s="71"/>
    </row>
    <row r="72" spans="1:15" s="88" customFormat="1" ht="27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56" t="s">
        <v>220</v>
      </c>
      <c r="B74" s="857"/>
      <c r="C74" s="858"/>
      <c r="D74" s="151" t="s">
        <v>139</v>
      </c>
      <c r="E74" s="95">
        <f>'12'!F74</f>
        <v>886017</v>
      </c>
      <c r="F74" s="117">
        <v>886346</v>
      </c>
      <c r="G74" s="112">
        <f t="shared" ref="G74:G78" si="7">F74-E74</f>
        <v>329</v>
      </c>
      <c r="H74" s="99">
        <f>G74+'12'!H74</f>
        <v>-5686</v>
      </c>
      <c r="I74" s="154"/>
      <c r="J74" s="175">
        <f>H74/DAY(B2)</f>
        <v>-437.38461538461536</v>
      </c>
      <c r="K74" s="69"/>
      <c r="L74" s="66"/>
      <c r="N74" s="87"/>
      <c r="O74" s="71"/>
    </row>
    <row r="75" spans="1:15" ht="27.75" customHeight="1" x14ac:dyDescent="0.5">
      <c r="A75" s="856" t="s">
        <v>221</v>
      </c>
      <c r="B75" s="857"/>
      <c r="C75" s="858"/>
      <c r="D75" s="151" t="s">
        <v>139</v>
      </c>
      <c r="E75" s="95">
        <f>'12'!F75</f>
        <v>73830.69</v>
      </c>
      <c r="F75" s="123">
        <v>73830.69</v>
      </c>
      <c r="G75" s="112">
        <f t="shared" si="7"/>
        <v>0</v>
      </c>
      <c r="H75" s="99">
        <f>G75+'12'!H75</f>
        <v>243.88999999999942</v>
      </c>
      <c r="I75" s="154"/>
      <c r="J75" s="175">
        <f>H75/DAY(B2)</f>
        <v>18.760769230769185</v>
      </c>
      <c r="K75" s="69"/>
      <c r="L75" s="66"/>
      <c r="N75" s="87"/>
      <c r="O75" s="71"/>
    </row>
    <row r="76" spans="1:15" ht="27.75" customHeight="1" x14ac:dyDescent="0.5">
      <c r="A76" s="853" t="s">
        <v>222</v>
      </c>
      <c r="B76" s="854"/>
      <c r="C76" s="855"/>
      <c r="D76" s="151" t="s">
        <v>139</v>
      </c>
      <c r="E76" s="95">
        <f>'12'!F76</f>
        <v>164963</v>
      </c>
      <c r="F76" s="123">
        <v>165102</v>
      </c>
      <c r="G76" s="112">
        <f t="shared" si="7"/>
        <v>139</v>
      </c>
      <c r="H76" s="99">
        <f>G76+'12'!H76</f>
        <v>-2105</v>
      </c>
      <c r="I76" s="154"/>
      <c r="J76" s="175">
        <f>H76/DAY(B2)</f>
        <v>-161.92307692307693</v>
      </c>
      <c r="K76" s="69"/>
      <c r="L76" s="66"/>
      <c r="N76" s="87"/>
      <c r="O76" s="71"/>
    </row>
    <row r="77" spans="1:15" ht="27.75" customHeight="1" x14ac:dyDescent="0.5">
      <c r="A77" s="853" t="s">
        <v>223</v>
      </c>
      <c r="B77" s="854"/>
      <c r="C77" s="855"/>
      <c r="D77" s="151" t="s">
        <v>139</v>
      </c>
      <c r="E77" s="95">
        <f>'12'!F77</f>
        <v>39376</v>
      </c>
      <c r="F77" s="123">
        <v>39442</v>
      </c>
      <c r="G77" s="112">
        <f t="shared" si="7"/>
        <v>66</v>
      </c>
      <c r="H77" s="99">
        <f>G77+'12'!H77</f>
        <v>-874</v>
      </c>
      <c r="I77" s="154"/>
      <c r="J77" s="175">
        <f>H77/DAY(B2)</f>
        <v>-67.230769230769226</v>
      </c>
      <c r="K77" s="69"/>
      <c r="L77" s="66"/>
      <c r="N77" s="87"/>
      <c r="O77" s="71"/>
    </row>
    <row r="78" spans="1:15" ht="27.75" customHeight="1" x14ac:dyDescent="0.5">
      <c r="A78" s="853" t="s">
        <v>224</v>
      </c>
      <c r="B78" s="854"/>
      <c r="C78" s="855"/>
      <c r="D78" s="151" t="s">
        <v>139</v>
      </c>
      <c r="E78" s="95">
        <f>'12'!F78</f>
        <v>9452</v>
      </c>
      <c r="F78" s="123">
        <v>9452</v>
      </c>
      <c r="G78" s="112">
        <f t="shared" si="7"/>
        <v>0</v>
      </c>
      <c r="H78" s="99">
        <f>G78+'12'!H78</f>
        <v>-34</v>
      </c>
      <c r="I78" s="118"/>
      <c r="J78" s="175">
        <f>H78/DAY(B2)</f>
        <v>-2.6153846153846154</v>
      </c>
      <c r="K78" s="69"/>
      <c r="L78" s="66"/>
      <c r="N78" s="87"/>
      <c r="O78" s="71"/>
    </row>
    <row r="79" spans="1:15" s="57" customFormat="1" ht="27.75" customHeight="1" x14ac:dyDescent="0.5">
      <c r="A79" s="853" t="s">
        <v>225</v>
      </c>
      <c r="B79" s="854"/>
      <c r="C79" s="855"/>
      <c r="D79" s="151"/>
      <c r="E79" s="95">
        <f>'12'!F79</f>
        <v>0</v>
      </c>
      <c r="F79" s="117"/>
      <c r="G79" s="112">
        <f>G15-SUM(G74:G78)</f>
        <v>566</v>
      </c>
      <c r="H79" s="99">
        <f>G79+'12'!H79</f>
        <v>21024.11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'12'!F84</f>
        <v>41675.760000000002</v>
      </c>
      <c r="F84" s="164">
        <v>41675.760000000002</v>
      </c>
      <c r="G84" s="112">
        <f t="shared" si="8"/>
        <v>0</v>
      </c>
      <c r="H84" s="99">
        <f>G84+'12'!H84</f>
        <v>0.76000000000203727</v>
      </c>
      <c r="I84" s="118"/>
      <c r="J84" s="175">
        <f>H84/DAY(B2)</f>
        <v>5.8461538461695176E-2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'12'!F85</f>
        <v>1693</v>
      </c>
      <c r="F85" s="164">
        <v>1717</v>
      </c>
      <c r="G85" s="112">
        <f t="shared" si="8"/>
        <v>24</v>
      </c>
      <c r="H85" s="99">
        <f>G85+'12'!H85</f>
        <v>-379.55999999999995</v>
      </c>
      <c r="I85" s="118">
        <f>G82+G83+G84+G85</f>
        <v>24</v>
      </c>
      <c r="J85" s="175">
        <f>H85/DAY(B2)</f>
        <v>-29.196923076923074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-36.529999999998836</v>
      </c>
      <c r="I86" s="118"/>
      <c r="J86" s="175">
        <f>H86/DAY(B2)</f>
        <v>-2.8099999999999103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'12'!F87</f>
        <v>34552.449999999997</v>
      </c>
      <c r="F87" s="164">
        <v>34555.26</v>
      </c>
      <c r="G87" s="112">
        <f t="shared" si="8"/>
        <v>2.8100000000049477</v>
      </c>
      <c r="H87" s="99">
        <f>G87+'12'!H87</f>
        <v>-43.290000000000873</v>
      </c>
      <c r="I87" s="118"/>
      <c r="J87" s="175">
        <f>H87/DAY(B2)</f>
        <v>-3.3300000000000671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'12'!F88</f>
        <v>24005.53</v>
      </c>
      <c r="F88" s="164">
        <v>24005.53</v>
      </c>
      <c r="G88" s="112">
        <f t="shared" si="8"/>
        <v>0</v>
      </c>
      <c r="H88" s="99">
        <f>G88+'12'!H88</f>
        <v>-41.470000000001164</v>
      </c>
      <c r="I88" s="118">
        <f>G86+G87+G88</f>
        <v>2.8100000000049477</v>
      </c>
      <c r="J88" s="175">
        <f>H88/DAY(B2)</f>
        <v>-3.1900000000000897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'12'!F89</f>
        <v>25506.639999999999</v>
      </c>
      <c r="F89" s="164">
        <v>25518.17</v>
      </c>
      <c r="G89" s="112">
        <f t="shared" si="8"/>
        <v>11.529999999998836</v>
      </c>
      <c r="H89" s="99">
        <f>G89+'12'!H89</f>
        <v>-144.83000000000175</v>
      </c>
      <c r="I89" s="118"/>
      <c r="J89" s="175">
        <f>H89/DAY(B2)</f>
        <v>-11.140769230769365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'12'!F90</f>
        <v>70914</v>
      </c>
      <c r="F90" s="164">
        <v>70921.03</v>
      </c>
      <c r="G90" s="112">
        <f t="shared" si="8"/>
        <v>7.0299999999988358</v>
      </c>
      <c r="H90" s="99">
        <f>G90+'12'!H90</f>
        <v>-112.97000000000116</v>
      </c>
      <c r="I90" s="118">
        <f>G89+G90</f>
        <v>18.559999999997672</v>
      </c>
      <c r="J90" s="175">
        <f>H90/DAY(B2)</f>
        <v>-8.6900000000000901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'12'!F92</f>
        <v>5227.75</v>
      </c>
      <c r="F92" s="122">
        <v>5239.28</v>
      </c>
      <c r="G92" s="112">
        <f t="shared" si="8"/>
        <v>11.529999999999745</v>
      </c>
      <c r="H92" s="99">
        <f>G92+'12'!H92</f>
        <v>-198.72000000000025</v>
      </c>
      <c r="I92" s="165"/>
      <c r="J92" s="175">
        <f>H92/DAY(B2)</f>
        <v>-15.286153846153866</v>
      </c>
      <c r="O92" s="71"/>
    </row>
    <row r="93" spans="1:15" ht="27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6538</v>
      </c>
      <c r="H94" s="99">
        <f>G94+'12'!H94</f>
        <v>1908854</v>
      </c>
      <c r="I94" s="118"/>
      <c r="J94" s="175">
        <f>H94/DAY(B2)</f>
        <v>146834.92307692306</v>
      </c>
      <c r="K94" s="69"/>
      <c r="L94" s="66"/>
      <c r="O94" s="71"/>
    </row>
    <row r="95" spans="1:15" ht="27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0.27821276595744682</v>
      </c>
      <c r="H95" s="99">
        <f>G95+'12'!H95</f>
        <v>81.689189028343804</v>
      </c>
      <c r="I95" s="167"/>
      <c r="J95" s="175">
        <f>H95/DAY(B2)</f>
        <v>6.2837837714110618</v>
      </c>
      <c r="K95" s="69"/>
      <c r="L95" s="66"/>
      <c r="O95" s="71"/>
    </row>
    <row r="96" spans="1:15" ht="27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5072</v>
      </c>
      <c r="H96" s="99">
        <f>G96+'12'!H96</f>
        <v>1087031.46</v>
      </c>
      <c r="I96" s="118"/>
      <c r="J96" s="175">
        <f>H96/DAY(B2)</f>
        <v>83617.804615384608</v>
      </c>
      <c r="K96" s="69"/>
      <c r="L96" s="66"/>
      <c r="O96" s="71"/>
    </row>
    <row r="97" spans="1:15" ht="27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0.21582978723404256</v>
      </c>
      <c r="H97" s="99">
        <f>G97+'12'!H97</f>
        <v>46.499612317705875</v>
      </c>
      <c r="I97" s="167"/>
      <c r="J97" s="175">
        <f>H97/DAY(B2)</f>
        <v>3.5768932552081441</v>
      </c>
      <c r="K97" s="69"/>
      <c r="L97" s="66"/>
      <c r="O97" s="71"/>
    </row>
    <row r="98" spans="1:15" ht="27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3101</v>
      </c>
      <c r="H98" s="99">
        <f>G98+'12'!H98</f>
        <v>381491</v>
      </c>
      <c r="I98" s="168"/>
      <c r="J98" s="175">
        <f>H98/DAY(B2)</f>
        <v>29345.461538461539</v>
      </c>
      <c r="K98" s="69"/>
      <c r="L98" s="66"/>
      <c r="O98" s="71"/>
    </row>
    <row r="99" spans="1:15" ht="27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0.13195744680851063</v>
      </c>
      <c r="H99" s="99">
        <f>G99+'12'!H99</f>
        <v>16.447609479332336</v>
      </c>
      <c r="I99" s="168"/>
      <c r="J99" s="175">
        <f>H99/DAY(B2)</f>
        <v>1.2652007291794105</v>
      </c>
      <c r="O99" s="71"/>
    </row>
    <row r="100" spans="1:15" ht="27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2095</v>
      </c>
      <c r="H100" s="99">
        <f>G100+'12'!H100</f>
        <v>210332</v>
      </c>
      <c r="I100" s="118"/>
      <c r="J100" s="175">
        <f>H100/DAY(B2)</f>
        <v>16179.384615384615</v>
      </c>
      <c r="K100" s="70"/>
      <c r="O100" s="71"/>
    </row>
    <row r="101" spans="1:15" ht="27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8.9148936170212773E-2</v>
      </c>
      <c r="H101" s="99">
        <f>G101+'12'!H101</f>
        <v>9.0811695936428372</v>
      </c>
      <c r="I101" s="168"/>
      <c r="J101" s="175">
        <f>H101/DAY(B2)</f>
        <v>0.69855150720329517</v>
      </c>
      <c r="O101" s="71"/>
    </row>
    <row r="102" spans="1:15" ht="27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2906</v>
      </c>
      <c r="H102" s="99">
        <f>G102+'12'!H102</f>
        <v>788527</v>
      </c>
      <c r="I102" s="168"/>
      <c r="J102" s="175">
        <f>H102/DAY(B2)</f>
        <v>60655.923076923078</v>
      </c>
      <c r="O102" s="71"/>
    </row>
    <row r="103" spans="1:15" ht="27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0.12365957446808511</v>
      </c>
      <c r="H103" s="99">
        <f>G103+'12'!H103</f>
        <v>33.698679048461223</v>
      </c>
      <c r="I103" s="118"/>
      <c r="J103" s="175">
        <f>H103/DAY(B2)</f>
        <v>2.5922060806508633</v>
      </c>
      <c r="O103" s="71"/>
    </row>
    <row r="104" spans="1:15" ht="27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1431</v>
      </c>
      <c r="H104" s="99">
        <f>G104+'12'!H104</f>
        <v>179024</v>
      </c>
      <c r="I104" s="118"/>
      <c r="J104" s="175">
        <f>H104/DAY(B2)</f>
        <v>13771.076923076924</v>
      </c>
      <c r="O104" s="71"/>
    </row>
    <row r="105" spans="1:15" ht="27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6.0893617021276596E-2</v>
      </c>
      <c r="H105" s="99">
        <f>G105+'12'!H105</f>
        <v>7.7385074319231926</v>
      </c>
      <c r="I105" s="187"/>
      <c r="J105" s="188">
        <f>H105/DAY(B2)</f>
        <v>0.59526980245563021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7.75" customHeight="1" x14ac:dyDescent="0.5">
      <c r="A109" s="873"/>
      <c r="B109" s="873"/>
    </row>
    <row r="110" spans="1:15" ht="27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customHeight="1" x14ac:dyDescent="0.5">
      <c r="A112" s="835" t="s">
        <v>252</v>
      </c>
      <c r="B112" s="836"/>
      <c r="C112" s="837"/>
      <c r="D112" s="146" t="s">
        <v>183</v>
      </c>
      <c r="E112" s="95">
        <f>'12'!F112</f>
        <v>54324</v>
      </c>
      <c r="F112" s="237">
        <v>54399</v>
      </c>
      <c r="G112" s="112">
        <f t="shared" ref="G112:G123" si="9">F112-E112</f>
        <v>75</v>
      </c>
      <c r="H112" s="99">
        <f>G112+'12'!H112</f>
        <v>-1282</v>
      </c>
      <c r="I112" s="165"/>
      <c r="J112" s="330">
        <f>H112/DAY(B2)</f>
        <v>-98.615384615384613</v>
      </c>
    </row>
    <row r="113" spans="1:18" ht="27.75" customHeight="1" x14ac:dyDescent="0.5">
      <c r="A113" s="835" t="s">
        <v>253</v>
      </c>
      <c r="B113" s="836"/>
      <c r="C113" s="837"/>
      <c r="D113" s="146" t="s">
        <v>183</v>
      </c>
      <c r="E113" s="95">
        <f>'12'!F113</f>
        <v>23419</v>
      </c>
      <c r="F113" s="237">
        <v>23845</v>
      </c>
      <c r="G113" s="112">
        <f t="shared" si="9"/>
        <v>426</v>
      </c>
      <c r="H113" s="99">
        <f>G113+'12'!H113</f>
        <v>-8350</v>
      </c>
      <c r="I113" s="165"/>
      <c r="J113" s="330">
        <f>H113/DAY(B2)</f>
        <v>-642.30769230769226</v>
      </c>
    </row>
    <row r="114" spans="1:18" ht="27.75" customHeight="1" x14ac:dyDescent="0.5">
      <c r="A114" s="835" t="s">
        <v>254</v>
      </c>
      <c r="B114" s="836"/>
      <c r="C114" s="837"/>
      <c r="D114" s="146" t="s">
        <v>183</v>
      </c>
      <c r="E114" s="95">
        <f>'12'!F114</f>
        <v>18384</v>
      </c>
      <c r="F114" s="237">
        <v>18879</v>
      </c>
      <c r="G114" s="112">
        <f t="shared" si="9"/>
        <v>495</v>
      </c>
      <c r="H114" s="99">
        <f>G114+'12'!H114</f>
        <v>-5992</v>
      </c>
      <c r="I114" s="165"/>
      <c r="J114" s="330">
        <f>H114/DAY(B2)</f>
        <v>-460.92307692307691</v>
      </c>
    </row>
    <row r="115" spans="1:18" ht="27.75" customHeight="1" x14ac:dyDescent="0.5">
      <c r="A115" s="835" t="s">
        <v>255</v>
      </c>
      <c r="B115" s="836"/>
      <c r="C115" s="837"/>
      <c r="D115" s="146" t="s">
        <v>183</v>
      </c>
      <c r="E115" s="95">
        <f>'12'!F115</f>
        <v>8565</v>
      </c>
      <c r="F115" s="237">
        <v>8571</v>
      </c>
      <c r="G115" s="112">
        <f t="shared" si="9"/>
        <v>6</v>
      </c>
      <c r="H115" s="99">
        <f>G115+'12'!H115</f>
        <v>-214</v>
      </c>
      <c r="I115" s="165"/>
      <c r="J115" s="330">
        <f>H115/DAY(B2)</f>
        <v>-16.46153846153846</v>
      </c>
    </row>
    <row r="116" spans="1:18" ht="27.75" customHeight="1" x14ac:dyDescent="0.5">
      <c r="A116" s="842" t="s">
        <v>96</v>
      </c>
      <c r="B116" s="843"/>
      <c r="C116" s="844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30">
        <f>H116/DAY(B2)</f>
        <v>0</v>
      </c>
      <c r="Q116" s="835"/>
      <c r="R116" s="837"/>
    </row>
    <row r="117" spans="1:18" ht="27.75" customHeight="1" x14ac:dyDescent="0.5">
      <c r="A117" s="842" t="s">
        <v>184</v>
      </c>
      <c r="B117" s="843"/>
      <c r="C117" s="844"/>
      <c r="D117" s="146" t="s">
        <v>183</v>
      </c>
      <c r="E117" s="95">
        <f>'12'!F117</f>
        <v>2185</v>
      </c>
      <c r="F117" s="237">
        <v>2211</v>
      </c>
      <c r="G117" s="112">
        <f t="shared" si="9"/>
        <v>26</v>
      </c>
      <c r="H117" s="99">
        <f>G117+'12'!H117</f>
        <v>-379</v>
      </c>
      <c r="I117" s="165"/>
      <c r="J117" s="330">
        <f>H117/DAY(B2)</f>
        <v>-29.153846153846153</v>
      </c>
      <c r="Q117" s="835"/>
      <c r="R117" s="837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'12'!F118</f>
        <v>234210</v>
      </c>
      <c r="F118" s="237">
        <v>234618</v>
      </c>
      <c r="G118" s="112">
        <f t="shared" si="9"/>
        <v>408</v>
      </c>
      <c r="H118" s="99">
        <f>G118+'12'!H118</f>
        <v>-7029</v>
      </c>
      <c r="I118" s="165"/>
      <c r="J118" s="330">
        <f>H118/DAY(B2)</f>
        <v>-540.69230769230774</v>
      </c>
      <c r="Q118" s="835"/>
      <c r="R118" s="837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'12'!F119</f>
        <v>236980</v>
      </c>
      <c r="F119" s="237">
        <v>237446</v>
      </c>
      <c r="G119" s="112">
        <f t="shared" si="9"/>
        <v>466</v>
      </c>
      <c r="H119" s="99">
        <f>G119+'12'!H119</f>
        <v>-7680</v>
      </c>
      <c r="I119" s="165"/>
      <c r="J119" s="330">
        <f>H119/DAY(B2)</f>
        <v>-590.76923076923072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'12'!F120</f>
        <v>22258</v>
      </c>
      <c r="F120" s="237">
        <v>22680</v>
      </c>
      <c r="G120" s="112">
        <f t="shared" si="9"/>
        <v>422</v>
      </c>
      <c r="H120" s="99">
        <f>G120+'12'!H120</f>
        <v>-7398</v>
      </c>
      <c r="I120" s="165"/>
      <c r="J120" s="330">
        <f>H120/DAY(B2)</f>
        <v>-569.07692307692309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'12'!F121</f>
        <v>361834</v>
      </c>
      <c r="F121" s="237">
        <v>362622</v>
      </c>
      <c r="G121" s="112">
        <f t="shared" si="9"/>
        <v>788</v>
      </c>
      <c r="H121" s="99">
        <f>G121+'12'!H121</f>
        <v>-13907</v>
      </c>
      <c r="I121" s="165"/>
      <c r="J121" s="330">
        <f>H121/DAY(B2)</f>
        <v>-1069.7692307692307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'12'!F122</f>
        <v>114827</v>
      </c>
      <c r="F122" s="237">
        <v>115150</v>
      </c>
      <c r="G122" s="112">
        <f t="shared" si="9"/>
        <v>323</v>
      </c>
      <c r="H122" s="99">
        <f>G122+'12'!H122</f>
        <v>-4900</v>
      </c>
      <c r="I122" s="165"/>
      <c r="J122" s="330">
        <f>H122/DAY(B2)</f>
        <v>-376.92307692307691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'12'!F123</f>
        <v>138210</v>
      </c>
      <c r="F123" s="237">
        <v>138568</v>
      </c>
      <c r="G123" s="112">
        <f t="shared" si="9"/>
        <v>358</v>
      </c>
      <c r="H123" s="99">
        <f>G123+'12'!H123</f>
        <v>-6557</v>
      </c>
      <c r="I123" s="165"/>
      <c r="J123" s="330">
        <f>H123/DAY(B2)</f>
        <v>-504.38461538461536</v>
      </c>
    </row>
    <row r="124" spans="1:18" ht="27.7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3793</v>
      </c>
      <c r="H125" s="156"/>
      <c r="I125" s="329">
        <f>G125-(G39+G53)</f>
        <v>692</v>
      </c>
      <c r="J125" s="329"/>
    </row>
    <row r="126" spans="1:18" ht="27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G127+'12'!H127</f>
        <v>0</v>
      </c>
      <c r="I127" s="165"/>
      <c r="J127" s="330">
        <f>H127/DAY(B2)</f>
        <v>0</v>
      </c>
    </row>
    <row r="128" spans="1:18" ht="27.75" customHeight="1" x14ac:dyDescent="0.5">
      <c r="A128" s="835" t="s">
        <v>318</v>
      </c>
      <c r="B128" s="836"/>
      <c r="C128" s="837"/>
      <c r="D128" s="151" t="s">
        <v>183</v>
      </c>
      <c r="E128" s="95">
        <f>'12'!F128</f>
        <v>31527</v>
      </c>
      <c r="F128" s="165">
        <v>31888</v>
      </c>
      <c r="G128" s="112">
        <f t="shared" ref="G128:G134" si="10">F128-E128</f>
        <v>361</v>
      </c>
      <c r="H128" s="99">
        <f>G128+'12'!H128</f>
        <v>-6116</v>
      </c>
      <c r="I128" s="165"/>
      <c r="J128" s="330">
        <f>H128/DAY(B2)</f>
        <v>-470.46153846153845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'12'!F129</f>
        <v>15924</v>
      </c>
      <c r="F129" s="165">
        <v>16194</v>
      </c>
      <c r="G129" s="112">
        <f t="shared" si="10"/>
        <v>270</v>
      </c>
      <c r="H129" s="99">
        <f>G129+'12'!H129</f>
        <v>-4127</v>
      </c>
      <c r="I129" s="165"/>
      <c r="J129" s="330">
        <f>H129/DAY(B2)</f>
        <v>-317.46153846153845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'12'!F130</f>
        <v>5424</v>
      </c>
      <c r="F130" s="165">
        <v>5668</v>
      </c>
      <c r="G130" s="112">
        <f t="shared" si="10"/>
        <v>244</v>
      </c>
      <c r="H130" s="99">
        <f>G130+'12'!H130</f>
        <v>-12714</v>
      </c>
      <c r="I130" s="165"/>
      <c r="J130" s="330">
        <f>H130/DAY(B2)</f>
        <v>-978</v>
      </c>
      <c r="N130" s="240"/>
      <c r="O130" s="241"/>
    </row>
    <row r="131" spans="1:15" ht="27.75" customHeight="1" x14ac:dyDescent="0.5">
      <c r="A131" s="835" t="s">
        <v>321</v>
      </c>
      <c r="B131" s="836"/>
      <c r="C131" s="837"/>
      <c r="D131" s="151" t="s">
        <v>183</v>
      </c>
      <c r="E131" s="95">
        <f>'12'!F131</f>
        <v>11019</v>
      </c>
      <c r="F131" s="165">
        <v>11174</v>
      </c>
      <c r="G131" s="112">
        <f t="shared" si="10"/>
        <v>155</v>
      </c>
      <c r="H131" s="99">
        <f>G131+'12'!H131</f>
        <v>-1979</v>
      </c>
      <c r="I131" s="165"/>
      <c r="J131" s="330">
        <f>H131/DAY(B2)</f>
        <v>-152.23076923076923</v>
      </c>
      <c r="N131" s="240"/>
      <c r="O131" s="241"/>
    </row>
    <row r="132" spans="1:15" ht="27.75" customHeight="1" x14ac:dyDescent="0.5">
      <c r="A132" s="835" t="s">
        <v>322</v>
      </c>
      <c r="B132" s="836"/>
      <c r="C132" s="837"/>
      <c r="D132" s="151" t="s">
        <v>183</v>
      </c>
      <c r="E132" s="95">
        <f>'12'!F132</f>
        <v>31649</v>
      </c>
      <c r="F132" s="165">
        <v>32143</v>
      </c>
      <c r="G132" s="112">
        <f t="shared" si="10"/>
        <v>494</v>
      </c>
      <c r="H132" s="99">
        <f>G132+'12'!H132</f>
        <v>-8880</v>
      </c>
      <c r="I132" s="165"/>
      <c r="J132" s="330">
        <f>H132/DAY(B2)</f>
        <v>-683.07692307692309</v>
      </c>
    </row>
    <row r="133" spans="1:15" ht="27.75" customHeight="1" x14ac:dyDescent="0.5">
      <c r="A133" s="835" t="s">
        <v>362</v>
      </c>
      <c r="B133" s="836"/>
      <c r="C133" s="837"/>
      <c r="D133" s="151" t="s">
        <v>183</v>
      </c>
      <c r="E133" s="95">
        <f>'12'!F133</f>
        <v>73649</v>
      </c>
      <c r="F133" s="165">
        <v>74477</v>
      </c>
      <c r="G133" s="112">
        <f t="shared" si="10"/>
        <v>828</v>
      </c>
      <c r="H133" s="99">
        <f>G133+'12'!H133</f>
        <v>-13226</v>
      </c>
      <c r="I133" s="165"/>
      <c r="J133" s="330">
        <f>H133/DAY(B2)</f>
        <v>-1017.3846153846154</v>
      </c>
    </row>
    <row r="134" spans="1:15" ht="27.75" customHeight="1" x14ac:dyDescent="0.5">
      <c r="A134" s="835" t="s">
        <v>340</v>
      </c>
      <c r="B134" s="836"/>
      <c r="C134" s="837"/>
      <c r="D134" s="151" t="s">
        <v>183</v>
      </c>
      <c r="E134" s="95">
        <f>'12'!F134</f>
        <v>658749</v>
      </c>
      <c r="F134" s="165">
        <v>659428</v>
      </c>
      <c r="G134" s="112">
        <f t="shared" si="10"/>
        <v>679</v>
      </c>
      <c r="H134" s="99">
        <f>G134+'12'!H134</f>
        <v>8294</v>
      </c>
      <c r="I134" s="165"/>
      <c r="J134" s="330">
        <f>H134/DAY(B2)</f>
        <v>638</v>
      </c>
    </row>
    <row r="135" spans="1:15" ht="27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3031</v>
      </c>
      <c r="H135" s="99">
        <f>G135+'12'!H135</f>
        <v>-41696</v>
      </c>
      <c r="I135" s="329">
        <f>G135-(G35+G49)</f>
        <v>-736</v>
      </c>
      <c r="J135" s="330">
        <f>H135/DAY(B2)</f>
        <v>-3207.3846153846152</v>
      </c>
    </row>
    <row r="136" spans="1:15" ht="27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'12'!F138</f>
        <v>862014</v>
      </c>
      <c r="F138" s="147">
        <v>862114</v>
      </c>
      <c r="G138" s="112">
        <f t="shared" ref="G138:G152" si="11">F138-E138</f>
        <v>100</v>
      </c>
      <c r="H138" s="99">
        <f>G138+'12'!H138</f>
        <v>-2057</v>
      </c>
      <c r="I138" s="118"/>
      <c r="J138" s="330">
        <f>H138/DAY(B2)</f>
        <v>-158.23076923076923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'12'!F139</f>
        <v>886362</v>
      </c>
      <c r="F139" s="148">
        <v>886366</v>
      </c>
      <c r="G139" s="112">
        <f t="shared" si="11"/>
        <v>4</v>
      </c>
      <c r="H139" s="99">
        <f>G139+'12'!H139</f>
        <v>-180</v>
      </c>
      <c r="I139" s="118"/>
      <c r="J139" s="330">
        <f>H139/DAY(B2)</f>
        <v>-13.846153846153847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'12'!F140</f>
        <v>88863</v>
      </c>
      <c r="F140" s="149">
        <v>88864</v>
      </c>
      <c r="G140" s="112">
        <f t="shared" si="11"/>
        <v>1</v>
      </c>
      <c r="H140" s="99">
        <f>G140+'12'!H140</f>
        <v>-18</v>
      </c>
      <c r="I140" s="118"/>
      <c r="J140" s="330">
        <f>H140/DAY(B2)</f>
        <v>-1.3846153846153846</v>
      </c>
    </row>
    <row r="141" spans="1:15" ht="27.75" customHeight="1" x14ac:dyDescent="0.5">
      <c r="A141" s="815" t="s">
        <v>188</v>
      </c>
      <c r="B141" s="815"/>
      <c r="C141" s="815"/>
      <c r="D141" s="151" t="s">
        <v>183</v>
      </c>
      <c r="E141" s="95">
        <f>'12'!F141</f>
        <v>45504</v>
      </c>
      <c r="F141" s="149">
        <v>45712</v>
      </c>
      <c r="G141" s="112">
        <f t="shared" si="11"/>
        <v>208</v>
      </c>
      <c r="H141" s="99">
        <f>G141+'12'!H141</f>
        <v>-3594</v>
      </c>
      <c r="I141" s="118"/>
      <c r="J141" s="330">
        <f>H141/DAY(B2)</f>
        <v>-276.46153846153845</v>
      </c>
    </row>
    <row r="142" spans="1:15" ht="27.75" customHeight="1" x14ac:dyDescent="0.5">
      <c r="A142" s="815" t="s">
        <v>189</v>
      </c>
      <c r="B142" s="815"/>
      <c r="C142" s="815"/>
      <c r="D142" s="151" t="s">
        <v>183</v>
      </c>
      <c r="E142" s="95">
        <f>'12'!F142</f>
        <v>17671</v>
      </c>
      <c r="F142" s="148">
        <v>17689</v>
      </c>
      <c r="G142" s="112">
        <f t="shared" si="11"/>
        <v>18</v>
      </c>
      <c r="H142" s="99">
        <f>G142+'12'!H142</f>
        <v>-1320</v>
      </c>
      <c r="I142" s="140"/>
      <c r="J142" s="330">
        <f>H142/DAY(B2)</f>
        <v>-101.53846153846153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'12'!F143</f>
        <v>2554</v>
      </c>
      <c r="F143" s="149">
        <v>2584</v>
      </c>
      <c r="G143" s="112">
        <f t="shared" si="11"/>
        <v>30</v>
      </c>
      <c r="H143" s="99">
        <f>G143+'12'!H143</f>
        <v>-477</v>
      </c>
      <c r="I143" s="140"/>
      <c r="J143" s="330">
        <f>H143/DAY(B2)</f>
        <v>-36.692307692307693</v>
      </c>
    </row>
    <row r="144" spans="1:15" ht="27.75" customHeight="1" x14ac:dyDescent="0.5">
      <c r="A144" s="815" t="s">
        <v>90</v>
      </c>
      <c r="B144" s="815"/>
      <c r="C144" s="815"/>
      <c r="D144" s="151" t="s">
        <v>183</v>
      </c>
      <c r="E144" s="95">
        <f>'12'!F144</f>
        <v>865154</v>
      </c>
      <c r="F144" s="149">
        <v>865390</v>
      </c>
      <c r="G144" s="112">
        <f t="shared" si="11"/>
        <v>236</v>
      </c>
      <c r="H144" s="99">
        <f>G144+'12'!H144</f>
        <v>-4280</v>
      </c>
      <c r="I144" s="140"/>
      <c r="J144" s="330">
        <f>H144/DAY(B2)</f>
        <v>-329.23076923076923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'12'!F145</f>
        <v>3996</v>
      </c>
      <c r="F145" s="149">
        <v>4057</v>
      </c>
      <c r="G145" s="112">
        <f t="shared" si="11"/>
        <v>61</v>
      </c>
      <c r="H145" s="99">
        <f>G145+'12'!H145</f>
        <v>-501</v>
      </c>
      <c r="I145" s="140"/>
      <c r="J145" s="330">
        <f>H145/DAY(B2)</f>
        <v>-38.53846153846154</v>
      </c>
    </row>
    <row r="146" spans="1:10" ht="27.75" customHeight="1" x14ac:dyDescent="0.5">
      <c r="A146" s="869" t="s">
        <v>191</v>
      </c>
      <c r="B146" s="854"/>
      <c r="C146" s="855"/>
      <c r="D146" s="152" t="s">
        <v>183</v>
      </c>
      <c r="E146" s="95">
        <f>'12'!F146</f>
        <v>715892</v>
      </c>
      <c r="F146" s="148">
        <v>716353</v>
      </c>
      <c r="G146" s="112">
        <f t="shared" si="11"/>
        <v>461</v>
      </c>
      <c r="H146" s="99">
        <f>G146+'12'!H146</f>
        <v>-8505</v>
      </c>
      <c r="I146" s="140"/>
      <c r="J146" s="330">
        <f>H146/DAY(B2)</f>
        <v>-654.23076923076928</v>
      </c>
    </row>
    <row r="147" spans="1:10" ht="27.75" customHeight="1" x14ac:dyDescent="0.5">
      <c r="A147" s="815" t="s">
        <v>192</v>
      </c>
      <c r="B147" s="815"/>
      <c r="C147" s="815"/>
      <c r="D147" s="152" t="s">
        <v>183</v>
      </c>
      <c r="E147" s="95">
        <f>'12'!F147</f>
        <v>607354</v>
      </c>
      <c r="F147" s="148">
        <v>607840</v>
      </c>
      <c r="G147" s="112">
        <f t="shared" si="11"/>
        <v>486</v>
      </c>
      <c r="H147" s="99">
        <f>G147+'12'!H147</f>
        <v>-7442</v>
      </c>
      <c r="I147" s="140"/>
      <c r="J147" s="330">
        <f>H147/DAY(B2)</f>
        <v>-572.46153846153845</v>
      </c>
    </row>
    <row r="148" spans="1:10" ht="27.75" customHeight="1" x14ac:dyDescent="0.5">
      <c r="A148" s="816" t="s">
        <v>193</v>
      </c>
      <c r="B148" s="817"/>
      <c r="C148" s="818"/>
      <c r="D148" s="123" t="s">
        <v>130</v>
      </c>
      <c r="E148" s="95">
        <f>'12'!F148</f>
        <v>677328</v>
      </c>
      <c r="F148" s="150">
        <v>677644</v>
      </c>
      <c r="G148" s="112">
        <f t="shared" si="11"/>
        <v>316</v>
      </c>
      <c r="H148" s="99">
        <f>G148+'12'!H148</f>
        <v>-5389.1199999999953</v>
      </c>
      <c r="I148" s="124"/>
      <c r="J148" s="330">
        <f>H148/DAY(B2)</f>
        <v>-414.54769230769193</v>
      </c>
    </row>
    <row r="149" spans="1:10" ht="27.75" customHeight="1" x14ac:dyDescent="0.5">
      <c r="A149" s="816" t="s">
        <v>336</v>
      </c>
      <c r="B149" s="817"/>
      <c r="C149" s="818"/>
      <c r="D149" s="227" t="s">
        <v>130</v>
      </c>
      <c r="E149" s="95">
        <v>0</v>
      </c>
      <c r="F149" s="146">
        <v>570</v>
      </c>
      <c r="G149" s="112">
        <f t="shared" si="11"/>
        <v>570</v>
      </c>
      <c r="H149" s="99">
        <f>G149+'12'!H149</f>
        <v>89704</v>
      </c>
      <c r="I149" s="119"/>
      <c r="J149" s="330">
        <f>H149/DAY(B2)</f>
        <v>6900.3076923076924</v>
      </c>
    </row>
    <row r="150" spans="1:10" ht="27.75" customHeight="1" x14ac:dyDescent="0.5">
      <c r="A150" s="816" t="s">
        <v>337</v>
      </c>
      <c r="B150" s="817"/>
      <c r="C150" s="818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7163180</v>
      </c>
      <c r="I150" s="119"/>
      <c r="J150" s="330">
        <f>H150/DAY(B2)</f>
        <v>551013.84615384613</v>
      </c>
    </row>
    <row r="151" spans="1:10" ht="27.75" customHeight="1" x14ac:dyDescent="0.5">
      <c r="A151" s="816" t="s">
        <v>338</v>
      </c>
      <c r="B151" s="817"/>
      <c r="C151" s="818"/>
      <c r="D151" s="117" t="s">
        <v>130</v>
      </c>
      <c r="E151" s="95">
        <f>'12'!F151</f>
        <v>73586</v>
      </c>
      <c r="F151" s="233">
        <v>73812</v>
      </c>
      <c r="G151" s="112">
        <f t="shared" si="11"/>
        <v>226</v>
      </c>
      <c r="H151" s="99">
        <f>G151+'12'!H151</f>
        <v>-4405</v>
      </c>
      <c r="I151" s="119"/>
      <c r="J151" s="330">
        <f>H151/DAY(B2)</f>
        <v>-338.84615384615387</v>
      </c>
    </row>
    <row r="152" spans="1:10" ht="27.75" customHeight="1" x14ac:dyDescent="0.5">
      <c r="A152" s="816" t="s">
        <v>339</v>
      </c>
      <c r="B152" s="817"/>
      <c r="C152" s="818"/>
      <c r="D152" s="117" t="s">
        <v>130</v>
      </c>
      <c r="E152" s="95">
        <f>'12'!F152</f>
        <v>0</v>
      </c>
      <c r="F152" s="233">
        <v>195</v>
      </c>
      <c r="G152" s="112">
        <f t="shared" si="11"/>
        <v>195</v>
      </c>
      <c r="H152" s="99">
        <f>G152+'12'!H152</f>
        <v>-932</v>
      </c>
      <c r="I152" s="119"/>
      <c r="J152" s="330">
        <f>H152/DAY(B2)</f>
        <v>-71.692307692307693</v>
      </c>
    </row>
    <row r="153" spans="1:10" ht="27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2912</v>
      </c>
      <c r="H153" s="365"/>
      <c r="I153" s="119">
        <f>G153-(G38+G52)</f>
        <v>817</v>
      </c>
      <c r="J153" s="368"/>
    </row>
    <row r="154" spans="1:10" ht="27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7.75" customHeight="1" x14ac:dyDescent="0.55000000000000004">
      <c r="A155" s="815" t="s">
        <v>345</v>
      </c>
      <c r="B155" s="815"/>
      <c r="C155" s="815"/>
      <c r="D155" s="117" t="s">
        <v>130</v>
      </c>
      <c r="E155" s="95">
        <v>0</v>
      </c>
      <c r="F155" s="376">
        <v>666</v>
      </c>
      <c r="G155" s="112">
        <f t="shared" ref="G155:G156" si="12">F155-E155</f>
        <v>666</v>
      </c>
      <c r="H155" s="99">
        <f>G155+'12'!H155</f>
        <v>64811</v>
      </c>
      <c r="I155" s="366"/>
      <c r="J155" s="330">
        <f>H155/DAY(B2)</f>
        <v>4985.4615384615381</v>
      </c>
    </row>
    <row r="156" spans="1:10" ht="27.75" customHeight="1" x14ac:dyDescent="0.5">
      <c r="A156" s="815" t="s">
        <v>347</v>
      </c>
      <c r="B156" s="815"/>
      <c r="C156" s="815"/>
      <c r="D156" s="117" t="s">
        <v>130</v>
      </c>
      <c r="E156" s="95">
        <f>'12'!F156</f>
        <v>0</v>
      </c>
      <c r="F156" s="155">
        <v>48</v>
      </c>
      <c r="G156" s="112">
        <f t="shared" si="12"/>
        <v>48</v>
      </c>
      <c r="H156" s="99">
        <f>G156+'12'!H156</f>
        <v>-1040</v>
      </c>
      <c r="I156" s="165"/>
      <c r="J156" s="330">
        <f>H156/DAY(B2)</f>
        <v>-80</v>
      </c>
    </row>
    <row r="157" spans="1:10" ht="27.75" customHeight="1" x14ac:dyDescent="0.5">
      <c r="A157" s="816" t="s">
        <v>364</v>
      </c>
      <c r="B157" s="817"/>
      <c r="C157" s="818"/>
      <c r="D157" s="117" t="s">
        <v>130</v>
      </c>
      <c r="E157" s="95"/>
      <c r="F157" s="155">
        <v>38</v>
      </c>
      <c r="G157" s="112"/>
      <c r="H157" s="99"/>
      <c r="I157" s="165"/>
      <c r="J157" s="330"/>
    </row>
    <row r="158" spans="1:10" ht="27.75" customHeight="1" x14ac:dyDescent="0.5">
      <c r="A158" s="816" t="s">
        <v>365</v>
      </c>
      <c r="B158" s="817"/>
      <c r="C158" s="818"/>
      <c r="D158" s="117" t="s">
        <v>130</v>
      </c>
      <c r="E158" s="95"/>
      <c r="F158" s="155">
        <v>0</v>
      </c>
      <c r="G158" s="112"/>
      <c r="H158" s="99"/>
      <c r="I158" s="165"/>
      <c r="J158" s="330"/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27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471122</v>
      </c>
      <c r="F161" s="235">
        <v>471123</v>
      </c>
      <c r="G161" s="238">
        <f t="shared" ref="G161:G165" si="13">F161-E161</f>
        <v>1</v>
      </c>
      <c r="H161" s="99">
        <f>G161+'12'!H161</f>
        <v>-30.159999999974389</v>
      </c>
      <c r="I161" s="236"/>
      <c r="J161" s="239">
        <f>H161/DAY(B2)</f>
        <v>-2.3199999999980299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87006</v>
      </c>
      <c r="F162" s="235">
        <v>87040</v>
      </c>
      <c r="G162" s="238">
        <f t="shared" si="13"/>
        <v>34</v>
      </c>
      <c r="H162" s="99">
        <f>G162+'12'!H162</f>
        <v>-530</v>
      </c>
      <c r="I162" s="236"/>
      <c r="J162" s="239">
        <f>H162/DAY(B2)</f>
        <v>-40.769230769230766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76428</v>
      </c>
      <c r="F163" s="235">
        <v>76519</v>
      </c>
      <c r="G163" s="238">
        <f t="shared" si="13"/>
        <v>91</v>
      </c>
      <c r="H163" s="99">
        <f>G163+'12'!H163</f>
        <v>-1306</v>
      </c>
      <c r="I163" s="236"/>
      <c r="J163" s="239">
        <f>H163/DAY(B2)</f>
        <v>-100.46153846153847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4156</v>
      </c>
      <c r="F164" s="235">
        <v>4163</v>
      </c>
      <c r="G164" s="238">
        <f t="shared" si="13"/>
        <v>7</v>
      </c>
      <c r="H164" s="99">
        <f>G164+'12'!H164</f>
        <v>-79</v>
      </c>
      <c r="I164" s="236"/>
      <c r="J164" s="239">
        <f>H164/DAY(B2)</f>
        <v>-6.0769230769230766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29511</v>
      </c>
      <c r="F165" s="235">
        <v>29522</v>
      </c>
      <c r="G165" s="238">
        <f t="shared" si="13"/>
        <v>11</v>
      </c>
      <c r="H165" s="99">
        <f>G165+'12'!H165</f>
        <v>-124</v>
      </c>
      <c r="I165" s="236"/>
      <c r="J165" s="239">
        <f>H165/DAY(B2)</f>
        <v>-9.5384615384615383</v>
      </c>
    </row>
    <row r="166" spans="1:10" ht="27.75" customHeight="1" x14ac:dyDescent="0.5">
      <c r="A166" s="824"/>
      <c r="B166" s="824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24"/>
      <c r="B167" s="824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24"/>
      <c r="B168" s="824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28" t="s">
        <v>209</v>
      </c>
      <c r="B173" s="829"/>
      <c r="C173" s="335"/>
      <c r="D173" s="228" t="s">
        <v>142</v>
      </c>
      <c r="E173" s="95">
        <f>'12'!F173</f>
        <v>8110</v>
      </c>
      <c r="F173" s="155">
        <v>8110</v>
      </c>
      <c r="G173" s="155">
        <f>F173-E173</f>
        <v>0</v>
      </c>
      <c r="H173" s="99">
        <f>G173+'12'!H173</f>
        <v>-16</v>
      </c>
      <c r="I173" s="155"/>
      <c r="J173" s="178">
        <f>H173/DAY(B2)</f>
        <v>-1.2307692307692308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f>'12'!F174</f>
        <v>37543</v>
      </c>
      <c r="F174" s="157">
        <v>37562</v>
      </c>
      <c r="G174" s="155">
        <f t="shared" ref="G174:G175" si="14">F174-E174</f>
        <v>19</v>
      </c>
      <c r="H174" s="99">
        <f>G174+'12'!H174</f>
        <v>-266</v>
      </c>
      <c r="I174" s="155"/>
      <c r="J174" s="178">
        <f>H174/DAY(B2)</f>
        <v>-20.46153846153846</v>
      </c>
    </row>
    <row r="175" spans="1:10" ht="27.75" customHeight="1" x14ac:dyDescent="0.5">
      <c r="A175" s="828" t="s">
        <v>76</v>
      </c>
      <c r="B175" s="868"/>
      <c r="C175" s="829"/>
      <c r="D175" s="228" t="s">
        <v>142</v>
      </c>
      <c r="E175" s="95">
        <f>'12'!F175</f>
        <v>21293</v>
      </c>
      <c r="F175" s="155">
        <v>21305</v>
      </c>
      <c r="G175" s="155">
        <f t="shared" si="14"/>
        <v>12</v>
      </c>
      <c r="H175" s="99">
        <f>G175+'12'!H175</f>
        <v>-213</v>
      </c>
      <c r="I175" s="155"/>
      <c r="J175" s="178">
        <f>H175/DAY(B2)</f>
        <v>-16.384615384615383</v>
      </c>
    </row>
    <row r="176" spans="1:10" ht="27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31</v>
      </c>
      <c r="H176" s="99">
        <f>G176+'12'!H176</f>
        <v>-495</v>
      </c>
      <c r="I176" s="155"/>
      <c r="J176" s="178">
        <f>H176/DAY(B2)</f>
        <v>-38.07692307692308</v>
      </c>
    </row>
    <row r="177" spans="1:15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28" t="s">
        <v>210</v>
      </c>
      <c r="B178" s="829"/>
      <c r="C178" s="335"/>
      <c r="D178" s="228" t="s">
        <v>142</v>
      </c>
      <c r="E178" s="95">
        <f>'12'!F178</f>
        <v>78290</v>
      </c>
      <c r="F178" s="155">
        <v>78358</v>
      </c>
      <c r="G178" s="155">
        <f>F178-E178</f>
        <v>68</v>
      </c>
      <c r="H178" s="99">
        <f>G178+'12'!H178</f>
        <v>-1256</v>
      </c>
      <c r="I178" s="155"/>
      <c r="J178" s="178">
        <f>H178/DAY(B2)</f>
        <v>-96.615384615384613</v>
      </c>
    </row>
    <row r="179" spans="1:15" ht="27.75" customHeight="1" x14ac:dyDescent="0.5">
      <c r="A179" s="828" t="s">
        <v>211</v>
      </c>
      <c r="B179" s="829"/>
      <c r="C179" s="335"/>
      <c r="D179" s="228" t="s">
        <v>142</v>
      </c>
      <c r="E179" s="95">
        <f>'12'!F179</f>
        <v>33888</v>
      </c>
      <c r="F179" s="155">
        <v>33888</v>
      </c>
      <c r="G179" s="155">
        <f t="shared" ref="G179:G180" si="15">F179-E179</f>
        <v>0</v>
      </c>
      <c r="H179" s="99">
        <f>G179+'12'!H179</f>
        <v>-27</v>
      </c>
      <c r="I179" s="155"/>
      <c r="J179" s="178">
        <f>H179/DAY(B2)</f>
        <v>-2.0769230769230771</v>
      </c>
    </row>
    <row r="180" spans="1:15" ht="27.75" customHeight="1" x14ac:dyDescent="0.5">
      <c r="A180" s="828" t="s">
        <v>212</v>
      </c>
      <c r="B180" s="829"/>
      <c r="C180" s="335"/>
      <c r="D180" s="228" t="s">
        <v>142</v>
      </c>
      <c r="E180" s="95">
        <f>'12'!F180</f>
        <v>5348</v>
      </c>
      <c r="F180" s="155">
        <v>5351</v>
      </c>
      <c r="G180" s="155">
        <f t="shared" si="15"/>
        <v>3</v>
      </c>
      <c r="H180" s="99">
        <f>G180+'12'!H180</f>
        <v>-126</v>
      </c>
      <c r="I180" s="155"/>
      <c r="J180" s="178">
        <f>H180/DAY(B2)</f>
        <v>-9.6923076923076916</v>
      </c>
    </row>
    <row r="181" spans="1:15" ht="27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71</v>
      </c>
      <c r="H181" s="99">
        <f>G181+'12'!H181</f>
        <v>-1409</v>
      </c>
      <c r="I181" s="155"/>
      <c r="J181" s="178">
        <f>H181/DAY(B2)</f>
        <v>-108.38461538461539</v>
      </c>
    </row>
    <row r="182" spans="1:15" ht="27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28" t="s">
        <v>214</v>
      </c>
      <c r="B183" s="829"/>
      <c r="C183" s="336"/>
      <c r="D183" s="228" t="s">
        <v>142</v>
      </c>
      <c r="E183" s="95">
        <f>'12'!F183</f>
        <v>14668</v>
      </c>
      <c r="F183" s="157">
        <v>14688</v>
      </c>
      <c r="G183" s="157">
        <f>F183-E183</f>
        <v>20</v>
      </c>
      <c r="H183" s="99">
        <f>G183+'12'!H183</f>
        <v>-259</v>
      </c>
      <c r="I183" s="155"/>
      <c r="J183" s="178">
        <f>H183/DAY(B2)</f>
        <v>-19.923076923076923</v>
      </c>
    </row>
    <row r="184" spans="1:15" ht="27.75" customHeight="1" x14ac:dyDescent="0.5">
      <c r="A184" s="828" t="s">
        <v>215</v>
      </c>
      <c r="B184" s="829"/>
      <c r="C184" s="336"/>
      <c r="D184" s="228" t="s">
        <v>142</v>
      </c>
      <c r="E184" s="95">
        <f>'12'!F184</f>
        <v>10139</v>
      </c>
      <c r="F184" s="157">
        <v>10148</v>
      </c>
      <c r="G184" s="157">
        <f t="shared" ref="G184:G185" si="16">F184-E184</f>
        <v>9</v>
      </c>
      <c r="H184" s="99">
        <f>G184+'12'!H184</f>
        <v>-153</v>
      </c>
      <c r="I184" s="155"/>
      <c r="J184" s="178">
        <f>H184/DAY(B2)</f>
        <v>-11.76923076923077</v>
      </c>
      <c r="O184" s="65" t="s">
        <v>366</v>
      </c>
    </row>
    <row r="185" spans="1:15" ht="27.75" customHeight="1" x14ac:dyDescent="0.5">
      <c r="A185" s="828" t="s">
        <v>216</v>
      </c>
      <c r="B185" s="829"/>
      <c r="C185" s="336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29</v>
      </c>
      <c r="H186" s="99">
        <f>G186+'12'!H186</f>
        <v>-412</v>
      </c>
      <c r="I186" s="157"/>
      <c r="J186" s="178">
        <f>H186/DAY(B2)</f>
        <v>-31.692307692307693</v>
      </c>
    </row>
    <row r="187" spans="1:15" ht="27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201</v>
      </c>
      <c r="H187" s="99">
        <f>G187+'12'!H187</f>
        <v>-1436</v>
      </c>
      <c r="I187" s="158"/>
      <c r="J187" s="179">
        <f>H187/DAY(B2)</f>
        <v>-110.46153846153847</v>
      </c>
    </row>
    <row r="188" spans="1:15" ht="27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231</v>
      </c>
      <c r="H188" s="99">
        <f>G188+'12'!H188</f>
        <v>-3136</v>
      </c>
      <c r="I188" s="158"/>
      <c r="J188" s="179">
        <f>H188/DAY(B2)</f>
        <v>-241.23076923076923</v>
      </c>
    </row>
    <row r="189" spans="1:15" ht="27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71</v>
      </c>
      <c r="H189" s="99">
        <f>G189+'12'!H189</f>
        <v>-1409</v>
      </c>
      <c r="I189" s="158"/>
      <c r="J189" s="179">
        <f>H189/DAY(B2)</f>
        <v>-108.38461538461539</v>
      </c>
    </row>
    <row r="190" spans="1:15" ht="27.75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64" zoomScale="55" zoomScaleSheetLayoutView="55" workbookViewId="0">
      <selection activeCell="F18" sqref="F18:F1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 x14ac:dyDescent="0.5">
      <c r="A2" s="191" t="s">
        <v>303</v>
      </c>
      <c r="B2" s="262">
        <v>44544</v>
      </c>
      <c r="C2" s="350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26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363978</v>
      </c>
      <c r="F7" s="95">
        <f>E7+23500</f>
        <v>387478</v>
      </c>
      <c r="G7" s="112">
        <f>F7-E7</f>
        <v>23500</v>
      </c>
      <c r="H7" s="99">
        <f>G7+'13'!H7</f>
        <v>292917</v>
      </c>
      <c r="I7" s="113">
        <f>'1'!I7</f>
        <v>12000</v>
      </c>
      <c r="J7" s="175">
        <f>H7/DAY(B2)</f>
        <v>20922.642857142859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413937</v>
      </c>
      <c r="F8" s="95">
        <f>E8+23500</f>
        <v>437437</v>
      </c>
      <c r="G8" s="115">
        <f>F8-E8</f>
        <v>23500</v>
      </c>
      <c r="H8" s="99">
        <f>G8+'13'!H8</f>
        <v>296552</v>
      </c>
      <c r="I8" s="116"/>
      <c r="J8" s="175">
        <f>H8/DAY(B2)</f>
        <v>21182.285714285714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67657</v>
      </c>
      <c r="F9" s="605">
        <f>E9+14000</f>
        <v>81657</v>
      </c>
      <c r="G9" s="112">
        <f>F9-E9</f>
        <v>14000</v>
      </c>
      <c r="H9" s="99">
        <f>G9+'13'!H9</f>
        <v>180162</v>
      </c>
      <c r="I9" s="124">
        <f>I7-J7</f>
        <v>-8922.6428571428587</v>
      </c>
      <c r="J9" s="175">
        <f>H9/DAY(B2)</f>
        <v>12868.714285714286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475550</v>
      </c>
      <c r="F10" s="355">
        <f>E10+4500</f>
        <v>480050</v>
      </c>
      <c r="G10" s="112">
        <f t="shared" ref="G10:G12" si="0">F10-E10</f>
        <v>4500</v>
      </c>
      <c r="H10" s="99">
        <f>G10+'13'!H10</f>
        <v>82940</v>
      </c>
      <c r="I10" s="282"/>
      <c r="J10" s="175">
        <f>H10/DAY(B2)</f>
        <v>5924.2857142857147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G13+'13'!H13</f>
        <v>243636.74999999988</v>
      </c>
      <c r="I13" s="120">
        <f>G7-G13</f>
        <v>5000</v>
      </c>
      <c r="J13" s="175">
        <f>H13/DAY(B2)</f>
        <v>17402.624999999993</v>
      </c>
      <c r="K13" s="79"/>
      <c r="L13" s="66"/>
      <c r="N13" s="87"/>
      <c r="O13" s="71"/>
    </row>
    <row r="14" spans="1:15" ht="27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123">
        <v>1858426</v>
      </c>
      <c r="F15" s="123">
        <f>E15+1100</f>
        <v>1859526</v>
      </c>
      <c r="G15" s="112">
        <f>(F15-E15)</f>
        <v>1100</v>
      </c>
      <c r="H15" s="99">
        <f>G15+'13'!H15</f>
        <v>13669</v>
      </c>
      <c r="I15" s="113">
        <f>'1'!I15</f>
        <v>800</v>
      </c>
      <c r="J15" s="175">
        <f>H15/DAY(B2)</f>
        <v>976.35714285714289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-176.35714285714289</v>
      </c>
      <c r="J16" s="176"/>
      <c r="K16" s="79"/>
      <c r="L16" s="66"/>
      <c r="N16" s="87"/>
      <c r="O16" s="71"/>
    </row>
    <row r="17" spans="1:15" ht="27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6" t="s">
        <v>141</v>
      </c>
      <c r="B18" s="857"/>
      <c r="C18" s="858"/>
      <c r="D18" s="151" t="s">
        <v>142</v>
      </c>
      <c r="E18" s="95">
        <f>'13'!F18</f>
        <v>63</v>
      </c>
      <c r="F18" s="122">
        <f>E18+12</f>
        <v>75</v>
      </c>
      <c r="G18" s="119">
        <f>F18*10</f>
        <v>750</v>
      </c>
      <c r="H18" s="99">
        <f>G18+'13'!H18</f>
        <v>3770</v>
      </c>
      <c r="I18" s="113">
        <f>'1'!I18</f>
        <v>65</v>
      </c>
      <c r="J18" s="175">
        <f>H18/DAY(B2)</f>
        <v>269.28571428571428</v>
      </c>
      <c r="K18" s="79"/>
      <c r="L18" s="66"/>
      <c r="N18" s="87"/>
      <c r="O18" s="71"/>
    </row>
    <row r="19" spans="1:15" ht="27.75" customHeight="1" x14ac:dyDescent="0.5">
      <c r="A19" s="856" t="s">
        <v>69</v>
      </c>
      <c r="B19" s="857"/>
      <c r="C19" s="858"/>
      <c r="D19" s="151" t="s">
        <v>142</v>
      </c>
      <c r="E19" s="95">
        <f>'13'!F19</f>
        <v>152915</v>
      </c>
      <c r="F19" s="122">
        <f>E19+55</f>
        <v>152970</v>
      </c>
      <c r="G19" s="112">
        <f t="shared" ref="G19" si="1">F19-E19</f>
        <v>55</v>
      </c>
      <c r="H19" s="99">
        <f>G19+'13'!H19</f>
        <v>745</v>
      </c>
      <c r="I19" s="337"/>
      <c r="J19" s="175">
        <f>H19/DAY(B2)</f>
        <v>53.214285714285715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805</v>
      </c>
      <c r="H20" s="99">
        <f>G20+'13'!H20</f>
        <v>4515</v>
      </c>
      <c r="I20" s="338">
        <f>I18-J20</f>
        <v>-257.5</v>
      </c>
      <c r="J20" s="175">
        <f>H20/DAY(B2)</f>
        <v>322.5</v>
      </c>
      <c r="K20" s="79"/>
      <c r="L20" s="66"/>
      <c r="N20" s="87"/>
      <c r="O20" s="71"/>
    </row>
    <row r="21" spans="1:15" ht="27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G27+'13'!H27</f>
        <v>2668968</v>
      </c>
      <c r="I27" s="138"/>
      <c r="J27" s="175">
        <f>H27/DAY(B2)</f>
        <v>190640.57142857142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G28+'13'!H28</f>
        <v>710788</v>
      </c>
      <c r="I28" s="140"/>
      <c r="J28" s="175">
        <f>H28/DAY(B2)</f>
        <v>50770.571428571428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G30+'13'!H30</f>
        <v>108770</v>
      </c>
      <c r="I30" s="140"/>
      <c r="J30" s="175">
        <f>H30/DAY(B2)</f>
        <v>7769.2857142857147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750</v>
      </c>
      <c r="F31" s="136">
        <v>80</v>
      </c>
      <c r="G31" s="137">
        <f>E31*F31</f>
        <v>60000</v>
      </c>
      <c r="H31" s="99">
        <f>G31+'13'!H31</f>
        <v>301600</v>
      </c>
      <c r="I31" s="140"/>
      <c r="J31" s="175">
        <f>H31/DAY(B2)</f>
        <v>21542.857142857141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336730</v>
      </c>
      <c r="H32" s="99">
        <f>G32+'13'!H32</f>
        <v>3790126</v>
      </c>
      <c r="I32" s="144"/>
      <c r="J32" s="175">
        <f>H32/DAY(B2)</f>
        <v>270723.28571428574</v>
      </c>
      <c r="K32" s="63"/>
      <c r="L32" s="89"/>
      <c r="N32" s="87"/>
      <c r="O32" s="71"/>
    </row>
    <row r="33" spans="1:15" ht="27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120865</v>
      </c>
      <c r="F35" s="145">
        <v>122975</v>
      </c>
      <c r="G35" s="112">
        <f t="shared" ref="G35:G46" si="3">F35-E35</f>
        <v>2110</v>
      </c>
      <c r="H35" s="99">
        <f>G35+'13'!H35</f>
        <v>138175</v>
      </c>
      <c r="I35" s="95"/>
      <c r="J35" s="175">
        <f>H35/DAY(B2)</f>
        <v>9869.6428571428569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3152</v>
      </c>
      <c r="F36" s="145">
        <v>4316</v>
      </c>
      <c r="G36" s="112">
        <f t="shared" si="3"/>
        <v>1164</v>
      </c>
      <c r="H36" s="99">
        <f>G36+'13'!H36</f>
        <v>72519</v>
      </c>
      <c r="I36" s="95"/>
      <c r="J36" s="175">
        <f>H36/DAY(B2)</f>
        <v>5179.9285714285716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166812</v>
      </c>
      <c r="F37" s="145">
        <v>168410</v>
      </c>
      <c r="G37" s="112">
        <f t="shared" si="3"/>
        <v>1598</v>
      </c>
      <c r="H37" s="99">
        <f>G37+'13'!H37</f>
        <v>180622</v>
      </c>
      <c r="I37" s="95"/>
      <c r="J37" s="175">
        <f>H37/DAY(B2)</f>
        <v>12901.571428571429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197132</v>
      </c>
      <c r="F38" s="108">
        <v>199161</v>
      </c>
      <c r="G38" s="112">
        <f t="shared" si="3"/>
        <v>2029</v>
      </c>
      <c r="H38" s="99">
        <f>G38+'13'!H38</f>
        <v>212361</v>
      </c>
      <c r="I38" s="95"/>
      <c r="J38" s="175">
        <f>H38/DAY(B2)</f>
        <v>15168.642857142857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359809</v>
      </c>
      <c r="F39" s="145">
        <v>362831</v>
      </c>
      <c r="G39" s="112">
        <f t="shared" si="3"/>
        <v>3022</v>
      </c>
      <c r="H39" s="99">
        <f>G39+'13'!H39</f>
        <v>384513</v>
      </c>
      <c r="I39" s="95"/>
      <c r="J39" s="175">
        <f>H39/DAY(B2)</f>
        <v>27465.214285714286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116</v>
      </c>
      <c r="F40" s="145">
        <v>120</v>
      </c>
      <c r="G40" s="112">
        <f t="shared" si="3"/>
        <v>4</v>
      </c>
      <c r="H40" s="99">
        <f>G40+'13'!H40</f>
        <v>-5490</v>
      </c>
      <c r="I40" s="95"/>
      <c r="J40" s="175">
        <f>H40/DAY(B2)</f>
        <v>-392.14285714285717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599900</v>
      </c>
      <c r="I41" s="95"/>
      <c r="J41" s="175">
        <f>H41/DAY(B2)</f>
        <v>42850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v>0</v>
      </c>
      <c r="F42" s="145">
        <v>1294</v>
      </c>
      <c r="G42" s="112">
        <f t="shared" si="3"/>
        <v>1294</v>
      </c>
      <c r="H42" s="99">
        <f>G42+'13'!H42</f>
        <v>285145</v>
      </c>
      <c r="I42" s="95"/>
      <c r="J42" s="175">
        <f>H42/DAY(B2)</f>
        <v>20367.5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v>1717</v>
      </c>
      <c r="F43" s="145">
        <v>4485</v>
      </c>
      <c r="G43" s="112">
        <f t="shared" si="3"/>
        <v>2768</v>
      </c>
      <c r="H43" s="99">
        <f>G43+'13'!H43</f>
        <v>1519228</v>
      </c>
      <c r="I43" s="95"/>
      <c r="J43" s="175">
        <f>H43/DAY(B2)</f>
        <v>108516.28571428571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13989</v>
      </c>
      <c r="H47" s="99">
        <f>G47+'13'!H47</f>
        <v>3386973</v>
      </c>
      <c r="I47" s="95"/>
      <c r="J47" s="175">
        <f>H47/DAY(B2)</f>
        <v>241926.64285714287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243208</v>
      </c>
      <c r="F49" s="145">
        <v>244988</v>
      </c>
      <c r="G49" s="112">
        <f t="shared" ref="G49:G58" si="4">F49-E49</f>
        <v>1780</v>
      </c>
      <c r="H49" s="99">
        <f>G49+'13'!H49</f>
        <v>258109</v>
      </c>
      <c r="I49" s="95"/>
      <c r="J49" s="175">
        <f>H49/DAY(B2)</f>
        <v>18436.357142857141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2747</v>
      </c>
      <c r="F50" s="145">
        <v>3910</v>
      </c>
      <c r="G50" s="112">
        <f t="shared" si="4"/>
        <v>1163</v>
      </c>
      <c r="H50" s="99">
        <f>G50+'13'!H50</f>
        <v>718335</v>
      </c>
      <c r="I50" s="95"/>
      <c r="J50" s="175">
        <f>H50/DAY(B2)</f>
        <v>51309.642857142855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3104</v>
      </c>
      <c r="F54" s="145">
        <v>3108</v>
      </c>
      <c r="G54" s="112">
        <f t="shared" si="4"/>
        <v>4</v>
      </c>
      <c r="H54" s="99">
        <f>G54+'13'!H54</f>
        <v>4875.08</v>
      </c>
      <c r="I54" s="95"/>
      <c r="J54" s="175">
        <f>H54/DAY(B2)</f>
        <v>348.21999999999997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0</v>
      </c>
      <c r="F55" s="145">
        <v>0</v>
      </c>
      <c r="G55" s="112">
        <f t="shared" si="4"/>
        <v>0</v>
      </c>
      <c r="H55" s="99">
        <f>G55+'13'!H55</f>
        <v>-3511</v>
      </c>
      <c r="I55" s="95"/>
      <c r="J55" s="175">
        <f>H55/DAY(B2)</f>
        <v>-250.78571428571428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3337</v>
      </c>
      <c r="F56" s="145">
        <v>5962</v>
      </c>
      <c r="G56" s="112">
        <f t="shared" si="4"/>
        <v>2625</v>
      </c>
      <c r="H56" s="99">
        <f>G56+'13'!H56</f>
        <v>209416.46</v>
      </c>
      <c r="I56" s="95"/>
      <c r="J56" s="175">
        <f>H56/DAY(B2)</f>
        <v>14958.31857142857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88341</v>
      </c>
      <c r="F58" s="145">
        <v>88567</v>
      </c>
      <c r="G58" s="112">
        <f t="shared" si="4"/>
        <v>226</v>
      </c>
      <c r="H58" s="99">
        <f>G58+'13'!H58</f>
        <v>88907.63</v>
      </c>
      <c r="I58" s="95"/>
      <c r="J58" s="175">
        <f>H58/DAY(B2)</f>
        <v>6350.5450000000001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5798</v>
      </c>
      <c r="H59" s="99">
        <f>G59+'13'!H59</f>
        <v>1276132.17</v>
      </c>
      <c r="I59" s="95">
        <f>G7-G60</f>
        <v>3713</v>
      </c>
      <c r="J59" s="175">
        <f>H59/DAY(B2)</f>
        <v>91152.297857142854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19787</v>
      </c>
      <c r="H60" s="99">
        <f>G60+'13'!H60</f>
        <v>4663105.17</v>
      </c>
      <c r="I60" s="95">
        <f>G13-G60</f>
        <v>-1287</v>
      </c>
      <c r="J60" s="175">
        <f>H60/DAY(B2)</f>
        <v>333078.94071428571</v>
      </c>
      <c r="K60" s="79"/>
      <c r="L60" s="66"/>
      <c r="N60" s="87"/>
      <c r="O60" s="71"/>
    </row>
    <row r="61" spans="1:15" s="68" customFormat="1" ht="27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56" t="s">
        <v>198</v>
      </c>
      <c r="B62" s="857"/>
      <c r="C62" s="858"/>
      <c r="D62" s="151" t="s">
        <v>142</v>
      </c>
      <c r="E62" s="95">
        <f>'13'!F62</f>
        <v>265087</v>
      </c>
      <c r="F62" s="122">
        <v>265230</v>
      </c>
      <c r="G62" s="112">
        <f t="shared" ref="G62:G63" si="5">F62-E62</f>
        <v>143</v>
      </c>
      <c r="H62" s="99">
        <f>G62+'13'!H62</f>
        <v>-1983</v>
      </c>
      <c r="I62" s="118"/>
      <c r="J62" s="175">
        <f>H62/DAY(B2)</f>
        <v>-141.64285714285714</v>
      </c>
      <c r="K62" s="80"/>
      <c r="L62" s="66"/>
      <c r="N62" s="87"/>
      <c r="O62" s="71"/>
    </row>
    <row r="63" spans="1:15" ht="27.75" customHeight="1" x14ac:dyDescent="0.5">
      <c r="A63" s="856" t="s">
        <v>199</v>
      </c>
      <c r="B63" s="857"/>
      <c r="C63" s="858"/>
      <c r="D63" s="151" t="s">
        <v>142</v>
      </c>
      <c r="E63" s="122">
        <v>210812</v>
      </c>
      <c r="F63" s="122">
        <v>210894</v>
      </c>
      <c r="G63" s="112">
        <f t="shared" si="5"/>
        <v>82</v>
      </c>
      <c r="H63" s="99">
        <f>G63+'13'!H63</f>
        <v>-1531</v>
      </c>
      <c r="I63" s="118"/>
      <c r="J63" s="175">
        <f>H63/DAY(B2)</f>
        <v>-109.35714285714286</v>
      </c>
      <c r="K63" s="69"/>
      <c r="L63" s="66"/>
      <c r="N63" s="87"/>
      <c r="O63" s="71"/>
    </row>
    <row r="64" spans="1:15" ht="27.75" customHeight="1" x14ac:dyDescent="0.5">
      <c r="A64" s="865" t="s">
        <v>200</v>
      </c>
      <c r="B64" s="866"/>
      <c r="C64" s="867"/>
      <c r="D64" s="151"/>
      <c r="E64" s="95">
        <f>'13'!F64</f>
        <v>0</v>
      </c>
      <c r="F64" s="122"/>
      <c r="G64" s="112">
        <f>G62+G63</f>
        <v>225</v>
      </c>
      <c r="H64" s="99">
        <f>G64+'13'!H64</f>
        <v>-3514</v>
      </c>
      <c r="I64" s="118"/>
      <c r="J64" s="175">
        <f>H64/DAY(B2)</f>
        <v>-251</v>
      </c>
      <c r="K64" s="69"/>
      <c r="L64" s="66"/>
      <c r="N64" s="87"/>
      <c r="O64" s="71"/>
    </row>
    <row r="65" spans="1:15" ht="27.75" customHeight="1" x14ac:dyDescent="0.5">
      <c r="A65" s="856" t="s">
        <v>201</v>
      </c>
      <c r="B65" s="857"/>
      <c r="C65" s="858"/>
      <c r="D65" s="151" t="s">
        <v>142</v>
      </c>
      <c r="E65" s="95">
        <f>'13'!F65</f>
        <v>430752</v>
      </c>
      <c r="F65" s="122">
        <v>430857</v>
      </c>
      <c r="G65" s="112">
        <f t="shared" ref="G65:G70" si="6">F65-E65</f>
        <v>105</v>
      </c>
      <c r="H65" s="99">
        <f>G65+'13'!H65</f>
        <v>-1757</v>
      </c>
      <c r="I65" s="118"/>
      <c r="J65" s="175">
        <f>H65/DAY(B2)</f>
        <v>-125.5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'13'!F66</f>
        <v>106860</v>
      </c>
      <c r="F66" s="122">
        <v>106878</v>
      </c>
      <c r="G66" s="112">
        <f t="shared" si="6"/>
        <v>18</v>
      </c>
      <c r="H66" s="99">
        <f>G66+'13'!H66</f>
        <v>-336</v>
      </c>
      <c r="I66" s="118"/>
      <c r="J66" s="175">
        <f>H66/DAY(B2)</f>
        <v>-24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'13'!F67</f>
        <v>103402</v>
      </c>
      <c r="F67" s="122">
        <v>103434</v>
      </c>
      <c r="G67" s="112">
        <f t="shared" si="6"/>
        <v>32</v>
      </c>
      <c r="H67" s="99">
        <f>G67+'13'!H67</f>
        <v>-494</v>
      </c>
      <c r="I67" s="118"/>
      <c r="J67" s="175">
        <f>H67/DAY(B2)</f>
        <v>-35.285714285714285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'13'!F68</f>
        <v>155968</v>
      </c>
      <c r="F68" s="122">
        <v>156009</v>
      </c>
      <c r="G68" s="112">
        <f t="shared" si="6"/>
        <v>41</v>
      </c>
      <c r="H68" s="99">
        <f>G68+'13'!H68</f>
        <v>-611</v>
      </c>
      <c r="I68" s="118"/>
      <c r="J68" s="175">
        <f>H68/DAY(B2)</f>
        <v>-43.642857142857146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'13'!F69</f>
        <v>10000</v>
      </c>
      <c r="F69" s="122">
        <v>10008</v>
      </c>
      <c r="G69" s="112">
        <f t="shared" si="6"/>
        <v>8</v>
      </c>
      <c r="H69" s="99">
        <f>G69+'13'!H69</f>
        <v>-206</v>
      </c>
      <c r="I69" s="118"/>
      <c r="J69" s="175">
        <f>H69/DAY(B2)</f>
        <v>-14.714285714285714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'13'!F70</f>
        <v>7682</v>
      </c>
      <c r="F70" s="122">
        <v>7691</v>
      </c>
      <c r="G70" s="112">
        <f t="shared" si="6"/>
        <v>9</v>
      </c>
      <c r="H70" s="99">
        <f>G70+'13'!H70</f>
        <v>-171</v>
      </c>
      <c r="I70" s="118"/>
      <c r="J70" s="175">
        <f>H70/DAY(B2)</f>
        <v>-12.214285714285714</v>
      </c>
      <c r="K70" s="69"/>
      <c r="L70" s="66"/>
      <c r="N70" s="87"/>
      <c r="O70" s="71"/>
    </row>
    <row r="71" spans="1:15" ht="27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213</v>
      </c>
      <c r="H71" s="99">
        <f>G71+'13'!H71</f>
        <v>-3575</v>
      </c>
      <c r="I71" s="154"/>
      <c r="J71" s="175">
        <f>H71/DAY(B2)</f>
        <v>-255.35714285714286</v>
      </c>
      <c r="K71" s="69"/>
      <c r="L71" s="66"/>
      <c r="N71" s="87"/>
      <c r="O71" s="71"/>
    </row>
    <row r="72" spans="1:15" s="88" customFormat="1" ht="27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56" t="s">
        <v>220</v>
      </c>
      <c r="B74" s="857"/>
      <c r="C74" s="858"/>
      <c r="D74" s="151" t="s">
        <v>139</v>
      </c>
      <c r="E74" s="95">
        <f>'13'!F74</f>
        <v>886346</v>
      </c>
      <c r="F74" s="117">
        <v>886667</v>
      </c>
      <c r="G74" s="112">
        <f t="shared" ref="G74:G78" si="7">F74-E74</f>
        <v>321</v>
      </c>
      <c r="H74" s="99">
        <f>G74+'13'!H74</f>
        <v>-5365</v>
      </c>
      <c r="I74" s="154"/>
      <c r="J74" s="175">
        <f>H74/DAY(B2)</f>
        <v>-383.21428571428572</v>
      </c>
      <c r="K74" s="69"/>
      <c r="L74" s="66"/>
      <c r="N74" s="87"/>
      <c r="O74" s="71"/>
    </row>
    <row r="75" spans="1:15" ht="27.75" customHeight="1" x14ac:dyDescent="0.5">
      <c r="A75" s="856" t="s">
        <v>221</v>
      </c>
      <c r="B75" s="857"/>
      <c r="C75" s="858"/>
      <c r="D75" s="151" t="s">
        <v>139</v>
      </c>
      <c r="E75" s="95">
        <f>'13'!F75</f>
        <v>73830.69</v>
      </c>
      <c r="F75" s="123">
        <v>73830.69</v>
      </c>
      <c r="G75" s="112">
        <f t="shared" si="7"/>
        <v>0</v>
      </c>
      <c r="H75" s="99">
        <f>G75+'13'!H75</f>
        <v>243.88999999999942</v>
      </c>
      <c r="I75" s="154"/>
      <c r="J75" s="175">
        <f>H75/DAY(B2)</f>
        <v>17.420714285714244</v>
      </c>
      <c r="K75" s="69"/>
      <c r="L75" s="66"/>
      <c r="N75" s="87"/>
      <c r="O75" s="71"/>
    </row>
    <row r="76" spans="1:15" ht="27.75" customHeight="1" x14ac:dyDescent="0.5">
      <c r="A76" s="853" t="s">
        <v>222</v>
      </c>
      <c r="B76" s="854"/>
      <c r="C76" s="855"/>
      <c r="D76" s="151" t="s">
        <v>139</v>
      </c>
      <c r="E76" s="95">
        <f>'13'!F76</f>
        <v>165102</v>
      </c>
      <c r="F76" s="123">
        <v>165212</v>
      </c>
      <c r="G76" s="112">
        <f t="shared" si="7"/>
        <v>110</v>
      </c>
      <c r="H76" s="99">
        <f>G76+'13'!H76</f>
        <v>-1995</v>
      </c>
      <c r="I76" s="154"/>
      <c r="J76" s="175">
        <f>H76/DAY(B2)</f>
        <v>-142.5</v>
      </c>
      <c r="K76" s="69"/>
      <c r="L76" s="66"/>
      <c r="N76" s="87"/>
      <c r="O76" s="71"/>
    </row>
    <row r="77" spans="1:15" ht="27.75" customHeight="1" x14ac:dyDescent="0.5">
      <c r="A77" s="853" t="s">
        <v>223</v>
      </c>
      <c r="B77" s="854"/>
      <c r="C77" s="855"/>
      <c r="D77" s="151" t="s">
        <v>139</v>
      </c>
      <c r="E77" s="95">
        <f>'13'!F77</f>
        <v>39442</v>
      </c>
      <c r="F77" s="123">
        <v>39481</v>
      </c>
      <c r="G77" s="112">
        <f t="shared" si="7"/>
        <v>39</v>
      </c>
      <c r="H77" s="99">
        <f>G77+'13'!H77</f>
        <v>-835</v>
      </c>
      <c r="I77" s="154"/>
      <c r="J77" s="175">
        <f>H77/DAY(B2)</f>
        <v>-59.642857142857146</v>
      </c>
      <c r="K77" s="69"/>
      <c r="L77" s="66"/>
      <c r="N77" s="87"/>
      <c r="O77" s="71"/>
    </row>
    <row r="78" spans="1:15" ht="27.75" customHeight="1" x14ac:dyDescent="0.5">
      <c r="A78" s="853" t="s">
        <v>224</v>
      </c>
      <c r="B78" s="854"/>
      <c r="C78" s="855"/>
      <c r="D78" s="151" t="s">
        <v>139</v>
      </c>
      <c r="E78" s="95">
        <f>'13'!F78</f>
        <v>9452</v>
      </c>
      <c r="F78" s="123">
        <v>9452</v>
      </c>
      <c r="G78" s="112">
        <f t="shared" si="7"/>
        <v>0</v>
      </c>
      <c r="H78" s="99">
        <f>G78+'13'!H78</f>
        <v>-34</v>
      </c>
      <c r="I78" s="118"/>
      <c r="J78" s="175">
        <f>H78/DAY(B2)</f>
        <v>-2.4285714285714284</v>
      </c>
      <c r="K78" s="69"/>
      <c r="L78" s="66"/>
      <c r="N78" s="87"/>
      <c r="O78" s="71"/>
    </row>
    <row r="79" spans="1:15" s="57" customFormat="1" ht="27.75" customHeight="1" x14ac:dyDescent="0.5">
      <c r="A79" s="853" t="s">
        <v>225</v>
      </c>
      <c r="B79" s="854"/>
      <c r="C79" s="855"/>
      <c r="D79" s="151"/>
      <c r="E79" s="95">
        <f>'13'!F79</f>
        <v>0</v>
      </c>
      <c r="F79" s="117"/>
      <c r="G79" s="112">
        <f>G15-SUM(G74:G78)</f>
        <v>630</v>
      </c>
      <c r="H79" s="99">
        <f>G79+'13'!H79</f>
        <v>21654.11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'13'!F84</f>
        <v>41675.760000000002</v>
      </c>
      <c r="F84" s="164">
        <v>41675.760000000002</v>
      </c>
      <c r="G84" s="112">
        <f t="shared" si="8"/>
        <v>0</v>
      </c>
      <c r="H84" s="99">
        <f>G84+'13'!H84</f>
        <v>0.76000000000203727</v>
      </c>
      <c r="I84" s="118"/>
      <c r="J84" s="175">
        <f>H84/DAY(B2)</f>
        <v>5.4285714285859807E-2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'13'!F85</f>
        <v>1717</v>
      </c>
      <c r="F85" s="164">
        <v>1724</v>
      </c>
      <c r="G85" s="112">
        <f t="shared" si="8"/>
        <v>7</v>
      </c>
      <c r="H85" s="99">
        <f>G85+'13'!H85</f>
        <v>-372.55999999999995</v>
      </c>
      <c r="I85" s="118">
        <f>G82+G83+G84+G85</f>
        <v>7</v>
      </c>
      <c r="J85" s="175">
        <f>H85/DAY(B2)</f>
        <v>-26.611428571428569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-36.529999999998836</v>
      </c>
      <c r="I86" s="118"/>
      <c r="J86" s="175">
        <f>H86/DAY(B2)</f>
        <v>-2.6092857142856309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'13'!F87</f>
        <v>34555.26</v>
      </c>
      <c r="F87" s="164">
        <v>34575</v>
      </c>
      <c r="G87" s="112">
        <f t="shared" si="8"/>
        <v>19.739999999997963</v>
      </c>
      <c r="H87" s="99">
        <f>G87+'13'!H87</f>
        <v>-23.55000000000291</v>
      </c>
      <c r="I87" s="118"/>
      <c r="J87" s="175">
        <f>H87/DAY(B2)</f>
        <v>-1.682142857143065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'13'!F88</f>
        <v>24005.53</v>
      </c>
      <c r="F88" s="164">
        <v>24005.53</v>
      </c>
      <c r="G88" s="112">
        <f t="shared" si="8"/>
        <v>0</v>
      </c>
      <c r="H88" s="99">
        <f>G88+'13'!H88</f>
        <v>-41.470000000001164</v>
      </c>
      <c r="I88" s="118">
        <f>G86+G87+G88</f>
        <v>19.739999999997963</v>
      </c>
      <c r="J88" s="175">
        <f>H88/DAY(B2)</f>
        <v>-2.9621428571429402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'13'!F89</f>
        <v>25518.17</v>
      </c>
      <c r="F89" s="164">
        <v>25529.89</v>
      </c>
      <c r="G89" s="112">
        <f t="shared" si="8"/>
        <v>11.720000000001164</v>
      </c>
      <c r="H89" s="99">
        <f>G89+'13'!H89</f>
        <v>-133.11000000000058</v>
      </c>
      <c r="I89" s="118"/>
      <c r="J89" s="175">
        <f>H89/DAY(B2)</f>
        <v>-9.5078571428571852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'13'!F90</f>
        <v>70921.03</v>
      </c>
      <c r="F90" s="164">
        <v>70927.199999999997</v>
      </c>
      <c r="G90" s="112">
        <f t="shared" si="8"/>
        <v>6.1699999999982538</v>
      </c>
      <c r="H90" s="99">
        <f>G90+'13'!H90</f>
        <v>-106.80000000000291</v>
      </c>
      <c r="I90" s="118">
        <f>G89+G90</f>
        <v>17.889999999999418</v>
      </c>
      <c r="J90" s="175">
        <f>H90/DAY(B2)</f>
        <v>-7.6285714285716368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'13'!F92</f>
        <v>5239.28</v>
      </c>
      <c r="F92" s="122">
        <v>5250.51</v>
      </c>
      <c r="G92" s="112">
        <f t="shared" si="8"/>
        <v>11.230000000000473</v>
      </c>
      <c r="H92" s="99">
        <f>G92+'13'!H92</f>
        <v>-187.48999999999978</v>
      </c>
      <c r="I92" s="165"/>
      <c r="J92" s="175">
        <f>H92/DAY(B2)</f>
        <v>-13.392142857142842</v>
      </c>
      <c r="O92" s="71"/>
    </row>
    <row r="93" spans="1:15" ht="27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6658</v>
      </c>
      <c r="H94" s="99">
        <f>G94+'13'!H94</f>
        <v>1915512</v>
      </c>
      <c r="I94" s="118"/>
      <c r="J94" s="175">
        <f>H94/DAY(B2)</f>
        <v>136822.28571428571</v>
      </c>
      <c r="K94" s="69"/>
      <c r="L94" s="66"/>
      <c r="O94" s="71"/>
    </row>
    <row r="95" spans="1:15" ht="27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0.28331914893617022</v>
      </c>
      <c r="H95" s="99">
        <f>G95+'13'!H95</f>
        <v>81.972508177279977</v>
      </c>
      <c r="I95" s="167"/>
      <c r="J95" s="175">
        <f>H95/DAY(B2)</f>
        <v>5.8551791555199983</v>
      </c>
      <c r="K95" s="69"/>
      <c r="L95" s="66"/>
      <c r="O95" s="71"/>
    </row>
    <row r="96" spans="1:15" ht="27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3919</v>
      </c>
      <c r="H96" s="99">
        <f>G96+'13'!H96</f>
        <v>1090950.46</v>
      </c>
      <c r="I96" s="118"/>
      <c r="J96" s="175">
        <f>H96/DAY(B2)</f>
        <v>77925.032857142854</v>
      </c>
      <c r="K96" s="69"/>
      <c r="L96" s="66"/>
      <c r="O96" s="71"/>
    </row>
    <row r="97" spans="1:15" ht="27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0.1667659574468085</v>
      </c>
      <c r="H97" s="99">
        <f>G97+'13'!H97</f>
        <v>46.666378275152681</v>
      </c>
      <c r="I97" s="167"/>
      <c r="J97" s="175">
        <f>H97/DAY(B2)</f>
        <v>3.333312733939477</v>
      </c>
      <c r="K97" s="69"/>
      <c r="L97" s="66"/>
      <c r="O97" s="71"/>
    </row>
    <row r="98" spans="1:15" ht="27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3022</v>
      </c>
      <c r="H98" s="99">
        <f>G98+'13'!H98</f>
        <v>384513</v>
      </c>
      <c r="I98" s="168"/>
      <c r="J98" s="175">
        <f>H98/DAY(B2)</f>
        <v>27465.214285714286</v>
      </c>
      <c r="K98" s="69"/>
      <c r="L98" s="66"/>
      <c r="O98" s="71"/>
    </row>
    <row r="99" spans="1:15" ht="27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0.12859574468085105</v>
      </c>
      <c r="H99" s="99">
        <f>G99+'13'!H99</f>
        <v>16.576205224013187</v>
      </c>
      <c r="I99" s="168"/>
      <c r="J99" s="175">
        <f>H99/DAY(B2)</f>
        <v>1.1840146588580847</v>
      </c>
      <c r="O99" s="71"/>
    </row>
    <row r="100" spans="1:15" ht="27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2029</v>
      </c>
      <c r="H100" s="99">
        <f>G100+'13'!H100</f>
        <v>212361</v>
      </c>
      <c r="I100" s="118"/>
      <c r="J100" s="175">
        <f>H100/DAY(B2)</f>
        <v>15168.642857142857</v>
      </c>
      <c r="K100" s="70"/>
      <c r="O100" s="71"/>
    </row>
    <row r="101" spans="1:15" ht="27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8.6340425531914899E-2</v>
      </c>
      <c r="H101" s="99">
        <f>G101+'13'!H101</f>
        <v>9.1675100191747525</v>
      </c>
      <c r="I101" s="168"/>
      <c r="J101" s="175">
        <f>H101/DAY(B2)</f>
        <v>0.65482214422676799</v>
      </c>
      <c r="O101" s="71"/>
    </row>
    <row r="102" spans="1:15" ht="27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2327</v>
      </c>
      <c r="H102" s="99">
        <f>G102+'13'!H102</f>
        <v>790854</v>
      </c>
      <c r="I102" s="168"/>
      <c r="J102" s="175">
        <f>H102/DAY(B2)</f>
        <v>56489.571428571428</v>
      </c>
      <c r="O102" s="71"/>
    </row>
    <row r="103" spans="1:15" ht="27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9.9021276595744681E-2</v>
      </c>
      <c r="H103" s="99">
        <f>G103+'13'!H103</f>
        <v>33.797700325056965</v>
      </c>
      <c r="I103" s="118"/>
      <c r="J103" s="175">
        <f>H103/DAY(B2)</f>
        <v>2.4141214517897831</v>
      </c>
      <c r="O103" s="71"/>
    </row>
    <row r="104" spans="1:15" ht="27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1598</v>
      </c>
      <c r="H104" s="99">
        <f>G104+'13'!H104</f>
        <v>180622</v>
      </c>
      <c r="I104" s="118"/>
      <c r="J104" s="175">
        <f>H104/DAY(B2)</f>
        <v>12901.571428571429</v>
      </c>
      <c r="O104" s="71"/>
    </row>
    <row r="105" spans="1:15" ht="27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6.8000000000000005E-2</v>
      </c>
      <c r="H105" s="99">
        <f>G105+'13'!H105</f>
        <v>7.8065074319231922</v>
      </c>
      <c r="I105" s="187"/>
      <c r="J105" s="188">
        <f>H105/DAY(B2)</f>
        <v>0.55760767370879949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7.75" customHeight="1" x14ac:dyDescent="0.5">
      <c r="A109" s="873"/>
      <c r="B109" s="873"/>
    </row>
    <row r="110" spans="1:15" ht="27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customHeight="1" x14ac:dyDescent="0.5">
      <c r="A112" s="835" t="s">
        <v>252</v>
      </c>
      <c r="B112" s="836"/>
      <c r="C112" s="837"/>
      <c r="D112" s="146" t="s">
        <v>183</v>
      </c>
      <c r="E112" s="95">
        <f>'13'!F112</f>
        <v>54399</v>
      </c>
      <c r="F112" s="237">
        <v>54471</v>
      </c>
      <c r="G112" s="112">
        <f t="shared" ref="G112:G123" si="9">F112-E112</f>
        <v>72</v>
      </c>
      <c r="H112" s="99">
        <f>G112+'13'!H112</f>
        <v>-1210</v>
      </c>
      <c r="I112" s="165"/>
      <c r="J112" s="330">
        <f>H112/DAY(B2)</f>
        <v>-86.428571428571431</v>
      </c>
    </row>
    <row r="113" spans="1:18" ht="27.75" customHeight="1" x14ac:dyDescent="0.5">
      <c r="A113" s="835" t="s">
        <v>253</v>
      </c>
      <c r="B113" s="836"/>
      <c r="C113" s="837"/>
      <c r="D113" s="146" t="s">
        <v>183</v>
      </c>
      <c r="E113" s="95">
        <f>'13'!F113</f>
        <v>23845</v>
      </c>
      <c r="F113" s="237">
        <v>24393</v>
      </c>
      <c r="G113" s="112">
        <f t="shared" si="9"/>
        <v>548</v>
      </c>
      <c r="H113" s="99">
        <f>G113+'13'!H113</f>
        <v>-7802</v>
      </c>
      <c r="I113" s="165"/>
      <c r="J113" s="330">
        <f>H113/DAY(B2)</f>
        <v>-557.28571428571433</v>
      </c>
    </row>
    <row r="114" spans="1:18" ht="27.75" customHeight="1" x14ac:dyDescent="0.5">
      <c r="A114" s="835" t="s">
        <v>254</v>
      </c>
      <c r="B114" s="836"/>
      <c r="C114" s="837"/>
      <c r="D114" s="146" t="s">
        <v>183</v>
      </c>
      <c r="E114" s="95">
        <f>'13'!F114</f>
        <v>18879</v>
      </c>
      <c r="F114" s="237">
        <v>19272</v>
      </c>
      <c r="G114" s="112">
        <f t="shared" si="9"/>
        <v>393</v>
      </c>
      <c r="H114" s="99">
        <f>G114+'13'!H114</f>
        <v>-5599</v>
      </c>
      <c r="I114" s="165"/>
      <c r="J114" s="330">
        <f>H114/DAY(B2)</f>
        <v>-399.92857142857144</v>
      </c>
    </row>
    <row r="115" spans="1:18" ht="27.75" customHeight="1" x14ac:dyDescent="0.5">
      <c r="A115" s="835" t="s">
        <v>255</v>
      </c>
      <c r="B115" s="836"/>
      <c r="C115" s="837"/>
      <c r="D115" s="146" t="s">
        <v>183</v>
      </c>
      <c r="E115" s="95">
        <f>'13'!F115</f>
        <v>8571</v>
      </c>
      <c r="F115" s="237">
        <v>8585</v>
      </c>
      <c r="G115" s="112">
        <f t="shared" si="9"/>
        <v>14</v>
      </c>
      <c r="H115" s="99">
        <f>G115+'13'!H115</f>
        <v>-200</v>
      </c>
      <c r="I115" s="165"/>
      <c r="J115" s="330">
        <f>H115/DAY(B2)</f>
        <v>-14.285714285714286</v>
      </c>
    </row>
    <row r="116" spans="1:18" ht="27.75" customHeight="1" x14ac:dyDescent="0.5">
      <c r="A116" s="842" t="s">
        <v>96</v>
      </c>
      <c r="B116" s="843"/>
      <c r="C116" s="844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customHeight="1" x14ac:dyDescent="0.5">
      <c r="A117" s="842" t="s">
        <v>184</v>
      </c>
      <c r="B117" s="843"/>
      <c r="C117" s="844"/>
      <c r="D117" s="146" t="s">
        <v>183</v>
      </c>
      <c r="E117" s="95">
        <f>'13'!F117</f>
        <v>2211</v>
      </c>
      <c r="F117" s="237">
        <v>2231</v>
      </c>
      <c r="G117" s="112">
        <f t="shared" si="9"/>
        <v>20</v>
      </c>
      <c r="H117" s="99">
        <f>G117+'13'!H117</f>
        <v>-359</v>
      </c>
      <c r="I117" s="165"/>
      <c r="J117" s="330">
        <f>H117/DAY(B2)</f>
        <v>-25.642857142857142</v>
      </c>
      <c r="Q117" s="835" t="s">
        <v>312</v>
      </c>
      <c r="R117" s="837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'13'!F118</f>
        <v>234618</v>
      </c>
      <c r="F118" s="237">
        <v>235044</v>
      </c>
      <c r="G118" s="112">
        <f t="shared" si="9"/>
        <v>426</v>
      </c>
      <c r="H118" s="99">
        <f>G118+'13'!H118</f>
        <v>-6603</v>
      </c>
      <c r="I118" s="165"/>
      <c r="J118" s="330">
        <f>H118/DAY(B2)</f>
        <v>-471.64285714285717</v>
      </c>
      <c r="Q118" s="835" t="s">
        <v>311</v>
      </c>
      <c r="R118" s="837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'13'!F119</f>
        <v>237446</v>
      </c>
      <c r="F119" s="237">
        <v>237861</v>
      </c>
      <c r="G119" s="112">
        <f t="shared" si="9"/>
        <v>415</v>
      </c>
      <c r="H119" s="99">
        <f>G119+'13'!H119</f>
        <v>-7265</v>
      </c>
      <c r="I119" s="165"/>
      <c r="J119" s="330">
        <f>H119/DAY(B2)</f>
        <v>-518.92857142857144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'13'!F120</f>
        <v>22680</v>
      </c>
      <c r="F120" s="237">
        <v>23066</v>
      </c>
      <c r="G120" s="112">
        <f t="shared" si="9"/>
        <v>386</v>
      </c>
      <c r="H120" s="99">
        <f>G120+'13'!H120</f>
        <v>-7012</v>
      </c>
      <c r="I120" s="165"/>
      <c r="J120" s="330">
        <f>H120/DAY(B2)</f>
        <v>-500.85714285714283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'13'!F121</f>
        <v>362622</v>
      </c>
      <c r="F121" s="237">
        <v>363373</v>
      </c>
      <c r="G121" s="112">
        <f t="shared" si="9"/>
        <v>751</v>
      </c>
      <c r="H121" s="99">
        <f>G121+'13'!H121</f>
        <v>-13156</v>
      </c>
      <c r="I121" s="165"/>
      <c r="J121" s="330">
        <f>H121/DAY(B2)</f>
        <v>-939.71428571428567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'13'!F122</f>
        <v>115150</v>
      </c>
      <c r="F122" s="237">
        <v>115488</v>
      </c>
      <c r="G122" s="112">
        <f t="shared" si="9"/>
        <v>338</v>
      </c>
      <c r="H122" s="99">
        <f>G122+'13'!H122</f>
        <v>-4562</v>
      </c>
      <c r="I122" s="165"/>
      <c r="J122" s="330">
        <f>H122/DAY(B2)</f>
        <v>-325.85714285714283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'13'!F123</f>
        <v>138568</v>
      </c>
      <c r="F123" s="237">
        <v>138931</v>
      </c>
      <c r="G123" s="112">
        <f t="shared" si="9"/>
        <v>363</v>
      </c>
      <c r="H123" s="99">
        <f>G123+'13'!H123</f>
        <v>-6194</v>
      </c>
      <c r="I123" s="165"/>
      <c r="J123" s="330">
        <f>H123/DAY(B2)</f>
        <v>-442.42857142857144</v>
      </c>
    </row>
    <row r="124" spans="1:18" ht="27.7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3726</v>
      </c>
      <c r="H125" s="156"/>
      <c r="I125" s="329">
        <f>G125-(G39+G53)</f>
        <v>704</v>
      </c>
      <c r="J125" s="329"/>
    </row>
    <row r="126" spans="1:18" ht="27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G127+'13'!H127</f>
        <v>0</v>
      </c>
      <c r="I127" s="165"/>
      <c r="J127" s="330">
        <f>H127/DAY(B2)</f>
        <v>0</v>
      </c>
    </row>
    <row r="128" spans="1:18" ht="27.75" customHeight="1" x14ac:dyDescent="0.5">
      <c r="A128" s="835" t="s">
        <v>318</v>
      </c>
      <c r="B128" s="836"/>
      <c r="C128" s="837"/>
      <c r="D128" s="151" t="s">
        <v>183</v>
      </c>
      <c r="E128" s="95">
        <f>'13'!F128</f>
        <v>31888</v>
      </c>
      <c r="F128" s="165">
        <v>32278</v>
      </c>
      <c r="G128" s="112">
        <f t="shared" ref="G128:G134" si="10">F128-E128</f>
        <v>390</v>
      </c>
      <c r="H128" s="99">
        <f>G128+'13'!H128</f>
        <v>-5726</v>
      </c>
      <c r="I128" s="165"/>
      <c r="J128" s="330">
        <f>H128/DAY(B2)</f>
        <v>-409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'13'!F129</f>
        <v>16194</v>
      </c>
      <c r="F129" s="165">
        <v>16474</v>
      </c>
      <c r="G129" s="112">
        <f t="shared" si="10"/>
        <v>280</v>
      </c>
      <c r="H129" s="99">
        <f>G129+'13'!H129</f>
        <v>-3847</v>
      </c>
      <c r="I129" s="165"/>
      <c r="J129" s="330">
        <f>H129/DAY(B2)</f>
        <v>-274.78571428571428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'13'!F130</f>
        <v>5668</v>
      </c>
      <c r="F130" s="165">
        <v>5917</v>
      </c>
      <c r="G130" s="112">
        <f t="shared" si="10"/>
        <v>249</v>
      </c>
      <c r="H130" s="99">
        <f>G130+'13'!H130</f>
        <v>-12465</v>
      </c>
      <c r="I130" s="165"/>
      <c r="J130" s="330">
        <f>H130/DAY(B2)</f>
        <v>-890.35714285714289</v>
      </c>
      <c r="N130" s="240"/>
      <c r="O130" s="241"/>
    </row>
    <row r="131" spans="1:15" ht="27.75" customHeight="1" x14ac:dyDescent="0.5">
      <c r="A131" s="835" t="s">
        <v>321</v>
      </c>
      <c r="B131" s="836"/>
      <c r="C131" s="837"/>
      <c r="D131" s="151" t="s">
        <v>183</v>
      </c>
      <c r="E131" s="95">
        <f>'13'!F131</f>
        <v>11174</v>
      </c>
      <c r="F131" s="165">
        <v>11351</v>
      </c>
      <c r="G131" s="112">
        <f t="shared" si="10"/>
        <v>177</v>
      </c>
      <c r="H131" s="99">
        <f>G131+'13'!H131</f>
        <v>-1802</v>
      </c>
      <c r="I131" s="165"/>
      <c r="J131" s="330">
        <f>H131/DAY(B2)</f>
        <v>-128.71428571428572</v>
      </c>
      <c r="N131" s="240"/>
      <c r="O131" s="241"/>
    </row>
    <row r="132" spans="1:15" ht="27.75" customHeight="1" x14ac:dyDescent="0.5">
      <c r="A132" s="835" t="s">
        <v>322</v>
      </c>
      <c r="B132" s="836"/>
      <c r="C132" s="837"/>
      <c r="D132" s="151" t="s">
        <v>183</v>
      </c>
      <c r="E132" s="95">
        <f>'13'!F132</f>
        <v>32143</v>
      </c>
      <c r="F132" s="165">
        <v>32624</v>
      </c>
      <c r="G132" s="112">
        <f t="shared" si="10"/>
        <v>481</v>
      </c>
      <c r="H132" s="99">
        <f>G132+'13'!H132</f>
        <v>-8399</v>
      </c>
      <c r="I132" s="165"/>
      <c r="J132" s="330">
        <f>H132/DAY(B2)</f>
        <v>-599.92857142857144</v>
      </c>
    </row>
    <row r="133" spans="1:15" ht="27.75" customHeight="1" x14ac:dyDescent="0.5">
      <c r="A133" s="835" t="s">
        <v>341</v>
      </c>
      <c r="B133" s="836"/>
      <c r="C133" s="837"/>
      <c r="D133" s="151" t="s">
        <v>183</v>
      </c>
      <c r="E133" s="95">
        <f>'13'!F133</f>
        <v>74477</v>
      </c>
      <c r="F133" s="165">
        <v>75310</v>
      </c>
      <c r="G133" s="112">
        <f t="shared" si="10"/>
        <v>833</v>
      </c>
      <c r="H133" s="99">
        <f>G133+'13'!H133</f>
        <v>-12393</v>
      </c>
      <c r="I133" s="165"/>
      <c r="J133" s="330">
        <f>H133/DAY(B2)</f>
        <v>-885.21428571428567</v>
      </c>
    </row>
    <row r="134" spans="1:15" ht="27.75" customHeight="1" x14ac:dyDescent="0.5">
      <c r="A134" s="835" t="s">
        <v>340</v>
      </c>
      <c r="B134" s="836"/>
      <c r="C134" s="837"/>
      <c r="D134" s="151" t="s">
        <v>183</v>
      </c>
      <c r="E134" s="95">
        <f>'13'!F134</f>
        <v>659428</v>
      </c>
      <c r="F134" s="165">
        <v>660040</v>
      </c>
      <c r="G134" s="112">
        <f t="shared" si="10"/>
        <v>612</v>
      </c>
      <c r="H134" s="99">
        <f>G134+'13'!H134</f>
        <v>8906</v>
      </c>
      <c r="I134" s="165"/>
      <c r="J134" s="330">
        <f>H134/DAY(B2)</f>
        <v>636.14285714285711</v>
      </c>
    </row>
    <row r="135" spans="1:15" ht="27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3022</v>
      </c>
      <c r="H135" s="119">
        <f>H128+H134</f>
        <v>3180</v>
      </c>
      <c r="I135" s="329">
        <f>G135-(G35+G49)</f>
        <v>-868</v>
      </c>
      <c r="J135" s="330">
        <f>H135/DAY(B2)</f>
        <v>227.14285714285714</v>
      </c>
    </row>
    <row r="136" spans="1:15" ht="27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'13'!F138</f>
        <v>862114</v>
      </c>
      <c r="F138" s="147">
        <v>862237</v>
      </c>
      <c r="G138" s="112">
        <f t="shared" ref="G138:G152" si="11">F138-E138</f>
        <v>123</v>
      </c>
      <c r="H138" s="99">
        <f>G138+'13'!H138</f>
        <v>-1934</v>
      </c>
      <c r="I138" s="118"/>
      <c r="J138" s="330">
        <f>H138/DAY(B2)</f>
        <v>-138.14285714285714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'13'!F139</f>
        <v>886366</v>
      </c>
      <c r="F139" s="148">
        <v>886370</v>
      </c>
      <c r="G139" s="112">
        <f t="shared" si="11"/>
        <v>4</v>
      </c>
      <c r="H139" s="99">
        <f>G139+'13'!H139</f>
        <v>-176</v>
      </c>
      <c r="I139" s="118"/>
      <c r="J139" s="330">
        <f>H139/DAY(B2)</f>
        <v>-12.571428571428571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'13'!F140</f>
        <v>88864</v>
      </c>
      <c r="F140" s="149">
        <v>88864</v>
      </c>
      <c r="G140" s="112">
        <f t="shared" si="11"/>
        <v>0</v>
      </c>
      <c r="H140" s="99">
        <f>G140+'13'!H140</f>
        <v>-18</v>
      </c>
      <c r="I140" s="118"/>
      <c r="J140" s="330">
        <f>H140/DAY(B2)</f>
        <v>-1.2857142857142858</v>
      </c>
    </row>
    <row r="141" spans="1:15" ht="27.75" customHeight="1" x14ac:dyDescent="0.5">
      <c r="A141" s="815" t="s">
        <v>188</v>
      </c>
      <c r="B141" s="815"/>
      <c r="C141" s="815"/>
      <c r="D141" s="151" t="s">
        <v>183</v>
      </c>
      <c r="E141" s="95">
        <f>'13'!F141</f>
        <v>45712</v>
      </c>
      <c r="F141" s="149">
        <v>45897</v>
      </c>
      <c r="G141" s="112">
        <f t="shared" si="11"/>
        <v>185</v>
      </c>
      <c r="H141" s="99">
        <f>G141+'13'!H141</f>
        <v>-3409</v>
      </c>
      <c r="I141" s="118"/>
      <c r="J141" s="330">
        <f>H141/DAY(B2)</f>
        <v>-243.5</v>
      </c>
    </row>
    <row r="142" spans="1:15" ht="27.75" customHeight="1" x14ac:dyDescent="0.5">
      <c r="A142" s="815" t="s">
        <v>189</v>
      </c>
      <c r="B142" s="815"/>
      <c r="C142" s="815"/>
      <c r="D142" s="151" t="s">
        <v>183</v>
      </c>
      <c r="E142" s="95">
        <f>'13'!F142</f>
        <v>17689</v>
      </c>
      <c r="F142" s="148">
        <v>17744</v>
      </c>
      <c r="G142" s="112">
        <f t="shared" si="11"/>
        <v>55</v>
      </c>
      <c r="H142" s="99">
        <f>G142+'13'!H142</f>
        <v>-1265</v>
      </c>
      <c r="I142" s="140"/>
      <c r="J142" s="330">
        <f>H142/DAY(B2)</f>
        <v>-90.357142857142861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'13'!F143</f>
        <v>2584</v>
      </c>
      <c r="F143" s="149">
        <v>2615</v>
      </c>
      <c r="G143" s="112">
        <f t="shared" si="11"/>
        <v>31</v>
      </c>
      <c r="H143" s="99">
        <f>G143+'13'!H143</f>
        <v>-446</v>
      </c>
      <c r="I143" s="140"/>
      <c r="J143" s="330">
        <f>H143/DAY(B2)</f>
        <v>-31.857142857142858</v>
      </c>
    </row>
    <row r="144" spans="1:15" ht="27.75" customHeight="1" x14ac:dyDescent="0.5">
      <c r="A144" s="815" t="s">
        <v>90</v>
      </c>
      <c r="B144" s="815"/>
      <c r="C144" s="815"/>
      <c r="D144" s="151" t="s">
        <v>183</v>
      </c>
      <c r="E144" s="95">
        <f>'13'!F144</f>
        <v>865390</v>
      </c>
      <c r="F144" s="149">
        <v>865623</v>
      </c>
      <c r="G144" s="112">
        <f t="shared" si="11"/>
        <v>233</v>
      </c>
      <c r="H144" s="99">
        <f>G144+'13'!H144</f>
        <v>-4047</v>
      </c>
      <c r="I144" s="140"/>
      <c r="J144" s="330">
        <f>H144/DAY(B2)</f>
        <v>-289.07142857142856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'13'!F145</f>
        <v>4057</v>
      </c>
      <c r="F145" s="149">
        <v>4112</v>
      </c>
      <c r="G145" s="112">
        <f t="shared" si="11"/>
        <v>55</v>
      </c>
      <c r="H145" s="99">
        <f>G145+'13'!H145</f>
        <v>-446</v>
      </c>
      <c r="I145" s="140"/>
      <c r="J145" s="330">
        <f>H145/DAY(B2)</f>
        <v>-31.857142857142858</v>
      </c>
    </row>
    <row r="146" spans="1:10" ht="27.75" customHeight="1" x14ac:dyDescent="0.5">
      <c r="A146" s="869" t="s">
        <v>191</v>
      </c>
      <c r="B146" s="854"/>
      <c r="C146" s="855"/>
      <c r="D146" s="152" t="s">
        <v>183</v>
      </c>
      <c r="E146" s="95">
        <f>'13'!F146</f>
        <v>716353</v>
      </c>
      <c r="F146" s="148">
        <v>716780</v>
      </c>
      <c r="G146" s="112">
        <f t="shared" si="11"/>
        <v>427</v>
      </c>
      <c r="H146" s="99">
        <f>G146+'13'!H146</f>
        <v>-8078</v>
      </c>
      <c r="I146" s="140"/>
      <c r="J146" s="330">
        <f>H146/DAY(B2)</f>
        <v>-577</v>
      </c>
    </row>
    <row r="147" spans="1:10" ht="27.75" customHeight="1" x14ac:dyDescent="0.5">
      <c r="A147" s="815" t="s">
        <v>192</v>
      </c>
      <c r="B147" s="815"/>
      <c r="C147" s="815"/>
      <c r="D147" s="152" t="s">
        <v>183</v>
      </c>
      <c r="E147" s="95">
        <f>'13'!F147</f>
        <v>607840</v>
      </c>
      <c r="F147" s="148">
        <v>608245</v>
      </c>
      <c r="G147" s="112">
        <f t="shared" si="11"/>
        <v>405</v>
      </c>
      <c r="H147" s="99">
        <f>G147+'13'!H147</f>
        <v>-7037</v>
      </c>
      <c r="I147" s="140"/>
      <c r="J147" s="330">
        <f>H147/DAY(B2)</f>
        <v>-502.64285714285717</v>
      </c>
    </row>
    <row r="148" spans="1:10" ht="27.75" customHeight="1" x14ac:dyDescent="0.5">
      <c r="A148" s="816" t="s">
        <v>193</v>
      </c>
      <c r="B148" s="817"/>
      <c r="C148" s="818"/>
      <c r="D148" s="123" t="s">
        <v>130</v>
      </c>
      <c r="E148" s="95">
        <f>'13'!F148</f>
        <v>677644</v>
      </c>
      <c r="F148" s="150">
        <v>677965</v>
      </c>
      <c r="G148" s="112">
        <f t="shared" si="11"/>
        <v>321</v>
      </c>
      <c r="H148" s="99">
        <f>G148+'13'!H148</f>
        <v>-5068.1199999999953</v>
      </c>
      <c r="I148" s="124"/>
      <c r="J148" s="330">
        <f>H148/DAY(B2)</f>
        <v>-362.00857142857109</v>
      </c>
    </row>
    <row r="149" spans="1:10" ht="27.75" customHeight="1" x14ac:dyDescent="0.5">
      <c r="A149" s="816" t="s">
        <v>336</v>
      </c>
      <c r="B149" s="817"/>
      <c r="C149" s="818"/>
      <c r="D149" s="227" t="s">
        <v>130</v>
      </c>
      <c r="E149" s="95">
        <f>'13'!F149</f>
        <v>570</v>
      </c>
      <c r="F149" s="146">
        <v>89195</v>
      </c>
      <c r="G149" s="112">
        <f t="shared" si="11"/>
        <v>88625</v>
      </c>
      <c r="H149" s="99">
        <f>G149+'13'!H149</f>
        <v>178329</v>
      </c>
      <c r="I149" s="119"/>
      <c r="J149" s="330">
        <f>H149/DAY(B2)</f>
        <v>12737.785714285714</v>
      </c>
    </row>
    <row r="150" spans="1:10" ht="27.75" customHeight="1" x14ac:dyDescent="0.5">
      <c r="A150" s="816" t="s">
        <v>337</v>
      </c>
      <c r="B150" s="817"/>
      <c r="C150" s="818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7163180</v>
      </c>
      <c r="I150" s="119"/>
      <c r="J150" s="330">
        <f>H150/DAY(B2)</f>
        <v>511655.71428571426</v>
      </c>
    </row>
    <row r="151" spans="1:10" ht="27.75" customHeight="1" x14ac:dyDescent="0.5">
      <c r="A151" s="816" t="s">
        <v>338</v>
      </c>
      <c r="B151" s="817"/>
      <c r="C151" s="818"/>
      <c r="D151" s="117" t="s">
        <v>130</v>
      </c>
      <c r="E151" s="95">
        <f>'13'!F151</f>
        <v>73812</v>
      </c>
      <c r="F151" s="233">
        <v>74207</v>
      </c>
      <c r="G151" s="112">
        <f t="shared" si="11"/>
        <v>395</v>
      </c>
      <c r="H151" s="99">
        <f>G151+'13'!H151</f>
        <v>-4010</v>
      </c>
      <c r="I151" s="119"/>
      <c r="J151" s="330">
        <f>H151/DAY(B2)</f>
        <v>-286.42857142857144</v>
      </c>
    </row>
    <row r="152" spans="1:10" ht="27.75" customHeight="1" x14ac:dyDescent="0.5">
      <c r="A152" s="816" t="s">
        <v>339</v>
      </c>
      <c r="B152" s="817"/>
      <c r="C152" s="818"/>
      <c r="D152" s="117" t="s">
        <v>130</v>
      </c>
      <c r="E152" s="95">
        <f>'13'!F152</f>
        <v>195</v>
      </c>
      <c r="F152" s="233">
        <v>253</v>
      </c>
      <c r="G152" s="112">
        <f t="shared" si="11"/>
        <v>58</v>
      </c>
      <c r="H152" s="99">
        <f>G152+'13'!H152</f>
        <v>-874</v>
      </c>
      <c r="I152" s="119"/>
      <c r="J152" s="330">
        <f>H152/DAY(B2)</f>
        <v>-62.428571428571431</v>
      </c>
    </row>
    <row r="153" spans="1:10" ht="27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90917</v>
      </c>
      <c r="H153" s="365"/>
      <c r="I153" s="119">
        <f>G153-(G38+G52)</f>
        <v>88888</v>
      </c>
      <c r="J153" s="368"/>
    </row>
    <row r="154" spans="1:10" ht="27.75" customHeight="1" x14ac:dyDescent="0.55000000000000004">
      <c r="A154" s="823"/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7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'13'!F155</f>
        <v>666</v>
      </c>
      <c r="F155" s="376">
        <v>1303</v>
      </c>
      <c r="G155" s="112">
        <f t="shared" ref="G155:G156" si="12">F155-E155</f>
        <v>637</v>
      </c>
      <c r="H155" s="99">
        <f>G155+'13'!H155</f>
        <v>65448</v>
      </c>
      <c r="I155" s="366"/>
      <c r="J155" s="330">
        <f>H155/DAY(B2)</f>
        <v>4674.8571428571431</v>
      </c>
    </row>
    <row r="156" spans="1:10" ht="27.75" customHeight="1" x14ac:dyDescent="0.5">
      <c r="A156" s="815" t="s">
        <v>347</v>
      </c>
      <c r="B156" s="815"/>
      <c r="C156" s="815"/>
      <c r="D156" s="117" t="s">
        <v>130</v>
      </c>
      <c r="E156" s="95">
        <f>'13'!F156</f>
        <v>48</v>
      </c>
      <c r="F156" s="155">
        <v>100</v>
      </c>
      <c r="G156" s="112">
        <f t="shared" si="12"/>
        <v>52</v>
      </c>
      <c r="H156" s="99">
        <f>G156+'13'!H156</f>
        <v>-988</v>
      </c>
      <c r="I156" s="165"/>
      <c r="J156" s="330">
        <f>H156/DAY(B2)</f>
        <v>-70.571428571428569</v>
      </c>
    </row>
    <row r="157" spans="1:10" ht="27.75" customHeight="1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customHeight="1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27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471123</v>
      </c>
      <c r="F161" s="235">
        <v>471128</v>
      </c>
      <c r="G161" s="238">
        <f t="shared" ref="G161:G165" si="13">F161-E161</f>
        <v>5</v>
      </c>
      <c r="H161" s="99">
        <f>G161+'13'!H161</f>
        <v>-25.159999999974389</v>
      </c>
      <c r="I161" s="236"/>
      <c r="J161" s="239">
        <f>H161/DAY(B2)</f>
        <v>-1.7971428571410277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87040</v>
      </c>
      <c r="F162" s="235">
        <v>87077</v>
      </c>
      <c r="G162" s="238">
        <f t="shared" si="13"/>
        <v>37</v>
      </c>
      <c r="H162" s="99">
        <f>G162+'13'!H162</f>
        <v>-493</v>
      </c>
      <c r="I162" s="236"/>
      <c r="J162" s="239">
        <f>H162/DAY(B2)</f>
        <v>-35.214285714285715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76519</v>
      </c>
      <c r="F163" s="235">
        <v>76644</v>
      </c>
      <c r="G163" s="238">
        <f t="shared" si="13"/>
        <v>125</v>
      </c>
      <c r="H163" s="99">
        <f>G163+'13'!H163</f>
        <v>-1181</v>
      </c>
      <c r="I163" s="236"/>
      <c r="J163" s="239">
        <f>H163/DAY(B2)</f>
        <v>-84.357142857142861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4163</v>
      </c>
      <c r="F164" s="235">
        <v>4171</v>
      </c>
      <c r="G164" s="238">
        <f t="shared" si="13"/>
        <v>8</v>
      </c>
      <c r="H164" s="99">
        <f>G164+'13'!H164</f>
        <v>-71</v>
      </c>
      <c r="I164" s="236"/>
      <c r="J164" s="239">
        <f>H164/DAY(B2)</f>
        <v>-5.0714285714285712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29522</v>
      </c>
      <c r="F165" s="235">
        <v>29531</v>
      </c>
      <c r="G165" s="238">
        <f t="shared" si="13"/>
        <v>9</v>
      </c>
      <c r="H165" s="99">
        <f>G165+'13'!H165</f>
        <v>-115</v>
      </c>
      <c r="I165" s="236"/>
      <c r="J165" s="239">
        <f>H165/DAY(B2)</f>
        <v>-8.2142857142857135</v>
      </c>
    </row>
    <row r="166" spans="1:10" ht="27.75" customHeight="1" x14ac:dyDescent="0.5">
      <c r="A166" s="824"/>
      <c r="B166" s="824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24"/>
      <c r="B167" s="824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24"/>
      <c r="B168" s="824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28" t="s">
        <v>209</v>
      </c>
      <c r="B173" s="829"/>
      <c r="C173" s="335"/>
      <c r="D173" s="228" t="s">
        <v>142</v>
      </c>
      <c r="E173" s="95">
        <f>'13'!F173</f>
        <v>8110</v>
      </c>
      <c r="F173" s="155">
        <v>8110</v>
      </c>
      <c r="G173" s="155">
        <f>F173-E173</f>
        <v>0</v>
      </c>
      <c r="H173" s="99">
        <f>G173+'13'!H173</f>
        <v>-16</v>
      </c>
      <c r="I173" s="155"/>
      <c r="J173" s="178">
        <f>H173/DAY(B2)</f>
        <v>-1.1428571428571428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v>38021</v>
      </c>
      <c r="F174" s="157">
        <v>38037</v>
      </c>
      <c r="G174" s="155">
        <f t="shared" ref="G174:G175" si="14">F174-E174</f>
        <v>16</v>
      </c>
      <c r="H174" s="99">
        <f>G174+'13'!H174</f>
        <v>-250</v>
      </c>
      <c r="I174" s="155"/>
      <c r="J174" s="178">
        <f>H174/DAY(B2)</f>
        <v>-17.857142857142858</v>
      </c>
    </row>
    <row r="175" spans="1:10" ht="27.75" customHeight="1" x14ac:dyDescent="0.5">
      <c r="A175" s="828" t="s">
        <v>76</v>
      </c>
      <c r="B175" s="868"/>
      <c r="C175" s="829"/>
      <c r="D175" s="228" t="s">
        <v>142</v>
      </c>
      <c r="E175" s="95">
        <f>'13'!F175</f>
        <v>21305</v>
      </c>
      <c r="F175" s="155">
        <v>21319</v>
      </c>
      <c r="G175" s="155">
        <f t="shared" si="14"/>
        <v>14</v>
      </c>
      <c r="H175" s="99">
        <f>G175+'13'!H175</f>
        <v>-199</v>
      </c>
      <c r="I175" s="155"/>
      <c r="J175" s="178">
        <f>H175/DAY(B2)</f>
        <v>-14.214285714285714</v>
      </c>
    </row>
    <row r="176" spans="1:10" ht="27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30</v>
      </c>
      <c r="H176" s="99">
        <f>G176+'13'!H176</f>
        <v>-465</v>
      </c>
      <c r="I176" s="155"/>
      <c r="J176" s="178">
        <f>H176/DAY(B2)</f>
        <v>-33.214285714285715</v>
      </c>
    </row>
    <row r="177" spans="1:10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28" t="s">
        <v>210</v>
      </c>
      <c r="B178" s="829"/>
      <c r="C178" s="335"/>
      <c r="D178" s="228" t="s">
        <v>142</v>
      </c>
      <c r="E178" s="95">
        <f>'13'!F178</f>
        <v>78358</v>
      </c>
      <c r="F178" s="155">
        <v>78413</v>
      </c>
      <c r="G178" s="155">
        <f>F178-E178</f>
        <v>55</v>
      </c>
      <c r="H178" s="99">
        <f>G178+'13'!H178</f>
        <v>-1201</v>
      </c>
      <c r="I178" s="155"/>
      <c r="J178" s="178">
        <f>H178/DAY(B2)</f>
        <v>-85.785714285714292</v>
      </c>
    </row>
    <row r="179" spans="1:10" ht="27.75" customHeight="1" x14ac:dyDescent="0.5">
      <c r="A179" s="828" t="s">
        <v>211</v>
      </c>
      <c r="B179" s="829"/>
      <c r="C179" s="335"/>
      <c r="D179" s="228" t="s">
        <v>142</v>
      </c>
      <c r="E179" s="95">
        <f>'13'!F179</f>
        <v>33888</v>
      </c>
      <c r="F179" s="155">
        <v>33888</v>
      </c>
      <c r="G179" s="155">
        <f t="shared" ref="G179:G180" si="15">F179-E179</f>
        <v>0</v>
      </c>
      <c r="H179" s="99">
        <f>G179+'13'!H179</f>
        <v>-27</v>
      </c>
      <c r="I179" s="155"/>
      <c r="J179" s="178">
        <f>H179/DAY(B2)</f>
        <v>-1.9285714285714286</v>
      </c>
    </row>
    <row r="180" spans="1:10" ht="27.75" customHeight="1" x14ac:dyDescent="0.5">
      <c r="A180" s="828" t="s">
        <v>212</v>
      </c>
      <c r="B180" s="829"/>
      <c r="C180" s="335"/>
      <c r="D180" s="228" t="s">
        <v>142</v>
      </c>
      <c r="E180" s="95">
        <f>'13'!F180</f>
        <v>5351</v>
      </c>
      <c r="F180" s="155">
        <v>5363</v>
      </c>
      <c r="G180" s="155">
        <f t="shared" si="15"/>
        <v>12</v>
      </c>
      <c r="H180" s="99">
        <f>G180+'13'!H180</f>
        <v>-114</v>
      </c>
      <c r="I180" s="155"/>
      <c r="J180" s="178">
        <f>H180/DAY(B2)</f>
        <v>-8.1428571428571423</v>
      </c>
    </row>
    <row r="181" spans="1:10" ht="27.75" customHeight="1" x14ac:dyDescent="0.5">
      <c r="A181" s="830" t="s">
        <v>108</v>
      </c>
      <c r="B181" s="831"/>
      <c r="C181" s="487"/>
      <c r="D181" s="228" t="s">
        <v>142</v>
      </c>
      <c r="E181" s="95"/>
      <c r="F181" s="155" t="s">
        <v>207</v>
      </c>
      <c r="G181" s="155">
        <f>SUM(G178:G180)</f>
        <v>67</v>
      </c>
      <c r="H181" s="99">
        <f>G181+'13'!H181</f>
        <v>-1342</v>
      </c>
      <c r="I181" s="155"/>
      <c r="J181" s="178">
        <f>H181/DAY(B2)</f>
        <v>-95.857142857142861</v>
      </c>
    </row>
    <row r="182" spans="1:10" ht="27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28" t="s">
        <v>214</v>
      </c>
      <c r="B183" s="829"/>
      <c r="C183" s="336"/>
      <c r="D183" s="228" t="s">
        <v>142</v>
      </c>
      <c r="E183" s="95">
        <f>'13'!F183</f>
        <v>14688</v>
      </c>
      <c r="F183" s="157">
        <v>14697</v>
      </c>
      <c r="G183" s="157">
        <f>F183-E183</f>
        <v>9</v>
      </c>
      <c r="H183" s="99">
        <f>G183+'13'!H183</f>
        <v>-250</v>
      </c>
      <c r="I183" s="155"/>
      <c r="J183" s="178">
        <f>H183/DAY(B2)</f>
        <v>-17.857142857142858</v>
      </c>
    </row>
    <row r="184" spans="1:10" ht="27.75" customHeight="1" x14ac:dyDescent="0.5">
      <c r="A184" s="828" t="s">
        <v>215</v>
      </c>
      <c r="B184" s="829"/>
      <c r="C184" s="336"/>
      <c r="D184" s="228" t="s">
        <v>142</v>
      </c>
      <c r="E184" s="95">
        <f>'13'!F184</f>
        <v>10148</v>
      </c>
      <c r="F184" s="157">
        <v>10157</v>
      </c>
      <c r="G184" s="157">
        <f t="shared" ref="G184:G185" si="16">F184-E184</f>
        <v>9</v>
      </c>
      <c r="H184" s="99">
        <f>G184+'13'!H184</f>
        <v>-144</v>
      </c>
      <c r="I184" s="155"/>
      <c r="J184" s="178">
        <f>H184/DAY(B2)</f>
        <v>-10.285714285714286</v>
      </c>
    </row>
    <row r="185" spans="1:10" ht="27.75" customHeight="1" x14ac:dyDescent="0.5">
      <c r="A185" s="828" t="s">
        <v>216</v>
      </c>
      <c r="B185" s="829"/>
      <c r="C185" s="336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18</v>
      </c>
      <c r="H186" s="99">
        <f>G186+'13'!H186</f>
        <v>-394</v>
      </c>
      <c r="I186" s="157"/>
      <c r="J186" s="178">
        <f>H186/DAY(B2)</f>
        <v>-28.142857142857142</v>
      </c>
    </row>
    <row r="187" spans="1:10" ht="27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198</v>
      </c>
      <c r="H187" s="99">
        <f>G187+'13'!H187</f>
        <v>-1238</v>
      </c>
      <c r="I187" s="158"/>
      <c r="J187" s="179">
        <f>H187/DAY(B2)</f>
        <v>-88.428571428571431</v>
      </c>
    </row>
    <row r="188" spans="1:10" ht="27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172</v>
      </c>
      <c r="H188" s="99"/>
      <c r="I188" s="158"/>
      <c r="J188" s="491">
        <f>H188/DAY(B2)</f>
        <v>0</v>
      </c>
    </row>
    <row r="189" spans="1:10" ht="27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67</v>
      </c>
      <c r="H189" s="99">
        <f>G189+'13'!H189</f>
        <v>-1342</v>
      </c>
      <c r="I189" s="158"/>
      <c r="J189" s="179">
        <f>H189/DAY(B2)</f>
        <v>-95.857142857142861</v>
      </c>
    </row>
    <row r="190" spans="1:10" ht="27.75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21" zoomScale="55" zoomScaleNormal="80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367</v>
      </c>
      <c r="B2" s="262">
        <v>44545</v>
      </c>
      <c r="C2" s="350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26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387478</v>
      </c>
      <c r="F7" s="95">
        <f>E7+23500</f>
        <v>410978</v>
      </c>
      <c r="G7" s="554">
        <f>F7-E7</f>
        <v>23500</v>
      </c>
      <c r="H7" s="99">
        <f>G7+'14'!H7</f>
        <v>316417</v>
      </c>
      <c r="I7" s="113">
        <f>'1'!I7</f>
        <v>12000</v>
      </c>
      <c r="J7" s="175">
        <f>H7/DAY(B2)</f>
        <v>21094.466666666667</v>
      </c>
      <c r="K7" s="172">
        <v>1375467</v>
      </c>
      <c r="L7" s="66"/>
      <c r="N7" s="87">
        <f>E7-1000000</f>
        <v>-612522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437437</v>
      </c>
      <c r="F8" s="95">
        <f>E8+23500</f>
        <v>460937</v>
      </c>
      <c r="G8" s="558">
        <f>F8-E8</f>
        <v>23500</v>
      </c>
      <c r="H8" s="99">
        <f>G8+'14'!H8</f>
        <v>320052</v>
      </c>
      <c r="I8" s="116"/>
      <c r="J8" s="175">
        <f>H8/DAY(B2)</f>
        <v>21336.799999999999</v>
      </c>
      <c r="K8" s="172">
        <v>1715917</v>
      </c>
      <c r="L8" s="76">
        <v>1728480</v>
      </c>
      <c r="M8" s="87">
        <f>L8-K8</f>
        <v>12563</v>
      </c>
      <c r="N8" s="87">
        <f>E8-1100000</f>
        <v>-662563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81657</v>
      </c>
      <c r="F9" s="605">
        <f>E9+14000</f>
        <v>95657</v>
      </c>
      <c r="G9" s="112">
        <f>F9-E9</f>
        <v>14000</v>
      </c>
      <c r="H9" s="99">
        <f>G9+'14'!H9</f>
        <v>194162</v>
      </c>
      <c r="I9" s="124">
        <f>I7-J7</f>
        <v>-9094.4666666666672</v>
      </c>
      <c r="J9" s="175">
        <f>H9/DAY(B2)</f>
        <v>12944.133333333333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480050</v>
      </c>
      <c r="F10" s="355">
        <f>E10+4500</f>
        <v>484550</v>
      </c>
      <c r="G10" s="112">
        <f t="shared" ref="G10:G12" si="0">F10-E10</f>
        <v>4500</v>
      </c>
      <c r="H10" s="99">
        <f>G10+'14'!H10</f>
        <v>87440</v>
      </c>
      <c r="I10" s="282"/>
      <c r="J10" s="175">
        <f>H10/DAY(B2)</f>
        <v>5829.333333333333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G13+'14'!H13</f>
        <v>262136.74999999988</v>
      </c>
      <c r="I13" s="120">
        <f>G7-G13</f>
        <v>5000</v>
      </c>
      <c r="J13" s="175">
        <f>H13/DAY(B2)</f>
        <v>17475.783333333326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'14'!F15</f>
        <v>1859526</v>
      </c>
      <c r="F15" s="123">
        <f>E15+1100</f>
        <v>1860626</v>
      </c>
      <c r="G15" s="112">
        <f>(F15-E15)</f>
        <v>1100</v>
      </c>
      <c r="H15" s="99">
        <f>G15+'14'!H15</f>
        <v>14769</v>
      </c>
      <c r="I15" s="113">
        <f>'1'!I15</f>
        <v>800</v>
      </c>
      <c r="J15" s="175">
        <f>H15/DAY(B2)</f>
        <v>984.6</v>
      </c>
      <c r="K15" s="79"/>
      <c r="L15" s="66"/>
      <c r="N15" s="87">
        <v>720584</v>
      </c>
      <c r="O15" s="71">
        <f>N15-F15</f>
        <v>-1140042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-184.60000000000002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'14'!F18</f>
        <v>75</v>
      </c>
      <c r="F18" s="122">
        <f>E18+12</f>
        <v>87</v>
      </c>
      <c r="G18" s="119">
        <f>F18*10</f>
        <v>870</v>
      </c>
      <c r="H18" s="99">
        <f>G18+'14'!H18</f>
        <v>4640</v>
      </c>
      <c r="I18" s="113">
        <f>'1'!I18</f>
        <v>65</v>
      </c>
      <c r="J18" s="175">
        <f>H18/DAY(B2)</f>
        <v>309.33333333333331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'14'!F19</f>
        <v>152970</v>
      </c>
      <c r="F19" s="122">
        <f>E19+55</f>
        <v>153025</v>
      </c>
      <c r="G19" s="112">
        <f t="shared" ref="G19" si="1">F19-E19</f>
        <v>55</v>
      </c>
      <c r="H19" s="99">
        <f>G19+'14'!H19</f>
        <v>800</v>
      </c>
      <c r="I19" s="337"/>
      <c r="J19" s="175">
        <f>H19/DAY(B2)</f>
        <v>53.333333333333336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925</v>
      </c>
      <c r="H20" s="99">
        <f>G20+'14'!H20</f>
        <v>5440</v>
      </c>
      <c r="I20" s="338">
        <f>I18-J20</f>
        <v>-297.66666666666669</v>
      </c>
      <c r="J20" s="175">
        <f>H20/DAY(B2)</f>
        <v>362.66666666666669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G27+'14'!H27</f>
        <v>2880468</v>
      </c>
      <c r="I27" s="138"/>
      <c r="J27" s="175">
        <f>H27/DAY(B2)</f>
        <v>192031.2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G28+'14'!H28</f>
        <v>767988</v>
      </c>
      <c r="I28" s="140"/>
      <c r="J28" s="175">
        <f>H28/DAY(B2)</f>
        <v>51199.199999999997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116800</v>
      </c>
      <c r="I30" s="140"/>
      <c r="J30" s="175">
        <f>H30/DAY(B2)</f>
        <v>7786.666666666667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870</v>
      </c>
      <c r="F31" s="136">
        <v>80</v>
      </c>
      <c r="G31" s="137">
        <f>E31*F31</f>
        <v>69600</v>
      </c>
      <c r="H31" s="99">
        <f>G31+'14'!H31</f>
        <v>371200</v>
      </c>
      <c r="I31" s="140"/>
      <c r="J31" s="175">
        <f>H31/DAY(B2)</f>
        <v>24746.666666666668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346330</v>
      </c>
      <c r="H32" s="99">
        <f>G32+'14'!H32</f>
        <v>4136456</v>
      </c>
      <c r="I32" s="144"/>
      <c r="J32" s="175">
        <f>H32/DAY(B2)</f>
        <v>275763.73333333334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122975</v>
      </c>
      <c r="F35" s="145">
        <v>125000</v>
      </c>
      <c r="G35" s="112">
        <f t="shared" ref="G35:G46" si="3">F35-E35</f>
        <v>2025</v>
      </c>
      <c r="H35" s="99">
        <f>G35+'14'!H35</f>
        <v>140200</v>
      </c>
      <c r="I35" s="95"/>
      <c r="J35" s="175">
        <f>H35/DAY(B2)</f>
        <v>9346.6666666666661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4316</v>
      </c>
      <c r="F36" s="145">
        <v>5415</v>
      </c>
      <c r="G36" s="112">
        <f t="shared" si="3"/>
        <v>1099</v>
      </c>
      <c r="H36" s="99">
        <f>G36+'14'!H36</f>
        <v>73618</v>
      </c>
      <c r="I36" s="95"/>
      <c r="J36" s="175">
        <f>H36/DAY(B2)</f>
        <v>4907.8666666666668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168410</v>
      </c>
      <c r="F37" s="145">
        <v>169953</v>
      </c>
      <c r="G37" s="112">
        <f t="shared" si="3"/>
        <v>1543</v>
      </c>
      <c r="H37" s="99">
        <f>G37+'14'!H37</f>
        <v>182165</v>
      </c>
      <c r="I37" s="95"/>
      <c r="J37" s="175">
        <f>H37/DAY(B2)</f>
        <v>12144.333333333334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199161</v>
      </c>
      <c r="F38" s="108">
        <v>201092</v>
      </c>
      <c r="G38" s="112">
        <f t="shared" si="3"/>
        <v>1931</v>
      </c>
      <c r="H38" s="99">
        <f>G38+'14'!H38</f>
        <v>214292</v>
      </c>
      <c r="I38" s="95"/>
      <c r="J38" s="175">
        <f>H38/DAY(B2)</f>
        <v>14286.133333333333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362831</v>
      </c>
      <c r="F39" s="145">
        <v>365770</v>
      </c>
      <c r="G39" s="112">
        <f t="shared" si="3"/>
        <v>2939</v>
      </c>
      <c r="H39" s="99">
        <f>G39+'14'!H39</f>
        <v>387452</v>
      </c>
      <c r="I39" s="95"/>
      <c r="J39" s="175">
        <f>H39/DAY(B2)</f>
        <v>25830.133333333335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</v>
      </c>
      <c r="F40" s="145">
        <v>120</v>
      </c>
      <c r="G40" s="112">
        <f t="shared" si="3"/>
        <v>0</v>
      </c>
      <c r="H40" s="99">
        <f>G40+'14'!H40</f>
        <v>-5490</v>
      </c>
      <c r="I40" s="95"/>
      <c r="J40" s="175">
        <f>H40/DAY(B2)</f>
        <v>-366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599900</v>
      </c>
      <c r="I41" s="95"/>
      <c r="J41" s="175">
        <f>H41/DAY(B2)</f>
        <v>39993.333333333336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1294</v>
      </c>
      <c r="F42" s="145">
        <v>5730</v>
      </c>
      <c r="G42" s="112">
        <f t="shared" si="3"/>
        <v>4436</v>
      </c>
      <c r="H42" s="99">
        <f>G42+'14'!H42</f>
        <v>289581</v>
      </c>
      <c r="I42" s="95"/>
      <c r="J42" s="175">
        <f>H42/DAY(B2)</f>
        <v>19305.400000000001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4485</v>
      </c>
      <c r="F43" s="145">
        <v>7233</v>
      </c>
      <c r="G43" s="112">
        <f t="shared" si="3"/>
        <v>2748</v>
      </c>
      <c r="H43" s="99">
        <f>G43+'14'!H43</f>
        <v>1521976</v>
      </c>
      <c r="I43" s="95"/>
      <c r="J43" s="175">
        <f>H43/DAY(B2)</f>
        <v>101465.06666666667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16721</v>
      </c>
      <c r="H47" s="99">
        <f>G47+'14'!H47</f>
        <v>3403694</v>
      </c>
      <c r="I47" s="95"/>
      <c r="J47" s="175">
        <f>H47/DAY(B2)</f>
        <v>226912.93333333332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244988</v>
      </c>
      <c r="F49" s="145">
        <v>246760</v>
      </c>
      <c r="G49" s="112">
        <f t="shared" ref="G49:G58" si="4">F49-E49</f>
        <v>1772</v>
      </c>
      <c r="H49" s="99">
        <f>G49+'14'!H49</f>
        <v>259881</v>
      </c>
      <c r="I49" s="95"/>
      <c r="J49" s="175">
        <f>H49/DAY(B2)</f>
        <v>17325.400000000001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3910</v>
      </c>
      <c r="F50" s="145">
        <v>5492</v>
      </c>
      <c r="G50" s="112">
        <f t="shared" si="4"/>
        <v>1582</v>
      </c>
      <c r="H50" s="99">
        <f>G50+'14'!H50</f>
        <v>719917</v>
      </c>
      <c r="I50" s="95"/>
      <c r="J50" s="175">
        <f>H50/DAY(B2)</f>
        <v>47994.466666666667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3108</v>
      </c>
      <c r="F54" s="145">
        <v>3113</v>
      </c>
      <c r="G54" s="112">
        <f t="shared" si="4"/>
        <v>5</v>
      </c>
      <c r="H54" s="99">
        <f>G54+'14'!H54</f>
        <v>4880.08</v>
      </c>
      <c r="I54" s="95"/>
      <c r="J54" s="175">
        <f>H54/DAY(B2)</f>
        <v>325.33866666666665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0</v>
      </c>
      <c r="F55" s="145">
        <v>0</v>
      </c>
      <c r="G55" s="112">
        <f t="shared" si="4"/>
        <v>0</v>
      </c>
      <c r="H55" s="99">
        <f>G55+'14'!H55</f>
        <v>-3511</v>
      </c>
      <c r="I55" s="95"/>
      <c r="J55" s="175">
        <f>H55/DAY(B2)</f>
        <v>-234.06666666666666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5962</v>
      </c>
      <c r="F56" s="145">
        <v>6713</v>
      </c>
      <c r="G56" s="112">
        <f t="shared" si="4"/>
        <v>751</v>
      </c>
      <c r="H56" s="99">
        <f>G56+'14'!H56</f>
        <v>210167.46</v>
      </c>
      <c r="I56" s="95"/>
      <c r="J56" s="175">
        <f>H56/DAY(B2)</f>
        <v>14011.163999999999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88567</v>
      </c>
      <c r="F58" s="145">
        <v>88818</v>
      </c>
      <c r="G58" s="112">
        <f t="shared" si="4"/>
        <v>251</v>
      </c>
      <c r="H58" s="99">
        <f>G58+'14'!H58</f>
        <v>89158.63</v>
      </c>
      <c r="I58" s="95"/>
      <c r="J58" s="175">
        <f>H58/DAY(B2)</f>
        <v>5943.9086666666672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4361</v>
      </c>
      <c r="H59" s="99">
        <f>G59+'14'!H59</f>
        <v>1280493.17</v>
      </c>
      <c r="I59" s="95">
        <f>G7-G60</f>
        <v>2418</v>
      </c>
      <c r="J59" s="175">
        <f>H59/DAY(B2)</f>
        <v>85366.211333333325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21082</v>
      </c>
      <c r="H60" s="99">
        <f>G60+'14'!H60</f>
        <v>4684187.17</v>
      </c>
      <c r="I60" s="95">
        <f>G13-G60</f>
        <v>-2582</v>
      </c>
      <c r="J60" s="175">
        <f>H60/DAY(B2)</f>
        <v>312279.14466666669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'14'!F62</f>
        <v>265230</v>
      </c>
      <c r="F62" s="122">
        <v>265336</v>
      </c>
      <c r="G62" s="112">
        <f t="shared" ref="G62:G63" si="5">F62-E62</f>
        <v>106</v>
      </c>
      <c r="H62" s="99">
        <f>G62+'14'!H62</f>
        <v>-1877</v>
      </c>
      <c r="I62" s="118"/>
      <c r="J62" s="175">
        <f>H62/DAY(B2)</f>
        <v>-125.13333333333334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'14'!F63</f>
        <v>210894</v>
      </c>
      <c r="F63" s="122">
        <v>210975</v>
      </c>
      <c r="G63" s="112">
        <f t="shared" si="5"/>
        <v>81</v>
      </c>
      <c r="H63" s="99">
        <f>G63+'14'!H63</f>
        <v>-1450</v>
      </c>
      <c r="I63" s="118"/>
      <c r="J63" s="175">
        <f>H63/DAY(B2)</f>
        <v>-96.666666666666671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'14'!F64</f>
        <v>0</v>
      </c>
      <c r="F64" s="122"/>
      <c r="G64" s="112">
        <f>G62+G63</f>
        <v>187</v>
      </c>
      <c r="H64" s="99">
        <f>G64+'14'!H64</f>
        <v>-3327</v>
      </c>
      <c r="I64" s="118"/>
      <c r="J64" s="175">
        <f>H64/DAY(B2)</f>
        <v>-221.8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'14'!F65</f>
        <v>430857</v>
      </c>
      <c r="F65" s="122">
        <v>430963</v>
      </c>
      <c r="G65" s="112">
        <f t="shared" ref="G65:G70" si="6">F65-E65</f>
        <v>106</v>
      </c>
      <c r="H65" s="99">
        <f>G65+'14'!H65</f>
        <v>-1651</v>
      </c>
      <c r="I65" s="118"/>
      <c r="J65" s="175">
        <f>H65/DAY(B2)</f>
        <v>-110.06666666666666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'14'!F66</f>
        <v>106878</v>
      </c>
      <c r="F66" s="122">
        <v>106891</v>
      </c>
      <c r="G66" s="112">
        <f t="shared" si="6"/>
        <v>13</v>
      </c>
      <c r="H66" s="99">
        <f>G66+'14'!H66</f>
        <v>-323</v>
      </c>
      <c r="I66" s="118"/>
      <c r="J66" s="175">
        <f>H66/DAY(B2)</f>
        <v>-21.533333333333335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'14'!F67</f>
        <v>103434</v>
      </c>
      <c r="F67" s="122">
        <v>103454</v>
      </c>
      <c r="G67" s="112">
        <f t="shared" si="6"/>
        <v>20</v>
      </c>
      <c r="H67" s="99">
        <f>G67+'14'!H67</f>
        <v>-474</v>
      </c>
      <c r="I67" s="118"/>
      <c r="J67" s="175">
        <f>H67/DAY(B2)</f>
        <v>-31.6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'14'!F68</f>
        <v>156009</v>
      </c>
      <c r="F68" s="122">
        <v>156047</v>
      </c>
      <c r="G68" s="112">
        <f t="shared" si="6"/>
        <v>38</v>
      </c>
      <c r="H68" s="99">
        <f>G68+'14'!H68</f>
        <v>-573</v>
      </c>
      <c r="I68" s="118"/>
      <c r="J68" s="175">
        <f>H68/DAY(B2)</f>
        <v>-38.200000000000003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'14'!F69</f>
        <v>10008</v>
      </c>
      <c r="F69" s="122">
        <v>10016</v>
      </c>
      <c r="G69" s="112">
        <f t="shared" si="6"/>
        <v>8</v>
      </c>
      <c r="H69" s="99">
        <f>G69+'14'!H69</f>
        <v>-198</v>
      </c>
      <c r="I69" s="118"/>
      <c r="J69" s="175">
        <f>H69/DAY(B2)</f>
        <v>-13.2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'14'!F70</f>
        <v>7691</v>
      </c>
      <c r="F70" s="122">
        <v>7696</v>
      </c>
      <c r="G70" s="112">
        <f t="shared" si="6"/>
        <v>5</v>
      </c>
      <c r="H70" s="99">
        <f>G70+'14'!H70</f>
        <v>-166</v>
      </c>
      <c r="I70" s="118"/>
      <c r="J70" s="175">
        <f>H70/DAY(B2)</f>
        <v>-11.066666666666666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190</v>
      </c>
      <c r="H71" s="99">
        <f>G71+'14'!H71</f>
        <v>-3385</v>
      </c>
      <c r="I71" s="154"/>
      <c r="J71" s="175">
        <f>H71/DAY(B2)</f>
        <v>-225.66666666666666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'14'!F74</f>
        <v>886667</v>
      </c>
      <c r="F74" s="123">
        <v>886989</v>
      </c>
      <c r="G74" s="112">
        <f t="shared" ref="G74:G78" si="7">F74-E74</f>
        <v>322</v>
      </c>
      <c r="H74" s="99">
        <f>G74+'14'!H74</f>
        <v>-5043</v>
      </c>
      <c r="I74" s="154"/>
      <c r="J74" s="175">
        <f>H74/DAY(B2)</f>
        <v>-336.2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'14'!F75</f>
        <v>73830.69</v>
      </c>
      <c r="F75" s="123">
        <v>73830.69</v>
      </c>
      <c r="G75" s="112">
        <f t="shared" si="7"/>
        <v>0</v>
      </c>
      <c r="H75" s="99">
        <f>G75+'14'!H75</f>
        <v>243.88999999999942</v>
      </c>
      <c r="I75" s="154"/>
      <c r="J75" s="175">
        <f>H75/DAY(B2)</f>
        <v>16.259333333333295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'14'!F76</f>
        <v>165212</v>
      </c>
      <c r="F76" s="123">
        <v>165342.6</v>
      </c>
      <c r="G76" s="112">
        <f t="shared" si="7"/>
        <v>130.60000000000582</v>
      </c>
      <c r="H76" s="99">
        <f>G76+'14'!H76</f>
        <v>-1864.3999999999942</v>
      </c>
      <c r="I76" s="154"/>
      <c r="J76" s="175">
        <f>H76/DAY(B2)</f>
        <v>-124.29333333333294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'14'!F77</f>
        <v>39481</v>
      </c>
      <c r="F77" s="123">
        <v>39526.6</v>
      </c>
      <c r="G77" s="112">
        <f t="shared" si="7"/>
        <v>45.599999999998545</v>
      </c>
      <c r="H77" s="99">
        <f>G77+'14'!H77</f>
        <v>-789.40000000000146</v>
      </c>
      <c r="I77" s="154"/>
      <c r="J77" s="175">
        <f>H77/DAY(B2)</f>
        <v>-52.626666666666765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'14'!F78</f>
        <v>9452</v>
      </c>
      <c r="F78" s="123">
        <v>9456.7000000000007</v>
      </c>
      <c r="G78" s="112">
        <f t="shared" si="7"/>
        <v>4.7000000000007276</v>
      </c>
      <c r="H78" s="99">
        <f>G78+'14'!H78</f>
        <v>-29.299999999999272</v>
      </c>
      <c r="I78" s="118"/>
      <c r="J78" s="175">
        <f>H78/DAY(B2)</f>
        <v>-1.9533333333332847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'14'!F79</f>
        <v>0</v>
      </c>
      <c r="F79" s="123"/>
      <c r="G79" s="112">
        <f>G15-SUM(G74:G78)</f>
        <v>597.09999999999491</v>
      </c>
      <c r="H79" s="99">
        <f>G79+'14'!H79</f>
        <v>22251.209999999995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'14'!F84</f>
        <v>41675.760000000002</v>
      </c>
      <c r="F84" s="164">
        <v>41675.760000000002</v>
      </c>
      <c r="G84" s="112">
        <f t="shared" si="8"/>
        <v>0</v>
      </c>
      <c r="H84" s="99">
        <f>G84+'14'!H84</f>
        <v>0.76000000000203727</v>
      </c>
      <c r="I84" s="118"/>
      <c r="J84" s="175">
        <f>H84/DAY(B2)</f>
        <v>5.0666666666802487E-2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'14'!F85</f>
        <v>1724</v>
      </c>
      <c r="F85" s="164">
        <v>1748</v>
      </c>
      <c r="G85" s="112">
        <f t="shared" si="8"/>
        <v>24</v>
      </c>
      <c r="H85" s="99">
        <f>G85+'14'!H85</f>
        <v>-348.55999999999995</v>
      </c>
      <c r="I85" s="118">
        <f>G82+G83+G84+G85</f>
        <v>24</v>
      </c>
      <c r="J85" s="175">
        <f>H85/DAY(B2)</f>
        <v>-23.237333333333329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-36.529999999998836</v>
      </c>
      <c r="I86" s="118"/>
      <c r="J86" s="175">
        <f>H86/DAY(B2)</f>
        <v>-2.4353333333332556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'14'!F87</f>
        <v>34575</v>
      </c>
      <c r="F87" s="164">
        <v>34582</v>
      </c>
      <c r="G87" s="112">
        <f t="shared" si="8"/>
        <v>7</v>
      </c>
      <c r="H87" s="99">
        <f>G87+'14'!H87</f>
        <v>-16.55000000000291</v>
      </c>
      <c r="I87" s="118"/>
      <c r="J87" s="175">
        <f>H87/DAY(B2)</f>
        <v>-1.1033333333335273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'14'!F88</f>
        <v>24005.53</v>
      </c>
      <c r="F88" s="164">
        <v>24005.53</v>
      </c>
      <c r="G88" s="112">
        <f t="shared" si="8"/>
        <v>0</v>
      </c>
      <c r="H88" s="99">
        <f>G88+'14'!H88</f>
        <v>-41.470000000001164</v>
      </c>
      <c r="I88" s="118">
        <f>G86+G87+G88</f>
        <v>7</v>
      </c>
      <c r="J88" s="175">
        <f>H88/DAY(B2)</f>
        <v>-2.7646666666667441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'14'!F89</f>
        <v>25529.89</v>
      </c>
      <c r="F89" s="164">
        <v>25540.1</v>
      </c>
      <c r="G89" s="112">
        <f t="shared" si="8"/>
        <v>10.209999999999127</v>
      </c>
      <c r="H89" s="99">
        <f>G89+'14'!H89</f>
        <v>-122.90000000000146</v>
      </c>
      <c r="I89" s="118"/>
      <c r="J89" s="175">
        <f>H89/DAY(B2)</f>
        <v>-8.1933333333334311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'14'!F90</f>
        <v>70927.199999999997</v>
      </c>
      <c r="F90" s="164">
        <v>70936.97</v>
      </c>
      <c r="G90" s="112">
        <f t="shared" si="8"/>
        <v>9.7700000000040745</v>
      </c>
      <c r="H90" s="99">
        <f>G90+'14'!H90</f>
        <v>-97.029999999998836</v>
      </c>
      <c r="I90" s="118">
        <f>G89+G90</f>
        <v>19.980000000003201</v>
      </c>
      <c r="J90" s="175">
        <f>H90/DAY(B2)</f>
        <v>-6.4686666666665893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'14'!F92</f>
        <v>5250.51</v>
      </c>
      <c r="F92" s="122">
        <v>5261.77</v>
      </c>
      <c r="G92" s="112">
        <f t="shared" si="8"/>
        <v>11.260000000000218</v>
      </c>
      <c r="H92" s="99">
        <f>G92+'14'!H92</f>
        <v>-176.22999999999956</v>
      </c>
      <c r="I92" s="165"/>
      <c r="J92" s="175">
        <f>H92/DAY(B2)</f>
        <v>-11.748666666666638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6545</v>
      </c>
      <c r="H94" s="99">
        <f>G94+'14'!H94</f>
        <v>1922057</v>
      </c>
      <c r="I94" s="118"/>
      <c r="J94" s="175">
        <f>H94/DAY(B2)</f>
        <v>128137.13333333333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0.27851063829787231</v>
      </c>
      <c r="H95" s="99">
        <f>G95+'14'!H95</f>
        <v>82.251018815577851</v>
      </c>
      <c r="I95" s="167"/>
      <c r="J95" s="175">
        <f>H95/DAY(B2)</f>
        <v>5.4834012543718567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5187</v>
      </c>
      <c r="H96" s="99">
        <f>G96+'14'!H96</f>
        <v>1096137.46</v>
      </c>
      <c r="I96" s="118"/>
      <c r="J96" s="175">
        <f>H96/DAY(B2)</f>
        <v>73075.830666666661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0.22072340425531914</v>
      </c>
      <c r="H97" s="99">
        <f>G97+'14'!H97</f>
        <v>46.887101679407998</v>
      </c>
      <c r="I97" s="167"/>
      <c r="J97" s="175">
        <f>H97/DAY(B2)</f>
        <v>3.1258067786271999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2939</v>
      </c>
      <c r="H98" s="99">
        <f>G98+'14'!H98</f>
        <v>387452</v>
      </c>
      <c r="I98" s="168"/>
      <c r="J98" s="175">
        <f>H98/DAY(B2)</f>
        <v>25830.133333333335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0.12506382978723404</v>
      </c>
      <c r="H99" s="99">
        <f>G99+'14'!H99</f>
        <v>16.70126905380042</v>
      </c>
      <c r="I99" s="168"/>
      <c r="J99" s="175">
        <f>H99/DAY(B2)</f>
        <v>1.1134179369200281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1931</v>
      </c>
      <c r="H100" s="99">
        <f>G100+'14'!H100</f>
        <v>214292</v>
      </c>
      <c r="I100" s="118"/>
      <c r="J100" s="175">
        <f>H100/DAY(B2)</f>
        <v>14286.133333333333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8.2170212765957443E-2</v>
      </c>
      <c r="H101" s="99">
        <f>G101+'14'!H101</f>
        <v>9.2496802319407099</v>
      </c>
      <c r="I101" s="168"/>
      <c r="J101" s="175">
        <f>H101/DAY(B2)</f>
        <v>0.61664534879604738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2681</v>
      </c>
      <c r="H102" s="99">
        <f>G102+'14'!H102</f>
        <v>793535</v>
      </c>
      <c r="I102" s="168"/>
      <c r="J102" s="175">
        <f>H102/DAY(B2)</f>
        <v>52902.333333333336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0.11408510638297872</v>
      </c>
      <c r="H103" s="99">
        <f>G103+'14'!H103</f>
        <v>33.911785431439945</v>
      </c>
      <c r="I103" s="118"/>
      <c r="J103" s="175">
        <f>H103/DAY(B2)</f>
        <v>2.2607856954293295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1543</v>
      </c>
      <c r="H104" s="99">
        <f>G104+'14'!H104</f>
        <v>182165</v>
      </c>
      <c r="I104" s="118"/>
      <c r="J104" s="175">
        <f>H104/DAY(B2)</f>
        <v>12144.333333333334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6.5659574468085111E-2</v>
      </c>
      <c r="H105" s="99">
        <f>G105+'14'!H105</f>
        <v>7.872167006391277</v>
      </c>
      <c r="I105" s="187"/>
      <c r="J105" s="188">
        <f>H105/DAY(B2)</f>
        <v>0.52481113375941846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'14'!F112</f>
        <v>54471</v>
      </c>
      <c r="F112" s="237">
        <v>54545</v>
      </c>
      <c r="G112" s="112">
        <f t="shared" ref="G112:G123" si="9">F112-E112</f>
        <v>74</v>
      </c>
      <c r="H112" s="99">
        <f>G112+'14'!H112</f>
        <v>-1136</v>
      </c>
      <c r="I112" s="165"/>
      <c r="J112" s="330">
        <f>H112/DAY(B2)</f>
        <v>-75.733333333333334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'14'!F113</f>
        <v>24393</v>
      </c>
      <c r="F113" s="237">
        <v>24849</v>
      </c>
      <c r="G113" s="112">
        <f t="shared" si="9"/>
        <v>456</v>
      </c>
      <c r="H113" s="99">
        <f>G113+'14'!H113</f>
        <v>-7346</v>
      </c>
      <c r="I113" s="165"/>
      <c r="J113" s="330">
        <f>H113/DAY(B2)</f>
        <v>-489.73333333333335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'14'!F114</f>
        <v>19272</v>
      </c>
      <c r="F114" s="237">
        <v>19545</v>
      </c>
      <c r="G114" s="112">
        <f t="shared" si="9"/>
        <v>273</v>
      </c>
      <c r="H114" s="99">
        <f>G114+'14'!H114</f>
        <v>-5326</v>
      </c>
      <c r="I114" s="165"/>
      <c r="J114" s="330">
        <f>H114/DAY(B2)</f>
        <v>-355.06666666666666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'14'!F115</f>
        <v>8585</v>
      </c>
      <c r="F115" s="237">
        <v>8590</v>
      </c>
      <c r="G115" s="112">
        <f t="shared" si="9"/>
        <v>5</v>
      </c>
      <c r="H115" s="99">
        <f>G115+'14'!H115</f>
        <v>-195</v>
      </c>
      <c r="I115" s="165"/>
      <c r="J115" s="330">
        <f>H115/DAY(B2)</f>
        <v>-13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'14'!F117</f>
        <v>2231</v>
      </c>
      <c r="F117" s="237">
        <v>2251</v>
      </c>
      <c r="G117" s="112">
        <f t="shared" si="9"/>
        <v>20</v>
      </c>
      <c r="H117" s="99">
        <f>G117+'14'!H117</f>
        <v>-339</v>
      </c>
      <c r="I117" s="165"/>
      <c r="J117" s="330">
        <f>H117/DAY(B2)</f>
        <v>-22.6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'14'!F118</f>
        <v>235044</v>
      </c>
      <c r="F118" s="237">
        <v>235463</v>
      </c>
      <c r="G118" s="112">
        <f t="shared" si="9"/>
        <v>419</v>
      </c>
      <c r="H118" s="99">
        <f>G118+'14'!H118</f>
        <v>-6184</v>
      </c>
      <c r="I118" s="165"/>
      <c r="J118" s="330">
        <f>H118/DAY(B2)</f>
        <v>-412.26666666666665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'14'!F119</f>
        <v>237861</v>
      </c>
      <c r="F119" s="237">
        <v>238290</v>
      </c>
      <c r="G119" s="112">
        <f t="shared" si="9"/>
        <v>429</v>
      </c>
      <c r="H119" s="99">
        <f>G119+'14'!H119</f>
        <v>-6836</v>
      </c>
      <c r="I119" s="165"/>
      <c r="J119" s="330">
        <f>H119/DAY(B2)</f>
        <v>-455.73333333333335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'14'!F120</f>
        <v>23066</v>
      </c>
      <c r="F120" s="237">
        <v>23441</v>
      </c>
      <c r="G120" s="112">
        <f t="shared" si="9"/>
        <v>375</v>
      </c>
      <c r="H120" s="99">
        <f>G120+'14'!H120</f>
        <v>-6637</v>
      </c>
      <c r="I120" s="165"/>
      <c r="J120" s="330">
        <f>H120/DAY(B2)</f>
        <v>-442.46666666666664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'14'!F121</f>
        <v>363373</v>
      </c>
      <c r="F121" s="237">
        <v>364114</v>
      </c>
      <c r="G121" s="112">
        <f t="shared" si="9"/>
        <v>741</v>
      </c>
      <c r="H121" s="99">
        <f>G121+'14'!H121</f>
        <v>-12415</v>
      </c>
      <c r="I121" s="165"/>
      <c r="J121" s="330">
        <f>H121/DAY(B2)</f>
        <v>-827.66666666666663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'14'!F122</f>
        <v>115488</v>
      </c>
      <c r="F122" s="237">
        <v>115860</v>
      </c>
      <c r="G122" s="112">
        <f t="shared" si="9"/>
        <v>372</v>
      </c>
      <c r="H122" s="99">
        <f>G122+'14'!H122</f>
        <v>-4190</v>
      </c>
      <c r="I122" s="165"/>
      <c r="J122" s="330">
        <f>H122/DAY(B2)</f>
        <v>-279.33333333333331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'14'!F123</f>
        <v>138931</v>
      </c>
      <c r="F123" s="237">
        <v>139320</v>
      </c>
      <c r="G123" s="112">
        <f t="shared" si="9"/>
        <v>389</v>
      </c>
      <c r="H123" s="99">
        <f>G123+'14'!H123</f>
        <v>-5805</v>
      </c>
      <c r="I123" s="165"/>
      <c r="J123" s="330">
        <f>H123/DAY(B2)</f>
        <v>-387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3553</v>
      </c>
      <c r="H125" s="156"/>
      <c r="I125" s="329">
        <f>G125-(G39+G53)</f>
        <v>614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G127+'14'!H127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'14'!F128</f>
        <v>32278</v>
      </c>
      <c r="F128" s="165">
        <v>32660</v>
      </c>
      <c r="G128" s="112">
        <f t="shared" ref="G128:G134" si="10">F128-E128</f>
        <v>382</v>
      </c>
      <c r="H128" s="99">
        <f>G128+'14'!H128</f>
        <v>-5344</v>
      </c>
      <c r="I128" s="165"/>
      <c r="J128" s="330">
        <f>H128/DAY(B2)</f>
        <v>-356.26666666666665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'14'!F129</f>
        <v>16474</v>
      </c>
      <c r="F129" s="165">
        <v>16748</v>
      </c>
      <c r="G129" s="112">
        <f t="shared" si="10"/>
        <v>274</v>
      </c>
      <c r="H129" s="99">
        <f>G129+'14'!H129</f>
        <v>-3573</v>
      </c>
      <c r="I129" s="165"/>
      <c r="J129" s="330">
        <f>H129/DAY(B2)</f>
        <v>-238.2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'14'!F130</f>
        <v>5917</v>
      </c>
      <c r="F130" s="165">
        <v>6502</v>
      </c>
      <c r="G130" s="112">
        <f t="shared" si="10"/>
        <v>585</v>
      </c>
      <c r="H130" s="99">
        <f>G130+'14'!H130</f>
        <v>-11880</v>
      </c>
      <c r="I130" s="165"/>
      <c r="J130" s="330">
        <f>H130/DAY(B2)</f>
        <v>-792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'14'!F131</f>
        <v>11351</v>
      </c>
      <c r="F131" s="165">
        <v>11507</v>
      </c>
      <c r="G131" s="112">
        <f t="shared" si="10"/>
        <v>156</v>
      </c>
      <c r="H131" s="99">
        <f>G131+'14'!H131</f>
        <v>-1646</v>
      </c>
      <c r="I131" s="165"/>
      <c r="J131" s="330">
        <f>H131/DAY(B2)</f>
        <v>-109.73333333333333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'14'!F132</f>
        <v>32624</v>
      </c>
      <c r="F132" s="165">
        <v>33105</v>
      </c>
      <c r="G132" s="112">
        <f t="shared" si="10"/>
        <v>481</v>
      </c>
      <c r="H132" s="99">
        <f>G132+'14'!H132</f>
        <v>-7918</v>
      </c>
      <c r="I132" s="165"/>
      <c r="J132" s="330">
        <f>H132/DAY(B2)</f>
        <v>-527.86666666666667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'14'!F133</f>
        <v>75310</v>
      </c>
      <c r="F133" s="165">
        <v>76128</v>
      </c>
      <c r="G133" s="112">
        <f t="shared" si="10"/>
        <v>818</v>
      </c>
      <c r="H133" s="99">
        <f>G133+'14'!H133</f>
        <v>-11575</v>
      </c>
      <c r="I133" s="165"/>
      <c r="J133" s="330">
        <f>H133/DAY(B2)</f>
        <v>-771.66666666666663</v>
      </c>
    </row>
    <row r="134" spans="1:15" s="495" customFormat="1" ht="27.75" x14ac:dyDescent="0.5">
      <c r="A134" s="909" t="s">
        <v>340</v>
      </c>
      <c r="B134" s="910"/>
      <c r="C134" s="911"/>
      <c r="D134" s="233" t="s">
        <v>183</v>
      </c>
      <c r="E134" s="492">
        <f>'14'!F134</f>
        <v>660040</v>
      </c>
      <c r="F134" s="158">
        <v>660693</v>
      </c>
      <c r="G134" s="236">
        <f t="shared" si="10"/>
        <v>653</v>
      </c>
      <c r="H134" s="238">
        <f>G134+'14'!H134</f>
        <v>9559</v>
      </c>
      <c r="I134" s="158"/>
      <c r="J134" s="494">
        <f>H134/DAY(B2)</f>
        <v>637.26666666666665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3349</v>
      </c>
      <c r="H135" s="99">
        <f>G135+'10'!H135</f>
        <v>-44399</v>
      </c>
      <c r="I135" s="329">
        <f>G135-(G35+G49)</f>
        <v>-448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'14'!F138</f>
        <v>862237</v>
      </c>
      <c r="F138" s="147">
        <v>862343</v>
      </c>
      <c r="G138" s="112">
        <f t="shared" ref="G138:G152" si="11">F138-E138</f>
        <v>106</v>
      </c>
      <c r="H138" s="99">
        <f>G138+'14'!H138</f>
        <v>-1828</v>
      </c>
      <c r="I138" s="118"/>
      <c r="J138" s="330">
        <f>H138/DAY(B2)</f>
        <v>-121.86666666666666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'14'!F139</f>
        <v>886370</v>
      </c>
      <c r="F139" s="148">
        <v>886371</v>
      </c>
      <c r="G139" s="112">
        <f t="shared" si="11"/>
        <v>1</v>
      </c>
      <c r="H139" s="99">
        <f>G139+'14'!H139</f>
        <v>-175</v>
      </c>
      <c r="I139" s="118"/>
      <c r="J139" s="330">
        <f>H139/DAY(B2)</f>
        <v>-11.666666666666666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'14'!F140</f>
        <v>88864</v>
      </c>
      <c r="F140" s="149">
        <v>88864</v>
      </c>
      <c r="G140" s="112">
        <f t="shared" si="11"/>
        <v>0</v>
      </c>
      <c r="H140" s="99">
        <f>G140+'14'!H140</f>
        <v>-18</v>
      </c>
      <c r="I140" s="118"/>
      <c r="J140" s="330">
        <f>H140/DAY(B2)</f>
        <v>-1.2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'14'!F141</f>
        <v>45897</v>
      </c>
      <c r="F141" s="149">
        <v>46097</v>
      </c>
      <c r="G141" s="112">
        <f t="shared" si="11"/>
        <v>200</v>
      </c>
      <c r="H141" s="99">
        <f>G141+'14'!H141</f>
        <v>-3209</v>
      </c>
      <c r="I141" s="118"/>
      <c r="J141" s="330">
        <f>H141/DAY(B2)</f>
        <v>-213.93333333333334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'14'!F142</f>
        <v>17744</v>
      </c>
      <c r="F142" s="148">
        <v>17817</v>
      </c>
      <c r="G142" s="112">
        <f t="shared" si="11"/>
        <v>73</v>
      </c>
      <c r="H142" s="99">
        <f>G142+'14'!H142</f>
        <v>-1192</v>
      </c>
      <c r="I142" s="140"/>
      <c r="J142" s="330">
        <f>H142/DAY(B2)</f>
        <v>-79.466666666666669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'14'!F143</f>
        <v>2615</v>
      </c>
      <c r="F143" s="149">
        <v>2648</v>
      </c>
      <c r="G143" s="112">
        <f t="shared" si="11"/>
        <v>33</v>
      </c>
      <c r="H143" s="99">
        <f>G143+'14'!H143</f>
        <v>-413</v>
      </c>
      <c r="I143" s="140"/>
      <c r="J143" s="330">
        <f>H143/DAY(B2)</f>
        <v>-27.533333333333335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'14'!F144</f>
        <v>865623</v>
      </c>
      <c r="F144" s="149">
        <v>865848</v>
      </c>
      <c r="G144" s="112">
        <f t="shared" si="11"/>
        <v>225</v>
      </c>
      <c r="H144" s="99">
        <f>G144+'14'!H144</f>
        <v>-3822</v>
      </c>
      <c r="I144" s="140"/>
      <c r="J144" s="330">
        <f>H144/DAY(B2)</f>
        <v>-254.8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'14'!F145</f>
        <v>4112</v>
      </c>
      <c r="F145" s="149">
        <v>4145</v>
      </c>
      <c r="G145" s="112">
        <f t="shared" si="11"/>
        <v>33</v>
      </c>
      <c r="H145" s="99">
        <f>G145+'14'!H145</f>
        <v>-413</v>
      </c>
      <c r="I145" s="140"/>
      <c r="J145" s="330">
        <f>H145/DAY(B2)</f>
        <v>-27.533333333333335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'14'!F146</f>
        <v>716780</v>
      </c>
      <c r="F146" s="148">
        <v>717200</v>
      </c>
      <c r="G146" s="112">
        <f t="shared" si="11"/>
        <v>420</v>
      </c>
      <c r="H146" s="99">
        <f>G146+'14'!H146</f>
        <v>-7658</v>
      </c>
      <c r="I146" s="140"/>
      <c r="J146" s="330">
        <f>H146/DAY(B2)</f>
        <v>-510.53333333333336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'14'!F147</f>
        <v>608245</v>
      </c>
      <c r="F147" s="148">
        <v>608652</v>
      </c>
      <c r="G147" s="112">
        <f t="shared" si="11"/>
        <v>407</v>
      </c>
      <c r="H147" s="99">
        <f>G147+'14'!H147</f>
        <v>-6630</v>
      </c>
      <c r="I147" s="140"/>
      <c r="J147" s="330">
        <f>H147/DAY(B2)</f>
        <v>-442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'14'!F148</f>
        <v>677965</v>
      </c>
      <c r="F148" s="150">
        <v>678248</v>
      </c>
      <c r="G148" s="112">
        <f t="shared" si="11"/>
        <v>283</v>
      </c>
      <c r="H148" s="99">
        <f>G148+'14'!H148</f>
        <v>-4785.1199999999953</v>
      </c>
      <c r="I148" s="124"/>
      <c r="J148" s="330">
        <f>H148/DAY(B2)</f>
        <v>-319.0079999999997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'14'!F149</f>
        <v>89195</v>
      </c>
      <c r="F149" s="146">
        <v>89766</v>
      </c>
      <c r="G149" s="112">
        <f t="shared" si="11"/>
        <v>571</v>
      </c>
      <c r="H149" s="99">
        <f>G149+'14'!H149</f>
        <v>178900</v>
      </c>
      <c r="I149" s="119"/>
      <c r="J149" s="330">
        <f>H149/DAY(B2)</f>
        <v>11926.666666666666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v>192</v>
      </c>
      <c r="F150" s="233">
        <v>417</v>
      </c>
      <c r="G150" s="112">
        <f t="shared" si="11"/>
        <v>225</v>
      </c>
      <c r="H150" s="99">
        <f>G150+'14'!H150</f>
        <v>7163405</v>
      </c>
      <c r="I150" s="119"/>
      <c r="J150" s="330">
        <f>H150/DAY(B2)</f>
        <v>477560.33333333331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'14'!F151</f>
        <v>74207</v>
      </c>
      <c r="F151" s="233">
        <v>74441</v>
      </c>
      <c r="G151" s="112">
        <f t="shared" si="11"/>
        <v>234</v>
      </c>
      <c r="H151" s="99">
        <f>G151+'14'!H151</f>
        <v>-3776</v>
      </c>
      <c r="I151" s="119"/>
      <c r="J151" s="330">
        <f>H151/DAY(B2)</f>
        <v>-251.73333333333332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'14'!F152</f>
        <v>253</v>
      </c>
      <c r="F152" s="233">
        <v>316</v>
      </c>
      <c r="G152" s="112">
        <f t="shared" si="11"/>
        <v>63</v>
      </c>
      <c r="H152" s="99">
        <f>G152+'14'!H152</f>
        <v>-811</v>
      </c>
      <c r="I152" s="119"/>
      <c r="J152" s="330">
        <f>H152/DAY(B2)</f>
        <v>-54.06666666666667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2874</v>
      </c>
      <c r="H153" s="365"/>
      <c r="I153" s="119">
        <f>G153-(G38+G52)</f>
        <v>943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'14'!F155</f>
        <v>1303</v>
      </c>
      <c r="F155" s="376">
        <v>1950</v>
      </c>
      <c r="G155" s="112">
        <f t="shared" ref="G155:G158" si="12">F155-E155</f>
        <v>647</v>
      </c>
      <c r="H155" s="99">
        <f>G155+'14'!H155</f>
        <v>66095</v>
      </c>
      <c r="I155" s="366"/>
      <c r="J155" s="330">
        <f>H155/DAY(B2)</f>
        <v>4406.333333333333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'14'!F156</f>
        <v>100</v>
      </c>
      <c r="F156" s="155">
        <v>158</v>
      </c>
      <c r="G156" s="112">
        <f t="shared" si="12"/>
        <v>58</v>
      </c>
      <c r="H156" s="99">
        <f>G156+'14'!H156</f>
        <v>-930</v>
      </c>
      <c r="I156" s="165"/>
      <c r="J156" s="330">
        <f>H156/DAY(B2)</f>
        <v>-62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v>128</v>
      </c>
      <c r="F157" s="155">
        <v>189</v>
      </c>
      <c r="G157" s="112">
        <f t="shared" si="12"/>
        <v>61</v>
      </c>
      <c r="H157" s="99">
        <f>G157+'14'!H157</f>
        <v>61</v>
      </c>
      <c r="I157" s="165"/>
      <c r="J157" s="330">
        <f>H157/DAY(B2)</f>
        <v>4.0666666666666664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v>0</v>
      </c>
      <c r="F158" s="155">
        <v>0</v>
      </c>
      <c r="G158" s="112">
        <f t="shared" si="12"/>
        <v>0</v>
      </c>
      <c r="H158" s="99">
        <f>G158+'14'!H158</f>
        <v>0</v>
      </c>
      <c r="I158" s="165"/>
      <c r="J158" s="330">
        <f>H158/DAY(B2)</f>
        <v>0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471128</v>
      </c>
      <c r="F161" s="235">
        <v>471130</v>
      </c>
      <c r="G161" s="238">
        <f t="shared" ref="G161:G165" si="13">F161-E161</f>
        <v>2</v>
      </c>
      <c r="H161" s="99">
        <f>G161+'14'!H161</f>
        <v>-23.159999999974389</v>
      </c>
      <c r="I161" s="236"/>
      <c r="J161" s="239">
        <f>H161/DAY(B2)</f>
        <v>-1.5439999999982925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87077</v>
      </c>
      <c r="F162" s="235">
        <v>87110</v>
      </c>
      <c r="G162" s="238">
        <f t="shared" si="13"/>
        <v>33</v>
      </c>
      <c r="H162" s="99">
        <f>G162+'14'!H162</f>
        <v>-460</v>
      </c>
      <c r="I162" s="236"/>
      <c r="J162" s="239">
        <f>H162/DAY(B2)</f>
        <v>-30.666666666666668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76644</v>
      </c>
      <c r="F163" s="235">
        <v>76776</v>
      </c>
      <c r="G163" s="238">
        <f t="shared" si="13"/>
        <v>132</v>
      </c>
      <c r="H163" s="99">
        <f>G163+'14'!H163</f>
        <v>-1049</v>
      </c>
      <c r="I163" s="236"/>
      <c r="J163" s="239">
        <f>H163/DAY(B2)</f>
        <v>-69.933333333333337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4171</v>
      </c>
      <c r="F164" s="235">
        <v>4179</v>
      </c>
      <c r="G164" s="238">
        <f t="shared" si="13"/>
        <v>8</v>
      </c>
      <c r="H164" s="99">
        <f>G164+'14'!H164</f>
        <v>-63</v>
      </c>
      <c r="I164" s="236"/>
      <c r="J164" s="239">
        <f>H164/DAY(B2)</f>
        <v>-4.2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29531</v>
      </c>
      <c r="F165" s="235">
        <v>29538</v>
      </c>
      <c r="G165" s="238">
        <f t="shared" si="13"/>
        <v>7</v>
      </c>
      <c r="H165" s="99">
        <f>G165+'14'!H165</f>
        <v>-108</v>
      </c>
      <c r="I165" s="236"/>
      <c r="J165" s="239">
        <f>H165/DAY(B2)</f>
        <v>-7.2</v>
      </c>
    </row>
    <row r="166" spans="1:10" ht="29.25" x14ac:dyDescent="0.5">
      <c r="A166" s="824"/>
      <c r="B166" s="824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1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28" t="s">
        <v>209</v>
      </c>
      <c r="B173" s="829"/>
      <c r="C173" s="335"/>
      <c r="D173" s="228" t="s">
        <v>142</v>
      </c>
      <c r="E173" s="95">
        <f>'14'!F173</f>
        <v>8110</v>
      </c>
      <c r="F173" s="155">
        <v>8110</v>
      </c>
      <c r="G173" s="155">
        <f>F173-E173</f>
        <v>0</v>
      </c>
      <c r="H173" s="99">
        <f>G173+'14'!H173</f>
        <v>-16</v>
      </c>
      <c r="I173" s="155"/>
      <c r="J173" s="178">
        <f>H173/DAY(B2)</f>
        <v>-1.0666666666666667</v>
      </c>
    </row>
    <row r="174" spans="1:10" ht="21.75" customHeight="1" x14ac:dyDescent="0.5">
      <c r="A174" s="828" t="s">
        <v>75</v>
      </c>
      <c r="B174" s="829"/>
      <c r="C174" s="335"/>
      <c r="D174" s="228" t="s">
        <v>142</v>
      </c>
      <c r="E174" s="95">
        <f>'14'!F174</f>
        <v>38037</v>
      </c>
      <c r="F174" s="157">
        <v>38056</v>
      </c>
      <c r="G174" s="155">
        <f t="shared" ref="G174:G175" si="14">F174-E174</f>
        <v>19</v>
      </c>
      <c r="H174" s="99">
        <f>G174+'14'!H174</f>
        <v>-231</v>
      </c>
      <c r="I174" s="155"/>
      <c r="J174" s="178">
        <f>H174/DAY(B2)</f>
        <v>-15.4</v>
      </c>
    </row>
    <row r="175" spans="1:10" ht="21.75" customHeight="1" x14ac:dyDescent="0.5">
      <c r="A175" s="828" t="s">
        <v>76</v>
      </c>
      <c r="B175" s="868"/>
      <c r="C175" s="829"/>
      <c r="D175" s="228" t="s">
        <v>142</v>
      </c>
      <c r="E175" s="95">
        <f>'14'!F175</f>
        <v>21319</v>
      </c>
      <c r="F175" s="155">
        <v>21332</v>
      </c>
      <c r="G175" s="155">
        <f t="shared" si="14"/>
        <v>13</v>
      </c>
      <c r="H175" s="99">
        <f>G175+'14'!H175</f>
        <v>-186</v>
      </c>
      <c r="I175" s="155"/>
      <c r="J175" s="178">
        <f>H175/DAY(B2)</f>
        <v>-12.4</v>
      </c>
    </row>
    <row r="176" spans="1:10" ht="21.75" customHeight="1" x14ac:dyDescent="0.5">
      <c r="A176" s="819" t="s">
        <v>196</v>
      </c>
      <c r="B176" s="820"/>
      <c r="C176" s="335"/>
      <c r="D176" s="228" t="s">
        <v>142</v>
      </c>
      <c r="E176" s="95"/>
      <c r="F176" s="155"/>
      <c r="G176" s="155">
        <f>SUM(G173:G175)</f>
        <v>32</v>
      </c>
      <c r="H176" s="99">
        <f>G176+'14'!H176</f>
        <v>-433</v>
      </c>
      <c r="I176" s="155"/>
      <c r="J176" s="178">
        <f>H176/DAY(B2)</f>
        <v>-28.866666666666667</v>
      </c>
    </row>
    <row r="177" spans="1:10" ht="21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28" t="s">
        <v>210</v>
      </c>
      <c r="B178" s="829"/>
      <c r="C178" s="335"/>
      <c r="D178" s="228" t="s">
        <v>142</v>
      </c>
      <c r="E178" s="95">
        <f>'14'!F178</f>
        <v>78413</v>
      </c>
      <c r="F178" s="155">
        <v>78493</v>
      </c>
      <c r="G178" s="155">
        <f>F178-E178</f>
        <v>80</v>
      </c>
      <c r="H178" s="99">
        <f>G178+'14'!H178</f>
        <v>-1121</v>
      </c>
      <c r="I178" s="155"/>
      <c r="J178" s="178">
        <f>H178/DAY(B2)</f>
        <v>-74.733333333333334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'14'!F179</f>
        <v>33888</v>
      </c>
      <c r="F179" s="155">
        <v>33888</v>
      </c>
      <c r="G179" s="155">
        <f t="shared" ref="G179:G180" si="15">F179-E179</f>
        <v>0</v>
      </c>
      <c r="H179" s="99">
        <f>G179+'14'!H179</f>
        <v>-27</v>
      </c>
      <c r="I179" s="155"/>
      <c r="J179" s="178">
        <f>H179/DAY(B2)</f>
        <v>-1.8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'14'!F180</f>
        <v>5363</v>
      </c>
      <c r="F180" s="155">
        <v>5369</v>
      </c>
      <c r="G180" s="155">
        <f t="shared" si="15"/>
        <v>6</v>
      </c>
      <c r="H180" s="99">
        <f>G180+'14'!H180</f>
        <v>-108</v>
      </c>
      <c r="I180" s="155"/>
      <c r="J180" s="178">
        <f>H180/DAY(B2)</f>
        <v>-7.2</v>
      </c>
    </row>
    <row r="181" spans="1:10" ht="27.75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86</v>
      </c>
      <c r="H181" s="99">
        <f>G181+'14'!H181</f>
        <v>-1256</v>
      </c>
      <c r="I181" s="155"/>
      <c r="J181" s="178">
        <f>H181/DAY(B2)</f>
        <v>-83.733333333333334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'14'!F183</f>
        <v>14697</v>
      </c>
      <c r="F183" s="157">
        <v>14707</v>
      </c>
      <c r="G183" s="157">
        <f>F183-E183</f>
        <v>10</v>
      </c>
      <c r="H183" s="99">
        <f>G183+'14'!H183</f>
        <v>-240</v>
      </c>
      <c r="I183" s="155"/>
      <c r="J183" s="178">
        <f>H183/DAY(B2)</f>
        <v>-16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'14'!F184</f>
        <v>10157</v>
      </c>
      <c r="F184" s="157">
        <v>10163</v>
      </c>
      <c r="G184" s="157">
        <f t="shared" ref="G184:G185" si="16">F184-E184</f>
        <v>6</v>
      </c>
      <c r="H184" s="99">
        <f>G184+'14'!H184</f>
        <v>-138</v>
      </c>
      <c r="I184" s="155"/>
      <c r="J184" s="178">
        <f>H184/DAY(B2)</f>
        <v>-9.1999999999999993</v>
      </c>
    </row>
    <row r="185" spans="1:10" ht="32.25" customHeight="1" x14ac:dyDescent="0.5">
      <c r="A185" s="828" t="s">
        <v>216</v>
      </c>
      <c r="B185" s="829"/>
      <c r="C185" s="336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16</v>
      </c>
      <c r="H186" s="99">
        <f>G186+'14'!H186</f>
        <v>-378</v>
      </c>
      <c r="I186" s="157"/>
      <c r="J186" s="178">
        <f>H186/DAY(B2)</f>
        <v>-25.2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161</v>
      </c>
      <c r="H187" s="99">
        <f>G187+'14'!H187</f>
        <v>-1077</v>
      </c>
      <c r="I187" s="158"/>
      <c r="J187" s="179">
        <f>H187/DAY(B2)</f>
        <v>-71.8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152</v>
      </c>
      <c r="H188" s="99">
        <f>G188+'14'!H188</f>
        <v>152</v>
      </c>
      <c r="I188" s="158"/>
      <c r="J188" s="179">
        <f>H188/DAY(B2)</f>
        <v>10.133333333333333</v>
      </c>
    </row>
    <row r="189" spans="1:10" ht="27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86</v>
      </c>
      <c r="H189" s="99">
        <f>G189+'14'!H189</f>
        <v>-1256</v>
      </c>
      <c r="I189" s="158"/>
      <c r="J189" s="179">
        <f>H189/DAY(B2)</f>
        <v>-83.733333333333334</v>
      </c>
    </row>
    <row r="190" spans="1:10" ht="27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42" zoomScale="55" zoomScaleNormal="90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0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7" x14ac:dyDescent="0.5">
      <c r="A2" s="191" t="s">
        <v>350</v>
      </c>
      <c r="B2" s="262">
        <v>44546</v>
      </c>
      <c r="C2" s="350" t="s">
        <v>67</v>
      </c>
      <c r="D2" s="218">
        <v>0.57420000000000004</v>
      </c>
      <c r="E2" s="100"/>
      <c r="F2" s="35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50" t="s">
        <v>120</v>
      </c>
      <c r="D4" s="218">
        <v>0.62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77" t="s">
        <v>128</v>
      </c>
      <c r="B6" s="878"/>
      <c r="C6" s="879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410978</v>
      </c>
      <c r="F7" s="95">
        <f>E7+23500</f>
        <v>434478</v>
      </c>
      <c r="G7" s="112">
        <f>F7-E7</f>
        <v>23500</v>
      </c>
      <c r="H7" s="99">
        <f>G7+'15'!H7</f>
        <v>339917</v>
      </c>
      <c r="I7" s="113">
        <f>'1'!I7</f>
        <v>12000</v>
      </c>
      <c r="J7" s="175">
        <f>H7/DAY(B2)</f>
        <v>21244.8125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460937</v>
      </c>
      <c r="F8" s="95">
        <f>E8+23500</f>
        <v>484437</v>
      </c>
      <c r="G8" s="115">
        <f>F8-E8</f>
        <v>23500</v>
      </c>
      <c r="H8" s="99">
        <f>G8+'15'!H8</f>
        <v>343552</v>
      </c>
      <c r="I8" s="116"/>
      <c r="J8" s="175">
        <f>H8/DAY(B2)</f>
        <v>21472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95657</v>
      </c>
      <c r="F9" s="605">
        <f>E9+14000</f>
        <v>109657</v>
      </c>
      <c r="G9" s="112">
        <f>F9-E9</f>
        <v>14000</v>
      </c>
      <c r="H9" s="99">
        <f>G9+'15'!H9</f>
        <v>208162</v>
      </c>
      <c r="I9" s="124">
        <f>I7-J7</f>
        <v>-9244.8125</v>
      </c>
      <c r="J9" s="175">
        <f>H9/DAY(B2)</f>
        <v>13010.125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484550</v>
      </c>
      <c r="F10" s="355">
        <f>E10+4500</f>
        <v>489050</v>
      </c>
      <c r="G10" s="112">
        <f t="shared" ref="G10:G12" si="0">F10-E10</f>
        <v>4500</v>
      </c>
      <c r="H10" s="99">
        <f>G10+'15'!H10</f>
        <v>91940</v>
      </c>
      <c r="I10" s="282"/>
      <c r="J10" s="175">
        <f>H10/DAY(B2)</f>
        <v>5746.25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G13+'15'!H13</f>
        <v>280636.74999999988</v>
      </c>
      <c r="I13" s="120">
        <f>G7-G13</f>
        <v>5000</v>
      </c>
      <c r="J13" s="175">
        <f>H13/DAY(B2)</f>
        <v>17539.796874999993</v>
      </c>
      <c r="K13" s="79"/>
      <c r="L13" s="66"/>
      <c r="N13" s="87"/>
      <c r="O13" s="71"/>
    </row>
    <row r="14" spans="1:16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7" t="s">
        <v>138</v>
      </c>
      <c r="B15" s="205"/>
      <c r="C15" s="205"/>
      <c r="D15" s="151" t="s">
        <v>139</v>
      </c>
      <c r="E15" s="123">
        <f>'15'!F15</f>
        <v>1860626</v>
      </c>
      <c r="F15" s="123">
        <f>E15+1100</f>
        <v>1861726</v>
      </c>
      <c r="G15" s="112">
        <f>(F15-E15)</f>
        <v>1100</v>
      </c>
      <c r="H15" s="99">
        <f>G15+'15'!H15</f>
        <v>15869</v>
      </c>
      <c r="I15" s="113">
        <f>'1'!I15</f>
        <v>800</v>
      </c>
      <c r="J15" s="175">
        <f>H15/DAY(B2)</f>
        <v>991.8125</v>
      </c>
      <c r="K15" s="79"/>
      <c r="L15" s="66"/>
      <c r="N15" s="87">
        <v>735868</v>
      </c>
      <c r="O15" s="71">
        <v>719798</v>
      </c>
      <c r="P15" s="559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-191.8125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'15'!F18</f>
        <v>87</v>
      </c>
      <c r="F18" s="122">
        <f>E18+12</f>
        <v>99</v>
      </c>
      <c r="G18" s="119">
        <f>F18*10</f>
        <v>990</v>
      </c>
      <c r="H18" s="99">
        <f>G18+'15'!H18</f>
        <v>5630</v>
      </c>
      <c r="I18" s="113">
        <f>'1'!I18</f>
        <v>65</v>
      </c>
      <c r="J18" s="175">
        <f>H18/DAY(B2)</f>
        <v>351.875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'15'!F19</f>
        <v>153025</v>
      </c>
      <c r="F19" s="122">
        <f>E19+55</f>
        <v>153080</v>
      </c>
      <c r="G19" s="112">
        <f t="shared" ref="G19" si="1">F19-E19</f>
        <v>55</v>
      </c>
      <c r="H19" s="99">
        <f>G19+'15'!H19</f>
        <v>855</v>
      </c>
      <c r="I19" s="337"/>
      <c r="J19" s="175">
        <f>H19/DAY(B2)</f>
        <v>53.4375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1045</v>
      </c>
      <c r="H20" s="99">
        <f>G20+'15'!H20</f>
        <v>6485</v>
      </c>
      <c r="I20" s="338">
        <f>I18-J20</f>
        <v>-340.3125</v>
      </c>
      <c r="J20" s="175">
        <f>H20/DAY(B2)</f>
        <v>405.3125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85" t="s">
        <v>149</v>
      </c>
      <c r="B25" s="886"/>
      <c r="C25" s="887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G27+'15'!H27</f>
        <v>3091968</v>
      </c>
      <c r="I27" s="138"/>
      <c r="J27" s="175">
        <f>H27/DAY(B2)</f>
        <v>193248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G28+'15'!H28</f>
        <v>825188</v>
      </c>
      <c r="I28" s="140"/>
      <c r="J28" s="175">
        <f>H28/DAY(B2)</f>
        <v>51574.25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124830</v>
      </c>
      <c r="I30" s="140"/>
      <c r="J30" s="175">
        <f>H30/DAY(B2)</f>
        <v>7801.875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990</v>
      </c>
      <c r="F31" s="136">
        <v>80</v>
      </c>
      <c r="G31" s="137">
        <f>E31*F31</f>
        <v>79200</v>
      </c>
      <c r="H31" s="99">
        <f>G31+'15'!H31</f>
        <v>450400</v>
      </c>
      <c r="I31" s="140"/>
      <c r="J31" s="175">
        <f>H31/DAY(B2)</f>
        <v>28150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355930</v>
      </c>
      <c r="H32" s="99">
        <f>G32+'15'!H32</f>
        <v>4492386</v>
      </c>
      <c r="I32" s="144"/>
      <c r="J32" s="175">
        <f>H32/DAY(B2)</f>
        <v>280774.125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497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125000</v>
      </c>
      <c r="F35" s="117">
        <v>126939.79</v>
      </c>
      <c r="G35" s="112">
        <f t="shared" ref="G35:G46" si="3">F35-E35</f>
        <v>1939.7899999999936</v>
      </c>
      <c r="H35" s="99">
        <f>G35+'15'!H35</f>
        <v>142139.78999999998</v>
      </c>
      <c r="I35" s="95"/>
      <c r="J35" s="175">
        <f>H35/DAY(B2)</f>
        <v>8883.7368749999987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5415</v>
      </c>
      <c r="F36" s="117">
        <v>6619.26</v>
      </c>
      <c r="G36" s="112">
        <f t="shared" si="3"/>
        <v>1204.2600000000002</v>
      </c>
      <c r="H36" s="99">
        <f>G36+'15'!H36</f>
        <v>74822.259999999995</v>
      </c>
      <c r="I36" s="95"/>
      <c r="J36" s="175">
        <f>H36/DAY(B2)</f>
        <v>4676.3912499999997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169953</v>
      </c>
      <c r="F37" s="117">
        <v>171518.33</v>
      </c>
      <c r="G37" s="112">
        <f t="shared" si="3"/>
        <v>1565.3299999999872</v>
      </c>
      <c r="H37" s="99">
        <f>G37+'15'!H37</f>
        <v>183730.33</v>
      </c>
      <c r="I37" s="95"/>
      <c r="J37" s="175">
        <f>H37/DAY(B2)</f>
        <v>11483.145624999999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201092</v>
      </c>
      <c r="F38" s="95">
        <v>203077.61</v>
      </c>
      <c r="G38" s="112">
        <f t="shared" si="3"/>
        <v>1985.609999999986</v>
      </c>
      <c r="H38" s="99">
        <f>G38+'15'!H38</f>
        <v>216277.61</v>
      </c>
      <c r="I38" s="95"/>
      <c r="J38" s="175">
        <f>H38/DAY(B2)</f>
        <v>13517.350624999999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365770</v>
      </c>
      <c r="F39" s="117">
        <v>368719.87</v>
      </c>
      <c r="G39" s="112">
        <f t="shared" si="3"/>
        <v>2949.8699999999953</v>
      </c>
      <c r="H39" s="99">
        <f>G39+'15'!H39</f>
        <v>390401.87</v>
      </c>
      <c r="I39" s="95"/>
      <c r="J39" s="175">
        <f>H39/DAY(B2)</f>
        <v>24400.116875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120</v>
      </c>
      <c r="F40" s="117">
        <v>119.98</v>
      </c>
      <c r="G40" s="112">
        <f t="shared" si="3"/>
        <v>-1.9999999999996021E-2</v>
      </c>
      <c r="H40" s="99">
        <f>G40+'15'!H40</f>
        <v>-5490.02</v>
      </c>
      <c r="I40" s="95"/>
      <c r="J40" s="175">
        <f>H40/DAY(B2)</f>
        <v>-343.12625000000003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599900</v>
      </c>
      <c r="I41" s="95"/>
      <c r="J41" s="175">
        <f>H41/DAY(B2)</f>
        <v>37493.75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5730</v>
      </c>
      <c r="F42" s="117">
        <v>10523.79</v>
      </c>
      <c r="G42" s="112">
        <f t="shared" si="3"/>
        <v>4793.7900000000009</v>
      </c>
      <c r="H42" s="99">
        <f>G42+'15'!H42</f>
        <v>294374.78999999998</v>
      </c>
      <c r="I42" s="95"/>
      <c r="J42" s="175">
        <f>H42/DAY(B2)</f>
        <v>18398.424374999999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v>4556</v>
      </c>
      <c r="F43" s="117">
        <v>7146.2</v>
      </c>
      <c r="G43" s="112">
        <f t="shared" si="3"/>
        <v>2590.1999999999998</v>
      </c>
      <c r="H43" s="99">
        <f>G43+'15'!H43</f>
        <v>1524566.2</v>
      </c>
      <c r="I43" s="95"/>
      <c r="J43" s="175">
        <f>H43/DAY(B2)</f>
        <v>95285.387499999997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17028.829999999962</v>
      </c>
      <c r="H47" s="99">
        <f>G47+'15'!H47</f>
        <v>3420722.83</v>
      </c>
      <c r="I47" s="95"/>
      <c r="J47" s="175">
        <f>H47/DAY(B2)</f>
        <v>213795.176875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246760</v>
      </c>
      <c r="F49" s="117">
        <v>248551.89</v>
      </c>
      <c r="G49" s="112">
        <f t="shared" ref="G49:G58" si="4">F49-E49</f>
        <v>1791.890000000014</v>
      </c>
      <c r="H49" s="99">
        <f>G49+'15'!H49</f>
        <v>261672.89</v>
      </c>
      <c r="I49" s="95"/>
      <c r="J49" s="175">
        <f>H49/DAY(B2)</f>
        <v>16354.555625000001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5492</v>
      </c>
      <c r="F50" s="117">
        <v>6533.38</v>
      </c>
      <c r="G50" s="112">
        <f t="shared" si="4"/>
        <v>1041.3800000000001</v>
      </c>
      <c r="H50" s="99">
        <f>G50+'15'!H50</f>
        <v>720958.38</v>
      </c>
      <c r="I50" s="95"/>
      <c r="J50" s="175">
        <f>H50/DAY(B2)</f>
        <v>45059.89875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6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92">
        <f>'15'!F54</f>
        <v>3113</v>
      </c>
      <c r="F54" s="607">
        <v>3117.72</v>
      </c>
      <c r="G54" s="236">
        <f t="shared" si="4"/>
        <v>4.7199999999997999</v>
      </c>
      <c r="H54" s="99">
        <f>G54+'15'!H54</f>
        <v>4884.7999999999993</v>
      </c>
      <c r="I54" s="95"/>
      <c r="J54" s="175">
        <f>H54/DAY(B2)</f>
        <v>305.29999999999995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92">
        <f>'15'!F55</f>
        <v>0</v>
      </c>
      <c r="F55" s="496">
        <v>0</v>
      </c>
      <c r="G55" s="236">
        <f t="shared" si="4"/>
        <v>0</v>
      </c>
      <c r="H55" s="99">
        <f>G55+'15'!H55</f>
        <v>-3511</v>
      </c>
      <c r="I55" s="95"/>
      <c r="J55" s="175">
        <f>H55/DAY(B2)</f>
        <v>-219.4375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6713</v>
      </c>
      <c r="F56" s="117">
        <v>7001.74</v>
      </c>
      <c r="G56" s="112">
        <f t="shared" si="4"/>
        <v>288.73999999999978</v>
      </c>
      <c r="H56" s="99">
        <f>G56+'15'!H56</f>
        <v>210456.19999999998</v>
      </c>
      <c r="I56" s="95"/>
      <c r="J56" s="175">
        <f>H56/DAY(B2)</f>
        <v>13153.512499999999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88818</v>
      </c>
      <c r="F58" s="117">
        <v>89041.35</v>
      </c>
      <c r="G58" s="112">
        <f t="shared" si="4"/>
        <v>223.35000000000582</v>
      </c>
      <c r="H58" s="99">
        <f>G58+'15'!H58</f>
        <v>89381.98000000001</v>
      </c>
      <c r="I58" s="95"/>
      <c r="J58" s="175">
        <f>H58/DAY(B2)</f>
        <v>5586.3737500000007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3350.0800000000195</v>
      </c>
      <c r="H59" s="99">
        <f>G59+'15'!H59</f>
        <v>1283843.25</v>
      </c>
      <c r="I59" s="95">
        <f>G7-G60</f>
        <v>3121.0900000000183</v>
      </c>
      <c r="J59" s="175">
        <f>H59/DAY(B2)</f>
        <v>80240.203125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20378.909999999982</v>
      </c>
      <c r="H60" s="99">
        <f>G60+'15'!H60</f>
        <v>4704566.08</v>
      </c>
      <c r="I60" s="95">
        <f>G13-G60</f>
        <v>-1878.9099999999817</v>
      </c>
      <c r="J60" s="175">
        <f>H60/DAY(B2)</f>
        <v>294035.38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'15'!F62</f>
        <v>265336</v>
      </c>
      <c r="F62" s="122">
        <v>265448</v>
      </c>
      <c r="G62" s="112">
        <f t="shared" ref="G62:G63" si="5">F62-E62</f>
        <v>112</v>
      </c>
      <c r="H62" s="99">
        <f>G62+'15'!H62</f>
        <v>-1765</v>
      </c>
      <c r="I62" s="118"/>
      <c r="J62" s="175">
        <f>H62/DAY(B2)</f>
        <v>-110.3125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'15'!F63</f>
        <v>210975</v>
      </c>
      <c r="F63" s="122">
        <v>211063</v>
      </c>
      <c r="G63" s="112">
        <f t="shared" si="5"/>
        <v>88</v>
      </c>
      <c r="H63" s="99">
        <f>G63+'15'!H63</f>
        <v>-1362</v>
      </c>
      <c r="I63" s="118"/>
      <c r="J63" s="175">
        <f>H63/DAY(B2)</f>
        <v>-85.125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v>0</v>
      </c>
      <c r="F64" s="122"/>
      <c r="G64" s="112">
        <f>G62+G63</f>
        <v>200</v>
      </c>
      <c r="H64" s="99">
        <f>G64+'15'!H64</f>
        <v>-3127</v>
      </c>
      <c r="I64" s="118"/>
      <c r="J64" s="175">
        <f>H64/DAY(B2)</f>
        <v>-195.4375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'15'!F65</f>
        <v>430963</v>
      </c>
      <c r="F65" s="122">
        <v>431056</v>
      </c>
      <c r="G65" s="112">
        <f t="shared" ref="G65:G70" si="6">F65-E65</f>
        <v>93</v>
      </c>
      <c r="H65" s="99">
        <f>G65+'15'!H65</f>
        <v>-1558</v>
      </c>
      <c r="I65" s="118"/>
      <c r="J65" s="175">
        <f>H65/DAY(B2)</f>
        <v>-97.375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'15'!F66</f>
        <v>106891</v>
      </c>
      <c r="F66" s="122">
        <v>106910</v>
      </c>
      <c r="G66" s="112">
        <f t="shared" si="6"/>
        <v>19</v>
      </c>
      <c r="H66" s="99">
        <f>G66+'15'!H66</f>
        <v>-304</v>
      </c>
      <c r="I66" s="118"/>
      <c r="J66" s="175">
        <f>H66/DAY(B2)</f>
        <v>-19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'15'!F67</f>
        <v>103454</v>
      </c>
      <c r="F67" s="122">
        <v>103477</v>
      </c>
      <c r="G67" s="112">
        <f t="shared" si="6"/>
        <v>23</v>
      </c>
      <c r="H67" s="99">
        <f>G67+'15'!H67</f>
        <v>-451</v>
      </c>
      <c r="I67" s="118"/>
      <c r="J67" s="175">
        <f>H67/DAY(B2)</f>
        <v>-28.1875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'15'!F68</f>
        <v>156047</v>
      </c>
      <c r="F68" s="122">
        <v>156076</v>
      </c>
      <c r="G68" s="112">
        <f t="shared" si="6"/>
        <v>29</v>
      </c>
      <c r="H68" s="99">
        <f>G68+'15'!H68</f>
        <v>-544</v>
      </c>
      <c r="I68" s="118"/>
      <c r="J68" s="175">
        <f>H68/DAY(B2)</f>
        <v>-34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'15'!F69</f>
        <v>10016</v>
      </c>
      <c r="F69" s="122">
        <v>10026</v>
      </c>
      <c r="G69" s="112">
        <f t="shared" si="6"/>
        <v>10</v>
      </c>
      <c r="H69" s="99">
        <f>G69+'15'!H69</f>
        <v>-188</v>
      </c>
      <c r="I69" s="118"/>
      <c r="J69" s="175">
        <f>H69/DAY(B2)</f>
        <v>-11.75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'15'!F70</f>
        <v>7696</v>
      </c>
      <c r="F70" s="122">
        <v>7710</v>
      </c>
      <c r="G70" s="112">
        <f t="shared" si="6"/>
        <v>14</v>
      </c>
      <c r="H70" s="99">
        <f>G70+'15'!H70</f>
        <v>-152</v>
      </c>
      <c r="I70" s="118"/>
      <c r="J70" s="175">
        <f>H70/DAY(B2)</f>
        <v>-9.5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188</v>
      </c>
      <c r="H71" s="99">
        <f>G71+'15'!H71</f>
        <v>-3197</v>
      </c>
      <c r="I71" s="154"/>
      <c r="J71" s="175">
        <f>H71/DAY(B2)</f>
        <v>-199.8125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498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'15'!F74</f>
        <v>886989</v>
      </c>
      <c r="F74" s="117">
        <v>887319.41</v>
      </c>
      <c r="G74" s="112">
        <f t="shared" ref="G74:G78" si="7">F74-E74</f>
        <v>330.4100000000326</v>
      </c>
      <c r="H74" s="99">
        <f>G74+'15'!H74</f>
        <v>-4712.5899999999674</v>
      </c>
      <c r="I74" s="154"/>
      <c r="J74" s="175">
        <f>H74/DAY(B2)</f>
        <v>-294.53687499999796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'15'!F75</f>
        <v>73830.69</v>
      </c>
      <c r="F75" s="123">
        <v>73830.69</v>
      </c>
      <c r="G75" s="112">
        <f t="shared" si="7"/>
        <v>0</v>
      </c>
      <c r="H75" s="99">
        <f>G75+'15'!H75</f>
        <v>243.88999999999942</v>
      </c>
      <c r="I75" s="154"/>
      <c r="J75" s="175">
        <f>H75/DAY(B2)</f>
        <v>15.243124999999964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'15'!F76</f>
        <v>165342.6</v>
      </c>
      <c r="F76" s="123">
        <v>165479.42000000001</v>
      </c>
      <c r="G76" s="112">
        <f t="shared" si="7"/>
        <v>136.82000000000698</v>
      </c>
      <c r="H76" s="99">
        <f>G76+'15'!H76</f>
        <v>-1727.5799999999872</v>
      </c>
      <c r="I76" s="154"/>
      <c r="J76" s="175">
        <f>H76/DAY(B2)</f>
        <v>-107.9737499999992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'15'!F77</f>
        <v>39526.6</v>
      </c>
      <c r="F77" s="123">
        <v>39572.1</v>
      </c>
      <c r="G77" s="112">
        <f t="shared" si="7"/>
        <v>45.5</v>
      </c>
      <c r="H77" s="99">
        <f>G77+'15'!H77</f>
        <v>-743.90000000000146</v>
      </c>
      <c r="I77" s="154"/>
      <c r="J77" s="175">
        <f>H77/DAY(B2)</f>
        <v>-46.493750000000091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'15'!F78</f>
        <v>9456.7000000000007</v>
      </c>
      <c r="F78" s="123">
        <v>9458.7999999999993</v>
      </c>
      <c r="G78" s="112">
        <f t="shared" si="7"/>
        <v>2.0999999999985448</v>
      </c>
      <c r="H78" s="99">
        <f>G78+'15'!H78</f>
        <v>-27.200000000000728</v>
      </c>
      <c r="I78" s="118"/>
      <c r="J78" s="175">
        <f>H78/DAY(B2)</f>
        <v>-1.7000000000000455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'15'!F79</f>
        <v>0</v>
      </c>
      <c r="F79" s="123"/>
      <c r="G79" s="112">
        <f>G15-SUM(G74:G78)</f>
        <v>585.16999999996187</v>
      </c>
      <c r="H79" s="99">
        <f>G79+'15'!H79</f>
        <v>22836.379999999957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>
        <f>G80+'15'!H80</f>
        <v>1100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'15'!F84</f>
        <v>41675.760000000002</v>
      </c>
      <c r="F84" s="164">
        <v>41675.26</v>
      </c>
      <c r="G84" s="112">
        <f t="shared" si="8"/>
        <v>-0.5</v>
      </c>
      <c r="H84" s="99">
        <f>G84+'15'!H84</f>
        <v>0.26000000000203727</v>
      </c>
      <c r="I84" s="118"/>
      <c r="J84" s="175">
        <f>H84/DAY(B2)</f>
        <v>1.6250000000127329E-2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'15'!F85</f>
        <v>1748</v>
      </c>
      <c r="F85" s="164">
        <v>1772.07</v>
      </c>
      <c r="G85" s="112">
        <f t="shared" si="8"/>
        <v>24.069999999999936</v>
      </c>
      <c r="H85" s="99">
        <f>G85+'15'!H85</f>
        <v>-324.49</v>
      </c>
      <c r="I85" s="118">
        <f>G82+G83+G84+G85</f>
        <v>23.569999999999936</v>
      </c>
      <c r="J85" s="175">
        <f>H85/DAY(B2)</f>
        <v>-20.280625000000001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-36.529999999998836</v>
      </c>
      <c r="I86" s="118"/>
      <c r="J86" s="175">
        <f>H86/DAY(B2)</f>
        <v>-2.2831249999999272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'15'!F87</f>
        <v>34582</v>
      </c>
      <c r="F87" s="164">
        <v>34585.1</v>
      </c>
      <c r="G87" s="112">
        <f t="shared" si="8"/>
        <v>3.0999999999985448</v>
      </c>
      <c r="H87" s="99">
        <f>G87+'15'!H87</f>
        <v>-13.450000000004366</v>
      </c>
      <c r="I87" s="118"/>
      <c r="J87" s="175">
        <f>H87/DAY(B2)</f>
        <v>-0.84062500000027285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'15'!F88</f>
        <v>24005.53</v>
      </c>
      <c r="F88" s="164">
        <v>24005.13</v>
      </c>
      <c r="G88" s="112">
        <f t="shared" si="8"/>
        <v>-0.39999999999781721</v>
      </c>
      <c r="H88" s="99">
        <f>G88+'15'!H88</f>
        <v>-41.869999999998981</v>
      </c>
      <c r="I88" s="118">
        <f>G86+G87+G88</f>
        <v>2.7000000000007276</v>
      </c>
      <c r="J88" s="175">
        <f>H88/DAY(B2)</f>
        <v>-2.6168749999999363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'15'!F89</f>
        <v>25540.1</v>
      </c>
      <c r="F89" s="164">
        <v>25550.63</v>
      </c>
      <c r="G89" s="112">
        <f t="shared" si="8"/>
        <v>10.530000000002474</v>
      </c>
      <c r="H89" s="99">
        <f>G89+'15'!H89</f>
        <v>-112.36999999999898</v>
      </c>
      <c r="I89" s="118"/>
      <c r="J89" s="175">
        <f>H89/DAY(B2)</f>
        <v>-7.0231249999999363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'15'!F90</f>
        <v>70936.97</v>
      </c>
      <c r="F90" s="164">
        <v>70943.360000000001</v>
      </c>
      <c r="G90" s="112">
        <f t="shared" si="8"/>
        <v>6.3899999999994179</v>
      </c>
      <c r="H90" s="99">
        <f>G90+'15'!H90</f>
        <v>-90.639999999999418</v>
      </c>
      <c r="I90" s="118">
        <f>G89+G90</f>
        <v>16.920000000001892</v>
      </c>
      <c r="J90" s="175">
        <f>H90/DAY(B2)</f>
        <v>-5.6649999999999636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'15'!F92</f>
        <v>5261.77</v>
      </c>
      <c r="F92" s="122">
        <v>5273.59</v>
      </c>
      <c r="G92" s="112">
        <f t="shared" si="8"/>
        <v>11.819999999999709</v>
      </c>
      <c r="H92" s="99">
        <f>G92+'15'!H92</f>
        <v>-164.40999999999985</v>
      </c>
      <c r="I92" s="165"/>
      <c r="J92" s="175">
        <f>H92/DAY(B2)</f>
        <v>-10.275624999999991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6321.8800000000074</v>
      </c>
      <c r="H94" s="99">
        <f>G94+'15'!H94</f>
        <v>1928378.8800000001</v>
      </c>
      <c r="I94" s="118"/>
      <c r="J94" s="175">
        <f>H94/DAY(B2)</f>
        <v>120523.68000000001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51"/>
      <c r="G95" s="166">
        <f>G94/G7</f>
        <v>0.26901617021276625</v>
      </c>
      <c r="H95" s="99">
        <f>G95+'15'!H95</f>
        <v>82.520034985790616</v>
      </c>
      <c r="I95" s="167"/>
      <c r="J95" s="175">
        <f>H95/DAY(B2)</f>
        <v>5.1575021866119135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5082.5300000000007</v>
      </c>
      <c r="H96" s="99">
        <f>G96+'15'!H96</f>
        <v>1101219.99</v>
      </c>
      <c r="I96" s="118"/>
      <c r="J96" s="175">
        <f>H96/DAY(B2)</f>
        <v>68826.249374999999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0.21627787234042556</v>
      </c>
      <c r="H97" s="99">
        <f>G97+'15'!H97</f>
        <v>47.103379551748425</v>
      </c>
      <c r="I97" s="167"/>
      <c r="J97" s="175">
        <f>H97/DAY(B2)</f>
        <v>2.9439612219842766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2949.8699999999953</v>
      </c>
      <c r="H98" s="99">
        <f>G98+'15'!H98</f>
        <v>390401.87</v>
      </c>
      <c r="I98" s="168"/>
      <c r="J98" s="175">
        <f>H98/DAY(B2)</f>
        <v>24400.116875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0.12552638297872321</v>
      </c>
      <c r="H99" s="99">
        <f>G99+'15'!H99</f>
        <v>16.826795436779143</v>
      </c>
      <c r="I99" s="168"/>
      <c r="J99" s="175">
        <f>H99/DAY(B2)</f>
        <v>1.0516747147986965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1985.609999999986</v>
      </c>
      <c r="H100" s="99">
        <f>G100+'15'!H100</f>
        <v>216277.61</v>
      </c>
      <c r="I100" s="118"/>
      <c r="J100" s="175">
        <f>H100/DAY(B2)</f>
        <v>13517.350624999999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8.4494042553190901E-2</v>
      </c>
      <c r="H101" s="99">
        <f>G101+'15'!H101</f>
        <v>9.3341742744939005</v>
      </c>
      <c r="I101" s="168"/>
      <c r="J101" s="175">
        <f>H101/DAY(B2)</f>
        <v>0.58338589215586878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2245.6400000000003</v>
      </c>
      <c r="H102" s="99">
        <f>G102+'15'!H102</f>
        <v>795780.64</v>
      </c>
      <c r="I102" s="168"/>
      <c r="J102" s="175">
        <f>H102/DAY(B2)</f>
        <v>49736.29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9.5559148936170221E-2</v>
      </c>
      <c r="H103" s="99">
        <f>G103+'15'!H103</f>
        <v>34.007344580376113</v>
      </c>
      <c r="I103" s="118"/>
      <c r="J103" s="175">
        <f>H103/DAY(B2)</f>
        <v>2.1254590362735071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1565.3299999999872</v>
      </c>
      <c r="H104" s="99">
        <f>G104+'15'!H104</f>
        <v>183730.33</v>
      </c>
      <c r="I104" s="118"/>
      <c r="J104" s="175">
        <f>H104/DAY(B2)</f>
        <v>11483.145624999999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6.6609787234042012E-2</v>
      </c>
      <c r="H105" s="99">
        <f>G105+'15'!H105</f>
        <v>7.9387767936253191</v>
      </c>
      <c r="I105" s="187"/>
      <c r="J105" s="188">
        <f>H105/DAY(B2)</f>
        <v>0.49617354960158244</v>
      </c>
      <c r="O105" s="71"/>
    </row>
    <row r="106" spans="1:15" ht="29.25" x14ac:dyDescent="0.5">
      <c r="A106" s="105"/>
      <c r="B106" s="96"/>
      <c r="C106" s="96"/>
      <c r="D106" s="169"/>
      <c r="E106" s="169"/>
      <c r="F106" s="49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5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'15'!F112</f>
        <v>54545</v>
      </c>
      <c r="F112" s="237">
        <v>54617.91</v>
      </c>
      <c r="G112" s="112">
        <f t="shared" ref="G112:G123" si="9">F112-E112</f>
        <v>72.910000000003492</v>
      </c>
      <c r="H112" s="99">
        <f>G112+'15'!H112</f>
        <v>-1063.0899999999965</v>
      </c>
      <c r="I112" s="165"/>
      <c r="J112" s="330">
        <f>H112/DAY(B2)</f>
        <v>-66.443124999999782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'15'!F113</f>
        <v>24849</v>
      </c>
      <c r="F113" s="237">
        <v>25320.76</v>
      </c>
      <c r="G113" s="112">
        <f t="shared" si="9"/>
        <v>471.7599999999984</v>
      </c>
      <c r="H113" s="99">
        <f>G113+'15'!H113</f>
        <v>-6874.2400000000016</v>
      </c>
      <c r="I113" s="165"/>
      <c r="J113" s="330">
        <f>H113/DAY(B2)</f>
        <v>-429.6400000000001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492">
        <f>'15'!F114</f>
        <v>19545</v>
      </c>
      <c r="F114" s="503">
        <v>19829.080000000002</v>
      </c>
      <c r="G114" s="236">
        <v>126.9</v>
      </c>
      <c r="H114" s="99">
        <f>G114+'15'!H114</f>
        <v>-5199.1000000000004</v>
      </c>
      <c r="I114" s="165"/>
      <c r="J114" s="330">
        <f>H114/DAY(B2)</f>
        <v>-324.94375000000002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492">
        <f>'15'!F115</f>
        <v>8590</v>
      </c>
      <c r="F115" s="503">
        <v>8601.99</v>
      </c>
      <c r="G115" s="236">
        <f t="shared" si="9"/>
        <v>11.989999999999782</v>
      </c>
      <c r="H115" s="99">
        <f>G115+'15'!H115</f>
        <v>-183.01000000000022</v>
      </c>
      <c r="I115" s="165"/>
      <c r="J115" s="330">
        <f>H115/DAY(B2)</f>
        <v>-11.438125000000014</v>
      </c>
      <c r="N115" s="606" t="s">
        <v>368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'15'!F117</f>
        <v>2251</v>
      </c>
      <c r="F117" s="237">
        <v>2265.5</v>
      </c>
      <c r="G117" s="112">
        <f t="shared" si="9"/>
        <v>14.5</v>
      </c>
      <c r="H117" s="99">
        <f>G117+'15'!H117</f>
        <v>-324.5</v>
      </c>
      <c r="I117" s="165"/>
      <c r="J117" s="330">
        <f>H117/DAY(B2)</f>
        <v>-20.28125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'15'!F118</f>
        <v>235463</v>
      </c>
      <c r="F118" s="237">
        <v>235864.31</v>
      </c>
      <c r="G118" s="112">
        <f t="shared" si="9"/>
        <v>401.30999999999767</v>
      </c>
      <c r="H118" s="99">
        <f>G118+'15'!H118</f>
        <v>-5782.6900000000023</v>
      </c>
      <c r="I118" s="165"/>
      <c r="J118" s="330">
        <f>H118/DAY(B2)</f>
        <v>-361.41812500000015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492">
        <f>'15'!F119</f>
        <v>238290</v>
      </c>
      <c r="F119" s="503">
        <v>238720.61</v>
      </c>
      <c r="G119" s="112">
        <f t="shared" si="9"/>
        <v>430.60999999998603</v>
      </c>
      <c r="H119" s="99">
        <f>G119+'15'!H119</f>
        <v>-6405.390000000014</v>
      </c>
      <c r="I119" s="165"/>
      <c r="J119" s="330">
        <f>H119/DAY(B2)</f>
        <v>-400.33687500000087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'15'!F120</f>
        <v>23441</v>
      </c>
      <c r="F120" s="237">
        <v>23848.55</v>
      </c>
      <c r="G120" s="112">
        <f t="shared" si="9"/>
        <v>407.54999999999927</v>
      </c>
      <c r="H120" s="99">
        <f>G120+'15'!H120</f>
        <v>-6229.4500000000007</v>
      </c>
      <c r="I120" s="165"/>
      <c r="J120" s="330">
        <f>H120/DAY(B2)</f>
        <v>-389.34062500000005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'15'!F121</f>
        <v>364114</v>
      </c>
      <c r="F121" s="237">
        <v>364869.35</v>
      </c>
      <c r="G121" s="112">
        <f t="shared" si="9"/>
        <v>755.34999999997672</v>
      </c>
      <c r="H121" s="99">
        <f>G121+'15'!H121</f>
        <v>-11659.650000000023</v>
      </c>
      <c r="I121" s="165"/>
      <c r="J121" s="330">
        <f>H121/DAY(B2)</f>
        <v>-728.72812500000146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'15'!F122</f>
        <v>115860</v>
      </c>
      <c r="F122" s="237">
        <v>116241.71</v>
      </c>
      <c r="G122" s="112">
        <f t="shared" si="9"/>
        <v>381.7100000000064</v>
      </c>
      <c r="H122" s="99">
        <f>G122+'15'!H122</f>
        <v>-3808.2899999999936</v>
      </c>
      <c r="I122" s="165"/>
      <c r="J122" s="330">
        <f>H122/DAY(B2)</f>
        <v>-238.0181249999996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'15'!F123</f>
        <v>139320</v>
      </c>
      <c r="F123" s="237">
        <v>139721.99</v>
      </c>
      <c r="G123" s="112">
        <f t="shared" si="9"/>
        <v>401.98999999999069</v>
      </c>
      <c r="H123" s="99">
        <f>G123+'15'!H123</f>
        <v>-5403.0100000000093</v>
      </c>
      <c r="I123" s="165"/>
      <c r="J123" s="330">
        <f>H123/DAY(B2)</f>
        <v>-337.68812500000058</v>
      </c>
    </row>
    <row r="124" spans="1:18" ht="29.25" customHeight="1" x14ac:dyDescent="0.5">
      <c r="A124" s="839"/>
      <c r="B124" s="840"/>
      <c r="C124" s="841"/>
      <c r="D124" s="165"/>
      <c r="E124" s="165"/>
      <c r="F124" s="15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3476.5799999999585</v>
      </c>
      <c r="H125" s="156"/>
      <c r="I125" s="329">
        <f>G125-(G39+G53)</f>
        <v>526.7099999999632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G127+'15'!H127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'15'!F128</f>
        <v>32660</v>
      </c>
      <c r="F128" s="155">
        <v>33032.089999999997</v>
      </c>
      <c r="G128" s="112">
        <f t="shared" ref="G128:G134" si="10">F128-E128</f>
        <v>372.08999999999651</v>
      </c>
      <c r="H128" s="99">
        <f>G128+'15'!H128</f>
        <v>-4971.9100000000035</v>
      </c>
      <c r="I128" s="165"/>
      <c r="J128" s="330">
        <f>H128/DAY(B2)</f>
        <v>-310.74437500000022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'15'!F129</f>
        <v>16748</v>
      </c>
      <c r="F129" s="155">
        <v>17037.060000000001</v>
      </c>
      <c r="G129" s="112">
        <f t="shared" si="10"/>
        <v>289.06000000000131</v>
      </c>
      <c r="H129" s="99">
        <f>G129+'15'!H129</f>
        <v>-3283.9399999999987</v>
      </c>
      <c r="I129" s="165"/>
      <c r="J129" s="330">
        <f>H129/DAY(B2)</f>
        <v>-205.24624999999992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'15'!F130</f>
        <v>6502</v>
      </c>
      <c r="F130" s="155">
        <v>7071.21</v>
      </c>
      <c r="G130" s="112">
        <f t="shared" si="10"/>
        <v>569.21</v>
      </c>
      <c r="H130" s="99">
        <f>G130+'15'!H130</f>
        <v>-11310.79</v>
      </c>
      <c r="I130" s="165"/>
      <c r="J130" s="330">
        <f>H130/DAY(B2)</f>
        <v>-706.92437500000005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'15'!F131</f>
        <v>11507</v>
      </c>
      <c r="F131" s="155">
        <v>11676.72</v>
      </c>
      <c r="G131" s="112">
        <f t="shared" si="10"/>
        <v>169.71999999999935</v>
      </c>
      <c r="H131" s="99">
        <f>G131+'15'!H131</f>
        <v>-1476.2800000000007</v>
      </c>
      <c r="I131" s="165"/>
      <c r="J131" s="330">
        <f>H131/DAY(B2)</f>
        <v>-92.267500000000041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'15'!F132</f>
        <v>33105</v>
      </c>
      <c r="F132" s="155">
        <v>33590.61</v>
      </c>
      <c r="G132" s="112">
        <f t="shared" si="10"/>
        <v>485.61000000000058</v>
      </c>
      <c r="H132" s="99">
        <f>G132+'15'!H132</f>
        <v>-7432.3899999999994</v>
      </c>
      <c r="I132" s="165"/>
      <c r="J132" s="330">
        <f>H132/DAY(B2)</f>
        <v>-464.52437499999996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'15'!F133</f>
        <v>76128</v>
      </c>
      <c r="F133" s="155">
        <v>76963.41</v>
      </c>
      <c r="G133" s="112">
        <f t="shared" si="10"/>
        <v>835.41000000000349</v>
      </c>
      <c r="H133" s="99">
        <f>G133+'15'!H133</f>
        <v>-10739.589999999997</v>
      </c>
      <c r="I133" s="165"/>
      <c r="J133" s="330">
        <f>H133/DAY(B2)</f>
        <v>-671.22437499999978</v>
      </c>
    </row>
    <row r="134" spans="1:15" s="495" customFormat="1" ht="27.75" x14ac:dyDescent="0.5">
      <c r="A134" s="909" t="s">
        <v>340</v>
      </c>
      <c r="B134" s="910"/>
      <c r="C134" s="911"/>
      <c r="D134" s="233" t="s">
        <v>183</v>
      </c>
      <c r="E134" s="492">
        <f>'15'!F134</f>
        <v>660693</v>
      </c>
      <c r="F134" s="157">
        <v>661265</v>
      </c>
      <c r="G134" s="236">
        <f t="shared" si="10"/>
        <v>572</v>
      </c>
      <c r="H134" s="238">
        <f>G134+'15'!H134</f>
        <v>10131</v>
      </c>
      <c r="I134" s="158"/>
      <c r="J134" s="494">
        <f>H134/DAY(B2)</f>
        <v>633.1875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55"/>
      <c r="G135" s="112">
        <f>SUM(G128:G134)</f>
        <v>3293.1000000000013</v>
      </c>
      <c r="H135" s="99">
        <f>G135+'10'!H135</f>
        <v>-44454.9</v>
      </c>
      <c r="I135" s="329">
        <f>G135-(G35+G49)</f>
        <v>-438.58000000000629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9"/>
    </row>
    <row r="138" spans="1:15" s="495" customFormat="1" ht="27.75" x14ac:dyDescent="0.5">
      <c r="A138" s="914" t="s">
        <v>185</v>
      </c>
      <c r="B138" s="914"/>
      <c r="C138" s="914"/>
      <c r="D138" s="233" t="s">
        <v>183</v>
      </c>
      <c r="E138" s="492">
        <f>'15'!F138</f>
        <v>862343</v>
      </c>
      <c r="F138" s="148">
        <v>862461</v>
      </c>
      <c r="G138" s="236">
        <f t="shared" ref="G138:G152" si="11">F138-E138</f>
        <v>118</v>
      </c>
      <c r="H138" s="238">
        <f>G138+'15'!H138</f>
        <v>-1710</v>
      </c>
      <c r="I138" s="493"/>
      <c r="J138" s="494">
        <f>H138/DAY(B2)</f>
        <v>-106.875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'15'!F139</f>
        <v>886371</v>
      </c>
      <c r="F139" s="148">
        <v>886376</v>
      </c>
      <c r="G139" s="112">
        <f t="shared" si="11"/>
        <v>5</v>
      </c>
      <c r="H139" s="99">
        <f>G139+'15'!H139</f>
        <v>-170</v>
      </c>
      <c r="I139" s="118"/>
      <c r="J139" s="330">
        <f>H139/DAY(B2)</f>
        <v>-10.625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'15'!F140</f>
        <v>88864</v>
      </c>
      <c r="F140" s="149">
        <v>88864</v>
      </c>
      <c r="G140" s="112">
        <f t="shared" si="11"/>
        <v>0</v>
      </c>
      <c r="H140" s="99">
        <f>G140+'15'!H140</f>
        <v>-18</v>
      </c>
      <c r="I140" s="118"/>
      <c r="J140" s="330">
        <f>H140/DAY(B2)</f>
        <v>-1.125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'15'!F141</f>
        <v>46097</v>
      </c>
      <c r="F141" s="149">
        <v>46289.8</v>
      </c>
      <c r="G141" s="112">
        <f t="shared" si="11"/>
        <v>192.80000000000291</v>
      </c>
      <c r="H141" s="99">
        <f>G141+'15'!H141</f>
        <v>-3016.1999999999971</v>
      </c>
      <c r="I141" s="118"/>
      <c r="J141" s="330">
        <f>H141/DAY(B2)</f>
        <v>-188.51249999999982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'15'!F142</f>
        <v>17817</v>
      </c>
      <c r="F142" s="148">
        <v>17889.98</v>
      </c>
      <c r="G142" s="112">
        <f t="shared" si="11"/>
        <v>72.979999999999563</v>
      </c>
      <c r="H142" s="99">
        <f>G142+'15'!H142</f>
        <v>-1119.0200000000004</v>
      </c>
      <c r="I142" s="140"/>
      <c r="J142" s="330">
        <f>H142/DAY(B2)</f>
        <v>-69.938750000000027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'15'!F143</f>
        <v>2648</v>
      </c>
      <c r="F143" s="149">
        <v>2677.58</v>
      </c>
      <c r="G143" s="112">
        <f t="shared" si="11"/>
        <v>29.579999999999927</v>
      </c>
      <c r="H143" s="99">
        <f>G143+'15'!H143</f>
        <v>-383.42000000000007</v>
      </c>
      <c r="I143" s="140"/>
      <c r="J143" s="330">
        <f>H143/DAY(B2)</f>
        <v>-23.963750000000005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'15'!F144</f>
        <v>865848</v>
      </c>
      <c r="F144" s="149">
        <v>866087</v>
      </c>
      <c r="G144" s="112">
        <f t="shared" si="11"/>
        <v>239</v>
      </c>
      <c r="H144" s="99">
        <f>G144+'15'!H144</f>
        <v>-3583</v>
      </c>
      <c r="I144" s="140"/>
      <c r="J144" s="330">
        <f>H144/DAY(B2)</f>
        <v>-223.9375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'15'!F145</f>
        <v>4145</v>
      </c>
      <c r="F145" s="148">
        <v>4208.09</v>
      </c>
      <c r="G145" s="112">
        <f t="shared" si="11"/>
        <v>63.090000000000146</v>
      </c>
      <c r="H145" s="99">
        <f>G145+'15'!H145</f>
        <v>-349.90999999999985</v>
      </c>
      <c r="I145" s="140"/>
      <c r="J145" s="330">
        <f>H145/DAY(B2)</f>
        <v>-21.869374999999991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'15'!F146</f>
        <v>717200</v>
      </c>
      <c r="F146" s="148">
        <v>717626.6</v>
      </c>
      <c r="G146" s="112">
        <f t="shared" si="11"/>
        <v>426.59999999997672</v>
      </c>
      <c r="H146" s="99">
        <f>G146+'15'!H146</f>
        <v>-7231.4000000000233</v>
      </c>
      <c r="I146" s="140"/>
      <c r="J146" s="330">
        <f>H146/DAY(B2)</f>
        <v>-451.96250000000146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'15'!F147</f>
        <v>608652</v>
      </c>
      <c r="F147" s="148">
        <v>609069</v>
      </c>
      <c r="G147" s="112">
        <f t="shared" si="11"/>
        <v>417</v>
      </c>
      <c r="H147" s="99">
        <f>G147+'15'!H147</f>
        <v>-6213</v>
      </c>
      <c r="I147" s="140"/>
      <c r="J147" s="330">
        <f>H147/DAY(B2)</f>
        <v>-388.3125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'15'!F148</f>
        <v>678248</v>
      </c>
      <c r="F148" s="164">
        <v>678524</v>
      </c>
      <c r="G148" s="112">
        <f t="shared" si="11"/>
        <v>276</v>
      </c>
      <c r="H148" s="99">
        <f>G148+'15'!H148</f>
        <v>-4509.1199999999953</v>
      </c>
      <c r="I148" s="124"/>
      <c r="J148" s="330">
        <f>H148/DAY(B2)</f>
        <v>-281.81999999999971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'15'!F149</f>
        <v>89766</v>
      </c>
      <c r="F149" s="233">
        <v>90089</v>
      </c>
      <c r="G149" s="112">
        <f t="shared" si="11"/>
        <v>323</v>
      </c>
      <c r="H149" s="99">
        <f>G149+'15'!H149</f>
        <v>179223</v>
      </c>
      <c r="I149" s="119"/>
      <c r="J149" s="330">
        <f>H149/DAY(B2)</f>
        <v>11201.4375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'15'!F150</f>
        <v>417</v>
      </c>
      <c r="F150" s="233">
        <v>639.99</v>
      </c>
      <c r="G150" s="112">
        <f t="shared" si="11"/>
        <v>222.99</v>
      </c>
      <c r="H150" s="99">
        <f>G150+'15'!H150</f>
        <v>7163627.9900000002</v>
      </c>
      <c r="I150" s="119"/>
      <c r="J150" s="330">
        <f>H150/DAY(B2)</f>
        <v>447726.74937500001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'15'!F151</f>
        <v>74441</v>
      </c>
      <c r="F151" s="233">
        <v>74683</v>
      </c>
      <c r="G151" s="112">
        <f t="shared" si="11"/>
        <v>242</v>
      </c>
      <c r="H151" s="99">
        <f>G151+'15'!H151</f>
        <v>-3534</v>
      </c>
      <c r="I151" s="119"/>
      <c r="J151" s="330">
        <f>H151/DAY(B2)</f>
        <v>-220.875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'15'!F152</f>
        <v>316</v>
      </c>
      <c r="F152" s="233">
        <v>373.4</v>
      </c>
      <c r="G152" s="112">
        <f t="shared" si="11"/>
        <v>57.399999999999977</v>
      </c>
      <c r="H152" s="99">
        <f>G152+'15'!H152</f>
        <v>-753.6</v>
      </c>
      <c r="I152" s="119"/>
      <c r="J152" s="330">
        <f>H152/DAY(B2)</f>
        <v>-47.1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2685.4399999999791</v>
      </c>
      <c r="H153" s="365"/>
      <c r="I153" s="119">
        <f>G153-(G38+G52)</f>
        <v>699.82999999999311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492">
        <f>'15'!F155</f>
        <v>1950</v>
      </c>
      <c r="F155" s="534">
        <v>2657.76</v>
      </c>
      <c r="G155" s="236">
        <f>F155-E155</f>
        <v>707.76000000000022</v>
      </c>
      <c r="H155" s="99">
        <f>G155+'15'!H155</f>
        <v>66802.759999999995</v>
      </c>
      <c r="I155" s="366"/>
      <c r="J155" s="330">
        <f>H155/DAY(B2)</f>
        <v>4175.1724999999997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492">
        <f>'15'!F156</f>
        <v>158</v>
      </c>
      <c r="F156" s="157">
        <v>218.32</v>
      </c>
      <c r="G156" s="236">
        <f t="shared" ref="G156:G158" si="12">F156-E156</f>
        <v>60.319999999999993</v>
      </c>
      <c r="H156" s="99">
        <f>G156+'15'!H156</f>
        <v>-869.68000000000006</v>
      </c>
      <c r="I156" s="165"/>
      <c r="J156" s="330">
        <f>H156/DAY(B2)</f>
        <v>-54.355000000000004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492">
        <f>'15'!F157</f>
        <v>189</v>
      </c>
      <c r="F157" s="157">
        <v>253.81</v>
      </c>
      <c r="G157" s="236">
        <f t="shared" si="12"/>
        <v>64.81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492">
        <f>'15'!F158</f>
        <v>0</v>
      </c>
      <c r="F158" s="157"/>
      <c r="G158" s="236">
        <f t="shared" si="12"/>
        <v>0</v>
      </c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471130</v>
      </c>
      <c r="F161" s="235">
        <v>471130</v>
      </c>
      <c r="G161" s="238">
        <f t="shared" ref="G161:G165" si="13">F161-E161</f>
        <v>0</v>
      </c>
      <c r="H161" s="99">
        <f>G161+'15'!H161</f>
        <v>-23.159999999974389</v>
      </c>
      <c r="I161" s="236"/>
      <c r="J161" s="239">
        <f>H161/DAY(B2)</f>
        <v>-1.4474999999983993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87110</v>
      </c>
      <c r="F162" s="235">
        <v>87142.5</v>
      </c>
      <c r="G162" s="238">
        <f t="shared" si="13"/>
        <v>32.5</v>
      </c>
      <c r="H162" s="99">
        <f>G162+'15'!H162</f>
        <v>-427.5</v>
      </c>
      <c r="I162" s="236"/>
      <c r="J162" s="239">
        <f>H162/DAY(B2)</f>
        <v>-26.71875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76776</v>
      </c>
      <c r="F163" s="235">
        <v>76879.899999999994</v>
      </c>
      <c r="G163" s="238">
        <f t="shared" si="13"/>
        <v>103.89999999999418</v>
      </c>
      <c r="H163" s="99">
        <f>G163+'15'!H163</f>
        <v>-945.10000000000582</v>
      </c>
      <c r="I163" s="236"/>
      <c r="J163" s="239">
        <f>H163/DAY(B2)</f>
        <v>-59.068750000000364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4179</v>
      </c>
      <c r="F164" s="235">
        <v>4185.6000000000004</v>
      </c>
      <c r="G164" s="238">
        <f t="shared" si="13"/>
        <v>6.6000000000003638</v>
      </c>
      <c r="H164" s="99">
        <f>G164+'15'!H164</f>
        <v>-56.399999999999636</v>
      </c>
      <c r="I164" s="236"/>
      <c r="J164" s="239">
        <f>H164/DAY(B2)</f>
        <v>-3.5249999999999773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29538</v>
      </c>
      <c r="F165" s="235">
        <v>29545.58</v>
      </c>
      <c r="G165" s="238">
        <f t="shared" si="13"/>
        <v>7.5800000000017462</v>
      </c>
      <c r="H165" s="99">
        <f>G165+'15'!H165</f>
        <v>-100.41999999999825</v>
      </c>
      <c r="I165" s="236"/>
      <c r="J165" s="239">
        <f>H165/DAY(B2)</f>
        <v>-6.2762499999998909</v>
      </c>
    </row>
    <row r="166" spans="1:10" ht="29.25" x14ac:dyDescent="0.5">
      <c r="A166" s="824"/>
      <c r="B166" s="824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'15'!F173</f>
        <v>8110</v>
      </c>
      <c r="F173" s="155">
        <v>8110</v>
      </c>
      <c r="G173" s="155">
        <f>F173-E173</f>
        <v>0</v>
      </c>
      <c r="H173" s="99">
        <f>G173+'15'!H173</f>
        <v>-16</v>
      </c>
      <c r="I173" s="155"/>
      <c r="J173" s="178">
        <f>H173/DAY(B2)</f>
        <v>-1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'15'!F174</f>
        <v>38056</v>
      </c>
      <c r="F174" s="157">
        <v>38068</v>
      </c>
      <c r="G174" s="155">
        <f t="shared" ref="G174:G175" si="14">F174-E174</f>
        <v>12</v>
      </c>
      <c r="H174" s="99">
        <f>G174+'15'!H174</f>
        <v>-219</v>
      </c>
      <c r="I174" s="155"/>
      <c r="J174" s="178">
        <f>H174/DAY(B2)</f>
        <v>-13.6875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'15'!F175</f>
        <v>21332</v>
      </c>
      <c r="F175" s="155">
        <v>21344</v>
      </c>
      <c r="G175" s="155">
        <f t="shared" si="14"/>
        <v>12</v>
      </c>
      <c r="H175" s="99">
        <f>G175+'15'!H175</f>
        <v>-174</v>
      </c>
      <c r="I175" s="155"/>
      <c r="J175" s="178">
        <f>H175/DAY(B2)</f>
        <v>-10.875</v>
      </c>
    </row>
    <row r="176" spans="1:10" ht="27.75" x14ac:dyDescent="0.5">
      <c r="A176" s="819" t="s">
        <v>196</v>
      </c>
      <c r="B176" s="820"/>
      <c r="C176" s="335"/>
      <c r="D176" s="228" t="s">
        <v>142</v>
      </c>
      <c r="E176" s="95">
        <f>'15'!F176</f>
        <v>0</v>
      </c>
      <c r="F176" s="155"/>
      <c r="G176" s="155">
        <f>SUM(G173:G175)</f>
        <v>24</v>
      </c>
      <c r="H176" s="99">
        <f>G176+'15'!H176</f>
        <v>-409</v>
      </c>
      <c r="I176" s="155"/>
      <c r="J176" s="178">
        <f>H176/DAY(B2)</f>
        <v>-25.5625</v>
      </c>
    </row>
    <row r="177" spans="1:11" ht="27.75" x14ac:dyDescent="0.5">
      <c r="A177" s="828" t="s">
        <v>77</v>
      </c>
      <c r="B177" s="829"/>
      <c r="C177" s="335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28" t="s">
        <v>210</v>
      </c>
      <c r="B178" s="829"/>
      <c r="C178" s="335"/>
      <c r="D178" s="228" t="s">
        <v>142</v>
      </c>
      <c r="E178" s="95">
        <f>'15'!F178</f>
        <v>78493</v>
      </c>
      <c r="F178" s="155">
        <v>78558</v>
      </c>
      <c r="G178" s="155">
        <f>F178-E178</f>
        <v>65</v>
      </c>
      <c r="H178" s="99">
        <f>G178+'15'!H178</f>
        <v>-1056</v>
      </c>
      <c r="I178" s="155"/>
      <c r="J178" s="178">
        <f>H178/DAY(B2)</f>
        <v>-66</v>
      </c>
    </row>
    <row r="179" spans="1:11" ht="27.75" x14ac:dyDescent="0.5">
      <c r="A179" s="828" t="s">
        <v>211</v>
      </c>
      <c r="B179" s="829"/>
      <c r="C179" s="335"/>
      <c r="D179" s="228" t="s">
        <v>142</v>
      </c>
      <c r="E179" s="95">
        <f>'15'!F179</f>
        <v>33888</v>
      </c>
      <c r="F179" s="155">
        <v>33888</v>
      </c>
      <c r="G179" s="155">
        <f t="shared" ref="G179:G180" si="15">F179-E179</f>
        <v>0</v>
      </c>
      <c r="H179" s="99">
        <f>G179+'15'!H179</f>
        <v>-27</v>
      </c>
      <c r="I179" s="155"/>
      <c r="J179" s="178">
        <f>H179/DAY(B2)</f>
        <v>-1.6875</v>
      </c>
    </row>
    <row r="180" spans="1:11" ht="27.75" x14ac:dyDescent="0.5">
      <c r="A180" s="828" t="s">
        <v>212</v>
      </c>
      <c r="B180" s="829"/>
      <c r="C180" s="335"/>
      <c r="D180" s="228" t="s">
        <v>142</v>
      </c>
      <c r="E180" s="95">
        <f>'15'!F180</f>
        <v>5369</v>
      </c>
      <c r="F180" s="155">
        <v>5383</v>
      </c>
      <c r="G180" s="155">
        <f t="shared" si="15"/>
        <v>14</v>
      </c>
      <c r="H180" s="99">
        <f>G180+'15'!H180</f>
        <v>-94</v>
      </c>
      <c r="I180" s="155"/>
      <c r="J180" s="178">
        <f>H180/DAY(B2)</f>
        <v>-5.875</v>
      </c>
    </row>
    <row r="181" spans="1:11" ht="27.75" x14ac:dyDescent="0.5">
      <c r="A181" s="830" t="s">
        <v>108</v>
      </c>
      <c r="B181" s="831"/>
      <c r="C181" s="335"/>
      <c r="D181" s="228" t="s">
        <v>142</v>
      </c>
      <c r="E181" s="95">
        <f>'15'!F181</f>
        <v>0</v>
      </c>
      <c r="F181" s="155"/>
      <c r="G181" s="155">
        <f>SUM(G178:G180)</f>
        <v>79</v>
      </c>
      <c r="H181" s="99">
        <f>G181+'15'!H181</f>
        <v>-1177</v>
      </c>
      <c r="I181" s="155"/>
      <c r="J181" s="178">
        <f>H181/DAY(B2)</f>
        <v>-73.5625</v>
      </c>
    </row>
    <row r="182" spans="1:11" ht="27.75" x14ac:dyDescent="0.5">
      <c r="A182" s="828" t="s">
        <v>213</v>
      </c>
      <c r="B182" s="829"/>
      <c r="C182" s="335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28" t="s">
        <v>214</v>
      </c>
      <c r="B183" s="829"/>
      <c r="C183" s="336"/>
      <c r="D183" s="228" t="s">
        <v>142</v>
      </c>
      <c r="E183" s="95">
        <f>'15'!F183</f>
        <v>14707</v>
      </c>
      <c r="F183" s="157">
        <v>14718</v>
      </c>
      <c r="G183" s="157">
        <f>F183-E183</f>
        <v>11</v>
      </c>
      <c r="H183" s="99">
        <f>G183+'15'!H183</f>
        <v>-229</v>
      </c>
      <c r="I183" s="155"/>
      <c r="J183" s="178">
        <f>H183/DAY(B2)</f>
        <v>-14.3125</v>
      </c>
    </row>
    <row r="184" spans="1:11" ht="27.75" x14ac:dyDescent="0.5">
      <c r="A184" s="828" t="s">
        <v>215</v>
      </c>
      <c r="B184" s="829"/>
      <c r="C184" s="336"/>
      <c r="D184" s="228" t="s">
        <v>142</v>
      </c>
      <c r="E184" s="95">
        <f>'15'!F184</f>
        <v>10163</v>
      </c>
      <c r="F184" s="157">
        <v>10174</v>
      </c>
      <c r="G184" s="157">
        <f t="shared" ref="G184:G185" si="16">F184-E184</f>
        <v>11</v>
      </c>
      <c r="H184" s="99">
        <f>G184+'15'!H184</f>
        <v>-127</v>
      </c>
      <c r="I184" s="155"/>
      <c r="J184" s="178">
        <f>H184/DAY(B2)</f>
        <v>-7.9375</v>
      </c>
    </row>
    <row r="185" spans="1:11" ht="32.25" customHeight="1" x14ac:dyDescent="0.5">
      <c r="A185" s="828" t="s">
        <v>216</v>
      </c>
      <c r="B185" s="829"/>
      <c r="C185" s="336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19" t="s">
        <v>196</v>
      </c>
      <c r="B186" s="820"/>
      <c r="C186" s="336"/>
      <c r="D186" s="228" t="s">
        <v>142</v>
      </c>
      <c r="E186" s="95">
        <f>'15'!F186</f>
        <v>0</v>
      </c>
      <c r="F186" s="157"/>
      <c r="G186" s="157">
        <f>SUM(G183:G185)</f>
        <v>22</v>
      </c>
      <c r="H186" s="99">
        <f>G186+'15'!H186</f>
        <v>-356</v>
      </c>
      <c r="I186" s="157"/>
      <c r="J186" s="178">
        <f>H186/DAY(B2)</f>
        <v>-22.25</v>
      </c>
    </row>
    <row r="187" spans="1:11" ht="27.75" x14ac:dyDescent="0.5">
      <c r="A187" s="821" t="s">
        <v>217</v>
      </c>
      <c r="B187" s="822"/>
      <c r="C187" s="335"/>
      <c r="D187" s="230" t="s">
        <v>142</v>
      </c>
      <c r="E187" s="95">
        <f>'15'!F187</f>
        <v>0</v>
      </c>
      <c r="F187" s="159"/>
      <c r="G187" s="464">
        <f>G62+G19</f>
        <v>167</v>
      </c>
      <c r="H187" s="99">
        <f>G187+'15'!H187</f>
        <v>-910</v>
      </c>
      <c r="I187" s="158"/>
      <c r="J187" s="179">
        <f>H187/DAY(B2)</f>
        <v>-56.875</v>
      </c>
    </row>
    <row r="188" spans="1:11" ht="27.75" x14ac:dyDescent="0.5">
      <c r="A188" s="821" t="s">
        <v>218</v>
      </c>
      <c r="B188" s="822"/>
      <c r="C188" s="335"/>
      <c r="D188" s="230" t="s">
        <v>142</v>
      </c>
      <c r="E188" s="95">
        <f>'15'!F188</f>
        <v>0</v>
      </c>
      <c r="F188" s="159"/>
      <c r="G188" s="464">
        <f>G65+G66+G67+G69+G70</f>
        <v>159</v>
      </c>
      <c r="H188" s="99">
        <f>G188+'15'!H188</f>
        <v>311</v>
      </c>
      <c r="I188" s="158"/>
      <c r="J188" s="179">
        <f>H188/DAY(B2)</f>
        <v>19.4375</v>
      </c>
    </row>
    <row r="189" spans="1:11" ht="23.25" customHeight="1" x14ac:dyDescent="0.5">
      <c r="A189" s="821" t="s">
        <v>219</v>
      </c>
      <c r="B189" s="822"/>
      <c r="C189" s="335"/>
      <c r="D189" s="230" t="s">
        <v>142</v>
      </c>
      <c r="E189" s="95">
        <f>'15'!F189</f>
        <v>0</v>
      </c>
      <c r="F189" s="157"/>
      <c r="G189" s="461">
        <f>G181</f>
        <v>79</v>
      </c>
      <c r="H189" s="99">
        <f>G189+'15'!H189</f>
        <v>-1177</v>
      </c>
      <c r="I189" s="158"/>
      <c r="J189" s="179">
        <f>H189/DAY(B2)</f>
        <v>-73.5625</v>
      </c>
    </row>
    <row r="190" spans="1:11" ht="23.25" customHeight="1" x14ac:dyDescent="0.5">
      <c r="A190" s="912"/>
      <c r="B190" s="913"/>
      <c r="C190" s="560"/>
      <c r="D190" s="482"/>
      <c r="E190" s="482" t="s">
        <v>207</v>
      </c>
      <c r="F190" s="501"/>
      <c r="G190" s="482"/>
      <c r="H190" s="483"/>
      <c r="I190" s="482"/>
      <c r="J190" s="484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53096</v>
      </c>
      <c r="H191" s="238">
        <f>G191-F191</f>
        <v>6</v>
      </c>
      <c r="I191" s="99">
        <f>H191+'15'!I191</f>
        <v>6</v>
      </c>
      <c r="J191" s="236"/>
      <c r="K191" s="239" t="e">
        <f>I191/DAY(C28)</f>
        <v>#DIV/0!</v>
      </c>
    </row>
    <row r="192" spans="1:11" ht="23.25" customHeight="1" x14ac:dyDescent="0.5">
      <c r="F192" s="500">
        <v>0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09" zoomScale="55" zoomScaleSheetLayoutView="55" zoomScalePageLayoutView="60" workbookViewId="0">
      <selection activeCell="F18" sqref="F18:F1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 x14ac:dyDescent="0.5">
      <c r="A2" s="191" t="s">
        <v>350</v>
      </c>
      <c r="B2" s="262">
        <v>44547</v>
      </c>
      <c r="C2" s="350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434478</v>
      </c>
      <c r="F7" s="95">
        <f>E7+23500</f>
        <v>457978</v>
      </c>
      <c r="G7" s="112">
        <f>F7-E7</f>
        <v>23500</v>
      </c>
      <c r="H7" s="99">
        <f>G7+'16'!H7</f>
        <v>363417</v>
      </c>
      <c r="I7" s="113">
        <f>'1'!I7</f>
        <v>12000</v>
      </c>
      <c r="J7" s="175">
        <f>H7/DAY(B2)</f>
        <v>21377.470588235294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484437</v>
      </c>
      <c r="F8" s="95">
        <f>E8+23500</f>
        <v>507937</v>
      </c>
      <c r="G8" s="115">
        <f>F8-E8</f>
        <v>23500</v>
      </c>
      <c r="H8" s="99">
        <f>G8+'16'!H8</f>
        <v>367052</v>
      </c>
      <c r="I8" s="116"/>
      <c r="J8" s="175">
        <f>H8/DAY(B2)</f>
        <v>21591.294117647059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109657</v>
      </c>
      <c r="F9" s="605">
        <f>E9+14000</f>
        <v>123657</v>
      </c>
      <c r="G9" s="112">
        <f>F9-E9</f>
        <v>14000</v>
      </c>
      <c r="H9" s="99">
        <f>G9+'16'!H9</f>
        <v>222162</v>
      </c>
      <c r="I9" s="124">
        <f>I7-J7</f>
        <v>-9377.4705882352937</v>
      </c>
      <c r="J9" s="175">
        <f>H9/DAY(B2)</f>
        <v>13068.35294117647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489050</v>
      </c>
      <c r="F10" s="355">
        <f>E10+4500</f>
        <v>493550</v>
      </c>
      <c r="G10" s="112">
        <f t="shared" ref="G10:G12" si="0">F10-E10</f>
        <v>4500</v>
      </c>
      <c r="H10" s="99">
        <f>G10+'16'!H10</f>
        <v>96440</v>
      </c>
      <c r="I10" s="282"/>
      <c r="J10" s="175">
        <f>H10/DAY(B2)</f>
        <v>5672.9411764705883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G13+'16'!H13</f>
        <v>299136.74999999988</v>
      </c>
      <c r="I13" s="120">
        <f>G7-G13</f>
        <v>5000</v>
      </c>
      <c r="J13" s="175">
        <f>H13/DAY(B2)</f>
        <v>17596.279411764699</v>
      </c>
      <c r="K13" s="79"/>
      <c r="L13" s="66"/>
      <c r="N13" s="87"/>
      <c r="O13" s="71"/>
    </row>
    <row r="14" spans="1:15" ht="27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95">
        <f>'16'!F15</f>
        <v>1861726</v>
      </c>
      <c r="F15" s="123">
        <f>E15+1100</f>
        <v>1862826</v>
      </c>
      <c r="G15" s="112">
        <f>(F15-E15)</f>
        <v>1100</v>
      </c>
      <c r="H15" s="99">
        <f>G15+'16'!H15</f>
        <v>16969</v>
      </c>
      <c r="I15" s="113">
        <f>'1'!I15</f>
        <v>800</v>
      </c>
      <c r="J15" s="175">
        <f>H15/DAY(B2)</f>
        <v>998.17647058823525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-198.17647058823525</v>
      </c>
      <c r="J16" s="176"/>
      <c r="K16" s="79"/>
      <c r="L16" s="66"/>
      <c r="N16" s="87"/>
      <c r="O16" s="71"/>
    </row>
    <row r="17" spans="1:15" ht="27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6" t="s">
        <v>141</v>
      </c>
      <c r="B18" s="857"/>
      <c r="C18" s="858"/>
      <c r="D18" s="151" t="s">
        <v>142</v>
      </c>
      <c r="E18" s="95">
        <f>'16'!F18</f>
        <v>99</v>
      </c>
      <c r="F18" s="122">
        <f>E18+12</f>
        <v>111</v>
      </c>
      <c r="G18" s="119">
        <f>F18*10</f>
        <v>1110</v>
      </c>
      <c r="H18" s="99">
        <f>G18+'16'!H18</f>
        <v>6740</v>
      </c>
      <c r="I18" s="113">
        <f>'1'!I18</f>
        <v>65</v>
      </c>
      <c r="J18" s="175">
        <f>H18/DAY(B2)</f>
        <v>396.47058823529414</v>
      </c>
      <c r="K18" s="79"/>
      <c r="L18" s="66"/>
      <c r="N18" s="87"/>
      <c r="O18" s="71"/>
    </row>
    <row r="19" spans="1:15" ht="27.75" customHeight="1" x14ac:dyDescent="0.5">
      <c r="A19" s="856" t="s">
        <v>69</v>
      </c>
      <c r="B19" s="857"/>
      <c r="C19" s="858"/>
      <c r="D19" s="151" t="s">
        <v>142</v>
      </c>
      <c r="E19" s="95">
        <f>'16'!F19</f>
        <v>153080</v>
      </c>
      <c r="F19" s="122">
        <f>E19+55</f>
        <v>153135</v>
      </c>
      <c r="G19" s="112">
        <f t="shared" ref="G19" si="1">F19-E19</f>
        <v>55</v>
      </c>
      <c r="H19" s="99">
        <f>G19+'16'!H19</f>
        <v>910</v>
      </c>
      <c r="I19" s="337"/>
      <c r="J19" s="175">
        <f>H19/DAY(B2)</f>
        <v>53.529411764705884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1165</v>
      </c>
      <c r="H20" s="99">
        <f>G20+'16'!H20</f>
        <v>7650</v>
      </c>
      <c r="I20" s="338">
        <f>I18-J20</f>
        <v>-385</v>
      </c>
      <c r="J20" s="175">
        <f>H20/DAY(B2)</f>
        <v>450</v>
      </c>
      <c r="K20" s="79"/>
      <c r="L20" s="66"/>
      <c r="N20" s="87"/>
      <c r="O20" s="71"/>
    </row>
    <row r="21" spans="1:15" ht="27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G27+'16'!H27</f>
        <v>3303468</v>
      </c>
      <c r="I27" s="138"/>
      <c r="J27" s="175">
        <f>H27/DAY(B2)</f>
        <v>194321.64705882352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G28+'16'!H28</f>
        <v>882388</v>
      </c>
      <c r="I28" s="140"/>
      <c r="J28" s="175">
        <f>H28/DAY(B2)</f>
        <v>51905.176470588238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G30+'16'!H30</f>
        <v>132860</v>
      </c>
      <c r="I30" s="140"/>
      <c r="J30" s="175">
        <f>H30/DAY(B2)</f>
        <v>7815.2941176470586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1110</v>
      </c>
      <c r="F31" s="136">
        <v>80</v>
      </c>
      <c r="G31" s="137">
        <f>E31*F31</f>
        <v>88800</v>
      </c>
      <c r="H31" s="99">
        <f>G31+'16'!H31</f>
        <v>539200</v>
      </c>
      <c r="I31" s="140"/>
      <c r="J31" s="175">
        <f>H31/DAY(B2)</f>
        <v>31717.647058823528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365530</v>
      </c>
      <c r="H32" s="99">
        <f>G32+'16'!H32</f>
        <v>4857916</v>
      </c>
      <c r="I32" s="144"/>
      <c r="J32" s="175">
        <f>H32/DAY(B2)</f>
        <v>285759.76470588235</v>
      </c>
      <c r="K32" s="63"/>
      <c r="L32" s="89"/>
      <c r="N32" s="87"/>
      <c r="O32" s="71"/>
    </row>
    <row r="33" spans="1:15" ht="27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126939.79</v>
      </c>
      <c r="F35" s="145">
        <v>128731.06</v>
      </c>
      <c r="G35" s="112">
        <f t="shared" ref="G35:G46" si="3">F35-E35</f>
        <v>1791.2700000000041</v>
      </c>
      <c r="H35" s="99">
        <f>G35+'16'!H35</f>
        <v>143931.06</v>
      </c>
      <c r="I35" s="95"/>
      <c r="J35" s="175">
        <f>H35/DAY(B2)</f>
        <v>8466.5329411764706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6619.26</v>
      </c>
      <c r="F36" s="145">
        <v>7904.89</v>
      </c>
      <c r="G36" s="112">
        <f t="shared" si="3"/>
        <v>1285.6300000000001</v>
      </c>
      <c r="H36" s="99">
        <f>G36+'16'!H36</f>
        <v>76107.89</v>
      </c>
      <c r="I36" s="95"/>
      <c r="J36" s="175">
        <f>H36/DAY(B2)</f>
        <v>4476.9347058823532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171518.33</v>
      </c>
      <c r="F37" s="145">
        <v>173101.87</v>
      </c>
      <c r="G37" s="112">
        <f t="shared" si="3"/>
        <v>1583.5400000000081</v>
      </c>
      <c r="H37" s="99">
        <f>G37+'16'!H37</f>
        <v>185313.87</v>
      </c>
      <c r="I37" s="95"/>
      <c r="J37" s="175">
        <f>H37/DAY(B2)</f>
        <v>10900.815882352941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203077.61</v>
      </c>
      <c r="F38" s="108">
        <v>205245.77</v>
      </c>
      <c r="G38" s="112">
        <f t="shared" si="3"/>
        <v>2168.1600000000035</v>
      </c>
      <c r="H38" s="99">
        <f>G38+'16'!H38</f>
        <v>218445.77</v>
      </c>
      <c r="I38" s="95"/>
      <c r="J38" s="175">
        <f>H38/DAY(B2)</f>
        <v>12849.751176470587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368719.87</v>
      </c>
      <c r="F39" s="145">
        <v>371804.35</v>
      </c>
      <c r="G39" s="112">
        <f t="shared" si="3"/>
        <v>3084.4799999999814</v>
      </c>
      <c r="H39" s="99">
        <f>G39+'16'!H39</f>
        <v>393486.35</v>
      </c>
      <c r="I39" s="95"/>
      <c r="J39" s="175">
        <f>H39/DAY(B2)</f>
        <v>23146.25588235294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119.98</v>
      </c>
      <c r="F40" s="145">
        <v>588.35</v>
      </c>
      <c r="G40" s="112">
        <f t="shared" si="3"/>
        <v>468.37</v>
      </c>
      <c r="H40" s="99">
        <f>G40+'16'!H40</f>
        <v>-5021.6500000000005</v>
      </c>
      <c r="I40" s="95"/>
      <c r="J40" s="175">
        <f>H40/DAY(B2)</f>
        <v>-295.39117647058828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599900</v>
      </c>
      <c r="I41" s="95"/>
      <c r="J41" s="175">
        <f>H41/DAY(B2)</f>
        <v>35288.23529411765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10523.79</v>
      </c>
      <c r="F42" s="145">
        <v>15213.15</v>
      </c>
      <c r="G42" s="112">
        <f t="shared" si="3"/>
        <v>4689.3599999999988</v>
      </c>
      <c r="H42" s="99">
        <f>G42+'16'!H42</f>
        <v>299064.14999999997</v>
      </c>
      <c r="I42" s="95"/>
      <c r="J42" s="175">
        <f>H42/DAY(B2)</f>
        <v>17592.00882352941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7146.2</v>
      </c>
      <c r="F43" s="145">
        <v>9928.93</v>
      </c>
      <c r="G43" s="112">
        <f t="shared" si="3"/>
        <v>2782.7300000000005</v>
      </c>
      <c r="H43" s="99">
        <f>G43+'16'!H43</f>
        <v>1527348.93</v>
      </c>
      <c r="I43" s="95"/>
      <c r="J43" s="175">
        <f>H43/DAY(B2)</f>
        <v>89844.054705882343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17853.539999999997</v>
      </c>
      <c r="H47" s="99">
        <f>G47+'16'!H47</f>
        <v>3438576.37</v>
      </c>
      <c r="I47" s="95"/>
      <c r="J47" s="175">
        <f>H47/DAY(B2)</f>
        <v>202269.19823529411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248551.89</v>
      </c>
      <c r="F49" s="145">
        <v>250312.43</v>
      </c>
      <c r="G49" s="112">
        <f t="shared" ref="G49:G58" si="4">F49-E49</f>
        <v>1760.539999999979</v>
      </c>
      <c r="H49" s="99">
        <f>G49+'16'!H49</f>
        <v>263433.43</v>
      </c>
      <c r="I49" s="95"/>
      <c r="J49" s="175">
        <f>H49/DAY(B2)</f>
        <v>15496.084117647059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6533.38</v>
      </c>
      <c r="F50" s="145">
        <v>7774.88</v>
      </c>
      <c r="G50" s="112">
        <f t="shared" si="4"/>
        <v>1241.5</v>
      </c>
      <c r="H50" s="99">
        <f>G50+'16'!H50</f>
        <v>722199.88</v>
      </c>
      <c r="I50" s="95"/>
      <c r="J50" s="175">
        <f>H50/DAY(B2)</f>
        <v>42482.345882352944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3117.72</v>
      </c>
      <c r="F54" s="145">
        <v>3122</v>
      </c>
      <c r="G54" s="112">
        <f t="shared" si="4"/>
        <v>4.2800000000002001</v>
      </c>
      <c r="H54" s="99">
        <f>G54+'16'!H54</f>
        <v>4889.08</v>
      </c>
      <c r="I54" s="95"/>
      <c r="J54" s="175">
        <f>H54/DAY(B2)</f>
        <v>287.59294117647056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0</v>
      </c>
      <c r="F55" s="145">
        <v>0</v>
      </c>
      <c r="G55" s="112">
        <f t="shared" si="4"/>
        <v>0</v>
      </c>
      <c r="H55" s="99">
        <f>G55+'16'!H55</f>
        <v>-3511</v>
      </c>
      <c r="I55" s="95"/>
      <c r="J55" s="175">
        <f>H55/DAY(B2)</f>
        <v>-206.52941176470588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7001.74</v>
      </c>
      <c r="F56" s="145">
        <v>7957.59</v>
      </c>
      <c r="G56" s="112">
        <f t="shared" si="4"/>
        <v>955.85000000000036</v>
      </c>
      <c r="H56" s="99">
        <f>G56+'16'!H56</f>
        <v>211412.05</v>
      </c>
      <c r="I56" s="95"/>
      <c r="J56" s="175">
        <f>H56/DAY(B2)</f>
        <v>12436.00294117647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89041.35</v>
      </c>
      <c r="F58" s="145">
        <v>89243</v>
      </c>
      <c r="G58" s="112">
        <f t="shared" si="4"/>
        <v>201.64999999999418</v>
      </c>
      <c r="H58" s="99">
        <f>G58+'16'!H58</f>
        <v>89583.63</v>
      </c>
      <c r="I58" s="95"/>
      <c r="J58" s="175">
        <f>H58/DAY(B2)</f>
        <v>5269.6252941176472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4163.8199999999742</v>
      </c>
      <c r="H59" s="99">
        <f>G59+'16'!H59</f>
        <v>1288007.07</v>
      </c>
      <c r="I59" s="95">
        <f>G7-G60</f>
        <v>1482.6400000000285</v>
      </c>
      <c r="J59" s="175">
        <f>H59/DAY(B2)</f>
        <v>75765.12176470588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22017.359999999971</v>
      </c>
      <c r="H60" s="99">
        <f>G60+'16'!H60</f>
        <v>4726583.4400000004</v>
      </c>
      <c r="I60" s="95">
        <f>G13-G60</f>
        <v>-3517.3599999999715</v>
      </c>
      <c r="J60" s="175">
        <f>H60/DAY(B2)</f>
        <v>278034.32</v>
      </c>
      <c r="K60" s="79"/>
      <c r="L60" s="66"/>
      <c r="N60" s="87"/>
      <c r="O60" s="71"/>
    </row>
    <row r="61" spans="1:15" s="68" customFormat="1" ht="27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56" t="s">
        <v>198</v>
      </c>
      <c r="B62" s="857"/>
      <c r="C62" s="858"/>
      <c r="D62" s="151" t="s">
        <v>142</v>
      </c>
      <c r="E62" s="95">
        <f>'16'!F62</f>
        <v>265448</v>
      </c>
      <c r="F62" s="122">
        <v>265574</v>
      </c>
      <c r="G62" s="112">
        <f t="shared" ref="G62:G63" si="5">F62-E62</f>
        <v>126</v>
      </c>
      <c r="H62" s="99">
        <f>G62+'16'!H62</f>
        <v>-1639</v>
      </c>
      <c r="I62" s="118"/>
      <c r="J62" s="175">
        <f>H62/DAY(B2)</f>
        <v>-96.411764705882348</v>
      </c>
      <c r="K62" s="80"/>
      <c r="L62" s="66"/>
      <c r="N62" s="87"/>
      <c r="O62" s="71"/>
    </row>
    <row r="63" spans="1:15" ht="27.75" customHeight="1" x14ac:dyDescent="0.5">
      <c r="A63" s="856" t="s">
        <v>199</v>
      </c>
      <c r="B63" s="857"/>
      <c r="C63" s="858"/>
      <c r="D63" s="151" t="s">
        <v>142</v>
      </c>
      <c r="E63" s="95">
        <f>'16'!F63</f>
        <v>211063</v>
      </c>
      <c r="F63" s="122">
        <v>211183</v>
      </c>
      <c r="G63" s="112">
        <f t="shared" si="5"/>
        <v>120</v>
      </c>
      <c r="H63" s="99">
        <f>G63+'16'!H63</f>
        <v>-1242</v>
      </c>
      <c r="I63" s="118"/>
      <c r="J63" s="175">
        <f>H63/DAY(B2)</f>
        <v>-73.058823529411768</v>
      </c>
      <c r="K63" s="69"/>
      <c r="L63" s="66"/>
      <c r="N63" s="87"/>
      <c r="O63" s="71"/>
    </row>
    <row r="64" spans="1:15" ht="27.75" customHeight="1" x14ac:dyDescent="0.5">
      <c r="A64" s="865" t="s">
        <v>200</v>
      </c>
      <c r="B64" s="866"/>
      <c r="C64" s="867"/>
      <c r="D64" s="151"/>
      <c r="E64" s="95">
        <f>'16'!F64</f>
        <v>0</v>
      </c>
      <c r="F64" s="122"/>
      <c r="G64" s="112">
        <f>G62+G63</f>
        <v>246</v>
      </c>
      <c r="H64" s="99">
        <f>G64+'16'!H64</f>
        <v>-2881</v>
      </c>
      <c r="I64" s="118"/>
      <c r="J64" s="175">
        <f>H64/DAY(B2)</f>
        <v>-169.47058823529412</v>
      </c>
      <c r="K64" s="69"/>
      <c r="L64" s="66"/>
      <c r="N64" s="87"/>
      <c r="O64" s="71"/>
    </row>
    <row r="65" spans="1:15" ht="27.75" customHeight="1" x14ac:dyDescent="0.5">
      <c r="A65" s="856" t="s">
        <v>201</v>
      </c>
      <c r="B65" s="857"/>
      <c r="C65" s="858"/>
      <c r="D65" s="151" t="s">
        <v>142</v>
      </c>
      <c r="E65" s="95">
        <f>'16'!F65</f>
        <v>431056</v>
      </c>
      <c r="F65" s="122">
        <v>431167</v>
      </c>
      <c r="G65" s="112">
        <f t="shared" ref="G65:G70" si="6">F65-E65</f>
        <v>111</v>
      </c>
      <c r="H65" s="99">
        <f>G65+'16'!H65</f>
        <v>-1447</v>
      </c>
      <c r="I65" s="118"/>
      <c r="J65" s="175">
        <f>H65/DAY(B2)</f>
        <v>-85.117647058823536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'16'!F66</f>
        <v>106910</v>
      </c>
      <c r="F66" s="122">
        <v>106929</v>
      </c>
      <c r="G66" s="112">
        <f t="shared" si="6"/>
        <v>19</v>
      </c>
      <c r="H66" s="99">
        <f>G66+'16'!H66</f>
        <v>-285</v>
      </c>
      <c r="I66" s="118"/>
      <c r="J66" s="175">
        <f>H66/DAY(B2)</f>
        <v>-16.764705882352942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'16'!F67</f>
        <v>103477</v>
      </c>
      <c r="F67" s="122">
        <v>103508</v>
      </c>
      <c r="G67" s="112">
        <f t="shared" si="6"/>
        <v>31</v>
      </c>
      <c r="H67" s="99">
        <f>G67+'16'!H67</f>
        <v>-420</v>
      </c>
      <c r="I67" s="118"/>
      <c r="J67" s="175">
        <f>H67/DAY(B2)</f>
        <v>-24.705882352941178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'16'!F68</f>
        <v>156076</v>
      </c>
      <c r="F68" s="122">
        <v>156125</v>
      </c>
      <c r="G68" s="112">
        <f t="shared" si="6"/>
        <v>49</v>
      </c>
      <c r="H68" s="99">
        <f>G68+'16'!H68</f>
        <v>-495</v>
      </c>
      <c r="I68" s="118"/>
      <c r="J68" s="175">
        <f>H68/DAY(B2)</f>
        <v>-29.117647058823529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'16'!F69</f>
        <v>10026</v>
      </c>
      <c r="F69" s="122">
        <v>10034</v>
      </c>
      <c r="G69" s="112">
        <f t="shared" si="6"/>
        <v>8</v>
      </c>
      <c r="H69" s="99">
        <f>G69+'16'!H69</f>
        <v>-180</v>
      </c>
      <c r="I69" s="118"/>
      <c r="J69" s="175">
        <f>H69/DAY(B2)</f>
        <v>-10.588235294117647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'16'!F70</f>
        <v>7710</v>
      </c>
      <c r="F70" s="122">
        <v>7723</v>
      </c>
      <c r="G70" s="112">
        <f t="shared" si="6"/>
        <v>13</v>
      </c>
      <c r="H70" s="99">
        <f>G70+'16'!H70</f>
        <v>-139</v>
      </c>
      <c r="I70" s="118"/>
      <c r="J70" s="175">
        <f>H70/DAY(B2)</f>
        <v>-8.1764705882352935</v>
      </c>
      <c r="K70" s="69"/>
      <c r="L70" s="66"/>
      <c r="N70" s="87"/>
      <c r="O70" s="71"/>
    </row>
    <row r="71" spans="1:15" ht="27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231</v>
      </c>
      <c r="H71" s="99">
        <f>G71+'16'!H71</f>
        <v>-2966</v>
      </c>
      <c r="I71" s="154"/>
      <c r="J71" s="175">
        <f>H71/DAY(B2)</f>
        <v>-174.47058823529412</v>
      </c>
      <c r="K71" s="69"/>
      <c r="L71" s="66"/>
      <c r="N71" s="87"/>
      <c r="O71" s="71"/>
    </row>
    <row r="72" spans="1:15" s="88" customFormat="1" ht="27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56" t="s">
        <v>220</v>
      </c>
      <c r="B74" s="857"/>
      <c r="C74" s="858"/>
      <c r="D74" s="151" t="s">
        <v>139</v>
      </c>
      <c r="E74" s="95">
        <f>'16'!F74</f>
        <v>887319.41</v>
      </c>
      <c r="F74" s="117">
        <v>887636.83</v>
      </c>
      <c r="G74" s="112">
        <f t="shared" ref="G74:G78" si="7">F74-E74</f>
        <v>317.41999999992549</v>
      </c>
      <c r="H74" s="99">
        <f>G74+'16'!H74</f>
        <v>-4395.1700000000419</v>
      </c>
      <c r="I74" s="154"/>
      <c r="J74" s="175">
        <f>H74/DAY(B2)</f>
        <v>-258.53941176470835</v>
      </c>
      <c r="K74" s="69"/>
      <c r="L74" s="66"/>
      <c r="N74" s="87"/>
      <c r="O74" s="71"/>
    </row>
    <row r="75" spans="1:15" ht="27.75" customHeight="1" x14ac:dyDescent="0.5">
      <c r="A75" s="856" t="s">
        <v>221</v>
      </c>
      <c r="B75" s="857"/>
      <c r="C75" s="858"/>
      <c r="D75" s="151" t="s">
        <v>139</v>
      </c>
      <c r="E75" s="95">
        <f>'16'!F75</f>
        <v>73830.69</v>
      </c>
      <c r="F75" s="123">
        <v>73830.69</v>
      </c>
      <c r="G75" s="112">
        <f t="shared" si="7"/>
        <v>0</v>
      </c>
      <c r="H75" s="99">
        <f>G75+'16'!H75</f>
        <v>243.88999999999942</v>
      </c>
      <c r="I75" s="154"/>
      <c r="J75" s="175">
        <f>H75/DAY(B2)</f>
        <v>14.34647058823526</v>
      </c>
      <c r="K75" s="69"/>
      <c r="L75" s="66"/>
      <c r="N75" s="87"/>
      <c r="O75" s="71"/>
    </row>
    <row r="76" spans="1:15" ht="27.75" customHeight="1" x14ac:dyDescent="0.5">
      <c r="A76" s="853" t="s">
        <v>222</v>
      </c>
      <c r="B76" s="854"/>
      <c r="C76" s="855"/>
      <c r="D76" s="151" t="s">
        <v>139</v>
      </c>
      <c r="E76" s="95">
        <f>'16'!F76</f>
        <v>165479.42000000001</v>
      </c>
      <c r="F76" s="123">
        <v>165603</v>
      </c>
      <c r="G76" s="112">
        <f t="shared" si="7"/>
        <v>123.57999999998719</v>
      </c>
      <c r="H76" s="99">
        <f>G76+'16'!H76</f>
        <v>-1604</v>
      </c>
      <c r="I76" s="154"/>
      <c r="J76" s="175">
        <f>H76/DAY(B2)</f>
        <v>-94.352941176470594</v>
      </c>
      <c r="K76" s="69"/>
      <c r="L76" s="66"/>
      <c r="N76" s="87"/>
      <c r="O76" s="71"/>
    </row>
    <row r="77" spans="1:15" ht="27.75" customHeight="1" x14ac:dyDescent="0.5">
      <c r="A77" s="853" t="s">
        <v>223</v>
      </c>
      <c r="B77" s="854"/>
      <c r="C77" s="855"/>
      <c r="D77" s="151" t="s">
        <v>139</v>
      </c>
      <c r="E77" s="95">
        <f>'16'!F77</f>
        <v>39572.1</v>
      </c>
      <c r="F77" s="123">
        <v>39624.5</v>
      </c>
      <c r="G77" s="112">
        <f t="shared" si="7"/>
        <v>52.400000000001455</v>
      </c>
      <c r="H77" s="99">
        <f>G77+'16'!H77</f>
        <v>-691.5</v>
      </c>
      <c r="I77" s="154"/>
      <c r="J77" s="175">
        <f>H77/DAY(B2)</f>
        <v>-40.676470588235297</v>
      </c>
      <c r="K77" s="69"/>
      <c r="L77" s="66"/>
      <c r="N77" s="87"/>
      <c r="O77" s="71"/>
    </row>
    <row r="78" spans="1:15" ht="27.75" customHeight="1" x14ac:dyDescent="0.5">
      <c r="A78" s="853" t="s">
        <v>224</v>
      </c>
      <c r="B78" s="854"/>
      <c r="C78" s="855"/>
      <c r="D78" s="151" t="s">
        <v>139</v>
      </c>
      <c r="E78" s="95">
        <f>'16'!F78</f>
        <v>9458.7999999999993</v>
      </c>
      <c r="F78" s="123">
        <v>9461</v>
      </c>
      <c r="G78" s="112">
        <f t="shared" si="7"/>
        <v>2.2000000000007276</v>
      </c>
      <c r="H78" s="99">
        <f>G78+'16'!H78</f>
        <v>-25</v>
      </c>
      <c r="I78" s="118"/>
      <c r="J78" s="175">
        <f>H78/DAY(B2)</f>
        <v>-1.4705882352941178</v>
      </c>
      <c r="K78" s="69"/>
      <c r="L78" s="66"/>
      <c r="N78" s="87"/>
      <c r="O78" s="71"/>
    </row>
    <row r="79" spans="1:15" s="57" customFormat="1" ht="27.75" customHeight="1" x14ac:dyDescent="0.5">
      <c r="A79" s="853" t="s">
        <v>225</v>
      </c>
      <c r="B79" s="854"/>
      <c r="C79" s="855"/>
      <c r="D79" s="151"/>
      <c r="E79" s="95">
        <f>'16'!F79</f>
        <v>0</v>
      </c>
      <c r="F79" s="123"/>
      <c r="G79" s="112">
        <f>G15-SUM(G74:G78)</f>
        <v>604.40000000008513</v>
      </c>
      <c r="H79" s="99">
        <f>G79+'16'!H79</f>
        <v>23440.780000000042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'16'!F84</f>
        <v>41675.26</v>
      </c>
      <c r="F84" s="164">
        <v>41675.26</v>
      </c>
      <c r="G84" s="112">
        <f t="shared" si="8"/>
        <v>0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'16'!F85</f>
        <v>1772.07</v>
      </c>
      <c r="F85" s="164">
        <v>1796.11</v>
      </c>
      <c r="G85" s="112">
        <f t="shared" si="8"/>
        <v>24.039999999999964</v>
      </c>
      <c r="H85" s="99">
        <f>G85+'16'!H85</f>
        <v>-300.45000000000005</v>
      </c>
      <c r="I85" s="118">
        <f>G82+G83+G84+G85</f>
        <v>24.039999999999964</v>
      </c>
      <c r="J85" s="175">
        <f>H85/DAY(B2)</f>
        <v>-17.673529411764708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-36.529999999998836</v>
      </c>
      <c r="I86" s="118"/>
      <c r="J86" s="175">
        <f>H86/DAY(B2)</f>
        <v>-2.1488235294116964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'16'!F87</f>
        <v>34585.1</v>
      </c>
      <c r="F87" s="164">
        <v>34593.22</v>
      </c>
      <c r="G87" s="112">
        <f t="shared" si="8"/>
        <v>8.1200000000026193</v>
      </c>
      <c r="H87" s="99">
        <f>G87+'16'!H87</f>
        <v>-5.3300000000017462</v>
      </c>
      <c r="I87" s="118"/>
      <c r="J87" s="175">
        <f>H87/DAY(B2)</f>
        <v>-0.31352941176480859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'16'!F88</f>
        <v>24005.13</v>
      </c>
      <c r="F88" s="164">
        <v>24005.53</v>
      </c>
      <c r="G88" s="112">
        <f t="shared" si="8"/>
        <v>0.39999999999781721</v>
      </c>
      <c r="H88" s="99">
        <f>G88+'16'!H88</f>
        <v>-41.470000000001164</v>
      </c>
      <c r="I88" s="118">
        <f>G86+G87+G88</f>
        <v>8.5200000000004366</v>
      </c>
      <c r="J88" s="175">
        <f>H88/DAY(B2)</f>
        <v>-2.4394117647059508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'16'!F89</f>
        <v>25550.63</v>
      </c>
      <c r="F89" s="164">
        <v>25561.57</v>
      </c>
      <c r="G89" s="112">
        <f t="shared" si="8"/>
        <v>10.93999999999869</v>
      </c>
      <c r="H89" s="99">
        <f>G89+'16'!H89</f>
        <v>-101.43000000000029</v>
      </c>
      <c r="I89" s="118"/>
      <c r="J89" s="175">
        <f>H89/DAY(B2)</f>
        <v>-5.9664705882353113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'16'!F90</f>
        <v>70943.360000000001</v>
      </c>
      <c r="F90" s="164">
        <v>70949.98</v>
      </c>
      <c r="G90" s="112">
        <f t="shared" si="8"/>
        <v>6.6199999999953434</v>
      </c>
      <c r="H90" s="99">
        <f>G90+'16'!H90</f>
        <v>-84.020000000004075</v>
      </c>
      <c r="I90" s="118">
        <f>G89+G90</f>
        <v>17.559999999994034</v>
      </c>
      <c r="J90" s="175">
        <f>H90/DAY(B2)</f>
        <v>-4.9423529411767104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'16'!F92</f>
        <v>5273.59</v>
      </c>
      <c r="F92" s="122">
        <v>5284.56</v>
      </c>
      <c r="G92" s="112">
        <f t="shared" si="8"/>
        <v>10.970000000000255</v>
      </c>
      <c r="H92" s="99">
        <f>G92+'16'!H92</f>
        <v>-153.4399999999996</v>
      </c>
      <c r="I92" s="165"/>
      <c r="J92" s="175">
        <f>H92/DAY(B2)</f>
        <v>-9.0258823529411529</v>
      </c>
      <c r="O92" s="71"/>
    </row>
    <row r="93" spans="1:15" ht="27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6334.5399999999836</v>
      </c>
      <c r="H94" s="99">
        <f>G94+'16'!H94</f>
        <v>1934713.4200000002</v>
      </c>
      <c r="I94" s="118"/>
      <c r="J94" s="175">
        <f>H94/DAY(B2)</f>
        <v>113806.6717647059</v>
      </c>
      <c r="K94" s="69"/>
      <c r="L94" s="66"/>
      <c r="O94" s="71"/>
    </row>
    <row r="95" spans="1:15" ht="27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0.26955489361702056</v>
      </c>
      <c r="H95" s="99">
        <f>G95+'16'!H95</f>
        <v>82.789589879407643</v>
      </c>
      <c r="I95" s="167"/>
      <c r="J95" s="175">
        <f>H95/DAY(B2)</f>
        <v>4.8699758752592732</v>
      </c>
      <c r="K95" s="69"/>
      <c r="L95" s="66"/>
      <c r="O95" s="71"/>
    </row>
    <row r="96" spans="1:15" ht="27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5645.2099999999991</v>
      </c>
      <c r="H96" s="99">
        <f>G96+'16'!H96</f>
        <v>1106865.2</v>
      </c>
      <c r="I96" s="118"/>
      <c r="J96" s="175">
        <f>H96/DAY(B2)</f>
        <v>65109.717647058824</v>
      </c>
      <c r="K96" s="69"/>
      <c r="L96" s="66"/>
      <c r="O96" s="71"/>
    </row>
    <row r="97" spans="1:15" ht="27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0.24022170212765953</v>
      </c>
      <c r="H97" s="99">
        <f>G97+'16'!H97</f>
        <v>47.343601253876088</v>
      </c>
      <c r="I97" s="167"/>
      <c r="J97" s="175">
        <f>H97/DAY(B2)</f>
        <v>2.7849177208162406</v>
      </c>
      <c r="K97" s="69"/>
      <c r="L97" s="66"/>
      <c r="O97" s="71"/>
    </row>
    <row r="98" spans="1:15" ht="27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3084.4799999999814</v>
      </c>
      <c r="H98" s="99">
        <f>G98+'16'!H98</f>
        <v>393486.35</v>
      </c>
      <c r="I98" s="168"/>
      <c r="J98" s="175">
        <f>H98/DAY(B2)</f>
        <v>23146.25588235294</v>
      </c>
      <c r="K98" s="69"/>
      <c r="L98" s="66"/>
      <c r="O98" s="71"/>
    </row>
    <row r="99" spans="1:15" ht="27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0.1312544680851056</v>
      </c>
      <c r="H99" s="99">
        <f>G99+'16'!H99</f>
        <v>16.95804990486425</v>
      </c>
      <c r="I99" s="168"/>
      <c r="J99" s="175">
        <f>H99/DAY(B2)</f>
        <v>0.99753234734495588</v>
      </c>
      <c r="O99" s="71"/>
    </row>
    <row r="100" spans="1:15" ht="27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2168.1600000000035</v>
      </c>
      <c r="H100" s="99">
        <f>G100+'16'!H100</f>
        <v>218445.77</v>
      </c>
      <c r="I100" s="118"/>
      <c r="J100" s="175">
        <f>H100/DAY(B2)</f>
        <v>12849.751176470587</v>
      </c>
      <c r="K100" s="70"/>
      <c r="O100" s="71"/>
    </row>
    <row r="101" spans="1:15" ht="27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9.2262127659574616E-2</v>
      </c>
      <c r="H101" s="99">
        <f>G101+'16'!H101</f>
        <v>9.4264364021534757</v>
      </c>
      <c r="I101" s="168"/>
      <c r="J101" s="175">
        <f>H101/DAY(B2)</f>
        <v>0.55449625895020449</v>
      </c>
      <c r="O101" s="71"/>
    </row>
    <row r="102" spans="1:15" ht="27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2527.13</v>
      </c>
      <c r="H102" s="99">
        <f>G102+'16'!H102</f>
        <v>798307.77</v>
      </c>
      <c r="I102" s="168"/>
      <c r="J102" s="175">
        <f>H102/DAY(B2)</f>
        <v>46959.280588235299</v>
      </c>
      <c r="O102" s="71"/>
    </row>
    <row r="103" spans="1:15" ht="27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0.10753744680851064</v>
      </c>
      <c r="H103" s="99">
        <f>G103+'16'!H103</f>
        <v>34.11488202718462</v>
      </c>
      <c r="I103" s="118"/>
      <c r="J103" s="175">
        <f>H103/DAY(B2)</f>
        <v>2.0067577663049776</v>
      </c>
      <c r="O103" s="71"/>
    </row>
    <row r="104" spans="1:15" ht="27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1583.5400000000081</v>
      </c>
      <c r="H104" s="99">
        <f>G104+'16'!H104</f>
        <v>185313.87</v>
      </c>
      <c r="I104" s="118"/>
      <c r="J104" s="175">
        <f>H104/DAY(B2)</f>
        <v>10900.815882352941</v>
      </c>
      <c r="O104" s="71"/>
    </row>
    <row r="105" spans="1:15" ht="27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6.738468085106418E-2</v>
      </c>
      <c r="H105" s="99">
        <f>G105+'16'!H105</f>
        <v>8.006161474476384</v>
      </c>
      <c r="I105" s="187"/>
      <c r="J105" s="188">
        <f>H105/DAY(B2)</f>
        <v>0.47095067496919907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7.75" customHeight="1" x14ac:dyDescent="0.5">
      <c r="A109" s="873"/>
      <c r="B109" s="873"/>
    </row>
    <row r="110" spans="1:15" ht="27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customHeight="1" x14ac:dyDescent="0.5">
      <c r="A112" s="835" t="s">
        <v>252</v>
      </c>
      <c r="B112" s="836"/>
      <c r="C112" s="837"/>
      <c r="D112" s="146" t="s">
        <v>183</v>
      </c>
      <c r="E112" s="95">
        <f>'16'!F112</f>
        <v>54617.91</v>
      </c>
      <c r="F112" s="237">
        <v>54691.87</v>
      </c>
      <c r="G112" s="112">
        <f t="shared" ref="G112:G123" si="9">F112-E112</f>
        <v>73.959999999999127</v>
      </c>
      <c r="H112" s="99">
        <f>G112+'16'!H112</f>
        <v>-989.12999999999738</v>
      </c>
      <c r="I112" s="165"/>
      <c r="J112" s="330">
        <f>H112/DAY(B2)</f>
        <v>-58.18411764705867</v>
      </c>
    </row>
    <row r="113" spans="1:18" ht="27.75" customHeight="1" x14ac:dyDescent="0.5">
      <c r="A113" s="835" t="s">
        <v>253</v>
      </c>
      <c r="B113" s="836"/>
      <c r="C113" s="837"/>
      <c r="D113" s="146" t="s">
        <v>183</v>
      </c>
      <c r="E113" s="95">
        <f>'16'!F113</f>
        <v>25320.76</v>
      </c>
      <c r="F113" s="237">
        <v>25804.34</v>
      </c>
      <c r="G113" s="112">
        <f t="shared" si="9"/>
        <v>483.58000000000175</v>
      </c>
      <c r="H113" s="99">
        <f>G113+'16'!H113</f>
        <v>-6390.66</v>
      </c>
      <c r="I113" s="165"/>
      <c r="J113" s="330">
        <f>H113/DAY(B2)</f>
        <v>-375.92117647058825</v>
      </c>
    </row>
    <row r="114" spans="1:18" ht="27.75" customHeight="1" x14ac:dyDescent="0.5">
      <c r="A114" s="835" t="s">
        <v>254</v>
      </c>
      <c r="B114" s="836"/>
      <c r="C114" s="837"/>
      <c r="D114" s="146" t="s">
        <v>183</v>
      </c>
      <c r="E114" s="95">
        <f>'16'!F114</f>
        <v>19829.080000000002</v>
      </c>
      <c r="F114" s="503">
        <v>20299.7</v>
      </c>
      <c r="G114" s="112">
        <f t="shared" si="9"/>
        <v>470.61999999999898</v>
      </c>
      <c r="H114" s="99">
        <f>G114+'16'!H114</f>
        <v>-4728.4800000000014</v>
      </c>
      <c r="I114" s="165"/>
      <c r="J114" s="330">
        <f>H114/DAY(B2)</f>
        <v>-278.14588235294127</v>
      </c>
    </row>
    <row r="115" spans="1:18" ht="27.75" customHeight="1" x14ac:dyDescent="0.5">
      <c r="A115" s="835" t="s">
        <v>255</v>
      </c>
      <c r="B115" s="836"/>
      <c r="C115" s="837"/>
      <c r="D115" s="146" t="s">
        <v>183</v>
      </c>
      <c r="E115" s="95">
        <f>'16'!F115</f>
        <v>8601.99</v>
      </c>
      <c r="F115" s="237">
        <v>8613.32</v>
      </c>
      <c r="G115" s="112">
        <f t="shared" si="9"/>
        <v>11.329999999999927</v>
      </c>
      <c r="H115" s="99">
        <f>G115+'16'!H115</f>
        <v>-171.68000000000029</v>
      </c>
      <c r="I115" s="165"/>
      <c r="J115" s="330">
        <f>H115/DAY(B2)</f>
        <v>-10.098823529411781</v>
      </c>
    </row>
    <row r="116" spans="1:18" ht="27.75" customHeight="1" x14ac:dyDescent="0.5">
      <c r="A116" s="842" t="s">
        <v>96</v>
      </c>
      <c r="B116" s="843"/>
      <c r="C116" s="844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customHeight="1" x14ac:dyDescent="0.5">
      <c r="A117" s="842" t="s">
        <v>184</v>
      </c>
      <c r="B117" s="843"/>
      <c r="C117" s="844"/>
      <c r="D117" s="146" t="s">
        <v>183</v>
      </c>
      <c r="E117" s="95">
        <f>'16'!F117</f>
        <v>2265.5</v>
      </c>
      <c r="F117" s="237">
        <v>2278.9299999999998</v>
      </c>
      <c r="G117" s="112">
        <f t="shared" si="9"/>
        <v>13.429999999999836</v>
      </c>
      <c r="H117" s="99">
        <f>G117+'16'!H117</f>
        <v>-311.07000000000016</v>
      </c>
      <c r="I117" s="165"/>
      <c r="J117" s="330">
        <f>H117/DAY(B2)</f>
        <v>-18.298235294117656</v>
      </c>
      <c r="Q117" s="835" t="s">
        <v>312</v>
      </c>
      <c r="R117" s="837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'16'!F118</f>
        <v>235864.31</v>
      </c>
      <c r="F118" s="237">
        <v>236268.23</v>
      </c>
      <c r="G118" s="112">
        <f t="shared" si="9"/>
        <v>403.92000000001281</v>
      </c>
      <c r="H118" s="99">
        <f>G118+'16'!H118</f>
        <v>-5378.7699999999895</v>
      </c>
      <c r="I118" s="165"/>
      <c r="J118" s="330">
        <f>H118/DAY(B2)</f>
        <v>-316.39823529411706</v>
      </c>
      <c r="Q118" s="835" t="s">
        <v>311</v>
      </c>
      <c r="R118" s="837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'16'!F119</f>
        <v>238720.61</v>
      </c>
      <c r="F119" s="237">
        <v>239153.21</v>
      </c>
      <c r="G119" s="112">
        <f t="shared" si="9"/>
        <v>432.60000000000582</v>
      </c>
      <c r="H119" s="99">
        <f>G119+'16'!H119</f>
        <v>-5972.7900000000081</v>
      </c>
      <c r="I119" s="165"/>
      <c r="J119" s="330">
        <f>H119/DAY(B2)</f>
        <v>-351.3405882352946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'16'!F120</f>
        <v>23848.55</v>
      </c>
      <c r="F120" s="237">
        <v>24250.12</v>
      </c>
      <c r="G120" s="112">
        <f t="shared" si="9"/>
        <v>401.56999999999971</v>
      </c>
      <c r="H120" s="99">
        <f>G120+'16'!H120</f>
        <v>-5827.880000000001</v>
      </c>
      <c r="I120" s="165"/>
      <c r="J120" s="330">
        <f>H120/DAY(B2)</f>
        <v>-342.81647058823535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'16'!F121</f>
        <v>364869.35</v>
      </c>
      <c r="F121" s="237">
        <v>365634.35</v>
      </c>
      <c r="G121" s="112">
        <f t="shared" si="9"/>
        <v>765</v>
      </c>
      <c r="H121" s="99">
        <f>G121+'16'!H121</f>
        <v>-10894.650000000023</v>
      </c>
      <c r="I121" s="165"/>
      <c r="J121" s="330">
        <f>H121/DAY(B2)</f>
        <v>-640.86176470588373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'16'!F122</f>
        <v>116241.71</v>
      </c>
      <c r="F122" s="237">
        <v>116628.09</v>
      </c>
      <c r="G122" s="112">
        <f t="shared" si="9"/>
        <v>386.3799999999901</v>
      </c>
      <c r="H122" s="99">
        <f>G122+'16'!H122</f>
        <v>-3421.9100000000035</v>
      </c>
      <c r="I122" s="165"/>
      <c r="J122" s="330">
        <f>H122/DAY(B2)</f>
        <v>-201.28882352941196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'16'!F123</f>
        <v>139721.99</v>
      </c>
      <c r="F123" s="237">
        <v>140128.64000000001</v>
      </c>
      <c r="G123" s="112">
        <f t="shared" si="9"/>
        <v>406.65000000002328</v>
      </c>
      <c r="H123" s="99">
        <f>G123+'16'!H123</f>
        <v>-4996.359999999986</v>
      </c>
      <c r="I123" s="165"/>
      <c r="J123" s="330">
        <f>H123/DAY(B2)</f>
        <v>-293.90352941176388</v>
      </c>
    </row>
    <row r="124" spans="1:18" ht="27.75" customHeight="1" x14ac:dyDescent="0.5">
      <c r="A124" s="839"/>
      <c r="B124" s="840"/>
      <c r="C124" s="841"/>
      <c r="D124" s="165"/>
      <c r="E124" s="95">
        <f>'16'!F124</f>
        <v>0</v>
      </c>
      <c r="F124" s="165"/>
      <c r="G124" s="329"/>
      <c r="H124" s="99">
        <f>G124+'16'!H124</f>
        <v>0</v>
      </c>
      <c r="I124" s="165"/>
      <c r="J124" s="329"/>
    </row>
    <row r="125" spans="1:18" ht="27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3849.0400000000313</v>
      </c>
      <c r="H125" s="156"/>
      <c r="I125" s="329">
        <f>G125-(G39+G53)</f>
        <v>764.56000000004997</v>
      </c>
      <c r="J125" s="329"/>
    </row>
    <row r="126" spans="1:18" ht="27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G127+'16'!H127</f>
        <v>0</v>
      </c>
      <c r="I127" s="165"/>
      <c r="J127" s="330">
        <f>H127/DAY(B2)</f>
        <v>0</v>
      </c>
    </row>
    <row r="128" spans="1:18" ht="27.75" customHeight="1" x14ac:dyDescent="0.5">
      <c r="A128" s="835" t="s">
        <v>318</v>
      </c>
      <c r="B128" s="836"/>
      <c r="C128" s="837"/>
      <c r="D128" s="151" t="s">
        <v>183</v>
      </c>
      <c r="E128" s="95">
        <f>'16'!F128</f>
        <v>33032.089999999997</v>
      </c>
      <c r="F128" s="165">
        <v>33358.99</v>
      </c>
      <c r="G128" s="112">
        <f t="shared" ref="G128:G133" si="10">F128-E128</f>
        <v>326.90000000000146</v>
      </c>
      <c r="H128" s="99">
        <f>G128+'16'!H128</f>
        <v>-4645.010000000002</v>
      </c>
      <c r="I128" s="165"/>
      <c r="J128" s="330">
        <f>H128/DAY(B2)</f>
        <v>-273.2358823529413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'16'!F129</f>
        <v>17037.060000000001</v>
      </c>
      <c r="F129" s="165">
        <v>17258.54</v>
      </c>
      <c r="G129" s="112">
        <f t="shared" si="10"/>
        <v>221.47999999999956</v>
      </c>
      <c r="H129" s="99">
        <f>G129+'16'!H129</f>
        <v>-3062.4599999999991</v>
      </c>
      <c r="I129" s="165"/>
      <c r="J129" s="330">
        <f>H129/DAY(B2)</f>
        <v>-180.14470588235289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'16'!F130</f>
        <v>7071.21</v>
      </c>
      <c r="F130" s="165">
        <v>7737.46</v>
      </c>
      <c r="G130" s="112">
        <f t="shared" si="10"/>
        <v>666.25</v>
      </c>
      <c r="H130" s="99">
        <f>G130+'16'!H130</f>
        <v>-10644.54</v>
      </c>
      <c r="I130" s="165"/>
      <c r="J130" s="330">
        <f>H130/DAY(B2)</f>
        <v>-626.14941176470597</v>
      </c>
      <c r="N130" s="240"/>
      <c r="O130" s="241"/>
    </row>
    <row r="131" spans="1:15" ht="27.75" customHeight="1" x14ac:dyDescent="0.5">
      <c r="A131" s="835" t="s">
        <v>321</v>
      </c>
      <c r="B131" s="836"/>
      <c r="C131" s="837"/>
      <c r="D131" s="151" t="s">
        <v>183</v>
      </c>
      <c r="E131" s="95">
        <f>'16'!F131</f>
        <v>11676.72</v>
      </c>
      <c r="F131" s="165">
        <v>11816.86</v>
      </c>
      <c r="G131" s="112">
        <f t="shared" si="10"/>
        <v>140.14000000000124</v>
      </c>
      <c r="H131" s="99">
        <f>G131+'16'!H131</f>
        <v>-1336.1399999999994</v>
      </c>
      <c r="I131" s="165"/>
      <c r="J131" s="330">
        <f>H131/DAY(B2)</f>
        <v>-78.596470588235263</v>
      </c>
      <c r="N131" s="240"/>
      <c r="O131" s="241"/>
    </row>
    <row r="132" spans="1:15" ht="27.75" customHeight="1" x14ac:dyDescent="0.5">
      <c r="A132" s="835" t="s">
        <v>322</v>
      </c>
      <c r="B132" s="836"/>
      <c r="C132" s="837"/>
      <c r="D132" s="151" t="s">
        <v>183</v>
      </c>
      <c r="E132" s="95">
        <v>14.1</v>
      </c>
      <c r="F132" s="165">
        <v>14.1</v>
      </c>
      <c r="G132" s="112">
        <f t="shared" si="10"/>
        <v>0</v>
      </c>
      <c r="H132" s="99">
        <f>G132+'16'!H132</f>
        <v>-7432.3899999999994</v>
      </c>
      <c r="I132" s="165"/>
      <c r="J132" s="330">
        <f>H132/DAY(B2)</f>
        <v>-437.19941176470587</v>
      </c>
    </row>
    <row r="133" spans="1:15" ht="27.75" customHeight="1" x14ac:dyDescent="0.5">
      <c r="A133" s="835" t="s">
        <v>362</v>
      </c>
      <c r="B133" s="836"/>
      <c r="C133" s="837"/>
      <c r="D133" s="151" t="s">
        <v>183</v>
      </c>
      <c r="E133" s="95">
        <f>'16'!F133</f>
        <v>76963.41</v>
      </c>
      <c r="F133" s="165">
        <v>77832.61</v>
      </c>
      <c r="G133" s="112">
        <f t="shared" si="10"/>
        <v>869.19999999999709</v>
      </c>
      <c r="H133" s="99">
        <f>G133+'16'!H133</f>
        <v>-9870.39</v>
      </c>
      <c r="I133" s="165"/>
      <c r="J133" s="330">
        <f>H133/DAY(B2)</f>
        <v>-580.61117647058825</v>
      </c>
    </row>
    <row r="134" spans="1:15" ht="27.75" customHeight="1" x14ac:dyDescent="0.5">
      <c r="A134" s="835" t="s">
        <v>340</v>
      </c>
      <c r="B134" s="836"/>
      <c r="C134" s="837"/>
      <c r="D134" s="151" t="s">
        <v>183</v>
      </c>
      <c r="E134" s="95">
        <f>'16'!F134</f>
        <v>661265</v>
      </c>
      <c r="F134" s="165">
        <v>661824</v>
      </c>
      <c r="G134" s="112">
        <f>F134-E134</f>
        <v>559</v>
      </c>
      <c r="H134" s="99">
        <f>G134+'16'!H134</f>
        <v>10690</v>
      </c>
      <c r="I134" s="165"/>
      <c r="J134" s="330">
        <f>H134/DAY(B2)</f>
        <v>628.82352941176475</v>
      </c>
    </row>
    <row r="135" spans="1:15" ht="27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2782.9699999999993</v>
      </c>
      <c r="H135" s="99">
        <f>G135+'10'!H135</f>
        <v>-44965.03</v>
      </c>
      <c r="I135" s="329">
        <f>G135-(G35+G49)</f>
        <v>-768.83999999998377</v>
      </c>
      <c r="J135" s="330"/>
    </row>
    <row r="136" spans="1:15" ht="27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'16'!F138</f>
        <v>862461</v>
      </c>
      <c r="F138" s="147">
        <v>862586</v>
      </c>
      <c r="G138" s="112">
        <f t="shared" ref="G138:G152" si="11">F138-E138</f>
        <v>125</v>
      </c>
      <c r="H138" s="99">
        <f>G138+'16'!H138</f>
        <v>-1585</v>
      </c>
      <c r="I138" s="118"/>
      <c r="J138" s="330">
        <f>H138/DAY(B2)</f>
        <v>-93.235294117647058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'16'!F139</f>
        <v>886376</v>
      </c>
      <c r="F139" s="148">
        <v>886416</v>
      </c>
      <c r="G139" s="112">
        <f t="shared" si="11"/>
        <v>40</v>
      </c>
      <c r="H139" s="99">
        <f>G139+'16'!H139</f>
        <v>-130</v>
      </c>
      <c r="I139" s="118"/>
      <c r="J139" s="330">
        <f>H139/DAY(B2)</f>
        <v>-7.6470588235294121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'16'!F140</f>
        <v>88864</v>
      </c>
      <c r="F140" s="149">
        <v>88864</v>
      </c>
      <c r="G140" s="112">
        <f t="shared" si="11"/>
        <v>0</v>
      </c>
      <c r="H140" s="99">
        <f>G140+'16'!H140</f>
        <v>-18</v>
      </c>
      <c r="I140" s="118"/>
      <c r="J140" s="330">
        <f>H140/DAY(B2)</f>
        <v>-1.0588235294117647</v>
      </c>
    </row>
    <row r="141" spans="1:15" ht="27.75" customHeight="1" x14ac:dyDescent="0.5">
      <c r="A141" s="815" t="s">
        <v>188</v>
      </c>
      <c r="B141" s="815"/>
      <c r="C141" s="815"/>
      <c r="D141" s="151" t="s">
        <v>183</v>
      </c>
      <c r="E141" s="95">
        <f>'16'!F141</f>
        <v>46289.8</v>
      </c>
      <c r="F141" s="149">
        <v>46524.63</v>
      </c>
      <c r="G141" s="112">
        <f t="shared" si="11"/>
        <v>234.82999999999447</v>
      </c>
      <c r="H141" s="99">
        <f>G141+'16'!H141</f>
        <v>-2781.3700000000026</v>
      </c>
      <c r="I141" s="118"/>
      <c r="J141" s="330">
        <f>H141/DAY(B2)</f>
        <v>-163.61000000000016</v>
      </c>
    </row>
    <row r="142" spans="1:15" ht="27.75" customHeight="1" x14ac:dyDescent="0.5">
      <c r="A142" s="815" t="s">
        <v>189</v>
      </c>
      <c r="B142" s="815"/>
      <c r="C142" s="815"/>
      <c r="D142" s="151" t="s">
        <v>183</v>
      </c>
      <c r="E142" s="95">
        <f>'16'!F142</f>
        <v>17889.98</v>
      </c>
      <c r="F142" s="148">
        <v>17960.189999999999</v>
      </c>
      <c r="G142" s="112">
        <f t="shared" si="11"/>
        <v>70.209999999999127</v>
      </c>
      <c r="H142" s="99">
        <f>G142+'16'!H142</f>
        <v>-1048.8100000000013</v>
      </c>
      <c r="I142" s="140"/>
      <c r="J142" s="330">
        <f>H142/DAY(B2)</f>
        <v>-61.69470588235302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'16'!F143</f>
        <v>2677.58</v>
      </c>
      <c r="F143" s="149">
        <v>2705.06</v>
      </c>
      <c r="G143" s="112">
        <f t="shared" si="11"/>
        <v>27.480000000000018</v>
      </c>
      <c r="H143" s="99">
        <f>G143+'16'!H143</f>
        <v>-355.94000000000005</v>
      </c>
      <c r="I143" s="140"/>
      <c r="J143" s="330">
        <f>H143/DAY(B2)</f>
        <v>-20.937647058823533</v>
      </c>
    </row>
    <row r="144" spans="1:15" ht="27.75" customHeight="1" x14ac:dyDescent="0.5">
      <c r="A144" s="815" t="s">
        <v>90</v>
      </c>
      <c r="B144" s="815"/>
      <c r="C144" s="815"/>
      <c r="D144" s="151" t="s">
        <v>183</v>
      </c>
      <c r="E144" s="95">
        <f>'16'!F144</f>
        <v>866087</v>
      </c>
      <c r="F144" s="149">
        <v>866320</v>
      </c>
      <c r="G144" s="112">
        <f t="shared" si="11"/>
        <v>233</v>
      </c>
      <c r="H144" s="99">
        <f>G144+'16'!H144</f>
        <v>-3350</v>
      </c>
      <c r="I144" s="140"/>
      <c r="J144" s="330">
        <f>H144/DAY(B2)</f>
        <v>-197.05882352941177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'16'!F145</f>
        <v>4208.09</v>
      </c>
      <c r="F145" s="149">
        <v>4255.87</v>
      </c>
      <c r="G145" s="112">
        <f t="shared" si="11"/>
        <v>47.779999999999745</v>
      </c>
      <c r="H145" s="99">
        <f>G145+'16'!H145</f>
        <v>-302.13000000000011</v>
      </c>
      <c r="I145" s="140"/>
      <c r="J145" s="330">
        <f>H145/DAY(B2)</f>
        <v>-17.772352941176479</v>
      </c>
    </row>
    <row r="146" spans="1:10" ht="27.75" customHeight="1" x14ac:dyDescent="0.5">
      <c r="A146" s="869" t="s">
        <v>191</v>
      </c>
      <c r="B146" s="854"/>
      <c r="C146" s="855"/>
      <c r="D146" s="152" t="s">
        <v>183</v>
      </c>
      <c r="E146" s="95">
        <f>'16'!F146</f>
        <v>717626.6</v>
      </c>
      <c r="F146" s="148">
        <v>718126</v>
      </c>
      <c r="G146" s="112">
        <f t="shared" si="11"/>
        <v>499.40000000002328</v>
      </c>
      <c r="H146" s="99">
        <f>G146+'16'!H146</f>
        <v>-6732</v>
      </c>
      <c r="I146" s="140"/>
      <c r="J146" s="330">
        <f>H146/DAY(B2)</f>
        <v>-396</v>
      </c>
    </row>
    <row r="147" spans="1:10" ht="27.75" customHeight="1" x14ac:dyDescent="0.5">
      <c r="A147" s="815" t="s">
        <v>192</v>
      </c>
      <c r="B147" s="815"/>
      <c r="C147" s="815"/>
      <c r="D147" s="152" t="s">
        <v>183</v>
      </c>
      <c r="E147" s="95">
        <f>'16'!F147</f>
        <v>609069</v>
      </c>
      <c r="F147" s="148">
        <v>609470.92000000004</v>
      </c>
      <c r="G147" s="112">
        <f t="shared" si="11"/>
        <v>401.92000000004191</v>
      </c>
      <c r="H147" s="99">
        <f>G147+'16'!H147</f>
        <v>-5811.0799999999581</v>
      </c>
      <c r="I147" s="140"/>
      <c r="J147" s="330">
        <f>H147/DAY(B2)</f>
        <v>-341.82823529411519</v>
      </c>
    </row>
    <row r="148" spans="1:10" ht="27.75" customHeight="1" x14ac:dyDescent="0.5">
      <c r="A148" s="816" t="s">
        <v>193</v>
      </c>
      <c r="B148" s="817"/>
      <c r="C148" s="818"/>
      <c r="D148" s="123" t="s">
        <v>130</v>
      </c>
      <c r="E148" s="95">
        <f>'16'!F148</f>
        <v>678524</v>
      </c>
      <c r="F148" s="150">
        <v>678801.44</v>
      </c>
      <c r="G148" s="112">
        <f t="shared" si="11"/>
        <v>277.43999999994412</v>
      </c>
      <c r="H148" s="99">
        <f>G148+'16'!H148</f>
        <v>-4231.6800000000512</v>
      </c>
      <c r="I148" s="124"/>
      <c r="J148" s="330">
        <f>H148/DAY(B2)</f>
        <v>-248.9223529411795</v>
      </c>
    </row>
    <row r="149" spans="1:10" ht="27.75" customHeight="1" x14ac:dyDescent="0.5">
      <c r="A149" s="816" t="s">
        <v>336</v>
      </c>
      <c r="B149" s="817"/>
      <c r="C149" s="818"/>
      <c r="D149" s="227" t="s">
        <v>130</v>
      </c>
      <c r="E149" s="95">
        <f>'16'!F149</f>
        <v>90089</v>
      </c>
      <c r="F149" s="502">
        <v>90445.1</v>
      </c>
      <c r="G149" s="112">
        <f t="shared" si="11"/>
        <v>356.10000000000582</v>
      </c>
      <c r="H149" s="99">
        <f>G149+'16'!H149</f>
        <v>179579.1</v>
      </c>
      <c r="I149" s="119"/>
      <c r="J149" s="330">
        <f>H149/DAY(B2)</f>
        <v>10563.476470588235</v>
      </c>
    </row>
    <row r="150" spans="1:10" ht="27.75" customHeight="1" x14ac:dyDescent="0.5">
      <c r="A150" s="816" t="s">
        <v>337</v>
      </c>
      <c r="B150" s="817"/>
      <c r="C150" s="818"/>
      <c r="D150" s="117" t="s">
        <v>130</v>
      </c>
      <c r="E150" s="95">
        <f>'16'!F150</f>
        <v>639.99</v>
      </c>
      <c r="F150" s="233">
        <v>870.03</v>
      </c>
      <c r="G150" s="112">
        <f t="shared" si="11"/>
        <v>230.03999999999996</v>
      </c>
      <c r="H150" s="99">
        <f>G150+'16'!H150</f>
        <v>7163858.0300000003</v>
      </c>
      <c r="I150" s="119"/>
      <c r="J150" s="330">
        <f>H150/DAY(B2)</f>
        <v>421403.41352941177</v>
      </c>
    </row>
    <row r="151" spans="1:10" ht="27.75" customHeight="1" x14ac:dyDescent="0.5">
      <c r="A151" s="816" t="s">
        <v>338</v>
      </c>
      <c r="B151" s="817"/>
      <c r="C151" s="818"/>
      <c r="D151" s="117" t="s">
        <v>130</v>
      </c>
      <c r="E151" s="95">
        <f>'16'!F151</f>
        <v>74683</v>
      </c>
      <c r="F151" s="233">
        <v>74938</v>
      </c>
      <c r="G151" s="112">
        <f t="shared" si="11"/>
        <v>255</v>
      </c>
      <c r="H151" s="99">
        <f>G151+'16'!H151</f>
        <v>-3279</v>
      </c>
      <c r="I151" s="119"/>
      <c r="J151" s="330">
        <f>H151/DAY(B2)</f>
        <v>-192.88235294117646</v>
      </c>
    </row>
    <row r="152" spans="1:10" ht="27.75" customHeight="1" x14ac:dyDescent="0.5">
      <c r="A152" s="816" t="s">
        <v>339</v>
      </c>
      <c r="B152" s="817"/>
      <c r="C152" s="818"/>
      <c r="D152" s="117" t="s">
        <v>130</v>
      </c>
      <c r="E152" s="95">
        <f>'16'!F152</f>
        <v>373.4</v>
      </c>
      <c r="F152" s="233">
        <v>425</v>
      </c>
      <c r="G152" s="112">
        <f t="shared" si="11"/>
        <v>51.600000000000023</v>
      </c>
      <c r="H152" s="99">
        <f>G152+'16'!H152</f>
        <v>-702</v>
      </c>
      <c r="I152" s="119"/>
      <c r="J152" s="330">
        <f>H152/DAY(B2)</f>
        <v>-41.294117647058826</v>
      </c>
    </row>
    <row r="153" spans="1:10" ht="27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2849.8000000000084</v>
      </c>
      <c r="H153" s="365"/>
      <c r="I153" s="119">
        <f>G153-(G38+G52)</f>
        <v>681.64000000000487</v>
      </c>
      <c r="J153" s="368"/>
    </row>
    <row r="154" spans="1:10" ht="27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7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'16'!F155</f>
        <v>2657.76</v>
      </c>
      <c r="F155" s="475">
        <v>3416.82</v>
      </c>
      <c r="G155" s="112">
        <f t="shared" ref="G155:G156" si="12">F155-E155</f>
        <v>759.06</v>
      </c>
      <c r="H155" s="99">
        <f>G155+'16'!H155</f>
        <v>67561.819999999992</v>
      </c>
      <c r="I155" s="366"/>
      <c r="J155" s="330">
        <f>H155/DAY(B2)</f>
        <v>3974.2247058823523</v>
      </c>
    </row>
    <row r="156" spans="1:10" ht="27.75" customHeight="1" x14ac:dyDescent="0.5">
      <c r="A156" s="815" t="s">
        <v>347</v>
      </c>
      <c r="B156" s="815"/>
      <c r="C156" s="815"/>
      <c r="D156" s="117" t="s">
        <v>130</v>
      </c>
      <c r="E156" s="95">
        <f>'16'!F156</f>
        <v>218.32</v>
      </c>
      <c r="F156" s="155">
        <v>282.3</v>
      </c>
      <c r="G156" s="112">
        <f t="shared" si="12"/>
        <v>63.980000000000018</v>
      </c>
      <c r="H156" s="99">
        <f>G156+'16'!H156</f>
        <v>-805.7</v>
      </c>
      <c r="I156" s="165"/>
      <c r="J156" s="330">
        <f>H156/DAY(B2)</f>
        <v>-47.394117647058827</v>
      </c>
    </row>
    <row r="157" spans="1:10" ht="27.75" customHeight="1" x14ac:dyDescent="0.5">
      <c r="A157" s="816" t="s">
        <v>364</v>
      </c>
      <c r="B157" s="817"/>
      <c r="C157" s="818"/>
      <c r="D157" s="117" t="s">
        <v>130</v>
      </c>
      <c r="E157" s="95">
        <f>'16'!F157</f>
        <v>253.81</v>
      </c>
      <c r="F157" s="155">
        <v>303.85000000000002</v>
      </c>
      <c r="G157" s="112">
        <f>F157-E157</f>
        <v>50.04000000000002</v>
      </c>
      <c r="H157" s="99">
        <f>G157+'16'!H157</f>
        <v>50.04000000000002</v>
      </c>
      <c r="I157" s="165"/>
      <c r="J157" s="330"/>
    </row>
    <row r="158" spans="1:10" ht="27.75" customHeight="1" x14ac:dyDescent="0.5">
      <c r="A158" s="816" t="s">
        <v>365</v>
      </c>
      <c r="B158" s="817"/>
      <c r="C158" s="818"/>
      <c r="D158" s="117" t="s">
        <v>130</v>
      </c>
      <c r="E158" s="95">
        <f>'16'!F158</f>
        <v>0</v>
      </c>
      <c r="F158" s="165">
        <v>0</v>
      </c>
      <c r="G158" s="112"/>
      <c r="H158" s="99"/>
      <c r="I158" s="165"/>
      <c r="J158" s="330"/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27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471130</v>
      </c>
      <c r="F161" s="235">
        <v>471130.8</v>
      </c>
      <c r="G161" s="238">
        <f t="shared" ref="G161:G165" si="13">F161-E161</f>
        <v>0.79999999998835847</v>
      </c>
      <c r="H161" s="99">
        <f>G161+'16'!H161</f>
        <v>-22.35999999998603</v>
      </c>
      <c r="I161" s="236"/>
      <c r="J161" s="239">
        <f>H161/DAY(B2)</f>
        <v>-1.3152941176462372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87142.5</v>
      </c>
      <c r="F162" s="235">
        <v>87176</v>
      </c>
      <c r="G162" s="238">
        <f t="shared" si="13"/>
        <v>33.5</v>
      </c>
      <c r="H162" s="99">
        <f>G162+'16'!H162</f>
        <v>-394</v>
      </c>
      <c r="I162" s="236"/>
      <c r="J162" s="239">
        <f>H162/DAY(B2)</f>
        <v>-23.176470588235293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76879.899999999994</v>
      </c>
      <c r="F163" s="235">
        <v>76973.100000000006</v>
      </c>
      <c r="G163" s="238">
        <f t="shared" si="13"/>
        <v>93.200000000011642</v>
      </c>
      <c r="H163" s="99">
        <f>G163+'16'!H163</f>
        <v>-851.89999999999418</v>
      </c>
      <c r="I163" s="236"/>
      <c r="J163" s="239">
        <f>H163/DAY(B2)</f>
        <v>-50.11176470588201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4185.6000000000004</v>
      </c>
      <c r="F164" s="235">
        <v>4191.1000000000004</v>
      </c>
      <c r="G164" s="238">
        <f t="shared" si="13"/>
        <v>5.5</v>
      </c>
      <c r="H164" s="99">
        <f>G164+'16'!H164</f>
        <v>-50.899999999999636</v>
      </c>
      <c r="I164" s="236"/>
      <c r="J164" s="239">
        <f>H164/DAY(B2)</f>
        <v>-2.9941176470588022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29545.58</v>
      </c>
      <c r="F165" s="235">
        <v>29553.3</v>
      </c>
      <c r="G165" s="238">
        <f t="shared" si="13"/>
        <v>7.7199999999975262</v>
      </c>
      <c r="H165" s="99">
        <f>G165+'16'!H165</f>
        <v>-92.700000000000728</v>
      </c>
      <c r="I165" s="236"/>
      <c r="J165" s="239">
        <f>H165/DAY(B2)</f>
        <v>-5.452941176470631</v>
      </c>
    </row>
    <row r="166" spans="1:10" ht="27.75" customHeight="1" x14ac:dyDescent="0.5">
      <c r="A166" s="824"/>
      <c r="B166" s="824"/>
      <c r="C166" s="246"/>
      <c r="D166" s="244" t="s">
        <v>180</v>
      </c>
      <c r="E166" s="95">
        <f>'16'!F166</f>
        <v>0</v>
      </c>
      <c r="F166" s="165"/>
      <c r="G166" s="165"/>
      <c r="H166" s="99">
        <f>G166+'16'!H166</f>
        <v>0</v>
      </c>
      <c r="I166" s="165"/>
      <c r="J166" s="239">
        <f>H166/DAY(B2)</f>
        <v>0</v>
      </c>
    </row>
    <row r="167" spans="1:10" ht="27.75" customHeight="1" x14ac:dyDescent="0.5">
      <c r="A167" s="824"/>
      <c r="B167" s="824"/>
      <c r="C167" s="246"/>
      <c r="D167" s="244" t="s">
        <v>180</v>
      </c>
      <c r="E167" s="95">
        <f>'16'!F167</f>
        <v>0</v>
      </c>
      <c r="F167" s="165"/>
      <c r="G167" s="165"/>
      <c r="H167" s="99">
        <f>G167+'16'!H167</f>
        <v>0</v>
      </c>
      <c r="I167" s="165"/>
      <c r="J167" s="239">
        <f>H167/DAY(B2)</f>
        <v>0</v>
      </c>
    </row>
    <row r="168" spans="1:10" ht="27.75" customHeight="1" x14ac:dyDescent="0.5">
      <c r="A168" s="824"/>
      <c r="B168" s="824"/>
      <c r="C168" s="246"/>
      <c r="D168" s="244" t="s">
        <v>180</v>
      </c>
      <c r="E168" s="95">
        <f>'16'!F168</f>
        <v>0</v>
      </c>
      <c r="F168" s="165"/>
      <c r="G168" s="165"/>
      <c r="H168" s="99">
        <f>G168+'16'!H168</f>
        <v>0</v>
      </c>
      <c r="I168" s="165"/>
      <c r="J168" s="239">
        <f>H168/DAY(B2)</f>
        <v>0</v>
      </c>
    </row>
    <row r="171" spans="1:10" ht="27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28" t="s">
        <v>209</v>
      </c>
      <c r="B173" s="829"/>
      <c r="C173" s="335"/>
      <c r="D173" s="228" t="s">
        <v>142</v>
      </c>
      <c r="E173" s="95">
        <f>'16'!F173</f>
        <v>8110</v>
      </c>
      <c r="F173" s="157">
        <v>8110</v>
      </c>
      <c r="G173" s="155">
        <f>F173-E173</f>
        <v>0</v>
      </c>
      <c r="H173" s="99">
        <f>G173+'16'!H173</f>
        <v>-16</v>
      </c>
      <c r="I173" s="155"/>
      <c r="J173" s="178">
        <f>H173/DAY(B2)</f>
        <v>-0.94117647058823528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f>'16'!F174</f>
        <v>38068</v>
      </c>
      <c r="F174" s="157">
        <v>38085</v>
      </c>
      <c r="G174" s="155">
        <f t="shared" ref="G174:G175" si="14">F174-E174</f>
        <v>17</v>
      </c>
      <c r="H174" s="99">
        <f>G174+'16'!H174</f>
        <v>-202</v>
      </c>
      <c r="I174" s="155"/>
      <c r="J174" s="178">
        <f>H174/DAY(B2)</f>
        <v>-11.882352941176471</v>
      </c>
    </row>
    <row r="175" spans="1:10" ht="27.75" customHeight="1" x14ac:dyDescent="0.5">
      <c r="A175" s="828" t="s">
        <v>76</v>
      </c>
      <c r="B175" s="868"/>
      <c r="C175" s="829"/>
      <c r="D175" s="228" t="s">
        <v>142</v>
      </c>
      <c r="E175" s="95">
        <f>'16'!F175</f>
        <v>21344</v>
      </c>
      <c r="F175" s="155">
        <v>21356</v>
      </c>
      <c r="G175" s="155">
        <f t="shared" si="14"/>
        <v>12</v>
      </c>
      <c r="H175" s="99">
        <f>G175+'16'!H175</f>
        <v>-162</v>
      </c>
      <c r="I175" s="155"/>
      <c r="J175" s="178">
        <f>H175/DAY(B2)</f>
        <v>-9.5294117647058822</v>
      </c>
    </row>
    <row r="176" spans="1:10" ht="27.75" customHeight="1" x14ac:dyDescent="0.5">
      <c r="A176" s="819" t="s">
        <v>196</v>
      </c>
      <c r="B176" s="820"/>
      <c r="C176" s="335"/>
      <c r="D176" s="228" t="s">
        <v>142</v>
      </c>
      <c r="E176" s="95"/>
      <c r="F176" s="155"/>
      <c r="G176" s="155">
        <f>SUM(G173:G175)</f>
        <v>29</v>
      </c>
      <c r="H176" s="99">
        <f>G176+'16'!H176</f>
        <v>-380</v>
      </c>
      <c r="I176" s="155"/>
      <c r="J176" s="178">
        <f>H176/DAY(B2)</f>
        <v>-22.352941176470587</v>
      </c>
    </row>
    <row r="177" spans="1:11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28" t="s">
        <v>210</v>
      </c>
      <c r="B178" s="829"/>
      <c r="C178" s="335"/>
      <c r="D178" s="228" t="s">
        <v>142</v>
      </c>
      <c r="E178" s="95">
        <f>'16'!F178</f>
        <v>78558</v>
      </c>
      <c r="F178" s="155">
        <v>78673</v>
      </c>
      <c r="G178" s="155">
        <f>F178-E178</f>
        <v>115</v>
      </c>
      <c r="H178" s="99">
        <f>G178+'16'!H178</f>
        <v>-941</v>
      </c>
      <c r="I178" s="155"/>
      <c r="J178" s="178">
        <f>H178/DAY(B2)</f>
        <v>-55.352941176470587</v>
      </c>
    </row>
    <row r="179" spans="1:11" ht="27.75" customHeight="1" x14ac:dyDescent="0.5">
      <c r="A179" s="828" t="s">
        <v>211</v>
      </c>
      <c r="B179" s="829"/>
      <c r="C179" s="335"/>
      <c r="D179" s="228" t="s">
        <v>142</v>
      </c>
      <c r="E179" s="95">
        <f>'16'!F179</f>
        <v>33888</v>
      </c>
      <c r="F179" s="155">
        <v>33901</v>
      </c>
      <c r="G179" s="155">
        <f t="shared" ref="G179:G180" si="15">F179-E179</f>
        <v>13</v>
      </c>
      <c r="H179" s="99">
        <f>G179+'16'!H179</f>
        <v>-14</v>
      </c>
      <c r="I179" s="155"/>
      <c r="J179" s="178">
        <f>H179/DAY(B2)</f>
        <v>-0.82352941176470584</v>
      </c>
    </row>
    <row r="180" spans="1:11" ht="27.75" customHeight="1" x14ac:dyDescent="0.5">
      <c r="A180" s="828" t="s">
        <v>212</v>
      </c>
      <c r="B180" s="829"/>
      <c r="C180" s="335"/>
      <c r="D180" s="228" t="s">
        <v>142</v>
      </c>
      <c r="E180" s="95">
        <f>'16'!F180</f>
        <v>5383</v>
      </c>
      <c r="F180" s="155">
        <v>5385</v>
      </c>
      <c r="G180" s="155">
        <f t="shared" si="15"/>
        <v>2</v>
      </c>
      <c r="H180" s="99">
        <f>G180+'16'!H180</f>
        <v>-92</v>
      </c>
      <c r="I180" s="155"/>
      <c r="J180" s="178">
        <f>H180/DAY(B2)</f>
        <v>-5.4117647058823533</v>
      </c>
    </row>
    <row r="181" spans="1:11" ht="27.75" customHeight="1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130</v>
      </c>
      <c r="H181" s="99">
        <f>G181+'16'!H181</f>
        <v>-1047</v>
      </c>
      <c r="I181" s="155"/>
      <c r="J181" s="178">
        <f>H181/DAY(B2)</f>
        <v>-61.588235294117645</v>
      </c>
    </row>
    <row r="182" spans="1:11" ht="27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28" t="s">
        <v>214</v>
      </c>
      <c r="B183" s="829"/>
      <c r="C183" s="336"/>
      <c r="D183" s="228" t="s">
        <v>142</v>
      </c>
      <c r="E183" s="95">
        <f>'16'!F183</f>
        <v>14718</v>
      </c>
      <c r="F183" s="157">
        <v>14728</v>
      </c>
      <c r="G183" s="157">
        <f>F183-E183</f>
        <v>10</v>
      </c>
      <c r="H183" s="99">
        <f>G183+'16'!H183</f>
        <v>-219</v>
      </c>
      <c r="I183" s="155"/>
      <c r="J183" s="178">
        <f>H183/DAY(B2)</f>
        <v>-12.882352941176471</v>
      </c>
    </row>
    <row r="184" spans="1:11" ht="27.75" customHeight="1" x14ac:dyDescent="0.5">
      <c r="A184" s="828" t="s">
        <v>215</v>
      </c>
      <c r="B184" s="829"/>
      <c r="C184" s="336"/>
      <c r="D184" s="228" t="s">
        <v>142</v>
      </c>
      <c r="E184" s="95">
        <f>'16'!F184</f>
        <v>10174</v>
      </c>
      <c r="F184" s="157">
        <v>10184</v>
      </c>
      <c r="G184" s="157">
        <f t="shared" ref="G184:G185" si="16">F184-E184</f>
        <v>10</v>
      </c>
      <c r="H184" s="99">
        <f>G184+'16'!H184</f>
        <v>-117</v>
      </c>
      <c r="I184" s="155"/>
      <c r="J184" s="178">
        <f>H184/DAY(B2)</f>
        <v>-6.882352941176471</v>
      </c>
    </row>
    <row r="185" spans="1:11" ht="27.75" customHeight="1" x14ac:dyDescent="0.5">
      <c r="A185" s="828" t="s">
        <v>216</v>
      </c>
      <c r="B185" s="829"/>
      <c r="C185" s="336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20</v>
      </c>
      <c r="H186" s="99">
        <f>G186+'16'!H186</f>
        <v>-336</v>
      </c>
      <c r="I186" s="157"/>
      <c r="J186" s="178">
        <f>H186/DAY(B2)</f>
        <v>-19.764705882352942</v>
      </c>
    </row>
    <row r="187" spans="1:11" ht="27.75" customHeight="1" x14ac:dyDescent="0.5">
      <c r="A187" s="821" t="s">
        <v>217</v>
      </c>
      <c r="B187" s="822"/>
      <c r="C187" s="335"/>
      <c r="D187" s="228" t="s">
        <v>142</v>
      </c>
      <c r="E187" s="95"/>
      <c r="F187" s="159"/>
      <c r="G187" s="464">
        <f>G62+G19</f>
        <v>181</v>
      </c>
      <c r="H187" s="99">
        <f>G187+'16'!H187</f>
        <v>-729</v>
      </c>
      <c r="I187" s="158"/>
      <c r="J187" s="179">
        <f>H187/DAY(B2)</f>
        <v>-42.882352941176471</v>
      </c>
    </row>
    <row r="188" spans="1:11" ht="27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182</v>
      </c>
      <c r="H188" s="99">
        <f>G188+'16'!H188</f>
        <v>493</v>
      </c>
      <c r="I188" s="158"/>
      <c r="J188" s="179">
        <f>H188/DAY(B2)</f>
        <v>29</v>
      </c>
    </row>
    <row r="189" spans="1:11" ht="27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130</v>
      </c>
      <c r="H189" s="99">
        <f>G189+'16'!H189</f>
        <v>-1047</v>
      </c>
      <c r="I189" s="158"/>
      <c r="J189" s="179">
        <f>H189/DAY(B2)</f>
        <v>-61.588235294117645</v>
      </c>
    </row>
    <row r="190" spans="1:11" ht="27.75" customHeight="1" x14ac:dyDescent="0.5">
      <c r="A190" s="742"/>
      <c r="B190" s="743"/>
      <c r="C190" s="485"/>
      <c r="D190" s="482"/>
      <c r="E190" s="482"/>
      <c r="F190" s="482"/>
      <c r="G190" s="482"/>
      <c r="H190" s="483"/>
      <c r="I190" s="482"/>
      <c r="J190" s="484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53096</v>
      </c>
      <c r="G191" s="165">
        <v>53102</v>
      </c>
      <c r="H191" s="238">
        <f>G191-F191</f>
        <v>6</v>
      </c>
      <c r="I191" s="99">
        <f>H191+'15'!I191</f>
        <v>6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18" zoomScale="55" zoomScaleNormal="68" zoomScaleSheetLayoutView="55" workbookViewId="0">
      <selection activeCell="F18" sqref="F18:F1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8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 x14ac:dyDescent="0.5">
      <c r="A2" s="191" t="s">
        <v>350</v>
      </c>
      <c r="B2" s="262">
        <v>44548</v>
      </c>
      <c r="C2" s="350" t="s">
        <v>67</v>
      </c>
      <c r="D2" s="218">
        <v>0.51</v>
      </c>
      <c r="E2" s="100"/>
      <c r="F2" s="100"/>
      <c r="G2" s="56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562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0.9</v>
      </c>
      <c r="E4" s="103"/>
      <c r="F4" s="103"/>
      <c r="G4" s="562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6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7" t="s">
        <v>128</v>
      </c>
      <c r="B6" s="878"/>
      <c r="C6" s="879"/>
      <c r="D6" s="110"/>
      <c r="E6" s="110"/>
      <c r="F6" s="110"/>
      <c r="G6" s="564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457978</v>
      </c>
      <c r="F7" s="95">
        <f>E7+23500</f>
        <v>481478</v>
      </c>
      <c r="G7" s="565">
        <f>F7-E7</f>
        <v>23500</v>
      </c>
      <c r="H7" s="99">
        <f>G7+'17'!H7</f>
        <v>386917</v>
      </c>
      <c r="I7" s="113">
        <f>'1'!I7</f>
        <v>12000</v>
      </c>
      <c r="J7" s="175">
        <f>H7/DAY(B2)</f>
        <v>21495.388888888891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507937</v>
      </c>
      <c r="F8" s="95">
        <f>E8+23500</f>
        <v>531437</v>
      </c>
      <c r="G8" s="566">
        <f>F8-E8</f>
        <v>23500</v>
      </c>
      <c r="H8" s="99">
        <f>G8+'17'!H8</f>
        <v>390552</v>
      </c>
      <c r="I8" s="116"/>
      <c r="J8" s="175">
        <f>H8/DAY(B2)</f>
        <v>21697.333333333332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123657</v>
      </c>
      <c r="F9" s="605">
        <f>E9+14000</f>
        <v>137657</v>
      </c>
      <c r="G9" s="565">
        <f>F9-E9</f>
        <v>14000</v>
      </c>
      <c r="H9" s="99">
        <f>G9+'17'!H9</f>
        <v>236162</v>
      </c>
      <c r="I9" s="124">
        <f>I7-J7</f>
        <v>-9495.3888888888905</v>
      </c>
      <c r="J9" s="175">
        <f>H9/DAY(B2)</f>
        <v>13120.111111111111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493550</v>
      </c>
      <c r="F10" s="355">
        <f>E10+4500</f>
        <v>498050</v>
      </c>
      <c r="G10" s="565">
        <f>F10-E10</f>
        <v>4500</v>
      </c>
      <c r="H10" s="99">
        <f>G10+'17'!H10</f>
        <v>100940</v>
      </c>
      <c r="I10" s="282"/>
      <c r="J10" s="175">
        <f>H10/DAY(B2)</f>
        <v>5607.7777777777774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565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65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7">
        <f>G9+G10+G11+G12</f>
        <v>18500</v>
      </c>
      <c r="H13" s="99">
        <f>G13+'17'!H13</f>
        <v>317636.74999999988</v>
      </c>
      <c r="I13" s="120">
        <f>G7-G13</f>
        <v>5000</v>
      </c>
      <c r="J13" s="175">
        <f>H13/DAY(B2)</f>
        <v>17646.486111111106</v>
      </c>
      <c r="K13" s="79"/>
      <c r="L13" s="66"/>
      <c r="N13" s="87"/>
      <c r="O13" s="71"/>
    </row>
    <row r="14" spans="1:15" ht="27.75" customHeight="1" x14ac:dyDescent="0.5">
      <c r="A14" s="880" t="s">
        <v>137</v>
      </c>
      <c r="B14" s="881"/>
      <c r="C14" s="882"/>
      <c r="D14" s="111"/>
      <c r="E14" s="111"/>
      <c r="F14" s="111"/>
      <c r="G14" s="568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95">
        <f>'17'!F15</f>
        <v>1862826</v>
      </c>
      <c r="F15" s="123">
        <f>E15+1100</f>
        <v>1863926</v>
      </c>
      <c r="G15" s="565">
        <f>(F15-E15)</f>
        <v>1100</v>
      </c>
      <c r="H15" s="99">
        <f>G15+'17'!H15</f>
        <v>18069</v>
      </c>
      <c r="I15" s="113">
        <f>'1'!I15</f>
        <v>800</v>
      </c>
      <c r="J15" s="175">
        <f>H15/DAY(B2)</f>
        <v>1003.8333333333334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65"/>
      <c r="H16" s="124"/>
      <c r="I16" s="120">
        <f>I15-J15</f>
        <v>-203.83333333333337</v>
      </c>
      <c r="J16" s="176"/>
      <c r="K16" s="79"/>
      <c r="L16" s="66"/>
      <c r="N16" s="87"/>
      <c r="O16" s="71"/>
    </row>
    <row r="17" spans="1:15" ht="27.75" customHeight="1" x14ac:dyDescent="0.5">
      <c r="A17" s="880" t="s">
        <v>140</v>
      </c>
      <c r="B17" s="881"/>
      <c r="C17" s="882"/>
      <c r="D17" s="111"/>
      <c r="E17" s="111"/>
      <c r="F17" s="111"/>
      <c r="G17" s="568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6" t="s">
        <v>141</v>
      </c>
      <c r="B18" s="857"/>
      <c r="C18" s="858"/>
      <c r="D18" s="151" t="s">
        <v>142</v>
      </c>
      <c r="E18" s="95">
        <f>'17'!F18</f>
        <v>111</v>
      </c>
      <c r="F18" s="122">
        <f>E18+12</f>
        <v>123</v>
      </c>
      <c r="G18" s="567">
        <f>F18*10</f>
        <v>1230</v>
      </c>
      <c r="H18" s="99">
        <f>G18+'17'!H18</f>
        <v>7970</v>
      </c>
      <c r="I18" s="113">
        <f>'1'!I18</f>
        <v>65</v>
      </c>
      <c r="J18" s="175">
        <f>H18/DAY(B2)</f>
        <v>442.77777777777777</v>
      </c>
      <c r="K18" s="79"/>
      <c r="L18" s="66"/>
      <c r="N18" s="87"/>
      <c r="O18" s="71"/>
    </row>
    <row r="19" spans="1:15" ht="27.75" customHeight="1" x14ac:dyDescent="0.5">
      <c r="A19" s="856" t="s">
        <v>69</v>
      </c>
      <c r="B19" s="857"/>
      <c r="C19" s="858"/>
      <c r="D19" s="151" t="s">
        <v>142</v>
      </c>
      <c r="E19" s="95">
        <f>'17'!F19</f>
        <v>153135</v>
      </c>
      <c r="F19" s="122">
        <f>E19+55</f>
        <v>153190</v>
      </c>
      <c r="G19" s="565">
        <f t="shared" ref="G19" si="1">F19-E19</f>
        <v>55</v>
      </c>
      <c r="H19" s="99">
        <f>G19+'17'!H19</f>
        <v>965</v>
      </c>
      <c r="I19" s="337"/>
      <c r="J19" s="175">
        <f>H19/DAY(B2)</f>
        <v>53.611111111111114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9">
        <f>G18+G19</f>
        <v>1285</v>
      </c>
      <c r="H20" s="99">
        <f>G20+'17'!H20</f>
        <v>8935</v>
      </c>
      <c r="I20" s="338">
        <f>I18-J20</f>
        <v>-431.38888888888891</v>
      </c>
      <c r="J20" s="175">
        <f>H20/DAY(B2)</f>
        <v>496.38888888888891</v>
      </c>
      <c r="K20" s="79"/>
      <c r="L20" s="66"/>
      <c r="N20" s="87"/>
      <c r="O20" s="71"/>
    </row>
    <row r="21" spans="1:15" ht="27.75" customHeight="1" x14ac:dyDescent="0.5">
      <c r="A21" s="880" t="s">
        <v>144</v>
      </c>
      <c r="B21" s="881"/>
      <c r="C21" s="882"/>
      <c r="D21" s="111"/>
      <c r="E21" s="111"/>
      <c r="F21" s="111"/>
      <c r="G21" s="568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7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567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567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5" t="s">
        <v>149</v>
      </c>
      <c r="B25" s="886"/>
      <c r="C25" s="887"/>
      <c r="D25" s="110"/>
      <c r="E25" s="110"/>
      <c r="F25" s="110"/>
      <c r="G25" s="57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7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572">
        <f>E27*F27</f>
        <v>211500</v>
      </c>
      <c r="H27" s="99">
        <f>G27+'17'!H27</f>
        <v>3514968</v>
      </c>
      <c r="I27" s="138"/>
      <c r="J27" s="175">
        <f>H27/DAY(B2)</f>
        <v>195276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572">
        <f>E28*F28</f>
        <v>57200</v>
      </c>
      <c r="H28" s="99">
        <f>G28+'17'!H28</f>
        <v>939588</v>
      </c>
      <c r="I28" s="140"/>
      <c r="J28" s="175">
        <f>H28/DAY(B2)</f>
        <v>52199.333333333336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572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572">
        <f>E30*F30</f>
        <v>8030</v>
      </c>
      <c r="H30" s="99">
        <f>G30+'17'!H30</f>
        <v>140890</v>
      </c>
      <c r="I30" s="140"/>
      <c r="J30" s="175">
        <f>H30/DAY(B2)</f>
        <v>7827.2222222222226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1230</v>
      </c>
      <c r="F31" s="136">
        <v>80</v>
      </c>
      <c r="G31" s="572">
        <f>E31*F31</f>
        <v>98400</v>
      </c>
      <c r="H31" s="99">
        <f>G31+'17'!H31</f>
        <v>637600</v>
      </c>
      <c r="I31" s="140"/>
      <c r="J31" s="175">
        <f>H31/DAY(B2)</f>
        <v>35422.222222222219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73">
        <f>G27+G28+G29+G30+G31</f>
        <v>375130</v>
      </c>
      <c r="H32" s="99">
        <f>G32+'17'!H32</f>
        <v>5233046</v>
      </c>
      <c r="I32" s="144"/>
      <c r="J32" s="175">
        <f>H32/DAY(B2)</f>
        <v>290724.77777777775</v>
      </c>
      <c r="K32" s="63"/>
      <c r="L32" s="89"/>
      <c r="N32" s="87"/>
      <c r="O32" s="71"/>
    </row>
    <row r="33" spans="1:15" ht="27.75" customHeight="1" x14ac:dyDescent="0.35">
      <c r="A33" s="888" t="s">
        <v>331</v>
      </c>
      <c r="B33" s="889"/>
      <c r="C33" s="889"/>
      <c r="D33" s="339"/>
      <c r="E33" s="339"/>
      <c r="F33" s="339"/>
      <c r="G33" s="574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575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128731.06</v>
      </c>
      <c r="F35" s="145">
        <v>130316.09</v>
      </c>
      <c r="G35" s="565">
        <f t="shared" ref="G35:G46" si="3">F35-E35</f>
        <v>1585.0299999999988</v>
      </c>
      <c r="H35" s="99">
        <f>G35+'17'!H35</f>
        <v>145516.09</v>
      </c>
      <c r="I35" s="95"/>
      <c r="J35" s="175">
        <f>H35/DAY(B2)</f>
        <v>8084.2272222222218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7904.89</v>
      </c>
      <c r="F36" s="145">
        <v>9128.93</v>
      </c>
      <c r="G36" s="565">
        <f t="shared" si="3"/>
        <v>1224.04</v>
      </c>
      <c r="H36" s="99">
        <f>G36+'17'!H36</f>
        <v>77331.929999999993</v>
      </c>
      <c r="I36" s="95"/>
      <c r="J36" s="175">
        <f>H36/DAY(B2)</f>
        <v>4296.2183333333332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173101.87</v>
      </c>
      <c r="F37" s="145">
        <v>174666.47</v>
      </c>
      <c r="G37" s="565">
        <f t="shared" si="3"/>
        <v>1564.6000000000058</v>
      </c>
      <c r="H37" s="99">
        <f>G37+'17'!H37</f>
        <v>186878.47</v>
      </c>
      <c r="I37" s="95"/>
      <c r="J37" s="175">
        <f>H37/DAY(B2)</f>
        <v>10382.137222222222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205245.77</v>
      </c>
      <c r="F38" s="108">
        <v>207327.99</v>
      </c>
      <c r="G38" s="565">
        <f t="shared" si="3"/>
        <v>2082.2200000000012</v>
      </c>
      <c r="H38" s="99">
        <f>G38+'17'!H38</f>
        <v>220527.99</v>
      </c>
      <c r="I38" s="95"/>
      <c r="J38" s="175">
        <f>H38/DAY(B2)</f>
        <v>12251.555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371804.35</v>
      </c>
      <c r="F39" s="145">
        <v>374698.39</v>
      </c>
      <c r="G39" s="565">
        <f t="shared" si="3"/>
        <v>2894.0400000000373</v>
      </c>
      <c r="H39" s="99">
        <f>G39+'17'!H39</f>
        <v>396380.39</v>
      </c>
      <c r="I39" s="95"/>
      <c r="J39" s="175">
        <f>H39/DAY(B2)</f>
        <v>22021.132777777777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608">
        <f>'17'!F40</f>
        <v>588.35</v>
      </c>
      <c r="F40" s="609">
        <v>588.35</v>
      </c>
      <c r="G40" s="610">
        <f t="shared" si="3"/>
        <v>0</v>
      </c>
      <c r="H40" s="99">
        <f>G40+'17'!H40</f>
        <v>-5021.6500000000005</v>
      </c>
      <c r="I40" s="95"/>
      <c r="J40" s="175">
        <f>H40/DAY(B2)</f>
        <v>-278.98055555555561</v>
      </c>
      <c r="K40" s="80"/>
      <c r="L40" s="66"/>
      <c r="N40" s="87">
        <v>7285</v>
      </c>
      <c r="O40" s="71" t="s">
        <v>369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65">
        <f t="shared" si="3"/>
        <v>0</v>
      </c>
      <c r="H41" s="99">
        <f>G41+'17'!H41</f>
        <v>599900</v>
      </c>
      <c r="I41" s="95"/>
      <c r="J41" s="175">
        <f>H41/DAY(B2)</f>
        <v>33327.777777777781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15213.15</v>
      </c>
      <c r="F42" s="145">
        <v>20108.66</v>
      </c>
      <c r="G42" s="565">
        <f t="shared" si="3"/>
        <v>4895.51</v>
      </c>
      <c r="H42" s="99">
        <f>G42+'17'!H42</f>
        <v>303959.65999999997</v>
      </c>
      <c r="I42" s="95"/>
      <c r="J42" s="175">
        <f>H42/DAY(B2)</f>
        <v>16886.647777777776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9928.93</v>
      </c>
      <c r="F43" s="145">
        <v>12716.87</v>
      </c>
      <c r="G43" s="565">
        <f t="shared" si="3"/>
        <v>2787.9400000000005</v>
      </c>
      <c r="H43" s="99">
        <f>G43+'17'!H43</f>
        <v>1530136.8699999999</v>
      </c>
      <c r="I43" s="95"/>
      <c r="J43" s="175">
        <f>H43/DAY(B2)</f>
        <v>85007.603888888887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65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65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65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7">
        <f>G35+G36+G37+G38+G39+G40+G41+G42+G43+G44+G45+G46</f>
        <v>17033.380000000045</v>
      </c>
      <c r="H47" s="99">
        <f>G47+'17'!H47</f>
        <v>3455609.75</v>
      </c>
      <c r="I47" s="95"/>
      <c r="J47" s="175">
        <f>H47/DAY(B2)</f>
        <v>191978.31944444444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575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250312.43</v>
      </c>
      <c r="F49" s="145">
        <v>252107.37</v>
      </c>
      <c r="G49" s="565">
        <f t="shared" ref="G49:G58" si="4">F49-E49</f>
        <v>1794.9400000000023</v>
      </c>
      <c r="H49" s="99">
        <f>G49+'17'!H49</f>
        <v>265228.37</v>
      </c>
      <c r="I49" s="95"/>
      <c r="J49" s="175">
        <f>H49/DAY(B2)</f>
        <v>14734.909444444444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7774.88</v>
      </c>
      <c r="F50" s="145">
        <v>9227.31</v>
      </c>
      <c r="G50" s="565">
        <f t="shared" si="4"/>
        <v>1452.4299999999994</v>
      </c>
      <c r="H50" s="99">
        <f>G50+'17'!H50</f>
        <v>723652.31</v>
      </c>
      <c r="I50" s="95"/>
      <c r="J50" s="175">
        <f>H50/DAY(B2)</f>
        <v>40202.906111111115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65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65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65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3122</v>
      </c>
      <c r="F54" s="145">
        <v>3126.52</v>
      </c>
      <c r="G54" s="565">
        <f t="shared" si="4"/>
        <v>4.5199999999999818</v>
      </c>
      <c r="H54" s="99">
        <f>G54+'17'!H54</f>
        <v>4893.6000000000004</v>
      </c>
      <c r="I54" s="95"/>
      <c r="J54" s="175">
        <f>H54/DAY(B2)</f>
        <v>271.86666666666667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0</v>
      </c>
      <c r="F55" s="145">
        <v>0</v>
      </c>
      <c r="G55" s="565">
        <f t="shared" si="4"/>
        <v>0</v>
      </c>
      <c r="H55" s="99">
        <f>G55+'17'!H55</f>
        <v>-3511</v>
      </c>
      <c r="I55" s="95"/>
      <c r="J55" s="175">
        <f>H55/DAY(B2)</f>
        <v>-195.05555555555554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7957.59</v>
      </c>
      <c r="F56" s="145">
        <v>8373.59</v>
      </c>
      <c r="G56" s="565">
        <f t="shared" si="4"/>
        <v>416</v>
      </c>
      <c r="H56" s="99">
        <f>G56+'17'!H56</f>
        <v>211828.05</v>
      </c>
      <c r="I56" s="95"/>
      <c r="J56" s="175">
        <f>H56/DAY(B2)</f>
        <v>11768.224999999999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65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89243</v>
      </c>
      <c r="F58" s="145">
        <v>89481.66</v>
      </c>
      <c r="G58" s="565">
        <f t="shared" si="4"/>
        <v>238.66000000000349</v>
      </c>
      <c r="H58" s="99">
        <f>G58+'17'!H58</f>
        <v>89822.290000000008</v>
      </c>
      <c r="I58" s="95"/>
      <c r="J58" s="175">
        <f>H58/DAY(B2)</f>
        <v>4990.1272222222224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7">
        <f>G49+G50+G51+G52+G53+G54+G55+G56+G57+G58</f>
        <v>3906.5500000000052</v>
      </c>
      <c r="H59" s="99">
        <f>G59+'17'!H59</f>
        <v>1291913.6200000001</v>
      </c>
      <c r="I59" s="95">
        <f>G7-G60</f>
        <v>2560.0699999999488</v>
      </c>
      <c r="J59" s="175">
        <f>H59/DAY(B2)</f>
        <v>71772.978888888902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7">
        <f>G47+G59</f>
        <v>20939.930000000051</v>
      </c>
      <c r="H60" s="99">
        <f>G60+'17'!H60</f>
        <v>4747523.37</v>
      </c>
      <c r="I60" s="95">
        <f>G13-G60</f>
        <v>-2439.9300000000512</v>
      </c>
      <c r="J60" s="175">
        <f>H60/DAY(B2)</f>
        <v>263751.29833333334</v>
      </c>
      <c r="K60" s="79"/>
      <c r="L60" s="66"/>
      <c r="N60" s="87"/>
      <c r="O60" s="71"/>
    </row>
    <row r="61" spans="1:15" s="68" customFormat="1" ht="27.75" customHeight="1" x14ac:dyDescent="0.5">
      <c r="A61" s="890" t="s">
        <v>332</v>
      </c>
      <c r="B61" s="891"/>
      <c r="C61" s="892"/>
      <c r="D61" s="341"/>
      <c r="E61" s="341"/>
      <c r="F61" s="341"/>
      <c r="G61" s="576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56" t="s">
        <v>198</v>
      </c>
      <c r="B62" s="857"/>
      <c r="C62" s="858"/>
      <c r="D62" s="151" t="s">
        <v>142</v>
      </c>
      <c r="E62" s="95">
        <f>'17'!F62</f>
        <v>265574</v>
      </c>
      <c r="F62" s="122">
        <v>265708</v>
      </c>
      <c r="G62" s="565">
        <f t="shared" ref="G62:G63" si="5">F62-E62</f>
        <v>134</v>
      </c>
      <c r="H62" s="99">
        <f>G62+'17'!H62</f>
        <v>-1505</v>
      </c>
      <c r="I62" s="118"/>
      <c r="J62" s="175">
        <f>H62/DAY(B2)</f>
        <v>-83.611111111111114</v>
      </c>
      <c r="K62" s="80"/>
      <c r="L62" s="66"/>
      <c r="N62" s="87"/>
      <c r="O62" s="71"/>
    </row>
    <row r="63" spans="1:15" ht="27.75" customHeight="1" x14ac:dyDescent="0.5">
      <c r="A63" s="856" t="s">
        <v>199</v>
      </c>
      <c r="B63" s="857"/>
      <c r="C63" s="858"/>
      <c r="D63" s="151" t="s">
        <v>142</v>
      </c>
      <c r="E63" s="95">
        <f>'17'!F63</f>
        <v>211183</v>
      </c>
      <c r="F63" s="122">
        <v>211291</v>
      </c>
      <c r="G63" s="565">
        <f t="shared" si="5"/>
        <v>108</v>
      </c>
      <c r="H63" s="99">
        <f>G63+'17'!H63</f>
        <v>-1134</v>
      </c>
      <c r="I63" s="118"/>
      <c r="J63" s="175">
        <f>H63/DAY(B2)</f>
        <v>-63</v>
      </c>
      <c r="K63" s="69"/>
      <c r="L63" s="66"/>
      <c r="N63" s="87"/>
      <c r="O63" s="71"/>
    </row>
    <row r="64" spans="1:15" ht="27.75" customHeight="1" x14ac:dyDescent="0.5">
      <c r="A64" s="865" t="s">
        <v>200</v>
      </c>
      <c r="B64" s="866"/>
      <c r="C64" s="867"/>
      <c r="D64" s="151"/>
      <c r="E64" s="95">
        <f>'17'!F64</f>
        <v>0</v>
      </c>
      <c r="F64" s="122"/>
      <c r="G64" s="565">
        <f>G62+G63</f>
        <v>242</v>
      </c>
      <c r="H64" s="99">
        <f>G64+'17'!H64</f>
        <v>-2639</v>
      </c>
      <c r="I64" s="118"/>
      <c r="J64" s="175">
        <f>H64/DAY(B2)</f>
        <v>-146.61111111111111</v>
      </c>
      <c r="K64" s="69"/>
      <c r="L64" s="66"/>
      <c r="N64" s="87"/>
      <c r="O64" s="71"/>
    </row>
    <row r="65" spans="1:15" ht="27.75" customHeight="1" x14ac:dyDescent="0.5">
      <c r="A65" s="856" t="s">
        <v>201</v>
      </c>
      <c r="B65" s="857"/>
      <c r="C65" s="858"/>
      <c r="D65" s="151" t="s">
        <v>142</v>
      </c>
      <c r="E65" s="95">
        <f>'17'!F65</f>
        <v>431167</v>
      </c>
      <c r="F65" s="122">
        <v>431292</v>
      </c>
      <c r="G65" s="565">
        <f t="shared" ref="G65:G70" si="6">F65-E65</f>
        <v>125</v>
      </c>
      <c r="H65" s="99">
        <f>G65+'17'!H65</f>
        <v>-1322</v>
      </c>
      <c r="I65" s="118"/>
      <c r="J65" s="175">
        <f>H65/DAY(B2)</f>
        <v>-73.444444444444443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'17'!F66</f>
        <v>106929</v>
      </c>
      <c r="F66" s="122">
        <v>106950</v>
      </c>
      <c r="G66" s="565">
        <f t="shared" si="6"/>
        <v>21</v>
      </c>
      <c r="H66" s="99">
        <f>G66+'17'!H66</f>
        <v>-264</v>
      </c>
      <c r="I66" s="118"/>
      <c r="J66" s="175">
        <f>H66/DAY(B2)</f>
        <v>-14.666666666666666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'17'!F67</f>
        <v>103508</v>
      </c>
      <c r="F67" s="122">
        <v>103538</v>
      </c>
      <c r="G67" s="565">
        <f t="shared" si="6"/>
        <v>30</v>
      </c>
      <c r="H67" s="99">
        <f>G67+'17'!H67</f>
        <v>-390</v>
      </c>
      <c r="I67" s="118"/>
      <c r="J67" s="175">
        <f>H67/DAY(B2)</f>
        <v>-21.666666666666668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'17'!F68</f>
        <v>156125</v>
      </c>
      <c r="F68" s="122">
        <v>156181</v>
      </c>
      <c r="G68" s="565">
        <f t="shared" si="6"/>
        <v>56</v>
      </c>
      <c r="H68" s="99">
        <f>G68+'17'!H68</f>
        <v>-439</v>
      </c>
      <c r="I68" s="118"/>
      <c r="J68" s="175">
        <f>H68/DAY(B2)</f>
        <v>-24.388888888888889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'17'!F69</f>
        <v>10034</v>
      </c>
      <c r="F69" s="122">
        <v>10043</v>
      </c>
      <c r="G69" s="565">
        <f t="shared" si="6"/>
        <v>9</v>
      </c>
      <c r="H69" s="99">
        <f>G69+'17'!H69</f>
        <v>-171</v>
      </c>
      <c r="I69" s="118"/>
      <c r="J69" s="175">
        <f>H69/DAY(B2)</f>
        <v>-9.5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'17'!F70</f>
        <v>7723</v>
      </c>
      <c r="F70" s="122">
        <v>7742</v>
      </c>
      <c r="G70" s="565">
        <f t="shared" si="6"/>
        <v>19</v>
      </c>
      <c r="H70" s="99">
        <f>G70+'17'!H70</f>
        <v>-120</v>
      </c>
      <c r="I70" s="118"/>
      <c r="J70" s="175">
        <f>H70/DAY(B2)</f>
        <v>-6.666666666666667</v>
      </c>
      <c r="K70" s="69"/>
      <c r="L70" s="66"/>
      <c r="N70" s="87"/>
      <c r="O70" s="71"/>
    </row>
    <row r="71" spans="1:15" ht="27.75" customHeight="1" x14ac:dyDescent="0.5">
      <c r="A71" s="865" t="s">
        <v>208</v>
      </c>
      <c r="B71" s="866"/>
      <c r="C71" s="867"/>
      <c r="D71" s="152"/>
      <c r="E71" s="152"/>
      <c r="F71" s="152"/>
      <c r="G71" s="577">
        <f>SUM(G65:G70)</f>
        <v>260</v>
      </c>
      <c r="H71" s="99">
        <f>G71+'17'!H71</f>
        <v>-2706</v>
      </c>
      <c r="I71" s="154"/>
      <c r="J71" s="175">
        <f>H71/DAY(B2)</f>
        <v>-150.33333333333334</v>
      </c>
      <c r="K71" s="69"/>
      <c r="L71" s="66"/>
      <c r="N71" s="87"/>
      <c r="O71" s="71"/>
    </row>
    <row r="72" spans="1:15" s="88" customFormat="1" ht="27.75" customHeight="1" x14ac:dyDescent="0.5">
      <c r="A72" s="852"/>
      <c r="B72" s="837"/>
      <c r="C72" s="349"/>
      <c r="D72" s="180"/>
      <c r="E72" s="180" t="s">
        <v>207</v>
      </c>
      <c r="F72" s="180"/>
      <c r="G72" s="578"/>
      <c r="H72" s="181"/>
      <c r="I72" s="180"/>
      <c r="J72" s="182"/>
      <c r="N72" s="87"/>
      <c r="O72" s="71"/>
    </row>
    <row r="73" spans="1:15" ht="27.75" customHeight="1" x14ac:dyDescent="0.5">
      <c r="A73" s="862" t="s">
        <v>333</v>
      </c>
      <c r="B73" s="863"/>
      <c r="C73" s="864"/>
      <c r="D73" s="341"/>
      <c r="E73" s="341"/>
      <c r="F73" s="341"/>
      <c r="G73" s="576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56" t="s">
        <v>220</v>
      </c>
      <c r="B74" s="857"/>
      <c r="C74" s="858"/>
      <c r="D74" s="151" t="s">
        <v>139</v>
      </c>
      <c r="E74" s="95">
        <f>'17'!F74</f>
        <v>887636.83</v>
      </c>
      <c r="F74" s="123">
        <v>887942.48</v>
      </c>
      <c r="G74" s="565">
        <f>F74-E74</f>
        <v>305.65000000002328</v>
      </c>
      <c r="H74" s="99">
        <f>G74+'17'!H74</f>
        <v>-4089.5200000000186</v>
      </c>
      <c r="I74" s="154"/>
      <c r="J74" s="175">
        <f>H74/DAY(B2)</f>
        <v>-227.19555555555658</v>
      </c>
      <c r="K74" s="69"/>
      <c r="L74" s="66"/>
      <c r="N74" s="87"/>
      <c r="O74" s="71"/>
    </row>
    <row r="75" spans="1:15" ht="27.75" customHeight="1" x14ac:dyDescent="0.5">
      <c r="A75" s="856" t="s">
        <v>221</v>
      </c>
      <c r="B75" s="857"/>
      <c r="C75" s="858"/>
      <c r="D75" s="151" t="s">
        <v>139</v>
      </c>
      <c r="E75" s="95">
        <f>'17'!F75</f>
        <v>73830.69</v>
      </c>
      <c r="F75" s="496">
        <v>73830.69</v>
      </c>
      <c r="G75" s="565">
        <f t="shared" ref="G75:G78" si="7">F75-E75</f>
        <v>0</v>
      </c>
      <c r="H75" s="99">
        <f>G75+'17'!H75</f>
        <v>243.88999999999942</v>
      </c>
      <c r="I75" s="154"/>
      <c r="J75" s="175">
        <f>H75/DAY(B2)</f>
        <v>13.549444444444411</v>
      </c>
      <c r="K75" s="69"/>
      <c r="L75" s="66"/>
      <c r="N75" s="87"/>
      <c r="O75" s="71"/>
    </row>
    <row r="76" spans="1:15" ht="27.75" customHeight="1" x14ac:dyDescent="0.5">
      <c r="A76" s="853" t="s">
        <v>222</v>
      </c>
      <c r="B76" s="854"/>
      <c r="C76" s="855"/>
      <c r="D76" s="151" t="s">
        <v>139</v>
      </c>
      <c r="E76" s="95">
        <f>'17'!F76</f>
        <v>165603</v>
      </c>
      <c r="F76" s="123">
        <v>165737.60000000001</v>
      </c>
      <c r="G76" s="565">
        <f>F76-E76</f>
        <v>134.60000000000582</v>
      </c>
      <c r="H76" s="99">
        <f>G76+'17'!H76</f>
        <v>-1469.3999999999942</v>
      </c>
      <c r="I76" s="154"/>
      <c r="J76" s="175">
        <f>H76/DAY(B2)</f>
        <v>-81.633333333333013</v>
      </c>
      <c r="K76" s="69"/>
      <c r="L76" s="66"/>
      <c r="N76" s="87"/>
      <c r="O76" s="71"/>
    </row>
    <row r="77" spans="1:15" ht="27.75" customHeight="1" x14ac:dyDescent="0.5">
      <c r="A77" s="853" t="s">
        <v>223</v>
      </c>
      <c r="B77" s="854"/>
      <c r="C77" s="855"/>
      <c r="D77" s="151" t="s">
        <v>139</v>
      </c>
      <c r="E77" s="95">
        <f>'17'!F77</f>
        <v>39624.5</v>
      </c>
      <c r="F77" s="123">
        <v>39679.699999999997</v>
      </c>
      <c r="G77" s="565">
        <f t="shared" si="7"/>
        <v>55.19999999999709</v>
      </c>
      <c r="H77" s="99">
        <f>G77+'17'!H77</f>
        <v>-636.30000000000291</v>
      </c>
      <c r="I77" s="154"/>
      <c r="J77" s="175">
        <f>H77/DAY(B2)</f>
        <v>-35.350000000000165</v>
      </c>
      <c r="K77" s="69"/>
      <c r="L77" s="66"/>
      <c r="N77" s="87"/>
      <c r="O77" s="71"/>
    </row>
    <row r="78" spans="1:15" ht="27.75" customHeight="1" x14ac:dyDescent="0.5">
      <c r="A78" s="853" t="s">
        <v>224</v>
      </c>
      <c r="B78" s="854"/>
      <c r="C78" s="855"/>
      <c r="D78" s="151" t="s">
        <v>139</v>
      </c>
      <c r="E78" s="95">
        <f>'17'!F78</f>
        <v>9461</v>
      </c>
      <c r="F78" s="123">
        <v>9462.9</v>
      </c>
      <c r="G78" s="565">
        <f t="shared" si="7"/>
        <v>1.8999999999996362</v>
      </c>
      <c r="H78" s="99">
        <f>G78+'17'!H78</f>
        <v>-23.100000000000364</v>
      </c>
      <c r="I78" s="118"/>
      <c r="J78" s="175">
        <f>H78/DAY(B2)</f>
        <v>-1.2833333333333536</v>
      </c>
      <c r="K78" s="69"/>
      <c r="L78" s="66"/>
      <c r="N78" s="87"/>
      <c r="O78" s="71"/>
    </row>
    <row r="79" spans="1:15" s="57" customFormat="1" ht="27.75" customHeight="1" x14ac:dyDescent="0.5">
      <c r="A79" s="853" t="s">
        <v>225</v>
      </c>
      <c r="B79" s="854"/>
      <c r="C79" s="855"/>
      <c r="D79" s="151"/>
      <c r="E79" s="95">
        <f>'17'!F79</f>
        <v>0</v>
      </c>
      <c r="F79" s="123">
        <v>0</v>
      </c>
      <c r="G79" s="565">
        <f>G15-SUM(G74:G78)</f>
        <v>602.64999999997417</v>
      </c>
      <c r="H79" s="99">
        <f>G79+'17'!H79</f>
        <v>24043.430000000015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5" t="s">
        <v>329</v>
      </c>
      <c r="B80" s="866"/>
      <c r="C80" s="867"/>
      <c r="D80" s="151"/>
      <c r="E80" s="117"/>
      <c r="F80" s="117"/>
      <c r="G80" s="565">
        <f>SUM(G74:G79)</f>
        <v>1100</v>
      </c>
      <c r="H80" s="99">
        <f>G80+'17'!H80</f>
        <v>1100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70" t="s">
        <v>226</v>
      </c>
      <c r="B81" s="871"/>
      <c r="C81" s="872"/>
      <c r="D81" s="110"/>
      <c r="E81" s="110"/>
      <c r="F81" s="110"/>
      <c r="G81" s="579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'17'!F82</f>
        <v>0</v>
      </c>
      <c r="F82" s="122">
        <v>0</v>
      </c>
      <c r="G82" s="565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'17'!F83</f>
        <v>0</v>
      </c>
      <c r="F83" s="122">
        <v>0</v>
      </c>
      <c r="G83" s="565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'17'!F84</f>
        <v>41675.26</v>
      </c>
      <c r="F84" s="164">
        <v>41675.199999999997</v>
      </c>
      <c r="G84" s="565">
        <f>F84-E84</f>
        <v>-6.0000000004947651E-2</v>
      </c>
      <c r="H84" s="99">
        <f>G84+'17'!H84</f>
        <v>0.19999999999708962</v>
      </c>
      <c r="I84" s="118"/>
      <c r="J84" s="175">
        <f>H84/DAY(B2)</f>
        <v>1.1111111110949423E-2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'17'!F85</f>
        <v>1796.11</v>
      </c>
      <c r="F85" s="164">
        <v>1820</v>
      </c>
      <c r="G85" s="565">
        <f t="shared" si="8"/>
        <v>23.8900000000001</v>
      </c>
      <c r="H85" s="99">
        <f>G85+'17'!H85</f>
        <v>-276.55999999999995</v>
      </c>
      <c r="I85" s="118">
        <f>G82+G83+G84+G85</f>
        <v>23.829999999995152</v>
      </c>
      <c r="J85" s="175">
        <f>H85/DAY(B2)</f>
        <v>-15.364444444444441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'17'!F86</f>
        <v>42826.47</v>
      </c>
      <c r="F86" s="164">
        <v>42826.47</v>
      </c>
      <c r="G86" s="565">
        <f t="shared" si="8"/>
        <v>0</v>
      </c>
      <c r="H86" s="99">
        <f>G86+'17'!H86</f>
        <v>-36.529999999998836</v>
      </c>
      <c r="I86" s="118"/>
      <c r="J86" s="175">
        <f>H86/DAY(B2)</f>
        <v>-2.0294444444443798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'17'!F87</f>
        <v>34593.22</v>
      </c>
      <c r="F87" s="164">
        <v>34596.400000000001</v>
      </c>
      <c r="G87" s="565">
        <f t="shared" si="8"/>
        <v>3.180000000000291</v>
      </c>
      <c r="H87" s="99">
        <f>G87+'17'!H87</f>
        <v>-2.1500000000014552</v>
      </c>
      <c r="I87" s="118"/>
      <c r="J87" s="175">
        <f>H87/DAY(B2)</f>
        <v>-0.11944444444452529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'17'!F88</f>
        <v>24005.53</v>
      </c>
      <c r="F88" s="164">
        <v>24005.53</v>
      </c>
      <c r="G88" s="565">
        <f t="shared" si="8"/>
        <v>0</v>
      </c>
      <c r="H88" s="99">
        <f>G88+'17'!H88</f>
        <v>-41.470000000001164</v>
      </c>
      <c r="I88" s="118">
        <f>G86+G87+G88</f>
        <v>3.180000000000291</v>
      </c>
      <c r="J88" s="175">
        <f>H88/DAY(B2)</f>
        <v>-2.3038888888889537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'17'!F89</f>
        <v>25561.57</v>
      </c>
      <c r="F89" s="164">
        <v>25574.16</v>
      </c>
      <c r="G89" s="565">
        <f t="shared" si="8"/>
        <v>12.590000000000146</v>
      </c>
      <c r="H89" s="99">
        <f>G89+'17'!H89</f>
        <v>-88.840000000000146</v>
      </c>
      <c r="I89" s="118"/>
      <c r="J89" s="175">
        <f>H89/DAY(B2)</f>
        <v>-4.9355555555555632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'17'!F90</f>
        <v>70949.98</v>
      </c>
      <c r="F90" s="164">
        <v>70956.27</v>
      </c>
      <c r="G90" s="565">
        <f t="shared" si="8"/>
        <v>6.2900000000081491</v>
      </c>
      <c r="H90" s="99">
        <f>G90+'17'!H90</f>
        <v>-77.729999999995925</v>
      </c>
      <c r="I90" s="118">
        <f>G89+G90</f>
        <v>18.880000000008295</v>
      </c>
      <c r="J90" s="175">
        <f>H90/DAY(B2)</f>
        <v>-4.3183333333331069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'17'!F91</f>
        <v>3226.32</v>
      </c>
      <c r="F91" s="122">
        <v>3226.32</v>
      </c>
      <c r="G91" s="565">
        <f t="shared" si="8"/>
        <v>0</v>
      </c>
      <c r="H91" s="99">
        <f>G91+'17'!H91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'17'!F92</f>
        <v>5284.56</v>
      </c>
      <c r="F92" s="122">
        <v>5295.27</v>
      </c>
      <c r="G92" s="565">
        <f t="shared" si="8"/>
        <v>10.710000000000036</v>
      </c>
      <c r="H92" s="99">
        <f>G92+'17'!H92</f>
        <v>-142.72999999999956</v>
      </c>
      <c r="I92" s="165"/>
      <c r="J92" s="175">
        <f>H92/DAY(B2)</f>
        <v>-7.9294444444444201</v>
      </c>
      <c r="O92" s="71"/>
    </row>
    <row r="93" spans="1:15" ht="27.75" customHeight="1" x14ac:dyDescent="0.5">
      <c r="A93" s="859" t="s">
        <v>239</v>
      </c>
      <c r="B93" s="860"/>
      <c r="C93" s="861"/>
      <c r="D93" s="111"/>
      <c r="E93" s="111"/>
      <c r="F93" s="111"/>
      <c r="G93" s="568"/>
      <c r="H93" s="121"/>
      <c r="I93" s="121"/>
      <c r="J93" s="183"/>
      <c r="K93" s="69"/>
      <c r="L93" s="66"/>
      <c r="O93" s="71"/>
    </row>
    <row r="94" spans="1:15" ht="27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580">
        <f>G35+G43+G49+G57</f>
        <v>6167.9100000000017</v>
      </c>
      <c r="H94" s="99">
        <f>G94+'17'!H94</f>
        <v>1940881.33</v>
      </c>
      <c r="I94" s="118"/>
      <c r="J94" s="175">
        <f>H94/DAY(B2)</f>
        <v>107826.74055555556</v>
      </c>
      <c r="K94" s="69"/>
      <c r="L94" s="66"/>
      <c r="O94" s="71"/>
    </row>
    <row r="95" spans="1:15" ht="27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581">
        <f>G94/G7</f>
        <v>0.26246425531914902</v>
      </c>
      <c r="H95" s="99">
        <f>G95+'17'!H95</f>
        <v>83.052054134726788</v>
      </c>
      <c r="I95" s="167"/>
      <c r="J95" s="175">
        <f>H95/DAY(B2)</f>
        <v>4.6140030074848219</v>
      </c>
      <c r="K95" s="69"/>
      <c r="L95" s="66"/>
      <c r="O95" s="71"/>
    </row>
    <row r="96" spans="1:15" ht="27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580">
        <f>G41+G42+G55+G56</f>
        <v>5311.51</v>
      </c>
      <c r="H96" s="99">
        <f>G96+'17'!H96</f>
        <v>1112176.71</v>
      </c>
      <c r="I96" s="118"/>
      <c r="J96" s="175">
        <f>H96/DAY(B2)</f>
        <v>61787.595000000001</v>
      </c>
      <c r="K96" s="69"/>
      <c r="L96" s="66"/>
      <c r="O96" s="71"/>
    </row>
    <row r="97" spans="1:15" ht="27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581">
        <f>G96/G7</f>
        <v>0.2260217021276596</v>
      </c>
      <c r="H97" s="99">
        <f>G97+'17'!H97</f>
        <v>47.569622956003748</v>
      </c>
      <c r="I97" s="167"/>
      <c r="J97" s="175">
        <f>H97/DAY(B2)</f>
        <v>2.642756830889097</v>
      </c>
      <c r="K97" s="69"/>
      <c r="L97" s="66"/>
      <c r="O97" s="71"/>
    </row>
    <row r="98" spans="1:15" ht="27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580">
        <f>G39+G53</f>
        <v>2894.0400000000373</v>
      </c>
      <c r="H98" s="99">
        <f>G98+'17'!H98</f>
        <v>396380.39</v>
      </c>
      <c r="I98" s="168"/>
      <c r="J98" s="175">
        <f>H98/DAY(B2)</f>
        <v>22021.132777777777</v>
      </c>
      <c r="K98" s="69"/>
      <c r="L98" s="66"/>
      <c r="O98" s="71"/>
    </row>
    <row r="99" spans="1:15" ht="27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581">
        <f>G98/G7</f>
        <v>0.12315063829787393</v>
      </c>
      <c r="H99" s="99">
        <f>G99+'17'!H99</f>
        <v>17.081200543162122</v>
      </c>
      <c r="I99" s="168"/>
      <c r="J99" s="175">
        <f>H99/DAY(B2)</f>
        <v>0.94895558573122907</v>
      </c>
      <c r="O99" s="71"/>
    </row>
    <row r="100" spans="1:15" ht="27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580">
        <f>G38+G52</f>
        <v>2082.2200000000012</v>
      </c>
      <c r="H100" s="99">
        <f>G100+'17'!H100</f>
        <v>220527.99</v>
      </c>
      <c r="I100" s="118"/>
      <c r="J100" s="175">
        <f>H100/DAY(B2)</f>
        <v>12251.555</v>
      </c>
      <c r="K100" s="70"/>
      <c r="O100" s="71"/>
    </row>
    <row r="101" spans="1:15" ht="27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581">
        <f>G100/G7</f>
        <v>8.8605106382978777E-2</v>
      </c>
      <c r="H101" s="99">
        <f>G101+'17'!H101</f>
        <v>9.5150415085364539</v>
      </c>
      <c r="I101" s="168"/>
      <c r="J101" s="175">
        <f>H101/DAY(B2)</f>
        <v>0.52861341714091414</v>
      </c>
      <c r="O101" s="71"/>
    </row>
    <row r="102" spans="1:15" ht="27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580">
        <f>G36+G50</f>
        <v>2676.4699999999993</v>
      </c>
      <c r="H102" s="99">
        <f>G102+'17'!H102</f>
        <v>800984.24</v>
      </c>
      <c r="I102" s="168"/>
      <c r="J102" s="175">
        <f>H102/DAY(B2)</f>
        <v>44499.124444444446</v>
      </c>
      <c r="O102" s="71"/>
    </row>
    <row r="103" spans="1:15" ht="27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581">
        <f>G102/G7</f>
        <v>0.11389234042553188</v>
      </c>
      <c r="H103" s="99">
        <f>G103+'17'!H103</f>
        <v>34.22877436761015</v>
      </c>
      <c r="I103" s="118"/>
      <c r="J103" s="175">
        <f>H103/DAY(B2)</f>
        <v>1.9015985759783416</v>
      </c>
      <c r="O103" s="71"/>
    </row>
    <row r="104" spans="1:15" ht="27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580">
        <f>G37+G51</f>
        <v>1564.6000000000058</v>
      </c>
      <c r="H104" s="99">
        <f>G104+'17'!H104</f>
        <v>186878.47</v>
      </c>
      <c r="I104" s="118"/>
      <c r="J104" s="175">
        <f>H104/DAY(B2)</f>
        <v>10382.137222222222</v>
      </c>
      <c r="O104" s="71"/>
    </row>
    <row r="105" spans="1:15" ht="27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582">
        <f>G104/G7</f>
        <v>6.6578723404255566E-2</v>
      </c>
      <c r="H105" s="99">
        <f>G105+'17'!H105</f>
        <v>8.0727401978806395</v>
      </c>
      <c r="I105" s="187"/>
      <c r="J105" s="188">
        <f>H105/DAY(B2)</f>
        <v>0.44848556654892441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83"/>
      <c r="H106" s="170"/>
      <c r="I106" s="169"/>
      <c r="J106" s="171"/>
      <c r="O106" s="71"/>
    </row>
    <row r="108" spans="1:15" ht="27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7.75" customHeight="1" x14ac:dyDescent="0.5">
      <c r="A109" s="873"/>
      <c r="B109" s="873"/>
    </row>
    <row r="110" spans="1:15" ht="27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customHeight="1" x14ac:dyDescent="0.5">
      <c r="A111" s="839"/>
      <c r="B111" s="840"/>
      <c r="C111" s="841"/>
      <c r="D111" s="165"/>
      <c r="E111" s="165"/>
      <c r="F111" s="165"/>
      <c r="G111" s="585"/>
      <c r="H111" s="156"/>
      <c r="I111" s="165"/>
      <c r="J111" s="329"/>
    </row>
    <row r="112" spans="1:15" ht="27.75" customHeight="1" x14ac:dyDescent="0.5">
      <c r="A112" s="835" t="s">
        <v>252</v>
      </c>
      <c r="B112" s="836"/>
      <c r="C112" s="837"/>
      <c r="D112" s="146" t="s">
        <v>183</v>
      </c>
      <c r="E112" s="95">
        <f>'17'!F112</f>
        <v>54691.87</v>
      </c>
      <c r="F112" s="237">
        <v>54763.519999999997</v>
      </c>
      <c r="G112" s="565">
        <f t="shared" ref="G112:G123" si="9">F112-E112</f>
        <v>71.649999999994179</v>
      </c>
      <c r="H112" s="99">
        <f>G112+'17'!H112</f>
        <v>-917.4800000000032</v>
      </c>
      <c r="I112" s="165"/>
      <c r="J112" s="330">
        <f>H112/DAY(B2)</f>
        <v>-50.971111111111291</v>
      </c>
    </row>
    <row r="113" spans="1:18" ht="27.75" customHeight="1" x14ac:dyDescent="0.5">
      <c r="A113" s="835" t="s">
        <v>253</v>
      </c>
      <c r="B113" s="836"/>
      <c r="C113" s="837"/>
      <c r="D113" s="146" t="s">
        <v>183</v>
      </c>
      <c r="E113" s="95">
        <f>'17'!F113</f>
        <v>25804.34</v>
      </c>
      <c r="F113" s="237">
        <v>26276.84</v>
      </c>
      <c r="G113" s="565">
        <f t="shared" si="9"/>
        <v>472.5</v>
      </c>
      <c r="H113" s="99">
        <f>G113+'17'!H113</f>
        <v>-5918.16</v>
      </c>
      <c r="I113" s="165"/>
      <c r="J113" s="330">
        <f>H113/DAY(B2)</f>
        <v>-328.78666666666663</v>
      </c>
    </row>
    <row r="114" spans="1:18" ht="27.75" customHeight="1" x14ac:dyDescent="0.5">
      <c r="A114" s="835" t="s">
        <v>254</v>
      </c>
      <c r="B114" s="836"/>
      <c r="C114" s="837"/>
      <c r="D114" s="146" t="s">
        <v>183</v>
      </c>
      <c r="E114" s="95">
        <f>'17'!F114</f>
        <v>20299.7</v>
      </c>
      <c r="F114" s="237">
        <v>20652.2</v>
      </c>
      <c r="G114" s="565">
        <f t="shared" si="9"/>
        <v>352.5</v>
      </c>
      <c r="H114" s="99">
        <f>G114+'17'!H114</f>
        <v>-4375.9800000000014</v>
      </c>
      <c r="I114" s="165"/>
      <c r="J114" s="330">
        <f>H114/DAY(B2)</f>
        <v>-243.11000000000007</v>
      </c>
    </row>
    <row r="115" spans="1:18" ht="27.75" customHeight="1" x14ac:dyDescent="0.5">
      <c r="A115" s="835" t="s">
        <v>255</v>
      </c>
      <c r="B115" s="836"/>
      <c r="C115" s="837"/>
      <c r="D115" s="146" t="s">
        <v>183</v>
      </c>
      <c r="E115" s="95">
        <f>'17'!F115</f>
        <v>8613.32</v>
      </c>
      <c r="F115" s="237">
        <v>8628.27</v>
      </c>
      <c r="G115" s="565">
        <f t="shared" si="9"/>
        <v>14.950000000000728</v>
      </c>
      <c r="H115" s="99">
        <f>G115+'17'!H115</f>
        <v>-156.72999999999956</v>
      </c>
      <c r="I115" s="165"/>
      <c r="J115" s="330">
        <f>H115/DAY(B2)</f>
        <v>-8.7072222222221978</v>
      </c>
    </row>
    <row r="116" spans="1:18" ht="27.75" customHeight="1" x14ac:dyDescent="0.5">
      <c r="A116" s="842" t="s">
        <v>96</v>
      </c>
      <c r="B116" s="843"/>
      <c r="C116" s="844"/>
      <c r="D116" s="146" t="s">
        <v>183</v>
      </c>
      <c r="E116" s="95">
        <f>'17'!F116</f>
        <v>0</v>
      </c>
      <c r="F116" s="237">
        <v>0</v>
      </c>
      <c r="G116" s="565">
        <f t="shared" si="9"/>
        <v>0</v>
      </c>
      <c r="H116" s="99">
        <f>G116+'17'!H116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customHeight="1" x14ac:dyDescent="0.5">
      <c r="A117" s="842" t="s">
        <v>184</v>
      </c>
      <c r="B117" s="843"/>
      <c r="C117" s="844"/>
      <c r="D117" s="146" t="s">
        <v>183</v>
      </c>
      <c r="E117" s="95">
        <f>'17'!F117</f>
        <v>2278.9299999999998</v>
      </c>
      <c r="F117" s="237">
        <v>2296.92</v>
      </c>
      <c r="G117" s="565">
        <f t="shared" si="9"/>
        <v>17.990000000000236</v>
      </c>
      <c r="H117" s="99">
        <f>G117+'17'!H117</f>
        <v>-293.07999999999993</v>
      </c>
      <c r="I117" s="165"/>
      <c r="J117" s="330">
        <f>H117/DAY(B2)</f>
        <v>-16.282222222222217</v>
      </c>
      <c r="Q117" s="835" t="s">
        <v>312</v>
      </c>
      <c r="R117" s="837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'17'!F118</f>
        <v>236268.23</v>
      </c>
      <c r="F118" s="237">
        <v>236613.79</v>
      </c>
      <c r="G118" s="565">
        <f t="shared" si="9"/>
        <v>345.55999999999767</v>
      </c>
      <c r="H118" s="99">
        <f>G118+'17'!H118</f>
        <v>-5033.2099999999919</v>
      </c>
      <c r="I118" s="165"/>
      <c r="J118" s="330">
        <f>H118/DAY(B2)</f>
        <v>-279.62277777777734</v>
      </c>
      <c r="Q118" s="835" t="s">
        <v>311</v>
      </c>
      <c r="R118" s="837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'17'!F119</f>
        <v>239153.21</v>
      </c>
      <c r="F119" s="237">
        <v>239589.73</v>
      </c>
      <c r="G119" s="565">
        <f t="shared" si="9"/>
        <v>436.52000000001863</v>
      </c>
      <c r="H119" s="99">
        <f>G119+'17'!H119</f>
        <v>-5536.2699999999895</v>
      </c>
      <c r="I119" s="165"/>
      <c r="J119" s="330">
        <f>H119/DAY(B2)</f>
        <v>-307.57055555555496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'17'!F120</f>
        <v>24250.12</v>
      </c>
      <c r="F120" s="237">
        <v>24657.47</v>
      </c>
      <c r="G120" s="565">
        <f t="shared" si="9"/>
        <v>407.35000000000218</v>
      </c>
      <c r="H120" s="99">
        <f>G120+'17'!H120</f>
        <v>-5420.5299999999988</v>
      </c>
      <c r="I120" s="165"/>
      <c r="J120" s="330">
        <f>H120/DAY(B2)</f>
        <v>-301.14055555555547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'17'!F121</f>
        <v>365634.35</v>
      </c>
      <c r="F121" s="237">
        <v>366372.37</v>
      </c>
      <c r="G121" s="565">
        <f t="shared" si="9"/>
        <v>738.02000000001863</v>
      </c>
      <c r="H121" s="99">
        <f>G121+'17'!H121</f>
        <v>-10156.630000000005</v>
      </c>
      <c r="I121" s="165"/>
      <c r="J121" s="330">
        <f>H121/DAY(B2)</f>
        <v>-564.25722222222248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'17'!F122</f>
        <v>116628.09</v>
      </c>
      <c r="F122" s="237">
        <v>116984.31</v>
      </c>
      <c r="G122" s="565">
        <f t="shared" si="9"/>
        <v>356.22000000000116</v>
      </c>
      <c r="H122" s="99">
        <f>G122+'17'!H122</f>
        <v>-3065.6900000000023</v>
      </c>
      <c r="I122" s="165"/>
      <c r="J122" s="330">
        <f>H122/DAY(B2)</f>
        <v>-170.31611111111124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'17'!F123</f>
        <v>140128.64000000001</v>
      </c>
      <c r="F123" s="237">
        <v>140514.25399999999</v>
      </c>
      <c r="G123" s="565">
        <f t="shared" si="9"/>
        <v>385.61399999997229</v>
      </c>
      <c r="H123" s="99">
        <f>G123+'17'!H123</f>
        <v>-4610.7460000000137</v>
      </c>
      <c r="I123" s="165"/>
      <c r="J123" s="330">
        <f>H123/DAY(B2)</f>
        <v>-256.15255555555632</v>
      </c>
    </row>
    <row r="124" spans="1:18" ht="27.75" customHeight="1" x14ac:dyDescent="0.5">
      <c r="A124" s="839"/>
      <c r="B124" s="840"/>
      <c r="C124" s="841"/>
      <c r="D124" s="165"/>
      <c r="E124" s="95">
        <f>'17'!F124</f>
        <v>0</v>
      </c>
      <c r="F124" s="165"/>
      <c r="G124" s="585"/>
      <c r="H124" s="99">
        <f>G124+'17'!H124</f>
        <v>0</v>
      </c>
      <c r="I124" s="165"/>
      <c r="J124" s="329"/>
    </row>
    <row r="125" spans="1:18" ht="27.75" customHeight="1" x14ac:dyDescent="0.5">
      <c r="A125" s="819" t="s">
        <v>196</v>
      </c>
      <c r="B125" s="820"/>
      <c r="C125" s="245"/>
      <c r="D125" s="307"/>
      <c r="E125" s="308"/>
      <c r="F125" s="308"/>
      <c r="G125" s="586">
        <f>SUM(G112:G124)</f>
        <v>3598.8740000000057</v>
      </c>
      <c r="H125" s="156"/>
      <c r="I125" s="329">
        <f>G125-(G39+G53)</f>
        <v>704.83399999996846</v>
      </c>
      <c r="J125" s="329"/>
    </row>
    <row r="126" spans="1:18" ht="27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customHeight="1" x14ac:dyDescent="0.5">
      <c r="A127" s="824"/>
      <c r="B127" s="824"/>
      <c r="C127" s="245"/>
      <c r="D127" s="307"/>
      <c r="E127" s="308"/>
      <c r="F127" s="308"/>
      <c r="G127" s="586"/>
      <c r="H127" s="99">
        <f>G127+'17'!H127</f>
        <v>0</v>
      </c>
      <c r="I127" s="165"/>
      <c r="J127" s="330">
        <f>H127/DAY(B2)</f>
        <v>0</v>
      </c>
    </row>
    <row r="128" spans="1:18" ht="27.75" customHeight="1" x14ac:dyDescent="0.5">
      <c r="A128" s="835" t="s">
        <v>318</v>
      </c>
      <c r="B128" s="836"/>
      <c r="C128" s="837"/>
      <c r="D128" s="151" t="s">
        <v>183</v>
      </c>
      <c r="E128" s="95">
        <f>'17'!F128</f>
        <v>33358.99</v>
      </c>
      <c r="F128" s="165">
        <v>33686.199999999997</v>
      </c>
      <c r="G128" s="565">
        <f t="shared" ref="G128:G134" si="10">F128-E128</f>
        <v>327.20999999999913</v>
      </c>
      <c r="H128" s="99">
        <f>G128+'17'!H128</f>
        <v>-4317.8000000000029</v>
      </c>
      <c r="I128" s="165"/>
      <c r="J128" s="330">
        <f>H128/DAY(B2)</f>
        <v>-239.87777777777794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'17'!F129</f>
        <v>17258.54</v>
      </c>
      <c r="F129" s="165">
        <v>17536.16</v>
      </c>
      <c r="G129" s="565">
        <f t="shared" si="10"/>
        <v>277.61999999999898</v>
      </c>
      <c r="H129" s="99">
        <f>G129+'17'!H129</f>
        <v>-2784.84</v>
      </c>
      <c r="I129" s="165"/>
      <c r="J129" s="330">
        <f>H129/DAY(B2)</f>
        <v>-154.71333333333334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'17'!F130</f>
        <v>7737.46</v>
      </c>
      <c r="F130" s="165">
        <v>8500.81</v>
      </c>
      <c r="G130" s="565">
        <f t="shared" si="10"/>
        <v>763.34999999999945</v>
      </c>
      <c r="H130" s="99">
        <f>G130+'17'!H130</f>
        <v>-9881.1900000000023</v>
      </c>
      <c r="I130" s="165"/>
      <c r="J130" s="330">
        <f>H130/DAY(B2)</f>
        <v>-548.95500000000015</v>
      </c>
      <c r="N130" s="240"/>
      <c r="O130" s="241"/>
    </row>
    <row r="131" spans="1:15" ht="27.75" customHeight="1" x14ac:dyDescent="0.5">
      <c r="A131" s="835" t="s">
        <v>321</v>
      </c>
      <c r="B131" s="836"/>
      <c r="C131" s="837"/>
      <c r="D131" s="151" t="s">
        <v>183</v>
      </c>
      <c r="E131" s="95">
        <f>'17'!F131</f>
        <v>11816.86</v>
      </c>
      <c r="F131" s="165">
        <v>11899.82</v>
      </c>
      <c r="G131" s="565">
        <f t="shared" si="10"/>
        <v>82.959999999999127</v>
      </c>
      <c r="H131" s="99">
        <f>G131+'17'!H131</f>
        <v>-1253.1800000000003</v>
      </c>
      <c r="I131" s="165"/>
      <c r="J131" s="330">
        <f>H131/DAY(B2)</f>
        <v>-69.621111111111134</v>
      </c>
      <c r="N131" s="240"/>
      <c r="O131" s="241"/>
    </row>
    <row r="132" spans="1:15" ht="27.75" customHeight="1" x14ac:dyDescent="0.5">
      <c r="A132" s="835" t="s">
        <v>322</v>
      </c>
      <c r="B132" s="836"/>
      <c r="C132" s="837"/>
      <c r="D132" s="151" t="s">
        <v>183</v>
      </c>
      <c r="E132" s="95">
        <f>'17'!F132</f>
        <v>14.1</v>
      </c>
      <c r="F132" s="165">
        <v>160.80000000000001</v>
      </c>
      <c r="G132" s="565">
        <f t="shared" si="10"/>
        <v>146.70000000000002</v>
      </c>
      <c r="H132" s="99">
        <f>G132+'17'!H132</f>
        <v>-7285.69</v>
      </c>
      <c r="I132" s="165"/>
      <c r="J132" s="330">
        <f>H132/DAY(B2)</f>
        <v>-404.76055555555553</v>
      </c>
    </row>
    <row r="133" spans="1:15" ht="27.75" customHeight="1" x14ac:dyDescent="0.5">
      <c r="A133" s="835" t="s">
        <v>362</v>
      </c>
      <c r="B133" s="836"/>
      <c r="C133" s="837"/>
      <c r="D133" s="151" t="s">
        <v>183</v>
      </c>
      <c r="E133" s="95">
        <f>'17'!F133</f>
        <v>77832.61</v>
      </c>
      <c r="F133" s="165">
        <v>78665.48</v>
      </c>
      <c r="G133" s="565">
        <f t="shared" si="10"/>
        <v>832.86999999999534</v>
      </c>
      <c r="H133" s="99">
        <f>G133+'17'!H133</f>
        <v>-9037.5200000000041</v>
      </c>
      <c r="I133" s="165"/>
      <c r="J133" s="330">
        <f>H133/DAY(B2)</f>
        <v>-502.08444444444467</v>
      </c>
    </row>
    <row r="134" spans="1:15" ht="27.75" customHeight="1" x14ac:dyDescent="0.5">
      <c r="A134" s="835" t="s">
        <v>340</v>
      </c>
      <c r="B134" s="836"/>
      <c r="C134" s="837"/>
      <c r="D134" s="151" t="s">
        <v>183</v>
      </c>
      <c r="E134" s="95">
        <f>'17'!F134</f>
        <v>661824</v>
      </c>
      <c r="F134" s="158">
        <v>662384</v>
      </c>
      <c r="G134" s="565">
        <f t="shared" si="10"/>
        <v>560</v>
      </c>
      <c r="H134" s="99">
        <f>G134+'17'!H134</f>
        <v>11250</v>
      </c>
      <c r="I134" s="165"/>
      <c r="J134" s="330">
        <f>H134/DAY(B2)</f>
        <v>625</v>
      </c>
    </row>
    <row r="135" spans="1:15" ht="27.75" customHeight="1" x14ac:dyDescent="0.5">
      <c r="A135" s="819" t="s">
        <v>196</v>
      </c>
      <c r="B135" s="820"/>
      <c r="C135" s="333"/>
      <c r="D135" s="151"/>
      <c r="E135" s="95"/>
      <c r="F135" s="165"/>
      <c r="G135" s="565">
        <f>SUM(G128:G134)</f>
        <v>2990.7099999999919</v>
      </c>
      <c r="H135" s="99">
        <f>G135+'10'!H135</f>
        <v>-44757.290000000008</v>
      </c>
      <c r="I135" s="329">
        <f>G135-(G35+G49)</f>
        <v>-389.26000000000931</v>
      </c>
      <c r="J135" s="330"/>
    </row>
    <row r="136" spans="1:15" ht="27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8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'17'!F138</f>
        <v>862586</v>
      </c>
      <c r="F138" s="147">
        <v>862719</v>
      </c>
      <c r="G138" s="565">
        <f t="shared" ref="G138:G152" si="11">F138-E138</f>
        <v>133</v>
      </c>
      <c r="H138" s="99">
        <f>G138+'17'!H138</f>
        <v>-1452</v>
      </c>
      <c r="I138" s="118"/>
      <c r="J138" s="330">
        <f>H138/DAY(B2)</f>
        <v>-80.666666666666671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'17'!F139</f>
        <v>886416</v>
      </c>
      <c r="F139" s="148">
        <v>886440</v>
      </c>
      <c r="G139" s="565">
        <f t="shared" si="11"/>
        <v>24</v>
      </c>
      <c r="H139" s="99">
        <f>G139+'17'!H139</f>
        <v>-106</v>
      </c>
      <c r="I139" s="118"/>
      <c r="J139" s="330">
        <f>H139/DAY(B2)</f>
        <v>-5.8888888888888893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'17'!F140</f>
        <v>88864</v>
      </c>
      <c r="F140" s="149">
        <v>88877.5</v>
      </c>
      <c r="G140" s="565">
        <f t="shared" si="11"/>
        <v>13.5</v>
      </c>
      <c r="H140" s="99">
        <f>G140+'17'!H140</f>
        <v>-4.5</v>
      </c>
      <c r="I140" s="118"/>
      <c r="J140" s="330">
        <f>H140/DAY(B2)</f>
        <v>-0.25</v>
      </c>
    </row>
    <row r="141" spans="1:15" ht="27.75" customHeight="1" x14ac:dyDescent="0.5">
      <c r="A141" s="815" t="s">
        <v>188</v>
      </c>
      <c r="B141" s="815"/>
      <c r="C141" s="815"/>
      <c r="D141" s="151" t="s">
        <v>183</v>
      </c>
      <c r="E141" s="95">
        <f>'17'!F141</f>
        <v>46524.63</v>
      </c>
      <c r="F141" s="149">
        <v>46715.63</v>
      </c>
      <c r="G141" s="565">
        <f t="shared" si="11"/>
        <v>191</v>
      </c>
      <c r="H141" s="99">
        <f>G141+'17'!H141</f>
        <v>-2590.3700000000026</v>
      </c>
      <c r="I141" s="118"/>
      <c r="J141" s="330">
        <f>H141/DAY(B2)</f>
        <v>-143.9094444444446</v>
      </c>
    </row>
    <row r="142" spans="1:15" ht="27.75" customHeight="1" x14ac:dyDescent="0.5">
      <c r="A142" s="815" t="s">
        <v>189</v>
      </c>
      <c r="B142" s="815"/>
      <c r="C142" s="815"/>
      <c r="D142" s="151" t="s">
        <v>183</v>
      </c>
      <c r="E142" s="95">
        <f>'17'!F142</f>
        <v>17960.189999999999</v>
      </c>
      <c r="F142" s="148">
        <v>18031.2</v>
      </c>
      <c r="G142" s="565">
        <f t="shared" si="11"/>
        <v>71.010000000002037</v>
      </c>
      <c r="H142" s="99">
        <f>G142+'17'!H142</f>
        <v>-977.79999999999927</v>
      </c>
      <c r="I142" s="140"/>
      <c r="J142" s="330">
        <f>H142/DAY(B2)</f>
        <v>-54.32222222222218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'17'!F143</f>
        <v>2705.06</v>
      </c>
      <c r="F143" s="149">
        <v>2743.26</v>
      </c>
      <c r="G143" s="565">
        <f t="shared" si="11"/>
        <v>38.200000000000273</v>
      </c>
      <c r="H143" s="99">
        <f>G143+'17'!H143</f>
        <v>-317.73999999999978</v>
      </c>
      <c r="I143" s="140"/>
      <c r="J143" s="330">
        <f>H143/DAY(B2)</f>
        <v>-17.65222222222221</v>
      </c>
    </row>
    <row r="144" spans="1:15" ht="27.75" customHeight="1" x14ac:dyDescent="0.5">
      <c r="A144" s="815" t="s">
        <v>90</v>
      </c>
      <c r="B144" s="815"/>
      <c r="C144" s="815"/>
      <c r="D144" s="151" t="s">
        <v>183</v>
      </c>
      <c r="E144" s="95">
        <f>'17'!F144</f>
        <v>866320</v>
      </c>
      <c r="F144" s="149">
        <v>866554</v>
      </c>
      <c r="G144" s="565">
        <f t="shared" si="11"/>
        <v>234</v>
      </c>
      <c r="H144" s="99">
        <f>G144+'17'!H144</f>
        <v>-3116</v>
      </c>
      <c r="I144" s="140"/>
      <c r="J144" s="330">
        <f>H144/DAY(B2)</f>
        <v>-173.11111111111111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'17'!F145</f>
        <v>4255.87</v>
      </c>
      <c r="F145" s="149">
        <v>4298.5200000000004</v>
      </c>
      <c r="G145" s="565">
        <f t="shared" si="11"/>
        <v>42.650000000000546</v>
      </c>
      <c r="H145" s="99">
        <f>G145+'17'!H145</f>
        <v>-259.47999999999956</v>
      </c>
      <c r="I145" s="140"/>
      <c r="J145" s="330">
        <f>H145/DAY(B2)</f>
        <v>-14.415555555555532</v>
      </c>
    </row>
    <row r="146" spans="1:10" ht="27.75" customHeight="1" x14ac:dyDescent="0.5">
      <c r="A146" s="869" t="s">
        <v>191</v>
      </c>
      <c r="B146" s="854"/>
      <c r="C146" s="855"/>
      <c r="D146" s="152" t="s">
        <v>183</v>
      </c>
      <c r="E146" s="95">
        <f>'17'!F146</f>
        <v>718126</v>
      </c>
      <c r="F146" s="148">
        <v>718527</v>
      </c>
      <c r="G146" s="565">
        <f t="shared" si="11"/>
        <v>401</v>
      </c>
      <c r="H146" s="99">
        <f>G146+'17'!H146</f>
        <v>-6331</v>
      </c>
      <c r="I146" s="140"/>
      <c r="J146" s="330">
        <f>H146/DAY(B2)</f>
        <v>-351.72222222222223</v>
      </c>
    </row>
    <row r="147" spans="1:10" ht="27.75" customHeight="1" x14ac:dyDescent="0.5">
      <c r="A147" s="815" t="s">
        <v>192</v>
      </c>
      <c r="B147" s="815"/>
      <c r="C147" s="815"/>
      <c r="D147" s="152" t="s">
        <v>183</v>
      </c>
      <c r="E147" s="95">
        <f>'17'!F147</f>
        <v>609470.92000000004</v>
      </c>
      <c r="F147" s="148">
        <v>609888.04</v>
      </c>
      <c r="G147" s="565">
        <f t="shared" si="11"/>
        <v>417.11999999999534</v>
      </c>
      <c r="H147" s="99">
        <f>G147+'17'!H147</f>
        <v>-5393.9599999999627</v>
      </c>
      <c r="I147" s="140"/>
      <c r="J147" s="330">
        <f>H147/DAY(B2)</f>
        <v>-299.66444444444238</v>
      </c>
    </row>
    <row r="148" spans="1:10" ht="27.75" customHeight="1" x14ac:dyDescent="0.5">
      <c r="A148" s="816" t="s">
        <v>193</v>
      </c>
      <c r="B148" s="817"/>
      <c r="C148" s="818"/>
      <c r="D148" s="123" t="s">
        <v>130</v>
      </c>
      <c r="E148" s="95">
        <f>'17'!F148</f>
        <v>678801.44</v>
      </c>
      <c r="F148" s="150">
        <v>679151.76</v>
      </c>
      <c r="G148" s="565">
        <f t="shared" si="11"/>
        <v>350.32000000006519</v>
      </c>
      <c r="H148" s="99">
        <f>G148+'17'!H148</f>
        <v>-3881.359999999986</v>
      </c>
      <c r="I148" s="124"/>
      <c r="J148" s="330">
        <f>H148/DAY(B2)</f>
        <v>-215.63111111111033</v>
      </c>
    </row>
    <row r="149" spans="1:10" ht="27.75" customHeight="1" x14ac:dyDescent="0.5">
      <c r="A149" s="816" t="s">
        <v>336</v>
      </c>
      <c r="B149" s="817"/>
      <c r="C149" s="818"/>
      <c r="D149" s="227" t="s">
        <v>130</v>
      </c>
      <c r="E149" s="95">
        <f>'17'!F149</f>
        <v>90445.1</v>
      </c>
      <c r="F149" s="146">
        <v>90811</v>
      </c>
      <c r="G149" s="565">
        <f t="shared" si="11"/>
        <v>365.89999999999418</v>
      </c>
      <c r="H149" s="99">
        <f>G149+'17'!H149</f>
        <v>179945</v>
      </c>
      <c r="I149" s="119"/>
      <c r="J149" s="330">
        <f>H149/DAY(B2)</f>
        <v>9996.9444444444453</v>
      </c>
    </row>
    <row r="150" spans="1:10" ht="27.75" customHeight="1" x14ac:dyDescent="0.5">
      <c r="A150" s="816" t="s">
        <v>337</v>
      </c>
      <c r="B150" s="817"/>
      <c r="C150" s="818"/>
      <c r="D150" s="117" t="s">
        <v>130</v>
      </c>
      <c r="E150" s="95">
        <f>'17'!F150</f>
        <v>870.03</v>
      </c>
      <c r="F150" s="233">
        <v>1104.3499999999999</v>
      </c>
      <c r="G150" s="565">
        <f t="shared" si="11"/>
        <v>234.31999999999994</v>
      </c>
      <c r="H150" s="99">
        <f>G150+'17'!H150</f>
        <v>7164092.3500000006</v>
      </c>
      <c r="I150" s="119"/>
      <c r="J150" s="330">
        <f>H150/DAY(B2)</f>
        <v>398005.13055555557</v>
      </c>
    </row>
    <row r="151" spans="1:10" ht="27.75" customHeight="1" x14ac:dyDescent="0.5">
      <c r="A151" s="816" t="s">
        <v>338</v>
      </c>
      <c r="B151" s="817"/>
      <c r="C151" s="818"/>
      <c r="D151" s="117" t="s">
        <v>130</v>
      </c>
      <c r="E151" s="95">
        <f>'17'!F151</f>
        <v>74938</v>
      </c>
      <c r="F151" s="233">
        <v>75189</v>
      </c>
      <c r="G151" s="565">
        <f t="shared" si="11"/>
        <v>251</v>
      </c>
      <c r="H151" s="99">
        <f>G151+'17'!H151</f>
        <v>-3028</v>
      </c>
      <c r="I151" s="119"/>
      <c r="J151" s="330">
        <f>H151/DAY(B2)</f>
        <v>-168.22222222222223</v>
      </c>
    </row>
    <row r="152" spans="1:10" ht="27.75" customHeight="1" x14ac:dyDescent="0.5">
      <c r="A152" s="816" t="s">
        <v>339</v>
      </c>
      <c r="B152" s="817"/>
      <c r="C152" s="818"/>
      <c r="D152" s="117" t="s">
        <v>130</v>
      </c>
      <c r="E152" s="95">
        <f>'17'!F152</f>
        <v>425</v>
      </c>
      <c r="F152" s="233">
        <v>476</v>
      </c>
      <c r="G152" s="565">
        <f t="shared" si="11"/>
        <v>51</v>
      </c>
      <c r="H152" s="99">
        <f>G152+'17'!H152</f>
        <v>-651</v>
      </c>
      <c r="I152" s="119"/>
      <c r="J152" s="330">
        <f>H152/DAY(B2)</f>
        <v>-36.166666666666664</v>
      </c>
    </row>
    <row r="153" spans="1:10" ht="27.75" customHeight="1" x14ac:dyDescent="0.5">
      <c r="A153" s="819" t="s">
        <v>196</v>
      </c>
      <c r="B153" s="820"/>
      <c r="C153" s="367"/>
      <c r="D153" s="360"/>
      <c r="E153" s="362"/>
      <c r="F153" s="363"/>
      <c r="G153" s="587">
        <f>SUM(G138:G152)</f>
        <v>2818.0200000000577</v>
      </c>
      <c r="H153" s="365"/>
      <c r="I153" s="119">
        <f>G153-(G38+G52)</f>
        <v>735.80000000005657</v>
      </c>
      <c r="J153" s="368"/>
    </row>
    <row r="154" spans="1:10" ht="27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7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'17'!F155</f>
        <v>3416.82</v>
      </c>
      <c r="F155" s="475">
        <v>4166</v>
      </c>
      <c r="G155" s="565">
        <f t="shared" ref="G155:G157" si="12">F155-E155</f>
        <v>749.17999999999984</v>
      </c>
      <c r="H155" s="99">
        <f>G155+'17'!H155</f>
        <v>68310.999999999985</v>
      </c>
      <c r="I155" s="366"/>
      <c r="J155" s="330">
        <f>H155/DAY(B2)</f>
        <v>3795.0555555555547</v>
      </c>
    </row>
    <row r="156" spans="1:10" ht="27.75" customHeight="1" x14ac:dyDescent="0.5">
      <c r="A156" s="815" t="s">
        <v>347</v>
      </c>
      <c r="B156" s="815"/>
      <c r="C156" s="815"/>
      <c r="D156" s="117" t="s">
        <v>130</v>
      </c>
      <c r="E156" s="95">
        <f>'17'!F156</f>
        <v>282.3</v>
      </c>
      <c r="F156" s="165">
        <v>342</v>
      </c>
      <c r="G156" s="565">
        <f t="shared" si="12"/>
        <v>59.699999999999989</v>
      </c>
      <c r="H156" s="99">
        <f>G156+'17'!H156</f>
        <v>-746</v>
      </c>
      <c r="I156" s="165"/>
      <c r="J156" s="330">
        <f>H156/DAY(B2)</f>
        <v>-41.444444444444443</v>
      </c>
    </row>
    <row r="157" spans="1:10" ht="27.75" customHeight="1" x14ac:dyDescent="0.5">
      <c r="A157" s="816" t="s">
        <v>364</v>
      </c>
      <c r="B157" s="817"/>
      <c r="C157" s="818"/>
      <c r="D157" s="117" t="s">
        <v>130</v>
      </c>
      <c r="E157" s="95">
        <f>'17'!F157</f>
        <v>303.85000000000002</v>
      </c>
      <c r="F157" s="165">
        <v>351.92</v>
      </c>
      <c r="G157" s="565">
        <f t="shared" si="12"/>
        <v>48.069999999999993</v>
      </c>
      <c r="H157" s="99"/>
      <c r="I157" s="165"/>
      <c r="J157" s="330"/>
    </row>
    <row r="158" spans="1:10" ht="27.75" customHeight="1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565"/>
      <c r="H158" s="99"/>
      <c r="I158" s="165"/>
      <c r="J158" s="330"/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565"/>
      <c r="H159" s="99"/>
      <c r="I159" s="165"/>
      <c r="J159" s="330"/>
    </row>
    <row r="160" spans="1:10" ht="27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471130.8</v>
      </c>
      <c r="F161" s="235">
        <v>471137.84</v>
      </c>
      <c r="G161" s="588">
        <f t="shared" ref="G161:G165" si="13">F161-E161</f>
        <v>7.0400000000372529</v>
      </c>
      <c r="H161" s="99">
        <f>G161+'17'!H161</f>
        <v>-15.319999999948777</v>
      </c>
      <c r="I161" s="236"/>
      <c r="J161" s="239">
        <f>H161/DAY(B2)</f>
        <v>-0.85111111110826543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87176</v>
      </c>
      <c r="F162" s="235">
        <v>87203.5</v>
      </c>
      <c r="G162" s="588">
        <f t="shared" si="13"/>
        <v>27.5</v>
      </c>
      <c r="H162" s="99">
        <f>G162+'17'!H162</f>
        <v>-366.5</v>
      </c>
      <c r="I162" s="236"/>
      <c r="J162" s="239">
        <f>H162/DAY(B2)</f>
        <v>-20.361111111111111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76973.100000000006</v>
      </c>
      <c r="F163" s="235">
        <v>77007.100000000006</v>
      </c>
      <c r="G163" s="588">
        <f t="shared" si="13"/>
        <v>34</v>
      </c>
      <c r="H163" s="99">
        <f>G163+'17'!H163</f>
        <v>-817.89999999999418</v>
      </c>
      <c r="I163" s="236"/>
      <c r="J163" s="239">
        <f>H163/DAY(B2)</f>
        <v>-45.438888888888563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4191.1000000000004</v>
      </c>
      <c r="F164" s="235">
        <v>4192.3</v>
      </c>
      <c r="G164" s="588">
        <f t="shared" si="13"/>
        <v>1.1999999999998181</v>
      </c>
      <c r="H164" s="99">
        <f>G164+'17'!H164</f>
        <v>-49.699999999999818</v>
      </c>
      <c r="I164" s="236"/>
      <c r="J164" s="239">
        <f>H164/DAY(B2)</f>
        <v>-2.7611111111111009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29553.3</v>
      </c>
      <c r="F165" s="235">
        <v>29559.93</v>
      </c>
      <c r="G165" s="588">
        <f t="shared" si="13"/>
        <v>6.6300000000010186</v>
      </c>
      <c r="H165" s="99">
        <f>G165+'17'!H165</f>
        <v>-86.069999999999709</v>
      </c>
      <c r="I165" s="236"/>
      <c r="J165" s="239">
        <f>H165/DAY(B2)</f>
        <v>-4.7816666666666503</v>
      </c>
    </row>
    <row r="166" spans="1:10" ht="27.75" customHeight="1" x14ac:dyDescent="0.5">
      <c r="A166" s="824"/>
      <c r="B166" s="824"/>
      <c r="C166" s="246"/>
      <c r="D166" s="244" t="s">
        <v>180</v>
      </c>
      <c r="E166" s="95">
        <f>'17'!F166</f>
        <v>0</v>
      </c>
      <c r="F166" s="165"/>
      <c r="G166" s="585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24"/>
      <c r="B167" s="824"/>
      <c r="C167" s="246"/>
      <c r="D167" s="244" t="s">
        <v>180</v>
      </c>
      <c r="E167" s="95">
        <f>'17'!F167</f>
        <v>0</v>
      </c>
      <c r="F167" s="165"/>
      <c r="G167" s="585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24"/>
      <c r="B168" s="824"/>
      <c r="C168" s="246"/>
      <c r="D168" s="244" t="s">
        <v>180</v>
      </c>
      <c r="E168" s="95">
        <f>'17'!F168</f>
        <v>0</v>
      </c>
      <c r="F168" s="165"/>
      <c r="G168" s="585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customHeight="1" x14ac:dyDescent="0.5">
      <c r="A172" s="832"/>
      <c r="B172" s="833"/>
      <c r="C172" s="334"/>
      <c r="D172" s="228"/>
      <c r="E172" s="155"/>
      <c r="F172" s="155"/>
      <c r="G172" s="589"/>
      <c r="H172" s="156"/>
      <c r="I172" s="155"/>
      <c r="J172" s="178"/>
    </row>
    <row r="173" spans="1:10" ht="27.75" customHeight="1" x14ac:dyDescent="0.5">
      <c r="A173" s="828" t="s">
        <v>209</v>
      </c>
      <c r="B173" s="829"/>
      <c r="C173" s="335"/>
      <c r="D173" s="228" t="s">
        <v>142</v>
      </c>
      <c r="E173" s="95">
        <f>'17'!F173</f>
        <v>8110</v>
      </c>
      <c r="F173" s="155">
        <v>8110</v>
      </c>
      <c r="G173" s="589">
        <f>F173-E173</f>
        <v>0</v>
      </c>
      <c r="H173" s="99">
        <f>G173+'17'!H173</f>
        <v>-16</v>
      </c>
      <c r="I173" s="155"/>
      <c r="J173" s="178">
        <f>H173/DAY(B2)</f>
        <v>-0.88888888888888884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f>'17'!F174</f>
        <v>38085</v>
      </c>
      <c r="F174" s="157">
        <v>38099</v>
      </c>
      <c r="G174" s="589">
        <f t="shared" ref="G174:G175" si="14">F174-E174</f>
        <v>14</v>
      </c>
      <c r="H174" s="99">
        <f>G174+'17'!H174</f>
        <v>-188</v>
      </c>
      <c r="I174" s="155"/>
      <c r="J174" s="178">
        <f>H174/DAY(B2)</f>
        <v>-10.444444444444445</v>
      </c>
    </row>
    <row r="175" spans="1:10" ht="27.75" customHeight="1" x14ac:dyDescent="0.5">
      <c r="A175" s="828" t="s">
        <v>76</v>
      </c>
      <c r="B175" s="868"/>
      <c r="C175" s="829"/>
      <c r="D175" s="228" t="s">
        <v>142</v>
      </c>
      <c r="E175" s="95">
        <f>'17'!F175</f>
        <v>21356</v>
      </c>
      <c r="F175" s="155">
        <v>21369</v>
      </c>
      <c r="G175" s="589">
        <f t="shared" si="14"/>
        <v>13</v>
      </c>
      <c r="H175" s="99">
        <f>G175+'17'!H175</f>
        <v>-149</v>
      </c>
      <c r="I175" s="155"/>
      <c r="J175" s="178">
        <f>H175/DAY(B2)</f>
        <v>-8.2777777777777786</v>
      </c>
    </row>
    <row r="176" spans="1:10" ht="27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589">
        <f>SUM(G173:G175)</f>
        <v>27</v>
      </c>
      <c r="H176" s="99">
        <f>G176+'17'!H176</f>
        <v>-353</v>
      </c>
      <c r="I176" s="155"/>
      <c r="J176" s="178">
        <f>H176/DAY(B2)</f>
        <v>-19.611111111111111</v>
      </c>
    </row>
    <row r="177" spans="1:11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589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28" t="s">
        <v>210</v>
      </c>
      <c r="B178" s="829"/>
      <c r="C178" s="335"/>
      <c r="D178" s="228" t="s">
        <v>142</v>
      </c>
      <c r="E178" s="95">
        <f>'17'!F178</f>
        <v>78673</v>
      </c>
      <c r="F178" s="155">
        <v>78714</v>
      </c>
      <c r="G178" s="589">
        <f>F178-E178</f>
        <v>41</v>
      </c>
      <c r="H178" s="99">
        <f>G178+'17'!H178</f>
        <v>-900</v>
      </c>
      <c r="I178" s="155"/>
      <c r="J178" s="178">
        <f>H178/DAY(B2)</f>
        <v>-50</v>
      </c>
    </row>
    <row r="179" spans="1:11" ht="27.75" customHeight="1" x14ac:dyDescent="0.5">
      <c r="A179" s="828" t="s">
        <v>211</v>
      </c>
      <c r="B179" s="829"/>
      <c r="C179" s="335"/>
      <c r="D179" s="228" t="s">
        <v>142</v>
      </c>
      <c r="E179" s="95">
        <f>'17'!F179</f>
        <v>33901</v>
      </c>
      <c r="F179" s="155">
        <v>33915</v>
      </c>
      <c r="G179" s="589">
        <f t="shared" ref="G179:G180" si="15">F179-E179</f>
        <v>14</v>
      </c>
      <c r="H179" s="99">
        <f>G179+'17'!H179</f>
        <v>0</v>
      </c>
      <c r="I179" s="155"/>
      <c r="J179" s="178">
        <f>H179/DAY(B2)</f>
        <v>0</v>
      </c>
    </row>
    <row r="180" spans="1:11" ht="27.75" customHeight="1" x14ac:dyDescent="0.5">
      <c r="A180" s="828" t="s">
        <v>212</v>
      </c>
      <c r="B180" s="829"/>
      <c r="C180" s="335"/>
      <c r="D180" s="228" t="s">
        <v>142</v>
      </c>
      <c r="E180" s="95">
        <f>'17'!F180</f>
        <v>5385</v>
      </c>
      <c r="F180" s="155">
        <v>5396</v>
      </c>
      <c r="G180" s="589">
        <f t="shared" si="15"/>
        <v>11</v>
      </c>
      <c r="H180" s="99">
        <f>G180+'17'!H180</f>
        <v>-81</v>
      </c>
      <c r="I180" s="155"/>
      <c r="J180" s="178">
        <f>H180/DAY(B2)</f>
        <v>-4.5</v>
      </c>
    </row>
    <row r="181" spans="1:11" ht="27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589">
        <f>SUM(G178:G180)</f>
        <v>66</v>
      </c>
      <c r="H181" s="99">
        <f>G181+'17'!H181</f>
        <v>-981</v>
      </c>
      <c r="I181" s="155"/>
      <c r="J181" s="178">
        <f>H181/DAY(B2)</f>
        <v>-54.5</v>
      </c>
    </row>
    <row r="182" spans="1:11" ht="27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589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28" t="s">
        <v>214</v>
      </c>
      <c r="B183" s="829"/>
      <c r="C183" s="336"/>
      <c r="D183" s="228" t="s">
        <v>142</v>
      </c>
      <c r="E183" s="95">
        <f>'17'!F183</f>
        <v>14728</v>
      </c>
      <c r="F183" s="157">
        <v>14739</v>
      </c>
      <c r="G183" s="590">
        <f>F183-E183</f>
        <v>11</v>
      </c>
      <c r="H183" s="99">
        <f>G183+'17'!H183</f>
        <v>-208</v>
      </c>
      <c r="I183" s="155"/>
      <c r="J183" s="178">
        <f>H183/DAY(B2)</f>
        <v>-11.555555555555555</v>
      </c>
    </row>
    <row r="184" spans="1:11" ht="27.75" customHeight="1" x14ac:dyDescent="0.5">
      <c r="A184" s="828" t="s">
        <v>215</v>
      </c>
      <c r="B184" s="829"/>
      <c r="C184" s="336"/>
      <c r="D184" s="228" t="s">
        <v>142</v>
      </c>
      <c r="E184" s="95">
        <f>'17'!F184</f>
        <v>10184</v>
      </c>
      <c r="F184" s="157">
        <v>10199</v>
      </c>
      <c r="G184" s="590">
        <f t="shared" ref="G184:G185" si="16">F184-E184</f>
        <v>15</v>
      </c>
      <c r="H184" s="99">
        <f>G184+'17'!H184</f>
        <v>-102</v>
      </c>
      <c r="I184" s="155"/>
      <c r="J184" s="178">
        <f>H184/DAY(B2)</f>
        <v>-5.666666666666667</v>
      </c>
    </row>
    <row r="185" spans="1:11" ht="27.75" customHeight="1" x14ac:dyDescent="0.5">
      <c r="A185" s="828" t="s">
        <v>216</v>
      </c>
      <c r="B185" s="829"/>
      <c r="C185" s="336"/>
      <c r="D185" s="228" t="s">
        <v>142</v>
      </c>
      <c r="E185" s="95">
        <f>'17'!F185</f>
        <v>0</v>
      </c>
      <c r="F185" s="157"/>
      <c r="G185" s="590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590">
        <f>SUM(G183:G185)</f>
        <v>26</v>
      </c>
      <c r="H186" s="99">
        <f>G186+'17'!H186</f>
        <v>-310</v>
      </c>
      <c r="I186" s="157"/>
      <c r="J186" s="178">
        <f>H186/DAY(B2)</f>
        <v>-17.222222222222221</v>
      </c>
    </row>
    <row r="187" spans="1:11" ht="27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591">
        <f>G62+G19</f>
        <v>189</v>
      </c>
      <c r="H187" s="99">
        <f>G187+'17'!H187</f>
        <v>-540</v>
      </c>
      <c r="I187" s="158"/>
      <c r="J187" s="179">
        <f>H187/DAY(B2)</f>
        <v>-30</v>
      </c>
    </row>
    <row r="188" spans="1:11" ht="27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591">
        <f>G65+G66+G67+G69+G70</f>
        <v>204</v>
      </c>
      <c r="H188" s="99">
        <f>G188+'17'!H188</f>
        <v>697</v>
      </c>
      <c r="I188" s="158"/>
      <c r="J188" s="179">
        <f>H188/DAY(B2)</f>
        <v>38.722222222222221</v>
      </c>
    </row>
    <row r="189" spans="1:11" ht="27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591">
        <f>G181</f>
        <v>66</v>
      </c>
      <c r="H189" s="99">
        <f>G189+'17'!H189</f>
        <v>-981</v>
      </c>
      <c r="I189" s="158"/>
      <c r="J189" s="179">
        <f>H189/DAY(B2)</f>
        <v>-54.5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85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27" zoomScale="55" zoomScaleNormal="40" zoomScaleSheetLayoutView="55" zoomScalePageLayoutView="6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36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350</v>
      </c>
      <c r="B2" s="262">
        <v>44549</v>
      </c>
      <c r="C2" s="350" t="s">
        <v>67</v>
      </c>
      <c r="D2" s="218">
        <v>0.92979999999999996</v>
      </c>
      <c r="E2" s="100"/>
      <c r="F2" s="100"/>
      <c r="G2" s="61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613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61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1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615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481478</v>
      </c>
      <c r="F7" s="95">
        <f>E7+23500</f>
        <v>504978</v>
      </c>
      <c r="G7" s="616">
        <f>F7-E7</f>
        <v>23500</v>
      </c>
      <c r="H7" s="99">
        <f>G7+'18 '!H7</f>
        <v>410417</v>
      </c>
      <c r="I7" s="113">
        <f>'1'!I7</f>
        <v>12000</v>
      </c>
      <c r="J7" s="175">
        <f>H7/DAY(B2)</f>
        <v>21600.894736842107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531437</v>
      </c>
      <c r="F8" s="95">
        <f>E8+23500</f>
        <v>554937</v>
      </c>
      <c r="G8" s="617">
        <f>F8-E8</f>
        <v>23500</v>
      </c>
      <c r="H8" s="99">
        <f>G8+'18 '!H8</f>
        <v>414052</v>
      </c>
      <c r="I8" s="116"/>
      <c r="J8" s="175">
        <f>H8/DAY(B2)</f>
        <v>21792.21052631579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137657</v>
      </c>
      <c r="F9" s="605">
        <f>E9+14000</f>
        <v>151657</v>
      </c>
      <c r="G9" s="616">
        <f>F9-E9</f>
        <v>14000</v>
      </c>
      <c r="H9" s="99">
        <f>G9+'18 '!H9</f>
        <v>250162</v>
      </c>
      <c r="I9" s="124">
        <f>I7-J7</f>
        <v>-9600.8947368421068</v>
      </c>
      <c r="J9" s="175">
        <f>H9/DAY(B2)</f>
        <v>13166.421052631578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498050</v>
      </c>
      <c r="F10" s="355">
        <f>E10+4500</f>
        <v>502550</v>
      </c>
      <c r="G10" s="616">
        <f t="shared" ref="G10:G12" si="0">F10-E10</f>
        <v>4500</v>
      </c>
      <c r="H10" s="99">
        <f>G10+'18 '!H10</f>
        <v>105440</v>
      </c>
      <c r="I10" s="282"/>
      <c r="J10" s="175">
        <f>H10/DAY(B2)</f>
        <v>5549.4736842105267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61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1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18">
        <f>G9+G10+G11+G12</f>
        <v>18500</v>
      </c>
      <c r="H13" s="99">
        <f>G13+'18 '!H13</f>
        <v>336136.74999999988</v>
      </c>
      <c r="I13" s="120">
        <f>G7-G13</f>
        <v>5000</v>
      </c>
      <c r="J13" s="175">
        <f>H13/DAY(B2)</f>
        <v>17691.407894736836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619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'18 '!F15</f>
        <v>1863926</v>
      </c>
      <c r="F15" s="605">
        <f>E15+1100</f>
        <v>1865026</v>
      </c>
      <c r="G15" s="616">
        <f>(F15-E15)</f>
        <v>1100</v>
      </c>
      <c r="H15" s="99">
        <f>G15+'18 '!H15</f>
        <v>19169</v>
      </c>
      <c r="I15" s="113">
        <f>'1'!I15</f>
        <v>800</v>
      </c>
      <c r="J15" s="175">
        <f>H15/DAY(B2)</f>
        <v>1008.8947368421053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16"/>
      <c r="H16" s="124"/>
      <c r="I16" s="120">
        <f>I15-J15</f>
        <v>-208.89473684210532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619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'18 '!F18</f>
        <v>123</v>
      </c>
      <c r="F18" s="122">
        <f>E18+12</f>
        <v>135</v>
      </c>
      <c r="G18" s="618">
        <f>F18*10</f>
        <v>1350</v>
      </c>
      <c r="H18" s="99">
        <f>G18+'18 '!H18</f>
        <v>9320</v>
      </c>
      <c r="I18" s="113">
        <f>'1'!I18</f>
        <v>65</v>
      </c>
      <c r="J18" s="175">
        <f>H18/DAY(B2)</f>
        <v>490.5263157894737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'18 '!F19</f>
        <v>153190</v>
      </c>
      <c r="F19" s="122">
        <f>E19+55</f>
        <v>153245</v>
      </c>
      <c r="G19" s="616">
        <f t="shared" ref="G19" si="1">F19-E19</f>
        <v>55</v>
      </c>
      <c r="H19" s="99">
        <f>G19+'18 '!H19</f>
        <v>1020</v>
      </c>
      <c r="I19" s="337"/>
      <c r="J19" s="175">
        <f>H19/DAY(B2)</f>
        <v>53.684210526315788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20">
        <f>G18+G19</f>
        <v>1405</v>
      </c>
      <c r="H20" s="99">
        <f>G20+'18 '!H20</f>
        <v>10340</v>
      </c>
      <c r="I20" s="338">
        <f>I18-J20</f>
        <v>-479.21052631578948</v>
      </c>
      <c r="J20" s="175">
        <f>H20/DAY(B2)</f>
        <v>544.21052631578948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619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1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618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18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621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22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623">
        <f>E27*F27</f>
        <v>211500</v>
      </c>
      <c r="H27" s="99">
        <f>G27+'18 '!H27</f>
        <v>3726468</v>
      </c>
      <c r="I27" s="138"/>
      <c r="J27" s="175">
        <f>H27/DAY(B2)</f>
        <v>196129.89473684211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623">
        <f>E28*F28</f>
        <v>57200</v>
      </c>
      <c r="H28" s="99">
        <f>G28+'18 '!H28</f>
        <v>996788</v>
      </c>
      <c r="I28" s="140"/>
      <c r="J28" s="175">
        <f>H28/DAY(B2)</f>
        <v>52462.526315789473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23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623">
        <f>E30*F30</f>
        <v>8030</v>
      </c>
      <c r="H30" s="99">
        <f>G30+'18 '!H30</f>
        <v>148920</v>
      </c>
      <c r="I30" s="140"/>
      <c r="J30" s="175">
        <f>H30/DAY(B2)</f>
        <v>7837.894736842105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1350</v>
      </c>
      <c r="F31" s="136">
        <v>80</v>
      </c>
      <c r="G31" s="623">
        <f>E31*F31</f>
        <v>108000</v>
      </c>
      <c r="H31" s="99">
        <f>G31+'18 '!H31</f>
        <v>745600</v>
      </c>
      <c r="I31" s="140"/>
      <c r="J31" s="175">
        <f>H31/DAY(B2)</f>
        <v>39242.105263157893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24">
        <f>G27+G28+G29+G30+G31</f>
        <v>384730</v>
      </c>
      <c r="H32" s="99">
        <f>G32+'18 '!H32</f>
        <v>5617776</v>
      </c>
      <c r="I32" s="144"/>
      <c r="J32" s="175">
        <f>H32/DAY(B2)</f>
        <v>295672.42105263157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625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626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130316.09</v>
      </c>
      <c r="F35" s="145">
        <v>131972.82999999999</v>
      </c>
      <c r="G35" s="616">
        <f t="shared" ref="G35:G46" si="3">F35-E35</f>
        <v>1656.7399999999907</v>
      </c>
      <c r="H35" s="99">
        <f>G35+'18 '!H35</f>
        <v>147172.82999999999</v>
      </c>
      <c r="I35" s="95"/>
      <c r="J35" s="175">
        <f>H35/DAY(B2)</f>
        <v>7745.9384210526305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9128.93</v>
      </c>
      <c r="F36" s="145">
        <v>10261</v>
      </c>
      <c r="G36" s="616">
        <f t="shared" si="3"/>
        <v>1132.0699999999997</v>
      </c>
      <c r="H36" s="99">
        <f>G36+'18 '!H36</f>
        <v>78464</v>
      </c>
      <c r="I36" s="95"/>
      <c r="J36" s="175">
        <f>H36/DAY(B2)</f>
        <v>4129.6842105263158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174666.47</v>
      </c>
      <c r="F37" s="145">
        <v>176251.83</v>
      </c>
      <c r="G37" s="616">
        <f t="shared" si="3"/>
        <v>1585.359999999986</v>
      </c>
      <c r="H37" s="99">
        <f>G37+'18 '!H37</f>
        <v>188463.83</v>
      </c>
      <c r="I37" s="95"/>
      <c r="J37" s="175">
        <f>H37/DAY(B2)</f>
        <v>9919.1489473684196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207327.99</v>
      </c>
      <c r="F38" s="108">
        <v>209352.93</v>
      </c>
      <c r="G38" s="616">
        <f t="shared" si="3"/>
        <v>2024.9400000000023</v>
      </c>
      <c r="H38" s="99">
        <f>G38+'18 '!H38</f>
        <v>222552.93</v>
      </c>
      <c r="I38" s="95"/>
      <c r="J38" s="175">
        <f>H38/DAY(B2)</f>
        <v>11713.312105263158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374698.39</v>
      </c>
      <c r="F39" s="145">
        <v>377775.95</v>
      </c>
      <c r="G39" s="616">
        <f t="shared" si="3"/>
        <v>3077.5599999999977</v>
      </c>
      <c r="H39" s="99">
        <f>G39+'18 '!H39</f>
        <v>399457.95</v>
      </c>
      <c r="I39" s="95"/>
      <c r="J39" s="175">
        <f>H39/DAY(B2)</f>
        <v>21024.10263157895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11">
        <f>'18 '!F40</f>
        <v>588.35</v>
      </c>
      <c r="F40" s="378">
        <v>588.35</v>
      </c>
      <c r="G40" s="627">
        <f t="shared" si="3"/>
        <v>0</v>
      </c>
      <c r="H40" s="99">
        <f>G40+'18 '!H40</f>
        <v>-5021.6500000000005</v>
      </c>
      <c r="I40" s="95"/>
      <c r="J40" s="175">
        <f>H40/DAY(B2)</f>
        <v>-264.29736842105268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16">
        <f t="shared" si="3"/>
        <v>0</v>
      </c>
      <c r="H41" s="99">
        <f>G41+'18 '!H41</f>
        <v>599900</v>
      </c>
      <c r="I41" s="95"/>
      <c r="J41" s="175">
        <f>H41/DAY(B2)</f>
        <v>31573.684210526317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20108.66</v>
      </c>
      <c r="F42" s="145">
        <v>25052.25</v>
      </c>
      <c r="G42" s="616">
        <f t="shared" si="3"/>
        <v>4943.59</v>
      </c>
      <c r="H42" s="99">
        <f>G42+'18 '!H42</f>
        <v>308903.25</v>
      </c>
      <c r="I42" s="95"/>
      <c r="J42" s="175">
        <f>H42/DAY(B2)</f>
        <v>16258.065789473685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12716.87</v>
      </c>
      <c r="F43" s="145">
        <v>15511.63</v>
      </c>
      <c r="G43" s="616">
        <f t="shared" si="3"/>
        <v>2794.7599999999984</v>
      </c>
      <c r="H43" s="99">
        <f>G43+'18 '!H43</f>
        <v>1532931.63</v>
      </c>
      <c r="I43" s="95"/>
      <c r="J43" s="175">
        <f>H43/DAY(B2)</f>
        <v>80680.61210526315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1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1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1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18">
        <f>G35+G36+G37+G38+G39+G40+G41+G42+G43+G44+G45+G46</f>
        <v>17215.019999999975</v>
      </c>
      <c r="H47" s="99">
        <f>G47+'18 '!H47</f>
        <v>3472824.77</v>
      </c>
      <c r="I47" s="95"/>
      <c r="J47" s="175">
        <f>H47/DAY(B2)</f>
        <v>182780.25105263159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626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252107.37</v>
      </c>
      <c r="F49" s="145">
        <v>253870.67</v>
      </c>
      <c r="G49" s="616">
        <f t="shared" ref="G49:G58" si="4">F49-E49</f>
        <v>1763.3000000000175</v>
      </c>
      <c r="H49" s="99">
        <f>G49+'18 '!H49</f>
        <v>266991.67000000004</v>
      </c>
      <c r="I49" s="95"/>
      <c r="J49" s="175">
        <f>H49/DAY(B2)</f>
        <v>14052.193157894739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9227.31</v>
      </c>
      <c r="F50" s="145">
        <v>10858.49</v>
      </c>
      <c r="G50" s="616">
        <f t="shared" si="4"/>
        <v>1631.1800000000003</v>
      </c>
      <c r="H50" s="99">
        <f>G50+'18 '!H50</f>
        <v>725283.49000000011</v>
      </c>
      <c r="I50" s="95"/>
      <c r="J50" s="175">
        <f>H50/DAY(B2)</f>
        <v>38172.8152631579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16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16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1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3126.52</v>
      </c>
      <c r="F54" s="145">
        <v>3130.82</v>
      </c>
      <c r="G54" s="616">
        <f t="shared" si="4"/>
        <v>4.3000000000001819</v>
      </c>
      <c r="H54" s="99">
        <f>G54+'18 '!H54</f>
        <v>4897.9000000000005</v>
      </c>
      <c r="I54" s="95"/>
      <c r="J54" s="175">
        <f>H54/DAY(B2)</f>
        <v>257.7842105263158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0</v>
      </c>
      <c r="F55" s="145">
        <v>0</v>
      </c>
      <c r="G55" s="616">
        <f t="shared" si="4"/>
        <v>0</v>
      </c>
      <c r="H55" s="99">
        <f>G55+'18 '!H55</f>
        <v>-3511</v>
      </c>
      <c r="I55" s="95"/>
      <c r="J55" s="175">
        <f>H55/DAY(B2)</f>
        <v>-184.78947368421052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8373.59</v>
      </c>
      <c r="F56" s="145">
        <v>8610.5400000000009</v>
      </c>
      <c r="G56" s="616">
        <f t="shared" si="4"/>
        <v>236.95000000000073</v>
      </c>
      <c r="H56" s="99">
        <f>G56+'18 '!H56</f>
        <v>212065</v>
      </c>
      <c r="I56" s="95"/>
      <c r="J56" s="175">
        <f>H56/DAY(B2)</f>
        <v>11161.315789473685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16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89481.66</v>
      </c>
      <c r="F58" s="145">
        <v>89681.45</v>
      </c>
      <c r="G58" s="616">
        <f t="shared" si="4"/>
        <v>199.7899999999936</v>
      </c>
      <c r="H58" s="99">
        <f>G58+'18 '!H58</f>
        <v>90022.080000000002</v>
      </c>
      <c r="I58" s="95"/>
      <c r="J58" s="175">
        <f>H58/DAY(B2)</f>
        <v>4738.0042105263155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18">
        <f>G49+G50+G51+G52+G53+G54+G55+G56+G57+G58</f>
        <v>3835.5200000000123</v>
      </c>
      <c r="H59" s="99">
        <f>G59+'18 '!H59</f>
        <v>1295749.1400000001</v>
      </c>
      <c r="I59" s="95">
        <f>G7-G60</f>
        <v>2449.4600000000137</v>
      </c>
      <c r="J59" s="175">
        <f>H59/DAY(B2)</f>
        <v>68197.323157894745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18">
        <f>G47+G59</f>
        <v>21050.539999999986</v>
      </c>
      <c r="H60" s="99">
        <f>G60+'18 '!H60</f>
        <v>4768573.91</v>
      </c>
      <c r="I60" s="95">
        <f>G13-G60</f>
        <v>-2550.5399999999863</v>
      </c>
      <c r="J60" s="175">
        <f>H60/DAY(B2)</f>
        <v>250977.57421052633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628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'18 '!F62</f>
        <v>265708</v>
      </c>
      <c r="F62" s="122">
        <v>265838</v>
      </c>
      <c r="G62" s="616">
        <f t="shared" ref="G62:G63" si="5">F62-E62</f>
        <v>130</v>
      </c>
      <c r="H62" s="99">
        <f>G62+'18 '!H62</f>
        <v>-1375</v>
      </c>
      <c r="I62" s="118"/>
      <c r="J62" s="175">
        <f>H62/DAY(B2)</f>
        <v>-72.368421052631575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'18 '!F63</f>
        <v>211291</v>
      </c>
      <c r="F63" s="122">
        <v>211377</v>
      </c>
      <c r="G63" s="616">
        <f t="shared" si="5"/>
        <v>86</v>
      </c>
      <c r="H63" s="99">
        <f>G63+'18 '!H63</f>
        <v>-1048</v>
      </c>
      <c r="I63" s="118"/>
      <c r="J63" s="175">
        <f>H63/DAY(B2)</f>
        <v>-55.157894736842103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'18 '!F64</f>
        <v>0</v>
      </c>
      <c r="F64" s="122"/>
      <c r="G64" s="616">
        <f>G62+G63</f>
        <v>216</v>
      </c>
      <c r="H64" s="99">
        <f>G64+'18 '!H64</f>
        <v>-2423</v>
      </c>
      <c r="I64" s="118"/>
      <c r="J64" s="175">
        <f>H64/DAY(B2)</f>
        <v>-127.52631578947368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'18 '!F65</f>
        <v>431292</v>
      </c>
      <c r="F65" s="122">
        <v>431409</v>
      </c>
      <c r="G65" s="616">
        <f t="shared" ref="G65:G70" si="6">F65-E65</f>
        <v>117</v>
      </c>
      <c r="H65" s="99">
        <f>G65+'18 '!H65</f>
        <v>-1205</v>
      </c>
      <c r="I65" s="118"/>
      <c r="J65" s="175">
        <f>H65/DAY(B2)</f>
        <v>-63.421052631578945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'18 '!F66</f>
        <v>106950</v>
      </c>
      <c r="F66" s="122">
        <v>106973</v>
      </c>
      <c r="G66" s="616">
        <f t="shared" si="6"/>
        <v>23</v>
      </c>
      <c r="H66" s="99">
        <f>G66+'18 '!H66</f>
        <v>-241</v>
      </c>
      <c r="I66" s="118"/>
      <c r="J66" s="175">
        <f>H66/DAY(B2)</f>
        <v>-12.684210526315789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'18 '!F67</f>
        <v>103538</v>
      </c>
      <c r="F67" s="122">
        <v>103572</v>
      </c>
      <c r="G67" s="616">
        <f t="shared" si="6"/>
        <v>34</v>
      </c>
      <c r="H67" s="99">
        <f>G67+'18 '!H67</f>
        <v>-356</v>
      </c>
      <c r="I67" s="118"/>
      <c r="J67" s="175">
        <f>H67/DAY(B2)</f>
        <v>-18.736842105263158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'18 '!F68</f>
        <v>156181</v>
      </c>
      <c r="F68" s="122">
        <v>156181</v>
      </c>
      <c r="G68" s="616">
        <f t="shared" si="6"/>
        <v>0</v>
      </c>
      <c r="H68" s="99">
        <f>G68+'18 '!H68</f>
        <v>-439</v>
      </c>
      <c r="I68" s="118"/>
      <c r="J68" s="175">
        <f>H68/DAY(B2)</f>
        <v>-23.105263157894736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'18 '!F69</f>
        <v>10043</v>
      </c>
      <c r="F69" s="122">
        <v>10071</v>
      </c>
      <c r="G69" s="616">
        <f t="shared" si="6"/>
        <v>28</v>
      </c>
      <c r="H69" s="99">
        <f>G69+'18 '!H69</f>
        <v>-143</v>
      </c>
      <c r="I69" s="118"/>
      <c r="J69" s="175">
        <f>H69/DAY(B2)</f>
        <v>-7.5263157894736841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'18 '!F70</f>
        <v>7742</v>
      </c>
      <c r="F70" s="122">
        <v>7754</v>
      </c>
      <c r="G70" s="616">
        <f t="shared" si="6"/>
        <v>12</v>
      </c>
      <c r="H70" s="99">
        <f>G70+'18 '!H70</f>
        <v>-108</v>
      </c>
      <c r="I70" s="118"/>
      <c r="J70" s="175">
        <f>H70/DAY(B2)</f>
        <v>-5.6842105263157894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95">
        <f>'18 '!F71</f>
        <v>0</v>
      </c>
      <c r="F71" s="152"/>
      <c r="G71" s="629">
        <f>SUM(G65:G70)</f>
        <v>214</v>
      </c>
      <c r="H71" s="99">
        <f>G71+'18 '!H71</f>
        <v>-2492</v>
      </c>
      <c r="I71" s="154"/>
      <c r="J71" s="175">
        <f>H71/DAY(B2)</f>
        <v>-131.15789473684211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63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628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'18 '!F74</f>
        <v>887942.48</v>
      </c>
      <c r="F74" s="117">
        <v>888255.31</v>
      </c>
      <c r="G74" s="616">
        <f t="shared" ref="G74:G78" si="7">F74-E74</f>
        <v>312.83000000007451</v>
      </c>
      <c r="H74" s="99">
        <f>G74+'18 '!H74</f>
        <v>-3776.6899999999441</v>
      </c>
      <c r="I74" s="154"/>
      <c r="J74" s="175">
        <f>H74/DAY(B2)</f>
        <v>-198.77315789473391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'18 '!F75</f>
        <v>73830.69</v>
      </c>
      <c r="F75" s="123">
        <v>73830.69</v>
      </c>
      <c r="G75" s="616">
        <f t="shared" si="7"/>
        <v>0</v>
      </c>
      <c r="H75" s="99">
        <f>G75+'18 '!H75</f>
        <v>243.88999999999942</v>
      </c>
      <c r="I75" s="154"/>
      <c r="J75" s="175">
        <f>H75/DAY(B2)</f>
        <v>12.836315789473653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'18 '!F76</f>
        <v>165737.60000000001</v>
      </c>
      <c r="F76" s="123">
        <v>165887.20000000001</v>
      </c>
      <c r="G76" s="616">
        <f t="shared" si="7"/>
        <v>149.60000000000582</v>
      </c>
      <c r="H76" s="99">
        <f>G76+'18 '!H76</f>
        <v>-1319.7999999999884</v>
      </c>
      <c r="I76" s="154"/>
      <c r="J76" s="175">
        <f>H76/DAY(B2)</f>
        <v>-69.463157894736227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'18 '!F77</f>
        <v>39679.699999999997</v>
      </c>
      <c r="F77" s="123">
        <v>39749.300000000003</v>
      </c>
      <c r="G77" s="616">
        <f t="shared" si="7"/>
        <v>69.600000000005821</v>
      </c>
      <c r="H77" s="99">
        <f>G77+'18 '!H77</f>
        <v>-566.69999999999709</v>
      </c>
      <c r="I77" s="154"/>
      <c r="J77" s="175">
        <f>H77/DAY(B2)</f>
        <v>-29.826315789473529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'18 '!F78</f>
        <v>9462.9</v>
      </c>
      <c r="F78" s="123">
        <v>9464.7000000000007</v>
      </c>
      <c r="G78" s="616">
        <f t="shared" si="7"/>
        <v>1.8000000000010914</v>
      </c>
      <c r="H78" s="99">
        <f>G78+'18 '!H78</f>
        <v>-21.299999999999272</v>
      </c>
      <c r="I78" s="118"/>
      <c r="J78" s="175">
        <f>H78/DAY(B2)</f>
        <v>-1.1210526315789091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'18 '!F79</f>
        <v>0</v>
      </c>
      <c r="F79" s="123"/>
      <c r="G79" s="616">
        <f>G15-SUM(G74:G78)</f>
        <v>566.16999999991276</v>
      </c>
      <c r="H79" s="99">
        <f>G79+'18 '!H79</f>
        <v>24609.599999999926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616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631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'18 '!F82</f>
        <v>0</v>
      </c>
      <c r="F82" s="122">
        <v>0</v>
      </c>
      <c r="G82" s="616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'18 '!F83</f>
        <v>0</v>
      </c>
      <c r="F83" s="122">
        <v>0</v>
      </c>
      <c r="G83" s="616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'18 '!F84</f>
        <v>41675.199999999997</v>
      </c>
      <c r="F84" s="164">
        <v>41675.4</v>
      </c>
      <c r="G84" s="616">
        <f t="shared" si="8"/>
        <v>0.20000000000436557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'18 '!F85</f>
        <v>1820</v>
      </c>
      <c r="F85" s="164">
        <v>1844</v>
      </c>
      <c r="G85" s="616">
        <f t="shared" si="8"/>
        <v>24</v>
      </c>
      <c r="H85" s="99">
        <f>G85+'18 '!H85</f>
        <v>-252.55999999999995</v>
      </c>
      <c r="I85" s="118">
        <f>G82+G83+G84+G85</f>
        <v>24.200000000004366</v>
      </c>
      <c r="J85" s="175">
        <f>H85/DAY(B2)</f>
        <v>-13.292631578947365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'18 '!F86</f>
        <v>42826.47</v>
      </c>
      <c r="F86" s="164">
        <v>42826.47</v>
      </c>
      <c r="G86" s="616">
        <f t="shared" si="8"/>
        <v>0</v>
      </c>
      <c r="H86" s="99">
        <f>G86+'18 '!H86</f>
        <v>-36.529999999998836</v>
      </c>
      <c r="I86" s="118"/>
      <c r="J86" s="175">
        <f>H86/DAY(B2)</f>
        <v>-1.9226315789473072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'18 '!F87</f>
        <v>34596.400000000001</v>
      </c>
      <c r="F87" s="164">
        <v>34598.550000000003</v>
      </c>
      <c r="G87" s="616">
        <f t="shared" si="8"/>
        <v>2.1500000000014552</v>
      </c>
      <c r="H87" s="99">
        <f>G87+'18 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'18 '!F88</f>
        <v>24005.53</v>
      </c>
      <c r="F88" s="164">
        <v>24005.53</v>
      </c>
      <c r="G88" s="616">
        <f t="shared" si="8"/>
        <v>0</v>
      </c>
      <c r="H88" s="99">
        <f>G88+'18 '!H88</f>
        <v>-41.470000000001164</v>
      </c>
      <c r="I88" s="118">
        <f>G86+G87+G88</f>
        <v>2.1500000000014552</v>
      </c>
      <c r="J88" s="175">
        <f>H88/DAY(B2)</f>
        <v>-2.1826315789474298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'18 '!F89</f>
        <v>25574.16</v>
      </c>
      <c r="F89" s="164">
        <v>25583.95</v>
      </c>
      <c r="G89" s="616">
        <f t="shared" si="8"/>
        <v>9.7900000000008731</v>
      </c>
      <c r="H89" s="99">
        <f>G89+'18 '!H89</f>
        <v>-79.049999999999272</v>
      </c>
      <c r="I89" s="118"/>
      <c r="J89" s="175">
        <f>H89/DAY(B2)</f>
        <v>-4.1605263157894354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'18 '!F90</f>
        <v>70956.27</v>
      </c>
      <c r="F90" s="164">
        <v>70962.95</v>
      </c>
      <c r="G90" s="616">
        <f t="shared" si="8"/>
        <v>6.6799999999930151</v>
      </c>
      <c r="H90" s="99">
        <f>G90+'18 '!H90</f>
        <v>-71.05000000000291</v>
      </c>
      <c r="I90" s="118">
        <f>G89+G90</f>
        <v>16.469999999993888</v>
      </c>
      <c r="J90" s="175">
        <f>H90/DAY(B2)</f>
        <v>-3.7394736842106795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'18 '!F91</f>
        <v>3226.32</v>
      </c>
      <c r="F91" s="122">
        <v>3226.32</v>
      </c>
      <c r="G91" s="616">
        <f t="shared" si="8"/>
        <v>0</v>
      </c>
      <c r="H91" s="99">
        <f>G91+'18 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'18 '!F92</f>
        <v>5295.27</v>
      </c>
      <c r="F92" s="122">
        <v>5306.26</v>
      </c>
      <c r="G92" s="616">
        <f t="shared" si="8"/>
        <v>10.989999999999782</v>
      </c>
      <c r="H92" s="99">
        <f>G92+'18 '!H92</f>
        <v>-131.73999999999978</v>
      </c>
      <c r="I92" s="165"/>
      <c r="J92" s="175">
        <f>H92/DAY(B2)</f>
        <v>-6.9336842105263043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619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632">
        <f>G35+G43+G49+G57</f>
        <v>6214.8000000000065</v>
      </c>
      <c r="H94" s="99">
        <f>G94+'18 '!H94</f>
        <v>1947096.1300000001</v>
      </c>
      <c r="I94" s="118"/>
      <c r="J94" s="175">
        <f>H94/DAY(B2)</f>
        <v>102478.74368421054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633">
        <f>G94/G7</f>
        <v>0.26445957446808538</v>
      </c>
      <c r="H95" s="99">
        <f>G95+'18 '!H95</f>
        <v>83.316513709194879</v>
      </c>
      <c r="I95" s="167"/>
      <c r="J95" s="175">
        <f>H95/DAY(B2)</f>
        <v>4.3850796689049938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632">
        <f>G41+G42+G55+G56</f>
        <v>5180.5400000000009</v>
      </c>
      <c r="H96" s="99">
        <f>G96+'18 '!H96</f>
        <v>1117357.25</v>
      </c>
      <c r="I96" s="118"/>
      <c r="J96" s="175">
        <f>H96/DAY(B2)</f>
        <v>58808.276315789473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633">
        <f>G96/G7</f>
        <v>0.2204485106382979</v>
      </c>
      <c r="H97" s="99">
        <f>G97+'18 '!H97</f>
        <v>47.790071466642047</v>
      </c>
      <c r="I97" s="167"/>
      <c r="J97" s="175">
        <f>H97/DAY(B2)</f>
        <v>2.5152669192969497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632">
        <f>G39+G53</f>
        <v>3077.5599999999977</v>
      </c>
      <c r="H98" s="99">
        <f>G98+'18 '!H98</f>
        <v>399457.95</v>
      </c>
      <c r="I98" s="168"/>
      <c r="J98" s="175">
        <f>H98/DAY(B2)</f>
        <v>21024.10263157895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633">
        <f>G98/G7</f>
        <v>0.13095999999999991</v>
      </c>
      <c r="H99" s="99">
        <f>G99+'18 '!H99</f>
        <v>17.212160543162121</v>
      </c>
      <c r="I99" s="168"/>
      <c r="J99" s="175">
        <f>H99/DAY(B2)</f>
        <v>0.9059031864822169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632">
        <f>G38+G52</f>
        <v>2024.9400000000023</v>
      </c>
      <c r="H100" s="99">
        <f>G100+'18 '!H100</f>
        <v>222552.93</v>
      </c>
      <c r="I100" s="118"/>
      <c r="J100" s="175">
        <f>H100/DAY(B2)</f>
        <v>11713.312105263158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633">
        <f>G100/G7</f>
        <v>8.6167659574468189E-2</v>
      </c>
      <c r="H101" s="99">
        <f>G101+'18 '!H101</f>
        <v>9.6012091681109215</v>
      </c>
      <c r="I101" s="168"/>
      <c r="J101" s="175">
        <f>H101/DAY(B2)</f>
        <v>0.50532679832162741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632">
        <f>G36+G50</f>
        <v>2763.25</v>
      </c>
      <c r="H102" s="99">
        <f>G102+'18 '!H102</f>
        <v>803747.49</v>
      </c>
      <c r="I102" s="168"/>
      <c r="J102" s="175">
        <f>H102/DAY(B2)</f>
        <v>42302.499473684213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633">
        <f>G102/G7</f>
        <v>0.11758510638297873</v>
      </c>
      <c r="H103" s="99">
        <f>G103+'18 '!H103</f>
        <v>34.346359473993125</v>
      </c>
      <c r="I103" s="118"/>
      <c r="J103" s="175">
        <f>H103/DAY(B2)</f>
        <v>1.8077031302101645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632">
        <f>G37+G51</f>
        <v>1585.359999999986</v>
      </c>
      <c r="H104" s="99">
        <f>G104+'18 '!H104</f>
        <v>188463.83</v>
      </c>
      <c r="I104" s="118"/>
      <c r="J104" s="175">
        <f>H104/DAY(B2)</f>
        <v>9919.1489473684196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634">
        <f>G104/G7</f>
        <v>6.7462127659573878E-2</v>
      </c>
      <c r="H105" s="99">
        <f>G105+'18 '!H105</f>
        <v>8.1402023255402138</v>
      </c>
      <c r="I105" s="187"/>
      <c r="J105" s="188">
        <f>H105/DAY(B2)</f>
        <v>0.42843170134422176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35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637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'18 '!F112</f>
        <v>54763.519999999997</v>
      </c>
      <c r="F112" s="237">
        <v>54836.4</v>
      </c>
      <c r="G112" s="616">
        <f t="shared" ref="G112:G123" si="9">F112-E112</f>
        <v>72.880000000004657</v>
      </c>
      <c r="H112" s="99">
        <f>G112+'18 '!H112</f>
        <v>-844.59999999999854</v>
      </c>
      <c r="I112" s="165"/>
      <c r="J112" s="330">
        <f>H112/DAY(B2)</f>
        <v>-44.45263157894729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'18 '!F113</f>
        <v>26276.84</v>
      </c>
      <c r="F113" s="237">
        <v>26750.47</v>
      </c>
      <c r="G113" s="616">
        <f t="shared" si="9"/>
        <v>473.63000000000102</v>
      </c>
      <c r="H113" s="99">
        <f>G113+'18 '!H113</f>
        <v>-5444.5299999999988</v>
      </c>
      <c r="I113" s="165"/>
      <c r="J113" s="330">
        <f>H113/DAY(B2)</f>
        <v>-286.55421052631573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'18 '!F114</f>
        <v>20652.2</v>
      </c>
      <c r="F114" s="237">
        <v>21239</v>
      </c>
      <c r="G114" s="616">
        <f t="shared" si="9"/>
        <v>586.79999999999927</v>
      </c>
      <c r="H114" s="99">
        <f>G114+'18 '!H114</f>
        <v>-3789.1800000000021</v>
      </c>
      <c r="I114" s="165"/>
      <c r="J114" s="330">
        <f>H114/DAY(B2)</f>
        <v>-199.43052631578959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'18 '!F115</f>
        <v>8628.27</v>
      </c>
      <c r="F115" s="237">
        <v>8640.2199999999993</v>
      </c>
      <c r="G115" s="616">
        <f t="shared" si="9"/>
        <v>11.949999999998909</v>
      </c>
      <c r="H115" s="99">
        <f>G115+'18 '!H115</f>
        <v>-144.78000000000065</v>
      </c>
      <c r="I115" s="165"/>
      <c r="J115" s="330">
        <f>H115/DAY(B2)</f>
        <v>-7.6200000000000347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'18 '!F116</f>
        <v>0</v>
      </c>
      <c r="F116" s="237">
        <v>0</v>
      </c>
      <c r="G116" s="616">
        <f t="shared" si="9"/>
        <v>0</v>
      </c>
      <c r="H116" s="99">
        <f>G116+'18 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'18 '!F117</f>
        <v>2296.92</v>
      </c>
      <c r="F117" s="237">
        <v>2313.1799999999998</v>
      </c>
      <c r="G117" s="616">
        <f t="shared" si="9"/>
        <v>16.259999999999764</v>
      </c>
      <c r="H117" s="99">
        <f>G117+'18 '!H117</f>
        <v>-276.82000000000016</v>
      </c>
      <c r="I117" s="165"/>
      <c r="J117" s="330">
        <f>H117/DAY(B2)</f>
        <v>-14.569473684210536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'18 '!F118</f>
        <v>236613.79</v>
      </c>
      <c r="F118" s="237">
        <v>236963.45</v>
      </c>
      <c r="G118" s="616">
        <f t="shared" si="9"/>
        <v>349.66000000000349</v>
      </c>
      <c r="H118" s="99">
        <f>G118+'18 '!H118</f>
        <v>-4683.5499999999884</v>
      </c>
      <c r="I118" s="165"/>
      <c r="J118" s="330">
        <f>H118/DAY(B2)</f>
        <v>-246.50263157894676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'18 '!F119</f>
        <v>239589.73</v>
      </c>
      <c r="F119" s="237">
        <v>240051.83</v>
      </c>
      <c r="G119" s="616">
        <f t="shared" si="9"/>
        <v>462.09999999997672</v>
      </c>
      <c r="H119" s="99">
        <f>G119+'18 '!H119</f>
        <v>-5074.1700000000128</v>
      </c>
      <c r="I119" s="165"/>
      <c r="J119" s="330">
        <f>H119/DAY(B2)</f>
        <v>-267.06157894736907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'18 '!F120</f>
        <v>24657.47</v>
      </c>
      <c r="F120" s="237">
        <v>25067.9</v>
      </c>
      <c r="G120" s="616">
        <f t="shared" si="9"/>
        <v>410.43000000000029</v>
      </c>
      <c r="H120" s="99">
        <f>G120+'18 '!H120</f>
        <v>-5010.0999999999985</v>
      </c>
      <c r="I120" s="165"/>
      <c r="J120" s="330">
        <f>H120/DAY(B2)</f>
        <v>-263.68947368421044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'18 '!F121</f>
        <v>366372.37</v>
      </c>
      <c r="F121" s="237">
        <v>367136</v>
      </c>
      <c r="G121" s="616">
        <f t="shared" si="9"/>
        <v>763.63000000000466</v>
      </c>
      <c r="H121" s="99">
        <f>G121+'18 '!H121</f>
        <v>-9393</v>
      </c>
      <c r="I121" s="165"/>
      <c r="J121" s="330">
        <f>H121/DAY(B2)</f>
        <v>-494.36842105263156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'18 '!F122</f>
        <v>116984.31</v>
      </c>
      <c r="F122" s="237">
        <v>117349</v>
      </c>
      <c r="G122" s="616">
        <f t="shared" si="9"/>
        <v>364.69000000000233</v>
      </c>
      <c r="H122" s="99">
        <f>G122+'18 '!H122</f>
        <v>-2701</v>
      </c>
      <c r="I122" s="165"/>
      <c r="J122" s="330">
        <f>H122/DAY(B2)</f>
        <v>-142.15789473684211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'18 '!F123</f>
        <v>140514.25399999999</v>
      </c>
      <c r="F123" s="237">
        <v>140902</v>
      </c>
      <c r="G123" s="616">
        <f t="shared" si="9"/>
        <v>387.74600000001374</v>
      </c>
      <c r="H123" s="99">
        <f>G123+'18 '!H123</f>
        <v>-4223</v>
      </c>
      <c r="I123" s="165"/>
      <c r="J123" s="330">
        <f>H123/DAY(B2)</f>
        <v>-222.26315789473685</v>
      </c>
    </row>
    <row r="124" spans="1:18" ht="29.25" customHeight="1" x14ac:dyDescent="0.5">
      <c r="A124" s="839"/>
      <c r="B124" s="840"/>
      <c r="C124" s="841"/>
      <c r="D124" s="165"/>
      <c r="E124" s="95">
        <f>'18 '!F124</f>
        <v>0</v>
      </c>
      <c r="F124" s="165"/>
      <c r="G124" s="637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638">
        <f>SUM(G112:G124)</f>
        <v>3899.7760000000048</v>
      </c>
      <c r="H125" s="156"/>
      <c r="I125" s="329">
        <f>G125-(G39+G53)</f>
        <v>822.21600000000717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638"/>
      <c r="H127" s="99">
        <f>G127+'18 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'18 '!F128</f>
        <v>33686.199999999997</v>
      </c>
      <c r="F128" s="165">
        <v>34017.120000000003</v>
      </c>
      <c r="G128" s="616">
        <f t="shared" ref="G128:G134" si="10">F128-E128</f>
        <v>330.92000000000553</v>
      </c>
      <c r="H128" s="99">
        <f>G128+'18 '!H128</f>
        <v>-3986.8799999999974</v>
      </c>
      <c r="I128" s="165"/>
      <c r="J128" s="330">
        <f>H128/DAY(B2)</f>
        <v>-209.83578947368406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'18 '!F129</f>
        <v>17536.16</v>
      </c>
      <c r="F129" s="165">
        <v>17749.53</v>
      </c>
      <c r="G129" s="616">
        <f t="shared" si="10"/>
        <v>213.36999999999898</v>
      </c>
      <c r="H129" s="99">
        <f>G129+'18 '!H129</f>
        <v>-2571.4700000000012</v>
      </c>
      <c r="I129" s="165"/>
      <c r="J129" s="330">
        <f>H129/DAY(B2)</f>
        <v>-135.34052631578953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'18 '!F130</f>
        <v>8500.81</v>
      </c>
      <c r="F130" s="158">
        <v>9323.82</v>
      </c>
      <c r="G130" s="616">
        <f t="shared" si="10"/>
        <v>823.01000000000022</v>
      </c>
      <c r="H130" s="99">
        <f>G130+'18 '!H130</f>
        <v>-9058.1800000000021</v>
      </c>
      <c r="I130" s="165"/>
      <c r="J130" s="330">
        <f>H130/DAY(B2)</f>
        <v>-476.74631578947378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'18 '!F131</f>
        <v>11899.82</v>
      </c>
      <c r="F131" s="165">
        <v>11980.9</v>
      </c>
      <c r="G131" s="616">
        <f t="shared" si="10"/>
        <v>81.079999999999927</v>
      </c>
      <c r="H131" s="99">
        <f>G131+'18 '!H131</f>
        <v>-1172.1000000000004</v>
      </c>
      <c r="I131" s="165"/>
      <c r="J131" s="330">
        <f>H131/DAY(B2)</f>
        <v>-61.689473684210547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'18 '!F132</f>
        <v>160.80000000000001</v>
      </c>
      <c r="F132" s="165">
        <v>309.93</v>
      </c>
      <c r="G132" s="616">
        <f t="shared" si="10"/>
        <v>149.13</v>
      </c>
      <c r="H132" s="99">
        <f>G132+'18 '!H132</f>
        <v>-7136.5599999999995</v>
      </c>
      <c r="I132" s="165"/>
      <c r="J132" s="330">
        <f>H132/DAY(B2)</f>
        <v>-375.60842105263157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'18 '!F133</f>
        <v>78665.48</v>
      </c>
      <c r="F133" s="165">
        <v>79524.36</v>
      </c>
      <c r="G133" s="616">
        <f t="shared" si="10"/>
        <v>858.88000000000466</v>
      </c>
      <c r="H133" s="99">
        <f>G133+'18 '!H133</f>
        <v>-8178.6399999999994</v>
      </c>
      <c r="I133" s="165"/>
      <c r="J133" s="330">
        <f>H133/DAY(B2)</f>
        <v>-430.45473684210521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'18 '!F134</f>
        <v>662384</v>
      </c>
      <c r="F134" s="165">
        <v>663024</v>
      </c>
      <c r="G134" s="616">
        <f t="shared" si="10"/>
        <v>640</v>
      </c>
      <c r="H134" s="99">
        <f>G134+'18 '!H134</f>
        <v>11890</v>
      </c>
      <c r="I134" s="165"/>
      <c r="J134" s="330">
        <f>H134/DAY(B2)</f>
        <v>625.78947368421052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616">
        <f>SUM(G128:G134)</f>
        <v>3096.3900000000094</v>
      </c>
      <c r="H135" s="99">
        <f>G135+'10'!H135</f>
        <v>-44651.609999999993</v>
      </c>
      <c r="I135" s="329">
        <f>G135-(G35+G49)</f>
        <v>-323.64999999999873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637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'18 '!F138</f>
        <v>862719</v>
      </c>
      <c r="F138" s="147">
        <v>862833</v>
      </c>
      <c r="G138" s="616">
        <f t="shared" ref="G138:G152" si="11">F138-E138</f>
        <v>114</v>
      </c>
      <c r="H138" s="99">
        <f>G138+'18 '!H138</f>
        <v>-1338</v>
      </c>
      <c r="I138" s="118"/>
      <c r="J138" s="330">
        <f>H138/DAY(B2)</f>
        <v>-70.421052631578945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'18 '!F139</f>
        <v>886440</v>
      </c>
      <c r="F139" s="148">
        <v>886455</v>
      </c>
      <c r="G139" s="616">
        <f t="shared" si="11"/>
        <v>15</v>
      </c>
      <c r="H139" s="99">
        <f>G139+'18 '!H139</f>
        <v>-91</v>
      </c>
      <c r="I139" s="118"/>
      <c r="J139" s="330">
        <f>H139/DAY(B2)</f>
        <v>-4.7894736842105265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'18 '!F140</f>
        <v>88877.5</v>
      </c>
      <c r="F140" s="149">
        <v>88878.8</v>
      </c>
      <c r="G140" s="616">
        <f t="shared" si="11"/>
        <v>1.3000000000029104</v>
      </c>
      <c r="H140" s="99">
        <f>G140+'18 '!H140</f>
        <v>-3.1999999999970896</v>
      </c>
      <c r="I140" s="118"/>
      <c r="J140" s="330">
        <f>H140/DAY(B2)</f>
        <v>-0.16842105263142576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'18 '!F141</f>
        <v>46715.63</v>
      </c>
      <c r="F141" s="149">
        <v>46918.79</v>
      </c>
      <c r="G141" s="616">
        <f t="shared" si="11"/>
        <v>203.16000000000349</v>
      </c>
      <c r="H141" s="99">
        <f>G141+'18 '!H141</f>
        <v>-2387.2099999999991</v>
      </c>
      <c r="I141" s="118"/>
      <c r="J141" s="330">
        <f>H141/DAY(B2)</f>
        <v>-125.64263157894732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'18 '!F142</f>
        <v>18031.2</v>
      </c>
      <c r="F142" s="148">
        <v>18109.099999999999</v>
      </c>
      <c r="G142" s="616">
        <f t="shared" si="11"/>
        <v>77.899999999997817</v>
      </c>
      <c r="H142" s="99">
        <f>G142+'18 '!H142</f>
        <v>-899.90000000000146</v>
      </c>
      <c r="I142" s="140"/>
      <c r="J142" s="330">
        <f>H142/DAY(B2)</f>
        <v>-47.363157894736922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'18 '!F143</f>
        <v>2743.26</v>
      </c>
      <c r="F143" s="149">
        <v>2772.57</v>
      </c>
      <c r="G143" s="616">
        <f t="shared" si="11"/>
        <v>29.309999999999945</v>
      </c>
      <c r="H143" s="99">
        <f>G143+'18 '!H143</f>
        <v>-288.42999999999984</v>
      </c>
      <c r="I143" s="140"/>
      <c r="J143" s="330">
        <f>H143/DAY(B2)</f>
        <v>-15.180526315789464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'18 '!F144</f>
        <v>866554</v>
      </c>
      <c r="F144" s="149">
        <v>866786</v>
      </c>
      <c r="G144" s="616">
        <f t="shared" si="11"/>
        <v>232</v>
      </c>
      <c r="H144" s="99">
        <f>G144+'18 '!H144</f>
        <v>-2884</v>
      </c>
      <c r="I144" s="140"/>
      <c r="J144" s="330">
        <f>H144/DAY(B2)</f>
        <v>-151.78947368421052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'18 '!F145</f>
        <v>4298.5200000000004</v>
      </c>
      <c r="F145" s="149">
        <v>4336.97</v>
      </c>
      <c r="G145" s="616">
        <f t="shared" si="11"/>
        <v>38.449999999999818</v>
      </c>
      <c r="H145" s="99">
        <f>G145+'18 '!H145</f>
        <v>-221.02999999999975</v>
      </c>
      <c r="I145" s="140"/>
      <c r="J145" s="330">
        <f>H145/DAY(B2)</f>
        <v>-11.633157894736829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'18 '!F146</f>
        <v>718527</v>
      </c>
      <c r="F146" s="148">
        <v>719016</v>
      </c>
      <c r="G146" s="616">
        <f t="shared" si="11"/>
        <v>489</v>
      </c>
      <c r="H146" s="99">
        <f>G146+'18 '!H146</f>
        <v>-5842</v>
      </c>
      <c r="I146" s="140"/>
      <c r="J146" s="330">
        <f>H146/DAY(B2)</f>
        <v>-307.4736842105263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'18 '!F147</f>
        <v>609888.04</v>
      </c>
      <c r="F147" s="148">
        <v>610354.43999999994</v>
      </c>
      <c r="G147" s="616">
        <f t="shared" si="11"/>
        <v>466.39999999990687</v>
      </c>
      <c r="H147" s="99">
        <f>G147+'18 '!H147</f>
        <v>-4927.5600000000559</v>
      </c>
      <c r="I147" s="140"/>
      <c r="J147" s="330">
        <f>H147/DAY(B2)</f>
        <v>-259.3452631578977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'18 '!F148</f>
        <v>679151.76</v>
      </c>
      <c r="F148" s="150">
        <v>679520.75</v>
      </c>
      <c r="G148" s="616">
        <f t="shared" si="11"/>
        <v>368.98999999999069</v>
      </c>
      <c r="H148" s="99">
        <f>G148+'18 '!H148</f>
        <v>-3512.3699999999953</v>
      </c>
      <c r="I148" s="124"/>
      <c r="J148" s="330">
        <f>H148/DAY(B2)</f>
        <v>-184.86157894736817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v>3454</v>
      </c>
      <c r="F149" s="502">
        <v>4030</v>
      </c>
      <c r="G149" s="616">
        <f t="shared" si="11"/>
        <v>576</v>
      </c>
      <c r="H149" s="99">
        <f>G149+'18 '!H149</f>
        <v>180521</v>
      </c>
      <c r="I149" s="119"/>
      <c r="J149" s="330">
        <f>H149/DAY(B2)</f>
        <v>9501.105263157895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'18 '!F150</f>
        <v>1104.3499999999999</v>
      </c>
      <c r="F150" s="233">
        <v>1329.32</v>
      </c>
      <c r="G150" s="616">
        <f t="shared" si="11"/>
        <v>224.97000000000003</v>
      </c>
      <c r="H150" s="99">
        <f>G150+'18 '!H150</f>
        <v>7164317.3200000003</v>
      </c>
      <c r="I150" s="119"/>
      <c r="J150" s="330">
        <f>H150/DAY(B2)</f>
        <v>377069.33263157896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'18 '!F151</f>
        <v>75189</v>
      </c>
      <c r="F151" s="233">
        <v>75412</v>
      </c>
      <c r="G151" s="616">
        <f t="shared" si="11"/>
        <v>223</v>
      </c>
      <c r="H151" s="99">
        <f>G151+'18 '!H151</f>
        <v>-2805</v>
      </c>
      <c r="I151" s="119"/>
      <c r="J151" s="330">
        <f>H151/DAY(B2)</f>
        <v>-147.63157894736841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'18 '!F152</f>
        <v>476</v>
      </c>
      <c r="F152" s="233">
        <v>528.4</v>
      </c>
      <c r="G152" s="616">
        <f t="shared" si="11"/>
        <v>52.399999999999977</v>
      </c>
      <c r="H152" s="99">
        <f>G152+'18 '!H152</f>
        <v>-598.6</v>
      </c>
      <c r="I152" s="119"/>
      <c r="J152" s="330">
        <f>H152/DAY(B2)</f>
        <v>-31.505263157894738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639">
        <f>SUM(G138:G152)</f>
        <v>3111.8799999999014</v>
      </c>
      <c r="H153" s="365"/>
      <c r="I153" s="119">
        <f>G153-(G38+G52)</f>
        <v>1086.9399999998991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'18 '!F155</f>
        <v>4166</v>
      </c>
      <c r="F155" s="157">
        <v>4855</v>
      </c>
      <c r="G155" s="616">
        <f t="shared" ref="G155:G158" si="12">F155-E155</f>
        <v>689</v>
      </c>
      <c r="H155" s="99">
        <f>G155+'18 '!H155</f>
        <v>68999.999999999985</v>
      </c>
      <c r="I155" s="366"/>
      <c r="J155" s="330">
        <f>H155/DAY(B2)</f>
        <v>3631.5789473684204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'18 '!F156</f>
        <v>342</v>
      </c>
      <c r="F156" s="157">
        <v>397</v>
      </c>
      <c r="G156" s="616">
        <f t="shared" si="12"/>
        <v>55</v>
      </c>
      <c r="H156" s="99">
        <f>G156+'18 '!H156</f>
        <v>-691</v>
      </c>
      <c r="I156" s="165"/>
      <c r="J156" s="330">
        <f>H156/DAY(B2)</f>
        <v>-36.368421052631582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'18 '!F157</f>
        <v>351.92</v>
      </c>
      <c r="F157" s="376">
        <v>420.13</v>
      </c>
      <c r="G157" s="616">
        <f t="shared" si="12"/>
        <v>68.20999999999998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'18 '!F158</f>
        <v>0</v>
      </c>
      <c r="F158" s="376">
        <v>0</v>
      </c>
      <c r="G158" s="616">
        <f t="shared" si="12"/>
        <v>0</v>
      </c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616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471137.84</v>
      </c>
      <c r="F161" s="235">
        <v>471140.92</v>
      </c>
      <c r="G161" s="640">
        <f t="shared" ref="G161:G165" si="13">F161-E161</f>
        <v>3.0799999999580905</v>
      </c>
      <c r="H161" s="99">
        <f>G161+'18 '!H161</f>
        <v>-12.239999999990687</v>
      </c>
      <c r="I161" s="236"/>
      <c r="J161" s="239">
        <f>H161/DAY(B2)</f>
        <v>-0.64421052631529929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87203.5</v>
      </c>
      <c r="F162" s="235">
        <v>87215.5</v>
      </c>
      <c r="G162" s="640">
        <f t="shared" si="13"/>
        <v>12</v>
      </c>
      <c r="H162" s="99">
        <f>G162+'18 '!H162</f>
        <v>-354.5</v>
      </c>
      <c r="I162" s="236"/>
      <c r="J162" s="239">
        <f>H162/DAY(B2)</f>
        <v>-18.657894736842106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77007.100000000006</v>
      </c>
      <c r="F163" s="235">
        <v>77042.7</v>
      </c>
      <c r="G163" s="640">
        <f t="shared" si="13"/>
        <v>35.599999999991269</v>
      </c>
      <c r="H163" s="99">
        <f>G163+'18 '!H163</f>
        <v>-782.30000000000291</v>
      </c>
      <c r="I163" s="236"/>
      <c r="J163" s="239">
        <f>H163/DAY(B2)</f>
        <v>-41.173684210526467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4192.3</v>
      </c>
      <c r="F164" s="235">
        <v>4193.3</v>
      </c>
      <c r="G164" s="640">
        <f t="shared" si="13"/>
        <v>1</v>
      </c>
      <c r="H164" s="99">
        <f>G164+'18 '!H164</f>
        <v>-48.699999999999818</v>
      </c>
      <c r="I164" s="236"/>
      <c r="J164" s="239">
        <f>H164/DAY(B2)</f>
        <v>-2.5631578947368325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29559.93</v>
      </c>
      <c r="F165" s="235">
        <v>29560.47</v>
      </c>
      <c r="G165" s="640">
        <f t="shared" si="13"/>
        <v>0.54000000000087311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 x14ac:dyDescent="0.5">
      <c r="A166" s="824"/>
      <c r="B166" s="824"/>
      <c r="C166" s="246"/>
      <c r="D166" s="244" t="s">
        <v>180</v>
      </c>
      <c r="E166" s="95">
        <f>'18 '!F166</f>
        <v>0</v>
      </c>
      <c r="F166" s="165"/>
      <c r="G166" s="637"/>
      <c r="H166" s="99">
        <f>G166+'18 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'18 '!F167</f>
        <v>0</v>
      </c>
      <c r="F167" s="165"/>
      <c r="G167" s="637"/>
      <c r="H167" s="99">
        <f>G167+'18 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'18 '!F168</f>
        <v>0</v>
      </c>
      <c r="F168" s="165"/>
      <c r="G168" s="637"/>
      <c r="H168" s="99">
        <f>G168+'18 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641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'18 '!F173</f>
        <v>8110</v>
      </c>
      <c r="F173" s="157">
        <v>8110</v>
      </c>
      <c r="G173" s="641">
        <f>F173-E173</f>
        <v>0</v>
      </c>
      <c r="H173" s="99">
        <f>G173+'18 '!H173</f>
        <v>-16</v>
      </c>
      <c r="I173" s="155"/>
      <c r="J173" s="178">
        <f>H173/DAY(B2)</f>
        <v>-0.84210526315789469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'18 '!F174</f>
        <v>38099</v>
      </c>
      <c r="F174" s="157">
        <v>38114</v>
      </c>
      <c r="G174" s="641">
        <f t="shared" ref="G174:G175" si="14">F174-E174</f>
        <v>15</v>
      </c>
      <c r="H174" s="99">
        <f>G174+'18 '!H174</f>
        <v>-173</v>
      </c>
      <c r="I174" s="155"/>
      <c r="J174" s="178">
        <f>H174/DAY(B2)</f>
        <v>-9.1052631578947363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'18 '!F175</f>
        <v>21369</v>
      </c>
      <c r="F175" s="155">
        <v>21380</v>
      </c>
      <c r="G175" s="641">
        <f t="shared" si="14"/>
        <v>11</v>
      </c>
      <c r="H175" s="99">
        <f>G175+'18 '!H175</f>
        <v>-138</v>
      </c>
      <c r="I175" s="155"/>
      <c r="J175" s="178">
        <f>H175/DAY(B2)</f>
        <v>-7.2631578947368425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641">
        <f>SUM(G173:G175)</f>
        <v>26</v>
      </c>
      <c r="H176" s="99">
        <f>G176+'18 '!H176</f>
        <v>-327</v>
      </c>
      <c r="I176" s="155"/>
      <c r="J176" s="178">
        <f>H176/DAY(B2)</f>
        <v>-17.210526315789473</v>
      </c>
    </row>
    <row r="177" spans="1:11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641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28" t="s">
        <v>210</v>
      </c>
      <c r="B178" s="829"/>
      <c r="C178" s="335"/>
      <c r="D178" s="228" t="s">
        <v>142</v>
      </c>
      <c r="E178" s="95">
        <f>'18 '!F178</f>
        <v>78714</v>
      </c>
      <c r="F178" s="155">
        <v>78788</v>
      </c>
      <c r="G178" s="641">
        <f>F178-E178</f>
        <v>74</v>
      </c>
      <c r="H178" s="99">
        <f>G178+'18 '!H178</f>
        <v>-826</v>
      </c>
      <c r="I178" s="155"/>
      <c r="J178" s="178">
        <f>H178/DAY(B2)</f>
        <v>-43.473684210526315</v>
      </c>
    </row>
    <row r="179" spans="1:11" ht="27.75" x14ac:dyDescent="0.5">
      <c r="A179" s="828" t="s">
        <v>211</v>
      </c>
      <c r="B179" s="829"/>
      <c r="C179" s="335"/>
      <c r="D179" s="228" t="s">
        <v>142</v>
      </c>
      <c r="E179" s="95">
        <f>'18 '!F179</f>
        <v>33915</v>
      </c>
      <c r="F179" s="155">
        <v>33915</v>
      </c>
      <c r="G179" s="641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7.75" x14ac:dyDescent="0.5">
      <c r="A180" s="828" t="s">
        <v>212</v>
      </c>
      <c r="B180" s="829"/>
      <c r="C180" s="335"/>
      <c r="D180" s="228" t="s">
        <v>142</v>
      </c>
      <c r="E180" s="95">
        <f>'18 '!F180</f>
        <v>5396</v>
      </c>
      <c r="F180" s="155">
        <v>5397</v>
      </c>
      <c r="G180" s="641">
        <f t="shared" si="15"/>
        <v>1</v>
      </c>
      <c r="H180" s="99">
        <f>G180+'18 '!H180</f>
        <v>-80</v>
      </c>
      <c r="I180" s="155"/>
      <c r="J180" s="178">
        <f>H180/DAY(B2)</f>
        <v>-4.2105263157894735</v>
      </c>
    </row>
    <row r="181" spans="1:11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641">
        <f>SUM(G178:G180)</f>
        <v>75</v>
      </c>
      <c r="H181" s="99">
        <f>G181+'18 '!H181</f>
        <v>-906</v>
      </c>
      <c r="I181" s="155"/>
      <c r="J181" s="178">
        <f>H181/DAY(B2)</f>
        <v>-47.684210526315788</v>
      </c>
    </row>
    <row r="182" spans="1:11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641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28" t="s">
        <v>214</v>
      </c>
      <c r="B183" s="829"/>
      <c r="C183" s="336"/>
      <c r="D183" s="228" t="s">
        <v>142</v>
      </c>
      <c r="E183" s="95">
        <f>'18 '!F183</f>
        <v>14739</v>
      </c>
      <c r="F183" s="157">
        <v>14773</v>
      </c>
      <c r="G183" s="642">
        <f>F183-E183</f>
        <v>34</v>
      </c>
      <c r="H183" s="99">
        <f>G183+'18 '!H183</f>
        <v>-174</v>
      </c>
      <c r="I183" s="155"/>
      <c r="J183" s="178">
        <f>H183/DAY(B2)</f>
        <v>-9.1578947368421044</v>
      </c>
    </row>
    <row r="184" spans="1:11" ht="27.75" x14ac:dyDescent="0.5">
      <c r="A184" s="828" t="s">
        <v>215</v>
      </c>
      <c r="B184" s="829"/>
      <c r="C184" s="336"/>
      <c r="D184" s="228" t="s">
        <v>142</v>
      </c>
      <c r="E184" s="95">
        <f>'18 '!F184</f>
        <v>10199</v>
      </c>
      <c r="F184" s="157">
        <v>10212</v>
      </c>
      <c r="G184" s="642">
        <f t="shared" ref="G184:G185" si="16">F184-E184</f>
        <v>13</v>
      </c>
      <c r="H184" s="99">
        <f>G184+'18 '!H184</f>
        <v>-89</v>
      </c>
      <c r="I184" s="155"/>
      <c r="J184" s="178">
        <f>H184/DAY(B2)</f>
        <v>-4.6842105263157894</v>
      </c>
    </row>
    <row r="185" spans="1:11" ht="30.75" customHeight="1" x14ac:dyDescent="0.5">
      <c r="A185" s="828" t="s">
        <v>216</v>
      </c>
      <c r="B185" s="829"/>
      <c r="C185" s="336"/>
      <c r="D185" s="228" t="s">
        <v>142</v>
      </c>
      <c r="E185" s="95">
        <f>'18 '!F185</f>
        <v>0</v>
      </c>
      <c r="F185" s="157"/>
      <c r="G185" s="642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642">
        <f>SUM(G183:G185)</f>
        <v>47</v>
      </c>
      <c r="H186" s="99">
        <f>G186+'18 '!H186</f>
        <v>-263</v>
      </c>
      <c r="I186" s="157"/>
      <c r="J186" s="178">
        <f>H186/DAY(B2)</f>
        <v>-13.842105263157896</v>
      </c>
    </row>
    <row r="187" spans="1:11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643">
        <f>G62+G19</f>
        <v>185</v>
      </c>
      <c r="H187" s="99">
        <f>G187+'18 '!H187</f>
        <v>-355</v>
      </c>
      <c r="I187" s="158"/>
      <c r="J187" s="179">
        <f>H187/DAY(B2)</f>
        <v>-18.684210526315791</v>
      </c>
    </row>
    <row r="188" spans="1:11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643">
        <f>G65+G66+G67+G69+G70</f>
        <v>214</v>
      </c>
      <c r="H188" s="99">
        <f>G188+'18 '!H188</f>
        <v>911</v>
      </c>
      <c r="I188" s="158"/>
      <c r="J188" s="179">
        <f>H188/DAY(B2)</f>
        <v>47.94736842105263</v>
      </c>
    </row>
    <row r="189" spans="1:11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643">
        <f>G181</f>
        <v>75</v>
      </c>
      <c r="H189" s="99">
        <f>G189+'30'!H238</f>
        <v>75</v>
      </c>
      <c r="I189" s="158"/>
      <c r="J189" s="179">
        <f>H189/DAY(B2)</f>
        <v>3.9473684210526314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9">
        <f>'18 '!G190</f>
        <v>52871</v>
      </c>
      <c r="G190" s="637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03" zoomScale="55" zoomScaleSheetLayoutView="55" zoomScalePageLayoutView="78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356</v>
      </c>
      <c r="B2" s="262">
        <v>44550</v>
      </c>
      <c r="C2" s="350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504978</v>
      </c>
      <c r="F7" s="95">
        <f>E7+23500</f>
        <v>528478</v>
      </c>
      <c r="G7" s="112">
        <f>F7-E7</f>
        <v>23500</v>
      </c>
      <c r="H7" s="99">
        <f>G7+'19'!H7</f>
        <v>433917</v>
      </c>
      <c r="I7" s="113">
        <v>24000</v>
      </c>
      <c r="J7" s="175">
        <f>H7/DAY(B2)</f>
        <v>21695.85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554937</v>
      </c>
      <c r="F8" s="95">
        <f>E8+23500</f>
        <v>578437</v>
      </c>
      <c r="G8" s="115">
        <f>F8-E8</f>
        <v>23500</v>
      </c>
      <c r="H8" s="99">
        <f>G8+'19'!H8</f>
        <v>437552</v>
      </c>
      <c r="I8" s="116"/>
      <c r="J8" s="175">
        <f>H8/DAY(B2)</f>
        <v>21877.599999999999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151657</v>
      </c>
      <c r="F9" s="605">
        <f>E9+14000</f>
        <v>165657</v>
      </c>
      <c r="G9" s="112">
        <f>F9-E9</f>
        <v>14000</v>
      </c>
      <c r="H9" s="99">
        <f>G9+'19'!H9</f>
        <v>264162</v>
      </c>
      <c r="I9" s="124">
        <f>I7-J7</f>
        <v>2304.1500000000015</v>
      </c>
      <c r="J9" s="175">
        <f>H9/DAY(B2)</f>
        <v>13208.1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502550</v>
      </c>
      <c r="F10" s="355">
        <f>E10+4500</f>
        <v>507050</v>
      </c>
      <c r="G10" s="112">
        <f t="shared" ref="G10:G12" si="0">F10-E10</f>
        <v>4500</v>
      </c>
      <c r="H10" s="99">
        <f>G10+'19'!H10</f>
        <v>109940</v>
      </c>
      <c r="I10" s="282"/>
      <c r="J10" s="175">
        <f>H10/DAY(B2)</f>
        <v>5497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G13+'19'!H13</f>
        <v>354636.74999999988</v>
      </c>
      <c r="I13" s="120">
        <f>G7-G13</f>
        <v>5000</v>
      </c>
      <c r="J13" s="175">
        <f>H13/DAY(B2)</f>
        <v>17731.837499999994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'19'!F15</f>
        <v>1865026</v>
      </c>
      <c r="F15" s="123">
        <f>E15+1100</f>
        <v>1866126</v>
      </c>
      <c r="G15" s="112">
        <f>(F15-E15)</f>
        <v>1100</v>
      </c>
      <c r="H15" s="99">
        <f>G15+'19'!H15</f>
        <v>20269</v>
      </c>
      <c r="I15" s="113">
        <f>'1'!I15</f>
        <v>800</v>
      </c>
      <c r="J15" s="175">
        <f>H15/DAY(B2)</f>
        <v>1013.45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-213.45000000000005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'19'!F18</f>
        <v>135</v>
      </c>
      <c r="F18" s="122">
        <f>E18+12</f>
        <v>147</v>
      </c>
      <c r="G18" s="119">
        <f>F18*10</f>
        <v>1470</v>
      </c>
      <c r="H18" s="99">
        <f>G18+'19'!H18</f>
        <v>10790</v>
      </c>
      <c r="I18" s="113">
        <f>'1'!I18</f>
        <v>65</v>
      </c>
      <c r="J18" s="175">
        <f>H18/DAY(B2)</f>
        <v>539.5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'19'!F19</f>
        <v>153245</v>
      </c>
      <c r="F19" s="122">
        <f>E19+55</f>
        <v>153300</v>
      </c>
      <c r="G19" s="112">
        <f t="shared" ref="G19" si="1">F19-E19</f>
        <v>55</v>
      </c>
      <c r="H19" s="99">
        <f>G19+'19'!H19</f>
        <v>1075</v>
      </c>
      <c r="I19" s="337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1525</v>
      </c>
      <c r="H20" s="99">
        <f>G20+'19'!H20</f>
        <v>11865</v>
      </c>
      <c r="I20" s="338">
        <f>I18-J20</f>
        <v>-528.25</v>
      </c>
      <c r="J20" s="175">
        <f>H20/DAY(B2)</f>
        <v>593.25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G27+'19'!H27</f>
        <v>3937968</v>
      </c>
      <c r="I27" s="138"/>
      <c r="J27" s="175">
        <f>H27/DAY(B2)</f>
        <v>196898.4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G28+'19'!H28</f>
        <v>1053988</v>
      </c>
      <c r="I28" s="140"/>
      <c r="J28" s="175">
        <f>H28/DAY(B2)</f>
        <v>52699.4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G30+'19'!H30</f>
        <v>156950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1470</v>
      </c>
      <c r="F31" s="136">
        <v>80</v>
      </c>
      <c r="G31" s="137">
        <f>E31*F31</f>
        <v>117600</v>
      </c>
      <c r="H31" s="99">
        <f>G31+'19'!H31</f>
        <v>863200</v>
      </c>
      <c r="I31" s="140"/>
      <c r="J31" s="175">
        <f>H31/DAY(B2)</f>
        <v>43160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394330</v>
      </c>
      <c r="H32" s="99">
        <f>G32+'19'!H32</f>
        <v>6012106</v>
      </c>
      <c r="I32" s="144"/>
      <c r="J32" s="175">
        <f>H32/DAY(B2)</f>
        <v>300605.3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131972.82999999999</v>
      </c>
      <c r="F35" s="145">
        <v>133715.63</v>
      </c>
      <c r="G35" s="112">
        <f t="shared" ref="G35:G46" si="3">F35-E35</f>
        <v>1742.8000000000175</v>
      </c>
      <c r="H35" s="99">
        <f>G35+'19'!H35</f>
        <v>148915.63</v>
      </c>
      <c r="I35" s="95"/>
      <c r="J35" s="175">
        <f>H35/DAY(B2)</f>
        <v>7445.7815000000001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10261</v>
      </c>
      <c r="F36" s="145">
        <v>11187.36</v>
      </c>
      <c r="G36" s="112">
        <f t="shared" si="3"/>
        <v>926.36000000000058</v>
      </c>
      <c r="H36" s="99">
        <f>G36+'19'!H36</f>
        <v>79390.36</v>
      </c>
      <c r="I36" s="95"/>
      <c r="J36" s="175">
        <f>H36/DAY(B2)</f>
        <v>3969.518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176251.83</v>
      </c>
      <c r="F37" s="506">
        <v>177881.65</v>
      </c>
      <c r="G37" s="112">
        <f t="shared" si="3"/>
        <v>1629.820000000007</v>
      </c>
      <c r="H37" s="99">
        <f>G37+'19'!H37</f>
        <v>190093.65</v>
      </c>
      <c r="I37" s="95"/>
      <c r="J37" s="175">
        <f>H37/DAY(B2)</f>
        <v>9504.682499999999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209352.93</v>
      </c>
      <c r="F38" s="106">
        <v>211328.03</v>
      </c>
      <c r="G38" s="112">
        <f t="shared" si="3"/>
        <v>1975.1000000000058</v>
      </c>
      <c r="H38" s="99">
        <f>G38+'19'!H38</f>
        <v>224528.03</v>
      </c>
      <c r="I38" s="95"/>
      <c r="J38" s="175">
        <f>H38/DAY(B2)</f>
        <v>11226.4015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377775.95</v>
      </c>
      <c r="F39" s="506">
        <v>380625.63</v>
      </c>
      <c r="G39" s="112">
        <f t="shared" si="3"/>
        <v>2849.679999999993</v>
      </c>
      <c r="H39" s="99">
        <f>G39+'19'!H39</f>
        <v>402307.63</v>
      </c>
      <c r="I39" s="95"/>
      <c r="J39" s="175">
        <f>H39/DAY(B2)</f>
        <v>20115.3815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48.2</v>
      </c>
      <c r="F40" s="145">
        <v>206.68</v>
      </c>
      <c r="G40" s="112">
        <f t="shared" si="3"/>
        <v>158.48000000000002</v>
      </c>
      <c r="H40" s="99">
        <f>G40+'19'!H40</f>
        <v>-4863.17</v>
      </c>
      <c r="I40" s="95"/>
      <c r="J40" s="175">
        <f>H40/DAY(B2)</f>
        <v>-243.1585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599900</v>
      </c>
      <c r="I41" s="95"/>
      <c r="J41" s="175">
        <f>H41/DAY(B2)</f>
        <v>29995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25052.25</v>
      </c>
      <c r="F42" s="145">
        <v>29584.51</v>
      </c>
      <c r="G42" s="112">
        <f t="shared" si="3"/>
        <v>4532.2599999999984</v>
      </c>
      <c r="H42" s="99">
        <f>G42+'19'!H42</f>
        <v>313435.51</v>
      </c>
      <c r="I42" s="95"/>
      <c r="J42" s="175">
        <f>H42/DAY(B2)</f>
        <v>15671.7755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15511.63</v>
      </c>
      <c r="F43" s="145">
        <v>18230.59</v>
      </c>
      <c r="G43" s="112">
        <f t="shared" si="3"/>
        <v>2718.9600000000009</v>
      </c>
      <c r="H43" s="99">
        <f>G43+'19'!H43</f>
        <v>1535650.5899999999</v>
      </c>
      <c r="I43" s="95"/>
      <c r="J43" s="175">
        <f>H43/DAY(B2)</f>
        <v>76782.52949999999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16533.460000000021</v>
      </c>
      <c r="H47" s="99">
        <f>G47+'19'!H47</f>
        <v>3489358.23</v>
      </c>
      <c r="I47" s="95"/>
      <c r="J47" s="175">
        <f>H47/DAY(B2)</f>
        <v>174467.91149999999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253870.67</v>
      </c>
      <c r="F49" s="145">
        <v>255613.45</v>
      </c>
      <c r="G49" s="112">
        <f t="shared" ref="G49:G58" si="4">F49-E49</f>
        <v>1742.7799999999988</v>
      </c>
      <c r="H49" s="99">
        <f>G49+'19'!H49</f>
        <v>268734.45000000007</v>
      </c>
      <c r="I49" s="95"/>
      <c r="J49" s="175">
        <f>H49/DAY(B2)</f>
        <v>13436.722500000003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10858.49</v>
      </c>
      <c r="F50" s="145">
        <v>11973.2</v>
      </c>
      <c r="G50" s="112">
        <f t="shared" si="4"/>
        <v>1114.7100000000009</v>
      </c>
      <c r="H50" s="99">
        <f>G50+'19'!H50</f>
        <v>726398.20000000007</v>
      </c>
      <c r="I50" s="95"/>
      <c r="J50" s="175">
        <f>H50/DAY(B2)</f>
        <v>36319.910000000003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3130.82</v>
      </c>
      <c r="F54" s="145">
        <v>3135.28</v>
      </c>
      <c r="G54" s="112">
        <f t="shared" si="4"/>
        <v>4.4600000000000364</v>
      </c>
      <c r="H54" s="99">
        <f>G54+'19'!H54</f>
        <v>4902.3600000000006</v>
      </c>
      <c r="I54" s="95"/>
      <c r="J54" s="175">
        <f>H54/DAY(B2)</f>
        <v>245.11800000000002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0</v>
      </c>
      <c r="F55" s="145">
        <v>0</v>
      </c>
      <c r="G55" s="112">
        <v>0</v>
      </c>
      <c r="H55" s="99">
        <f>G55+'19'!H55</f>
        <v>-3511</v>
      </c>
      <c r="I55" s="95"/>
      <c r="J55" s="175">
        <f>H55/DAY(B2)</f>
        <v>-175.55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212065</v>
      </c>
      <c r="I56" s="95"/>
      <c r="J56" s="175">
        <f>H56/DAY(B2)</f>
        <v>10603.25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89681.45</v>
      </c>
      <c r="F58" s="145">
        <v>89908.87</v>
      </c>
      <c r="G58" s="112">
        <f t="shared" si="4"/>
        <v>227.41999999999825</v>
      </c>
      <c r="H58" s="99">
        <f>G58+'19'!H58</f>
        <v>90249.5</v>
      </c>
      <c r="I58" s="95"/>
      <c r="J58" s="175">
        <f>H58/DAY(B2)</f>
        <v>4512.4750000000004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3089.3699999999981</v>
      </c>
      <c r="H59" s="99">
        <f>G59+'19'!H59</f>
        <v>1298838.5100000002</v>
      </c>
      <c r="I59" s="95">
        <f>G7-G60</f>
        <v>3877.1699999999801</v>
      </c>
      <c r="J59" s="175">
        <f>H59/DAY(B2)</f>
        <v>64941.925500000012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19622.83000000002</v>
      </c>
      <c r="H60" s="99">
        <f>G60+'19'!H60</f>
        <v>4788196.74</v>
      </c>
      <c r="I60" s="95">
        <f>G13-G60</f>
        <v>-1122.8300000000199</v>
      </c>
      <c r="J60" s="175">
        <f>H60/DAY(B2)</f>
        <v>239409.837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'19'!F62</f>
        <v>265838</v>
      </c>
      <c r="F62" s="122">
        <v>265962</v>
      </c>
      <c r="G62" s="112">
        <f t="shared" ref="G62:G63" si="5">F62-E62</f>
        <v>124</v>
      </c>
      <c r="H62" s="99">
        <f>G62+'19'!H62</f>
        <v>-1251</v>
      </c>
      <c r="I62" s="118"/>
      <c r="J62" s="175">
        <f>H62/DAY(B2)</f>
        <v>-62.55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'19'!F63</f>
        <v>211377</v>
      </c>
      <c r="F63" s="122">
        <v>211496</v>
      </c>
      <c r="G63" s="112">
        <f t="shared" si="5"/>
        <v>119</v>
      </c>
      <c r="H63" s="99">
        <f>G63+'19'!H63</f>
        <v>-929</v>
      </c>
      <c r="I63" s="118"/>
      <c r="J63" s="175">
        <f>H63/DAY(B2)</f>
        <v>-46.45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'19'!F64</f>
        <v>0</v>
      </c>
      <c r="F64" s="122"/>
      <c r="G64" s="112">
        <f>G62+G63</f>
        <v>243</v>
      </c>
      <c r="H64" s="99">
        <f>G64+'19'!H64</f>
        <v>-2180</v>
      </c>
      <c r="I64" s="118"/>
      <c r="J64" s="175">
        <f>H64/DAY(B2)</f>
        <v>-109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'19'!F65</f>
        <v>431409</v>
      </c>
      <c r="F65" s="122">
        <v>431486</v>
      </c>
      <c r="G65" s="112">
        <f t="shared" ref="G65:G70" si="6">F65-E65</f>
        <v>77</v>
      </c>
      <c r="H65" s="99">
        <f>G65+'19'!H65</f>
        <v>-1128</v>
      </c>
      <c r="I65" s="118"/>
      <c r="J65" s="175">
        <f>H65/DAY(B2)</f>
        <v>-56.4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'19'!F66</f>
        <v>106973</v>
      </c>
      <c r="F66" s="122">
        <v>106990</v>
      </c>
      <c r="G66" s="112">
        <f t="shared" si="6"/>
        <v>17</v>
      </c>
      <c r="H66" s="99">
        <f>G66+'19'!H66</f>
        <v>-224</v>
      </c>
      <c r="I66" s="118"/>
      <c r="J66" s="175">
        <f>H66/DAY(B2)</f>
        <v>-11.2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'19'!F67</f>
        <v>103572</v>
      </c>
      <c r="F67" s="122">
        <v>103598</v>
      </c>
      <c r="G67" s="112">
        <f t="shared" si="6"/>
        <v>26</v>
      </c>
      <c r="H67" s="99">
        <f>G67+'19'!H67</f>
        <v>-330</v>
      </c>
      <c r="I67" s="118"/>
      <c r="J67" s="175">
        <f>H67/DAY(B2)</f>
        <v>-16.5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'19'!F68</f>
        <v>156181</v>
      </c>
      <c r="F68" s="122">
        <v>156249</v>
      </c>
      <c r="G68" s="112">
        <f t="shared" si="6"/>
        <v>68</v>
      </c>
      <c r="H68" s="99">
        <f>G68+'19'!H68</f>
        <v>-371</v>
      </c>
      <c r="I68" s="118"/>
      <c r="J68" s="175">
        <f>H68/DAY(B2)</f>
        <v>-18.55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'19'!F69</f>
        <v>10071</v>
      </c>
      <c r="F69" s="122">
        <v>10078</v>
      </c>
      <c r="G69" s="112">
        <f t="shared" si="6"/>
        <v>7</v>
      </c>
      <c r="H69" s="99">
        <f>G69+'19'!H69</f>
        <v>-136</v>
      </c>
      <c r="I69" s="118"/>
      <c r="J69" s="175">
        <f>H69/DAY(B2)</f>
        <v>-6.8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'19'!F70</f>
        <v>7754</v>
      </c>
      <c r="F70" s="122">
        <v>7763</v>
      </c>
      <c r="G70" s="112">
        <f t="shared" si="6"/>
        <v>9</v>
      </c>
      <c r="H70" s="99">
        <f>G70+'19'!H70</f>
        <v>-99</v>
      </c>
      <c r="I70" s="118"/>
      <c r="J70" s="175">
        <f>H70/DAY(B2)</f>
        <v>-4.95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204</v>
      </c>
      <c r="H71" s="99">
        <f>G71+'19'!H71</f>
        <v>-2288</v>
      </c>
      <c r="I71" s="154"/>
      <c r="J71" s="175">
        <f>H71/DAY(B2)</f>
        <v>-114.4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'19'!F74</f>
        <v>888255.31</v>
      </c>
      <c r="F74" s="117">
        <v>888574</v>
      </c>
      <c r="G74" s="112">
        <f t="shared" ref="G74:G78" si="7">F74-E74</f>
        <v>318.68999999994412</v>
      </c>
      <c r="H74" s="99">
        <f>G74+'19'!H74</f>
        <v>-3458</v>
      </c>
      <c r="I74" s="154"/>
      <c r="J74" s="175">
        <f>H74/DAY(B2)</f>
        <v>-172.9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v>73586.8</v>
      </c>
      <c r="F75" s="123">
        <v>73586.8</v>
      </c>
      <c r="G75" s="112">
        <f t="shared" si="7"/>
        <v>0</v>
      </c>
      <c r="H75" s="99">
        <f>G75+'19'!H75</f>
        <v>243.88999999999942</v>
      </c>
      <c r="I75" s="154"/>
      <c r="J75" s="175">
        <f>H75/DAY(B2)</f>
        <v>12.194499999999971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'19'!F76</f>
        <v>165887.20000000001</v>
      </c>
      <c r="F76" s="123">
        <v>166014.25</v>
      </c>
      <c r="G76" s="112">
        <f t="shared" si="7"/>
        <v>127.04999999998836</v>
      </c>
      <c r="H76" s="99">
        <f>G76+'19'!H76</f>
        <v>-1192.75</v>
      </c>
      <c r="I76" s="154"/>
      <c r="J76" s="175">
        <f>H76/DAY(B2)</f>
        <v>-59.637500000000003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'19'!F77</f>
        <v>39749.300000000003</v>
      </c>
      <c r="F77" s="123">
        <v>39796</v>
      </c>
      <c r="G77" s="112">
        <f t="shared" si="7"/>
        <v>46.69999999999709</v>
      </c>
      <c r="H77" s="99">
        <f>G77+'19'!H77</f>
        <v>-520</v>
      </c>
      <c r="I77" s="154"/>
      <c r="J77" s="175">
        <f>H77/DAY(B2)</f>
        <v>-26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'19'!F78</f>
        <v>9464.7000000000007</v>
      </c>
      <c r="F78" s="123">
        <v>9466</v>
      </c>
      <c r="G78" s="112">
        <f t="shared" si="7"/>
        <v>1.2999999999992724</v>
      </c>
      <c r="H78" s="99">
        <f>G78+'19'!H78</f>
        <v>-20</v>
      </c>
      <c r="I78" s="118"/>
      <c r="J78" s="175">
        <f>H78/DAY(B2)</f>
        <v>-1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'19'!F79</f>
        <v>0</v>
      </c>
      <c r="F79" s="117"/>
      <c r="G79" s="112">
        <f>G15-SUM(G74:G78)</f>
        <v>606.26000000007116</v>
      </c>
      <c r="H79" s="99">
        <f>G79+'19'!H79</f>
        <v>25215.859999999997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17" t="s">
        <v>329</v>
      </c>
      <c r="B80" s="918"/>
      <c r="C80" s="919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'19'!F84</f>
        <v>41675.4</v>
      </c>
      <c r="F84" s="164">
        <v>41675.4</v>
      </c>
      <c r="G84" s="112">
        <f t="shared" si="8"/>
        <v>0</v>
      </c>
      <c r="H84" s="99">
        <f>G84+'19'!H84</f>
        <v>0.40000000000145519</v>
      </c>
      <c r="I84" s="118"/>
      <c r="J84" s="175">
        <f>H84/DAY(B2)</f>
        <v>2.0000000000072758E-2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'19'!F85</f>
        <v>1844</v>
      </c>
      <c r="F85" s="164">
        <v>1868</v>
      </c>
      <c r="G85" s="112">
        <f t="shared" si="8"/>
        <v>24</v>
      </c>
      <c r="H85" s="99">
        <f>G85+'19'!H85</f>
        <v>-228.55999999999995</v>
      </c>
      <c r="I85" s="118">
        <f>G82+G83+G84+G85</f>
        <v>24</v>
      </c>
      <c r="J85" s="175">
        <f>H85/DAY(B2)</f>
        <v>-11.427999999999997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-36.529999999998836</v>
      </c>
      <c r="I86" s="118"/>
      <c r="J86" s="175">
        <f>H86/DAY(B2)</f>
        <v>-1.8264999999999418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'19'!F88</f>
        <v>24005.53</v>
      </c>
      <c r="F88" s="164">
        <v>24005.53</v>
      </c>
      <c r="G88" s="112">
        <f t="shared" si="8"/>
        <v>0</v>
      </c>
      <c r="H88" s="99">
        <f>G88+'19'!H88</f>
        <v>-41.470000000001164</v>
      </c>
      <c r="I88" s="118">
        <f>G86+G87+G88</f>
        <v>0</v>
      </c>
      <c r="J88" s="175">
        <f>H88/DAY(B2)</f>
        <v>-2.0735000000000583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'19'!F89</f>
        <v>25583.95</v>
      </c>
      <c r="F89" s="164">
        <v>25595.63</v>
      </c>
      <c r="G89" s="112">
        <f t="shared" si="8"/>
        <v>11.680000000000291</v>
      </c>
      <c r="H89" s="99">
        <f>G89+'19'!H89</f>
        <v>-67.369999999998981</v>
      </c>
      <c r="I89" s="118"/>
      <c r="J89" s="175">
        <f>H89/DAY(B2)</f>
        <v>-3.368499999999949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'19'!F90</f>
        <v>70962.95</v>
      </c>
      <c r="F90" s="164">
        <v>70969.11</v>
      </c>
      <c r="G90" s="112">
        <f t="shared" si="8"/>
        <v>6.1600000000034925</v>
      </c>
      <c r="H90" s="99">
        <f>G90+'19'!H90</f>
        <v>-64.889999999999418</v>
      </c>
      <c r="I90" s="118">
        <f>G89+G90</f>
        <v>17.840000000003783</v>
      </c>
      <c r="J90" s="175">
        <f>H90/DAY(B2)</f>
        <v>-3.2444999999999711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'19'!F92</f>
        <v>5306.26</v>
      </c>
      <c r="F92" s="122">
        <v>5317.4</v>
      </c>
      <c r="G92" s="112">
        <f t="shared" si="8"/>
        <v>11.139999999999418</v>
      </c>
      <c r="H92" s="99">
        <f>G92+'19'!H92</f>
        <v>-120.60000000000036</v>
      </c>
      <c r="I92" s="165"/>
      <c r="J92" s="175">
        <f>H92/DAY(B2)</f>
        <v>-6.030000000000018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6204.5400000000172</v>
      </c>
      <c r="H94" s="99">
        <f>G94+'19'!H94</f>
        <v>1953300.6700000002</v>
      </c>
      <c r="I94" s="118"/>
      <c r="J94" s="175">
        <f>H94/DAY(B2)</f>
        <v>97665.033500000005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0.26402297872340497</v>
      </c>
      <c r="H95" s="99">
        <f>G95+'19'!H95</f>
        <v>83.580536687918283</v>
      </c>
      <c r="I95" s="167"/>
      <c r="J95" s="175">
        <f>H95/DAY(B2)</f>
        <v>4.1790268343959145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4532.2599999999984</v>
      </c>
      <c r="H96" s="99">
        <f>G96+'19'!H96</f>
        <v>1121889.51</v>
      </c>
      <c r="I96" s="118"/>
      <c r="J96" s="175">
        <f>H96/DAY(B2)</f>
        <v>56094.4755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0.19286212765957439</v>
      </c>
      <c r="H97" s="99">
        <f>G97+'19'!H97</f>
        <v>47.98293359430162</v>
      </c>
      <c r="I97" s="167"/>
      <c r="J97" s="175">
        <f>H97/DAY(B2)</f>
        <v>2.3991466797150811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2849.679999999993</v>
      </c>
      <c r="H98" s="99">
        <f>G98+'19'!H98</f>
        <v>402307.63</v>
      </c>
      <c r="I98" s="168"/>
      <c r="J98" s="175">
        <f>H98/DAY(B2)</f>
        <v>20115.3815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0.12126297872340396</v>
      </c>
      <c r="H99" s="99">
        <f>G99+'19'!H99</f>
        <v>17.333423521885525</v>
      </c>
      <c r="I99" s="168"/>
      <c r="J99" s="175">
        <f>H99/DAY(B2)</f>
        <v>0.86667117609427624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1975.1000000000058</v>
      </c>
      <c r="H100" s="99">
        <f>G100+'19'!H100</f>
        <v>224528.03</v>
      </c>
      <c r="I100" s="118"/>
      <c r="J100" s="175">
        <f>H100/DAY(B2)</f>
        <v>11226.4015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8.4046808510638546E-2</v>
      </c>
      <c r="H101" s="99">
        <f>G101+'19'!H101</f>
        <v>9.6852559766215602</v>
      </c>
      <c r="I101" s="168"/>
      <c r="J101" s="175">
        <f>H101/DAY(B2)</f>
        <v>0.48426279883107803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2041.0700000000015</v>
      </c>
      <c r="H102" s="99">
        <f>G102+'19'!H102</f>
        <v>805788.55999999994</v>
      </c>
      <c r="I102" s="168"/>
      <c r="J102" s="175">
        <f>H102/DAY(B2)</f>
        <v>40289.428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8.6854042553191554E-2</v>
      </c>
      <c r="H103" s="99">
        <f>G103+'19'!H103</f>
        <v>34.433213516546317</v>
      </c>
      <c r="I103" s="118"/>
      <c r="J103" s="175">
        <f>H103/DAY(B2)</f>
        <v>1.7216606758273159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1629.820000000007</v>
      </c>
      <c r="H104" s="99">
        <f>G104+'19'!H104</f>
        <v>190093.65</v>
      </c>
      <c r="I104" s="118"/>
      <c r="J104" s="175">
        <f>H104/DAY(B2)</f>
        <v>9504.682499999999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6.9354042553191789E-2</v>
      </c>
      <c r="H105" s="99">
        <f>G105+'19'!H105</f>
        <v>8.2095563680934056</v>
      </c>
      <c r="I105" s="187"/>
      <c r="J105" s="188">
        <f>H105/DAY(B2)</f>
        <v>0.41047781840467029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'19'!F112</f>
        <v>54836.4</v>
      </c>
      <c r="F112" s="237">
        <v>54909.440000000002</v>
      </c>
      <c r="G112" s="112">
        <f t="shared" ref="G112:G123" si="9">F112-E112</f>
        <v>73.040000000000873</v>
      </c>
      <c r="H112" s="99">
        <f>G112+'19'!H112</f>
        <v>-771.55999999999767</v>
      </c>
      <c r="I112" s="165"/>
      <c r="J112" s="330">
        <f>H112/DAY(B2)</f>
        <v>-38.577999999999882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'19'!F113</f>
        <v>26750.47</v>
      </c>
      <c r="F113" s="237">
        <v>27206.95</v>
      </c>
      <c r="G113" s="112">
        <f t="shared" si="9"/>
        <v>456.47999999999956</v>
      </c>
      <c r="H113" s="99">
        <f>G113+'19'!H113</f>
        <v>-4988.0499999999993</v>
      </c>
      <c r="I113" s="165"/>
      <c r="J113" s="330">
        <f>H113/DAY(B2)</f>
        <v>-249.40249999999997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'19'!F114</f>
        <v>21239</v>
      </c>
      <c r="F114" s="237">
        <v>21535.19</v>
      </c>
      <c r="G114" s="112">
        <f t="shared" si="9"/>
        <v>296.18999999999869</v>
      </c>
      <c r="H114" s="99">
        <f>G114+'19'!H114</f>
        <v>-3492.9900000000034</v>
      </c>
      <c r="I114" s="165"/>
      <c r="J114" s="330">
        <f>H114/DAY(B2)</f>
        <v>-174.64950000000016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'19'!F115</f>
        <v>8640.2199999999993</v>
      </c>
      <c r="F115" s="237">
        <v>8654.93</v>
      </c>
      <c r="G115" s="112">
        <f t="shared" si="9"/>
        <v>14.710000000000946</v>
      </c>
      <c r="H115" s="99">
        <f>G115+'19'!H115</f>
        <v>-130.06999999999971</v>
      </c>
      <c r="I115" s="165"/>
      <c r="J115" s="330">
        <f>H115/DAY(B2)</f>
        <v>-6.5034999999999856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'19'!F117</f>
        <v>2313.1799999999998</v>
      </c>
      <c r="F117" s="237">
        <v>2341.16</v>
      </c>
      <c r="G117" s="112">
        <f t="shared" si="9"/>
        <v>27.980000000000018</v>
      </c>
      <c r="H117" s="99">
        <f>G117+'19'!H117</f>
        <v>-248.84000000000015</v>
      </c>
      <c r="I117" s="165"/>
      <c r="J117" s="330">
        <f>H117/DAY(B2)</f>
        <v>-12.442000000000007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'19'!F118</f>
        <v>236963.45</v>
      </c>
      <c r="F118" s="237">
        <v>237382.29</v>
      </c>
      <c r="G118" s="112">
        <f t="shared" si="9"/>
        <v>418.83999999999651</v>
      </c>
      <c r="H118" s="99">
        <f>G118+'19'!H118</f>
        <v>-4264.7099999999919</v>
      </c>
      <c r="I118" s="165"/>
      <c r="J118" s="330">
        <f>H118/DAY(B2)</f>
        <v>-213.2354999999996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'19'!F119</f>
        <v>240051.83</v>
      </c>
      <c r="F119" s="237">
        <v>240489.23</v>
      </c>
      <c r="G119" s="112">
        <f t="shared" si="9"/>
        <v>437.40000000002328</v>
      </c>
      <c r="H119" s="99">
        <f>G119+'19'!H119</f>
        <v>-4636.7699999999895</v>
      </c>
      <c r="I119" s="165"/>
      <c r="J119" s="330">
        <f>H119/DAY(B2)</f>
        <v>-231.83849999999947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'19'!F120</f>
        <v>25067.9</v>
      </c>
      <c r="F120" s="237">
        <v>25493.41</v>
      </c>
      <c r="G120" s="112">
        <f t="shared" si="9"/>
        <v>425.5099999999984</v>
      </c>
      <c r="H120" s="99">
        <f>G120+'19'!H120</f>
        <v>-4584.59</v>
      </c>
      <c r="I120" s="165"/>
      <c r="J120" s="330">
        <f>H120/DAY(B2)</f>
        <v>-229.2295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'19'!F121</f>
        <v>367136</v>
      </c>
      <c r="F121" s="237">
        <v>367913.71</v>
      </c>
      <c r="G121" s="112">
        <f t="shared" si="9"/>
        <v>777.71000000002095</v>
      </c>
      <c r="H121" s="99">
        <f>G121+'19'!H121</f>
        <v>-8615.289999999979</v>
      </c>
      <c r="I121" s="165"/>
      <c r="J121" s="330">
        <f>H121/DAY(B2)</f>
        <v>-430.76449999999897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'19'!F122</f>
        <v>117349</v>
      </c>
      <c r="F122" s="237">
        <v>117612.63</v>
      </c>
      <c r="G122" s="112">
        <f t="shared" si="9"/>
        <v>263.63000000000466</v>
      </c>
      <c r="H122" s="99">
        <f>G122+'19'!H122</f>
        <v>-2437.3699999999953</v>
      </c>
      <c r="I122" s="165"/>
      <c r="J122" s="330">
        <f>H122/DAY(B2)</f>
        <v>-121.86849999999977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'19'!F123</f>
        <v>140902</v>
      </c>
      <c r="F123" s="237">
        <v>141264.28</v>
      </c>
      <c r="G123" s="112">
        <f t="shared" si="9"/>
        <v>362.27999999999884</v>
      </c>
      <c r="H123" s="99">
        <f>G123+'19'!H123</f>
        <v>-3860.7200000000012</v>
      </c>
      <c r="I123" s="165"/>
      <c r="J123" s="330">
        <f>H123/DAY(B2)</f>
        <v>-193.03600000000006</v>
      </c>
    </row>
    <row r="124" spans="1:18" ht="29.25" customHeight="1" x14ac:dyDescent="0.5">
      <c r="A124" s="839"/>
      <c r="B124" s="840"/>
      <c r="C124" s="841"/>
      <c r="D124" s="165"/>
      <c r="E124" s="95">
        <f>'19'!F124</f>
        <v>0</v>
      </c>
      <c r="F124" s="165"/>
      <c r="G124" s="329"/>
      <c r="H124" s="99">
        <f>G124+'19'!H124</f>
        <v>0</v>
      </c>
      <c r="I124" s="165"/>
      <c r="J124" s="329"/>
    </row>
    <row r="125" spans="1:18" ht="27.75" x14ac:dyDescent="0.5">
      <c r="A125" s="907" t="s">
        <v>108</v>
      </c>
      <c r="B125" s="907"/>
      <c r="C125" s="245"/>
      <c r="D125" s="307"/>
      <c r="E125" s="308"/>
      <c r="F125" s="308"/>
      <c r="G125" s="309">
        <f>SUM(G112:G124)</f>
        <v>3553.7700000000427</v>
      </c>
      <c r="H125" s="156"/>
      <c r="I125" s="329">
        <f>G125-(G39+G53)</f>
        <v>704.09000000004971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G127+'19'!H127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'19'!F128</f>
        <v>34017.120000000003</v>
      </c>
      <c r="F128" s="165">
        <v>34356.51</v>
      </c>
      <c r="G128" s="112">
        <f t="shared" ref="G128:G134" si="10">F128-E128</f>
        <v>339.38999999999942</v>
      </c>
      <c r="H128" s="99">
        <f>G128+'19'!H128</f>
        <v>-3647.489999999998</v>
      </c>
      <c r="I128" s="165"/>
      <c r="J128" s="330">
        <f>H128/DAY(B2)</f>
        <v>-182.3744999999999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'19'!F129</f>
        <v>17749.53</v>
      </c>
      <c r="F129" s="165">
        <v>17955.68</v>
      </c>
      <c r="G129" s="112">
        <f t="shared" si="10"/>
        <v>206.15000000000146</v>
      </c>
      <c r="H129" s="99">
        <f>G129+'19'!H129</f>
        <v>-2365.3199999999997</v>
      </c>
      <c r="I129" s="165"/>
      <c r="J129" s="330">
        <f>H129/DAY(B2)</f>
        <v>-118.26599999999999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'19'!F130</f>
        <v>9323.82</v>
      </c>
      <c r="F130" s="165">
        <v>10100.120000000001</v>
      </c>
      <c r="G130" s="112">
        <f t="shared" si="10"/>
        <v>776.30000000000109</v>
      </c>
      <c r="H130" s="99">
        <f>G130+'19'!H130</f>
        <v>-8281.880000000001</v>
      </c>
      <c r="I130" s="165"/>
      <c r="J130" s="330">
        <f>H130/DAY(B2)</f>
        <v>-414.09400000000005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'19'!F131</f>
        <v>11980.9</v>
      </c>
      <c r="F131" s="165">
        <v>12095.78</v>
      </c>
      <c r="G131" s="112">
        <f t="shared" si="10"/>
        <v>114.88000000000102</v>
      </c>
      <c r="H131" s="99">
        <f>G131+'19'!H131</f>
        <v>-1057.2199999999993</v>
      </c>
      <c r="I131" s="165"/>
      <c r="J131" s="330">
        <f>H131/DAY(B2)</f>
        <v>-52.860999999999969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'19'!F132</f>
        <v>309.93</v>
      </c>
      <c r="F132" s="165">
        <v>458.35</v>
      </c>
      <c r="G132" s="112">
        <f t="shared" si="10"/>
        <v>148.42000000000002</v>
      </c>
      <c r="H132" s="99">
        <f>G132+'19'!H132</f>
        <v>-6988.1399999999994</v>
      </c>
      <c r="I132" s="165"/>
      <c r="J132" s="330">
        <f>H132/DAY(B2)</f>
        <v>-349.40699999999998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'19'!F133</f>
        <v>79524.36</v>
      </c>
      <c r="F133" s="165">
        <v>80371.27</v>
      </c>
      <c r="G133" s="112">
        <f t="shared" si="10"/>
        <v>846.91000000000349</v>
      </c>
      <c r="H133" s="99">
        <f>G133+'19'!H133</f>
        <v>-7331.7299999999959</v>
      </c>
      <c r="I133" s="165"/>
      <c r="J133" s="330">
        <f>H133/DAY(B2)</f>
        <v>-366.58649999999977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'19'!F134</f>
        <v>663024</v>
      </c>
      <c r="F134" s="598">
        <v>663357</v>
      </c>
      <c r="G134" s="112">
        <f t="shared" si="10"/>
        <v>333</v>
      </c>
      <c r="H134" s="99">
        <f>G134+'19'!H134</f>
        <v>12223</v>
      </c>
      <c r="I134" s="165"/>
      <c r="J134" s="330">
        <f>H134/DAY(B2)</f>
        <v>611.15</v>
      </c>
    </row>
    <row r="135" spans="1:15" ht="27.75" x14ac:dyDescent="0.5">
      <c r="A135" s="915" t="s">
        <v>108</v>
      </c>
      <c r="B135" s="916"/>
      <c r="C135" s="831"/>
      <c r="D135" s="151"/>
      <c r="E135" s="95"/>
      <c r="F135" s="165"/>
      <c r="G135" s="112">
        <f>SUM(G128:G134)</f>
        <v>2765.0500000000065</v>
      </c>
      <c r="H135" s="99"/>
      <c r="I135" s="329">
        <f>G135-(G35+G49)</f>
        <v>-720.53000000000975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'19'!F138</f>
        <v>862833</v>
      </c>
      <c r="F138" s="147">
        <v>862944</v>
      </c>
      <c r="G138" s="112">
        <f t="shared" ref="G138:G152" si="11">F138-E138</f>
        <v>111</v>
      </c>
      <c r="H138" s="99">
        <f>G138+'19'!H138</f>
        <v>-1227</v>
      </c>
      <c r="I138" s="118"/>
      <c r="J138" s="330">
        <f>H138/DAY(B2)</f>
        <v>-61.35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'19'!F139</f>
        <v>886455</v>
      </c>
      <c r="F139" s="148">
        <v>886456</v>
      </c>
      <c r="G139" s="112">
        <f t="shared" si="11"/>
        <v>1</v>
      </c>
      <c r="H139" s="99">
        <f>G139+'19'!H139</f>
        <v>-90</v>
      </c>
      <c r="I139" s="118"/>
      <c r="J139" s="330">
        <f>H139/DAY(B2)</f>
        <v>-4.5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'19'!F140</f>
        <v>88878.8</v>
      </c>
      <c r="F140" s="149">
        <v>88880.6</v>
      </c>
      <c r="G140" s="112">
        <f>F140-E140</f>
        <v>1.8000000000029104</v>
      </c>
      <c r="H140" s="99">
        <f>G140+'19'!H140</f>
        <v>-1.3999999999941792</v>
      </c>
      <c r="I140" s="118"/>
      <c r="J140" s="330">
        <f>H140/DAY(B2)</f>
        <v>-6.9999999999708962E-2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'19'!F141</f>
        <v>46918.79</v>
      </c>
      <c r="F141" s="149">
        <v>47124.61</v>
      </c>
      <c r="G141" s="112">
        <f t="shared" si="11"/>
        <v>205.81999999999971</v>
      </c>
      <c r="H141" s="99">
        <f>G141+'19'!H141</f>
        <v>-2181.3899999999994</v>
      </c>
      <c r="I141" s="118"/>
      <c r="J141" s="330">
        <f>H141/DAY(B2)</f>
        <v>-109.06949999999998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'19'!F142</f>
        <v>18109.099999999999</v>
      </c>
      <c r="F142" s="148">
        <v>18179.09</v>
      </c>
      <c r="G142" s="112">
        <f t="shared" si="11"/>
        <v>69.990000000001601</v>
      </c>
      <c r="H142" s="99">
        <f>G142+'19'!H142</f>
        <v>-829.90999999999985</v>
      </c>
      <c r="I142" s="140"/>
      <c r="J142" s="330">
        <f>H142/DAY(B2)</f>
        <v>-41.495499999999993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'19'!F143</f>
        <v>2772.57</v>
      </c>
      <c r="F143" s="149">
        <v>2802.07</v>
      </c>
      <c r="G143" s="112">
        <f t="shared" si="11"/>
        <v>29.5</v>
      </c>
      <c r="H143" s="99">
        <f>G143+'19'!H143</f>
        <v>-258.92999999999984</v>
      </c>
      <c r="I143" s="140"/>
      <c r="J143" s="330">
        <f>H143/DAY(B2)</f>
        <v>-12.946499999999991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'19'!F144</f>
        <v>866786</v>
      </c>
      <c r="F144" s="149">
        <v>867024</v>
      </c>
      <c r="G144" s="112">
        <f t="shared" si="11"/>
        <v>238</v>
      </c>
      <c r="H144" s="99">
        <f>G144+'19'!H144</f>
        <v>-2646</v>
      </c>
      <c r="I144" s="140"/>
      <c r="J144" s="330">
        <f>H144/DAY(B2)</f>
        <v>-132.30000000000001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'19'!F145</f>
        <v>4336.97</v>
      </c>
      <c r="F145" s="149">
        <v>4365.04</v>
      </c>
      <c r="G145" s="112">
        <f t="shared" si="11"/>
        <v>28.069999999999709</v>
      </c>
      <c r="H145" s="99">
        <f>G145+'19'!H145</f>
        <v>-192.96000000000004</v>
      </c>
      <c r="I145" s="140"/>
      <c r="J145" s="330">
        <f>H145/DAY(B2)</f>
        <v>-9.6480000000000015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'19'!F146</f>
        <v>719016</v>
      </c>
      <c r="F146" s="148">
        <v>719483</v>
      </c>
      <c r="G146" s="112">
        <f t="shared" si="11"/>
        <v>467</v>
      </c>
      <c r="H146" s="99">
        <f>G146+'19'!H146</f>
        <v>-5375</v>
      </c>
      <c r="I146" s="140"/>
      <c r="J146" s="330">
        <f>H146/DAY(B2)</f>
        <v>-268.75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'19'!F147</f>
        <v>610354.43999999994</v>
      </c>
      <c r="F147" s="148">
        <v>610730.52</v>
      </c>
      <c r="G147" s="112">
        <f t="shared" si="11"/>
        <v>376.08000000007451</v>
      </c>
      <c r="H147" s="99">
        <f>G147+'19'!H147</f>
        <v>-4551.4799999999814</v>
      </c>
      <c r="I147" s="140"/>
      <c r="J147" s="330">
        <f>H147/DAY(B2)</f>
        <v>-227.57399999999907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'19'!F148</f>
        <v>679520.75</v>
      </c>
      <c r="F148" s="150">
        <v>679800.4</v>
      </c>
      <c r="G148" s="112">
        <f t="shared" si="11"/>
        <v>279.65000000002328</v>
      </c>
      <c r="H148" s="99">
        <f>G148+'19'!H148</f>
        <v>-3232.7199999999721</v>
      </c>
      <c r="I148" s="124"/>
      <c r="J148" s="330">
        <f>H148/DAY(B2)</f>
        <v>-161.6359999999986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'19'!F149</f>
        <v>4030</v>
      </c>
      <c r="F149" s="146">
        <v>4621.4799999999996</v>
      </c>
      <c r="G149" s="112">
        <f t="shared" si="11"/>
        <v>591.47999999999956</v>
      </c>
      <c r="H149" s="99">
        <f>G149+'19'!H149</f>
        <v>181112.48</v>
      </c>
      <c r="I149" s="119"/>
      <c r="J149" s="330">
        <f>H149/DAY(B2)</f>
        <v>9055.6239999999998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'19'!F150</f>
        <v>1329.32</v>
      </c>
      <c r="F150" s="233">
        <v>1555.79</v>
      </c>
      <c r="G150" s="112">
        <f t="shared" si="11"/>
        <v>226.47000000000003</v>
      </c>
      <c r="H150" s="99">
        <f>G150+'19'!H150</f>
        <v>7164543.79</v>
      </c>
      <c r="I150" s="119"/>
      <c r="J150" s="330">
        <f>H150/DAY(B2)</f>
        <v>358227.18949999998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'19'!F151</f>
        <v>75412</v>
      </c>
      <c r="F151" s="233">
        <v>75645</v>
      </c>
      <c r="G151" s="112">
        <f t="shared" si="11"/>
        <v>233</v>
      </c>
      <c r="H151" s="99">
        <f>G151+'19'!H151</f>
        <v>-2572</v>
      </c>
      <c r="I151" s="119"/>
      <c r="J151" s="330">
        <f>H151/DAY(B2)</f>
        <v>-128.6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'19'!F152</f>
        <v>528.4</v>
      </c>
      <c r="F152" s="233">
        <v>578.74</v>
      </c>
      <c r="G152" s="112">
        <f t="shared" si="11"/>
        <v>50.340000000000032</v>
      </c>
      <c r="H152" s="99">
        <f>G152+'19'!H152</f>
        <v>-548.26</v>
      </c>
      <c r="I152" s="119"/>
      <c r="J152" s="330">
        <f>H152/DAY(B2)</f>
        <v>-27.413</v>
      </c>
    </row>
    <row r="153" spans="1:10" ht="27.75" x14ac:dyDescent="0.5">
      <c r="A153" s="592" t="s">
        <v>108</v>
      </c>
      <c r="B153" s="367"/>
      <c r="C153" s="367"/>
      <c r="D153" s="117"/>
      <c r="E153" s="95"/>
      <c r="F153" s="233"/>
      <c r="G153" s="112">
        <f>SUM(G138:G152)</f>
        <v>2909.2000000001017</v>
      </c>
      <c r="H153" s="99"/>
      <c r="I153" s="119">
        <f>G153-(G38+G52)</f>
        <v>934.10000000009586</v>
      </c>
      <c r="J153" s="330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'19'!F155</f>
        <v>4855</v>
      </c>
      <c r="F155" s="376">
        <v>5454.77</v>
      </c>
      <c r="G155" s="112">
        <f t="shared" ref="G155:G158" si="12">F155-E155</f>
        <v>599.77000000000044</v>
      </c>
      <c r="H155" s="99">
        <f>G155+'19'!H155</f>
        <v>69599.76999999999</v>
      </c>
      <c r="I155" s="366"/>
      <c r="J155" s="330">
        <f>H155/DAY(B2)</f>
        <v>3479.9884999999995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'19'!F156</f>
        <v>397</v>
      </c>
      <c r="F156" s="155">
        <v>442</v>
      </c>
      <c r="G156" s="112">
        <f t="shared" si="12"/>
        <v>45</v>
      </c>
      <c r="H156" s="99">
        <f>G156+'19'!H156</f>
        <v>-646</v>
      </c>
      <c r="I156" s="165"/>
      <c r="J156" s="330">
        <f>H156/DAY(B2)</f>
        <v>-32.299999999999997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'19'!F157</f>
        <v>420.13</v>
      </c>
      <c r="F157" s="155">
        <v>488.7</v>
      </c>
      <c r="G157" s="112">
        <f t="shared" si="12"/>
        <v>68.569999999999993</v>
      </c>
      <c r="H157" s="99">
        <f>G157+'19'!H157</f>
        <v>68.569999999999993</v>
      </c>
      <c r="I157" s="165"/>
      <c r="J157" s="330">
        <f>H157/DAY(B2)</f>
        <v>3.4284999999999997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'19'!F158</f>
        <v>0</v>
      </c>
      <c r="F158" s="155">
        <v>0.83</v>
      </c>
      <c r="G158" s="112">
        <f t="shared" si="12"/>
        <v>0.83</v>
      </c>
      <c r="H158" s="99">
        <f>G158+'19'!H158</f>
        <v>0.83</v>
      </c>
      <c r="I158" s="165"/>
      <c r="J158" s="330">
        <f>H158/DAY(B2)</f>
        <v>4.1499999999999995E-2</v>
      </c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471140.92</v>
      </c>
      <c r="F161" s="235">
        <v>471143.8</v>
      </c>
      <c r="G161" s="238">
        <f t="shared" ref="G161:G166" si="13">F161-E161</f>
        <v>2.8800000000046566</v>
      </c>
      <c r="H161" s="99">
        <f>G161+'19'!H161</f>
        <v>-9.3599999999860302</v>
      </c>
      <c r="I161" s="236"/>
      <c r="J161" s="239">
        <f>H161/DAY(B2)</f>
        <v>-0.46799999999930153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87215.5</v>
      </c>
      <c r="F162" s="235">
        <v>87247.8</v>
      </c>
      <c r="G162" s="238">
        <f t="shared" si="13"/>
        <v>32.30000000000291</v>
      </c>
      <c r="H162" s="99">
        <f>G162+'19'!H162</f>
        <v>-322.19999999999709</v>
      </c>
      <c r="I162" s="236"/>
      <c r="J162" s="239">
        <f>H162/DAY(B2)</f>
        <v>-16.109999999999854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77042.7</v>
      </c>
      <c r="F163" s="235">
        <v>77106.8</v>
      </c>
      <c r="G163" s="238">
        <f t="shared" si="13"/>
        <v>64.100000000005821</v>
      </c>
      <c r="H163" s="99">
        <f>G163+'19'!H163</f>
        <v>-718.19999999999709</v>
      </c>
      <c r="I163" s="236"/>
      <c r="J163" s="239">
        <f>H163/DAY(B2)</f>
        <v>-35.909999999999854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4193.3</v>
      </c>
      <c r="F164" s="235">
        <v>4200.8</v>
      </c>
      <c r="G164" s="238">
        <f t="shared" si="13"/>
        <v>7.5</v>
      </c>
      <c r="H164" s="99">
        <f>G164+'19'!H164</f>
        <v>-41.199999999999818</v>
      </c>
      <c r="I164" s="236"/>
      <c r="J164" s="239">
        <f>H164/DAY(B2)</f>
        <v>-2.0599999999999907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29560.47</v>
      </c>
      <c r="F165" s="235">
        <v>29569.55</v>
      </c>
      <c r="G165" s="238">
        <f t="shared" si="13"/>
        <v>9.0799999999981083</v>
      </c>
      <c r="H165" s="99">
        <f>G165+'19'!H165</f>
        <v>-76.450000000000728</v>
      </c>
      <c r="I165" s="236"/>
      <c r="J165" s="239">
        <f>H165/DAY(B2)</f>
        <v>-3.8225000000000362</v>
      </c>
    </row>
    <row r="166" spans="1:10" ht="29.25" x14ac:dyDescent="0.5">
      <c r="A166" s="824"/>
      <c r="B166" s="824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'19'!F173</f>
        <v>8110</v>
      </c>
      <c r="F173" s="155">
        <v>8110</v>
      </c>
      <c r="G173" s="155">
        <f>F173-E173</f>
        <v>0</v>
      </c>
      <c r="H173" s="99">
        <f>G173+'19'!H173</f>
        <v>-16</v>
      </c>
      <c r="I173" s="155"/>
      <c r="J173" s="178">
        <f>H173/DAY(B2)</f>
        <v>-0.8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'19'!F174</f>
        <v>38114</v>
      </c>
      <c r="F174" s="157">
        <v>38131</v>
      </c>
      <c r="G174" s="155">
        <f t="shared" ref="G174:G175" si="14">F174-E174</f>
        <v>17</v>
      </c>
      <c r="H174" s="99">
        <f>G174+'19'!H174</f>
        <v>-156</v>
      </c>
      <c r="I174" s="155"/>
      <c r="J174" s="178">
        <f>H174/DAY(B2)</f>
        <v>-7.8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'19'!F175</f>
        <v>21380</v>
      </c>
      <c r="F175" s="155">
        <v>21392</v>
      </c>
      <c r="G175" s="155">
        <f t="shared" si="14"/>
        <v>12</v>
      </c>
      <c r="H175" s="99">
        <f>G175+'19'!H175</f>
        <v>-126</v>
      </c>
      <c r="I175" s="155"/>
      <c r="J175" s="178">
        <f>H175/DAY(B2)</f>
        <v>-6.3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29</v>
      </c>
      <c r="H176" s="99">
        <f>G176+'19'!H176</f>
        <v>-298</v>
      </c>
      <c r="I176" s="155"/>
      <c r="J176" s="178">
        <f>H176/DAY(B2)</f>
        <v>-14.9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'19'!F178</f>
        <v>78788</v>
      </c>
      <c r="F178" s="155">
        <v>78855</v>
      </c>
      <c r="G178" s="155">
        <f>F178-E178</f>
        <v>67</v>
      </c>
      <c r="H178" s="99">
        <f>G178+'19'!H178</f>
        <v>-759</v>
      </c>
      <c r="I178" s="155"/>
      <c r="J178" s="178">
        <f>H178/DAY(B2)</f>
        <v>-37.950000000000003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'19'!F179</f>
        <v>33915</v>
      </c>
      <c r="F179" s="155">
        <v>33915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'19'!F180</f>
        <v>5397</v>
      </c>
      <c r="F180" s="155">
        <v>5398</v>
      </c>
      <c r="G180" s="155">
        <f t="shared" si="15"/>
        <v>1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68</v>
      </c>
      <c r="H181" s="99">
        <f>G181+'19'!H181</f>
        <v>-838</v>
      </c>
      <c r="I181" s="155"/>
      <c r="J181" s="178">
        <f>H181/DAY(B2)</f>
        <v>-41.9</v>
      </c>
    </row>
    <row r="182" spans="1:10" ht="24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28" t="s">
        <v>214</v>
      </c>
      <c r="B183" s="829"/>
      <c r="C183" s="336"/>
      <c r="D183" s="228" t="s">
        <v>142</v>
      </c>
      <c r="E183" s="95">
        <f>'19'!F183</f>
        <v>14773</v>
      </c>
      <c r="F183" s="157">
        <v>14781</v>
      </c>
      <c r="G183" s="157">
        <f>F183-E183</f>
        <v>8</v>
      </c>
      <c r="H183" s="99">
        <f>G183+'19'!H183</f>
        <v>-166</v>
      </c>
      <c r="I183" s="155"/>
      <c r="J183" s="178">
        <f>H183/DAY(B2)</f>
        <v>-8.3000000000000007</v>
      </c>
    </row>
    <row r="184" spans="1:10" ht="24.75" customHeight="1" x14ac:dyDescent="0.5">
      <c r="A184" s="828" t="s">
        <v>215</v>
      </c>
      <c r="B184" s="829"/>
      <c r="C184" s="336"/>
      <c r="D184" s="228" t="s">
        <v>142</v>
      </c>
      <c r="E184" s="95">
        <f>'19'!F184</f>
        <v>10212</v>
      </c>
      <c r="F184" s="157">
        <v>10216</v>
      </c>
      <c r="G184" s="157">
        <f t="shared" ref="G184:G185" si="16">F184-E184</f>
        <v>4</v>
      </c>
      <c r="H184" s="99">
        <f>G184+'19'!H184</f>
        <v>-85</v>
      </c>
      <c r="I184" s="155"/>
      <c r="J184" s="178">
        <f>H184/DAY(B2)</f>
        <v>-4.25</v>
      </c>
    </row>
    <row r="185" spans="1:10" ht="24.75" customHeight="1" x14ac:dyDescent="0.5">
      <c r="A185" s="828" t="s">
        <v>216</v>
      </c>
      <c r="B185" s="829"/>
      <c r="C185" s="336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12</v>
      </c>
      <c r="H186" s="99">
        <f>G186+'19'!H186</f>
        <v>-251</v>
      </c>
      <c r="I186" s="157"/>
      <c r="J186" s="178">
        <f>H186/DAY(B2)</f>
        <v>-12.55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179</v>
      </c>
      <c r="H187" s="99">
        <f>G187+'19'!H187</f>
        <v>-176</v>
      </c>
      <c r="I187" s="158"/>
      <c r="J187" s="179">
        <f>H187/DAY(B2)</f>
        <v>-8.8000000000000007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136</v>
      </c>
      <c r="H188" s="99">
        <f>G188+'19'!H188</f>
        <v>1047</v>
      </c>
      <c r="I188" s="158"/>
      <c r="J188" s="179">
        <f>H188/DAY(B2)</f>
        <v>52.35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68</v>
      </c>
      <c r="H189" s="99">
        <f>G189+'19'!H189</f>
        <v>143</v>
      </c>
      <c r="I189" s="158"/>
      <c r="J189" s="179">
        <f>H189/DAY(B2)</f>
        <v>7.15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45" zoomScale="60" zoomScaleNormal="60" zoomScalePageLayoutView="2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356</v>
      </c>
      <c r="B2" s="262">
        <v>44551</v>
      </c>
      <c r="C2" s="350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528478</v>
      </c>
      <c r="F7" s="95">
        <f>E7+23500</f>
        <v>551978</v>
      </c>
      <c r="G7" s="112">
        <f>F7-E7</f>
        <v>23500</v>
      </c>
      <c r="H7" s="99">
        <f>G7+'20'!H7</f>
        <v>457417</v>
      </c>
      <c r="I7" s="113">
        <f>'1'!I7</f>
        <v>12000</v>
      </c>
      <c r="J7" s="175">
        <f>H7/DAY(B2)</f>
        <v>21781.761904761905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578437</v>
      </c>
      <c r="F8" s="95">
        <f>E8+23500</f>
        <v>601937</v>
      </c>
      <c r="G8" s="115">
        <f>F8-E8</f>
        <v>23500</v>
      </c>
      <c r="H8" s="99">
        <f>G8+'20'!H8</f>
        <v>461052</v>
      </c>
      <c r="I8" s="116"/>
      <c r="J8" s="175">
        <f>H8/DAY(B2)</f>
        <v>21954.857142857141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165657</v>
      </c>
      <c r="F9" s="605">
        <f>E9+14000</f>
        <v>179657</v>
      </c>
      <c r="G9" s="112">
        <f>F9-E9</f>
        <v>14000</v>
      </c>
      <c r="H9" s="99">
        <f>G9+'20'!H9</f>
        <v>278162</v>
      </c>
      <c r="I9" s="124">
        <f>I7-J7</f>
        <v>-9781.7619047619046</v>
      </c>
      <c r="J9" s="175">
        <f>H9/DAY(B2)</f>
        <v>13245.809523809523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507050</v>
      </c>
      <c r="F10" s="355">
        <f>E10+4500</f>
        <v>511550</v>
      </c>
      <c r="G10" s="112">
        <f t="shared" ref="G10:G12" si="0">F10-E10</f>
        <v>4500</v>
      </c>
      <c r="H10" s="99">
        <f>G10+'20'!H10</f>
        <v>114440</v>
      </c>
      <c r="I10" s="282"/>
      <c r="J10" s="175">
        <f>H10/DAY(B2)</f>
        <v>5449.5238095238092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G13+'20'!H13</f>
        <v>373136.74999999988</v>
      </c>
      <c r="I13" s="120">
        <f>G7-G13</f>
        <v>5000</v>
      </c>
      <c r="J13" s="175">
        <f>H13/DAY(B2)</f>
        <v>17768.416666666661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'20'!F15</f>
        <v>1866126</v>
      </c>
      <c r="F15" s="123">
        <f>E15+1100</f>
        <v>1867226</v>
      </c>
      <c r="G15" s="112">
        <f>(F15-E15)</f>
        <v>1100</v>
      </c>
      <c r="H15" s="99">
        <f>G15+'20'!H15</f>
        <v>21369</v>
      </c>
      <c r="I15" s="113">
        <f>'1'!I15</f>
        <v>800</v>
      </c>
      <c r="J15" s="175">
        <f>H15/DAY(B2)</f>
        <v>1017.5714285714286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-217.57142857142856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'20'!F18</f>
        <v>147</v>
      </c>
      <c r="F18" s="122">
        <f>E18+12</f>
        <v>159</v>
      </c>
      <c r="G18" s="119">
        <f>F18*10</f>
        <v>1590</v>
      </c>
      <c r="H18" s="99">
        <f>G18+'20'!H18</f>
        <v>12380</v>
      </c>
      <c r="I18" s="113">
        <f>'1'!I18</f>
        <v>65</v>
      </c>
      <c r="J18" s="175">
        <f>H18/DAY(B2)</f>
        <v>589.52380952380952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'20'!F19</f>
        <v>153300</v>
      </c>
      <c r="F19" s="122">
        <f>E19+55</f>
        <v>153355</v>
      </c>
      <c r="G19" s="112">
        <f t="shared" ref="G19" si="1">F19-E19</f>
        <v>55</v>
      </c>
      <c r="H19" s="99">
        <f>G19+'20'!H19</f>
        <v>1130</v>
      </c>
      <c r="I19" s="337"/>
      <c r="J19" s="175">
        <f>H19/DAY(B2)</f>
        <v>53.80952380952381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1645</v>
      </c>
      <c r="H20" s="99">
        <f>G20+'20'!H20</f>
        <v>13510</v>
      </c>
      <c r="I20" s="338">
        <f>I18-J20</f>
        <v>-578.33333333333337</v>
      </c>
      <c r="J20" s="175">
        <f>H20/DAY(B2)</f>
        <v>643.33333333333337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G27+'20'!H27</f>
        <v>4149468</v>
      </c>
      <c r="I27" s="138"/>
      <c r="J27" s="175">
        <f>H27/DAY(B2)</f>
        <v>197593.71428571429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G28+'20'!H28</f>
        <v>1111188</v>
      </c>
      <c r="I28" s="140"/>
      <c r="J28" s="175">
        <f>H28/DAY(B2)</f>
        <v>52913.714285714283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G30+'20'!H30</f>
        <v>164980</v>
      </c>
      <c r="I30" s="140"/>
      <c r="J30" s="175">
        <f>H30/DAY(B2)</f>
        <v>7856.1904761904761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1590</v>
      </c>
      <c r="F31" s="136">
        <v>80</v>
      </c>
      <c r="G31" s="137">
        <f>E31*F31</f>
        <v>127200</v>
      </c>
      <c r="H31" s="99">
        <f>G31+'20'!H31</f>
        <v>990400</v>
      </c>
      <c r="I31" s="140"/>
      <c r="J31" s="175">
        <f>H31/DAY(B2)</f>
        <v>47161.904761904763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403930</v>
      </c>
      <c r="H32" s="99">
        <f>G32+'20'!H32</f>
        <v>6416036</v>
      </c>
      <c r="I32" s="144"/>
      <c r="J32" s="175">
        <f>H32/DAY(B2)</f>
        <v>305525.52380952379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133715.63</v>
      </c>
      <c r="F35" s="145">
        <v>135332.18</v>
      </c>
      <c r="G35" s="112">
        <f t="shared" ref="G35:G46" si="3">F35-E35</f>
        <v>1616.5499999999884</v>
      </c>
      <c r="H35" s="99">
        <f>G35+'20'!H35</f>
        <v>150532.18</v>
      </c>
      <c r="I35" s="95"/>
      <c r="J35" s="175">
        <f>H35/DAY(B2)</f>
        <v>7168.1990476190476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11187.36</v>
      </c>
      <c r="F36" s="145">
        <v>12225.39</v>
      </c>
      <c r="G36" s="112">
        <f t="shared" si="3"/>
        <v>1038.0299999999988</v>
      </c>
      <c r="H36" s="99">
        <f>G36+'20'!H36</f>
        <v>80428.39</v>
      </c>
      <c r="I36" s="95"/>
      <c r="J36" s="175">
        <f>H36/DAY(B2)</f>
        <v>3829.9233333333332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177881.65</v>
      </c>
      <c r="F37" s="506">
        <v>179507.15</v>
      </c>
      <c r="G37" s="112">
        <f t="shared" si="3"/>
        <v>1625.5</v>
      </c>
      <c r="H37" s="99">
        <f>G37+'20'!H37</f>
        <v>191719.15</v>
      </c>
      <c r="I37" s="95"/>
      <c r="J37" s="175">
        <f>H37/DAY(B2)</f>
        <v>9129.4833333333336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211328.03</v>
      </c>
      <c r="F38" s="108">
        <v>213221.87</v>
      </c>
      <c r="G38" s="112">
        <f t="shared" si="3"/>
        <v>1893.8399999999965</v>
      </c>
      <c r="H38" s="99">
        <f>G38+'20'!H38</f>
        <v>226421.87</v>
      </c>
      <c r="I38" s="95"/>
      <c r="J38" s="175">
        <f>H38/DAY(B2)</f>
        <v>10781.993809523809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380625.63</v>
      </c>
      <c r="F39" s="506">
        <v>383436.23</v>
      </c>
      <c r="G39" s="112">
        <f t="shared" si="3"/>
        <v>2810.5999999999767</v>
      </c>
      <c r="H39" s="99">
        <f>G39+'20'!H39</f>
        <v>405118.23</v>
      </c>
      <c r="I39" s="95"/>
      <c r="J39" s="175">
        <f>H39/DAY(B2)</f>
        <v>19291.344285714284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206.68</v>
      </c>
      <c r="F40" s="145">
        <v>863.05</v>
      </c>
      <c r="G40" s="112">
        <f t="shared" si="3"/>
        <v>656.36999999999989</v>
      </c>
      <c r="H40" s="99">
        <f>G40+'20'!H40</f>
        <v>-4206.8</v>
      </c>
      <c r="I40" s="95"/>
      <c r="J40" s="175">
        <f>H40/DAY(B2)</f>
        <v>-200.32380952380953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599900</v>
      </c>
      <c r="I41" s="95"/>
      <c r="J41" s="175">
        <f>H41/DAY(B2)</f>
        <v>28566.666666666668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29584.51</v>
      </c>
      <c r="F42" s="145">
        <v>34250.589999999997</v>
      </c>
      <c r="G42" s="112">
        <f t="shared" si="3"/>
        <v>4666.0799999999981</v>
      </c>
      <c r="H42" s="99">
        <f>G42+'20'!H42</f>
        <v>318101.59000000003</v>
      </c>
      <c r="I42" s="95"/>
      <c r="J42" s="175">
        <f>H42/DAY(B2)</f>
        <v>15147.694761904762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18230.59</v>
      </c>
      <c r="F43" s="145">
        <v>20922.75</v>
      </c>
      <c r="G43" s="112">
        <f t="shared" si="3"/>
        <v>2692.16</v>
      </c>
      <c r="H43" s="99">
        <f>G43+'20'!H43</f>
        <v>1538342.7499999998</v>
      </c>
      <c r="I43" s="95"/>
      <c r="J43" s="175">
        <f>H43/DAY(B2)</f>
        <v>73254.416666666657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16999.129999999957</v>
      </c>
      <c r="H47" s="99">
        <f>G47+'20'!H47</f>
        <v>3506357.36</v>
      </c>
      <c r="I47" s="95"/>
      <c r="J47" s="175">
        <f>H47/DAY(B2)</f>
        <v>166969.39809523808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255613.45</v>
      </c>
      <c r="F49" s="145">
        <v>257146.11</v>
      </c>
      <c r="G49" s="112">
        <f t="shared" ref="G49:G58" si="4">F49-E49</f>
        <v>1532.6599999999744</v>
      </c>
      <c r="H49" s="99">
        <f>G49+'20'!H49</f>
        <v>270267.11000000004</v>
      </c>
      <c r="I49" s="95"/>
      <c r="J49" s="175">
        <f>H49/DAY(B2)</f>
        <v>12869.862380952383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11973.2</v>
      </c>
      <c r="F50" s="145">
        <v>13089.88</v>
      </c>
      <c r="G50" s="112">
        <f t="shared" si="4"/>
        <v>1116.6799999999985</v>
      </c>
      <c r="H50" s="99">
        <f>G50+'20'!H50</f>
        <v>727514.88000000012</v>
      </c>
      <c r="I50" s="95"/>
      <c r="J50" s="175">
        <f>H50/DAY(B2)</f>
        <v>34643.565714285724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3135.28</v>
      </c>
      <c r="F54" s="145">
        <v>3139.76</v>
      </c>
      <c r="G54" s="112">
        <f t="shared" si="4"/>
        <v>4.4800000000000182</v>
      </c>
      <c r="H54" s="99">
        <f>G54+'20'!H54</f>
        <v>4906.84</v>
      </c>
      <c r="I54" s="95"/>
      <c r="J54" s="175">
        <f>H54/DAY(B2)</f>
        <v>233.65904761904761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0</v>
      </c>
      <c r="F55" s="145">
        <v>0</v>
      </c>
      <c r="G55" s="112">
        <f t="shared" si="4"/>
        <v>0</v>
      </c>
      <c r="H55" s="99">
        <f>G55+'20'!H55</f>
        <v>-3511</v>
      </c>
      <c r="I55" s="95"/>
      <c r="J55" s="175">
        <f>H55/DAY(B2)</f>
        <v>-167.1904761904762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6">
        <v>8610.5400000000009</v>
      </c>
      <c r="G56" s="112">
        <f t="shared" si="4"/>
        <v>0</v>
      </c>
      <c r="H56" s="99">
        <f>G56+'20'!H56</f>
        <v>212065</v>
      </c>
      <c r="I56" s="95"/>
      <c r="J56" s="175">
        <f>H56/DAY(B2)</f>
        <v>10098.333333333334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89908.87</v>
      </c>
      <c r="F58" s="145">
        <v>90130.03</v>
      </c>
      <c r="G58" s="112">
        <f t="shared" si="4"/>
        <v>221.16000000000349</v>
      </c>
      <c r="H58" s="99">
        <f>G58+'20'!H58</f>
        <v>90470.66</v>
      </c>
      <c r="I58" s="95"/>
      <c r="J58" s="175">
        <f>H58/DAY(B2)</f>
        <v>4308.126666666667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2874.9799999999764</v>
      </c>
      <c r="H59" s="99">
        <f>G59+'20'!H59</f>
        <v>1301713.4900000002</v>
      </c>
      <c r="I59" s="95">
        <f>G7-G60</f>
        <v>3625.8900000000649</v>
      </c>
      <c r="J59" s="175">
        <f>H59/DAY(B2)</f>
        <v>61986.356666666674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19874.109999999935</v>
      </c>
      <c r="H60" s="99">
        <f>G60+'20'!H60</f>
        <v>4808070.8500000006</v>
      </c>
      <c r="I60" s="95">
        <f>G13-G60</f>
        <v>-1374.1099999999351</v>
      </c>
      <c r="J60" s="175">
        <f>H60/DAY(B2)</f>
        <v>228955.7547619048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'20'!F62</f>
        <v>265962</v>
      </c>
      <c r="F62" s="122">
        <v>266079</v>
      </c>
      <c r="G62" s="112">
        <f t="shared" ref="G62:G63" si="5">F62-E62</f>
        <v>117</v>
      </c>
      <c r="H62" s="99">
        <f>G62+'20'!H62</f>
        <v>-1134</v>
      </c>
      <c r="I62" s="118"/>
      <c r="J62" s="175">
        <f>H62/DAY(B2)</f>
        <v>-54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'20'!F63</f>
        <v>211496</v>
      </c>
      <c r="F63" s="150">
        <v>211568</v>
      </c>
      <c r="G63" s="112">
        <f t="shared" si="5"/>
        <v>72</v>
      </c>
      <c r="H63" s="99">
        <f>G63+'20'!H63</f>
        <v>-857</v>
      </c>
      <c r="I63" s="118"/>
      <c r="J63" s="175">
        <f>H63/DAY(B2)</f>
        <v>-40.80952380952381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'20'!F64</f>
        <v>0</v>
      </c>
      <c r="F64" s="122"/>
      <c r="G64" s="112">
        <f>G62+G63</f>
        <v>189</v>
      </c>
      <c r="H64" s="99">
        <f>G64+'20'!H64</f>
        <v>-1991</v>
      </c>
      <c r="I64" s="118"/>
      <c r="J64" s="175">
        <f>H64/DAY(B2)</f>
        <v>-94.80952380952381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'20'!F65</f>
        <v>431486</v>
      </c>
      <c r="F65" s="122">
        <v>431583</v>
      </c>
      <c r="G65" s="112">
        <f t="shared" ref="G65:G70" si="6">F65-E65</f>
        <v>97</v>
      </c>
      <c r="H65" s="99">
        <f>G65+'20'!H65</f>
        <v>-1031</v>
      </c>
      <c r="I65" s="118"/>
      <c r="J65" s="175">
        <f>H65/DAY(B2)</f>
        <v>-49.095238095238095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'20'!F66</f>
        <v>106990</v>
      </c>
      <c r="F66" s="122">
        <v>107007</v>
      </c>
      <c r="G66" s="112">
        <f t="shared" si="6"/>
        <v>17</v>
      </c>
      <c r="H66" s="99">
        <f>G66+'20'!H66</f>
        <v>-207</v>
      </c>
      <c r="I66" s="118"/>
      <c r="J66" s="175">
        <f>H66/DAY(B2)</f>
        <v>-9.8571428571428577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'20'!F67</f>
        <v>103598</v>
      </c>
      <c r="F67" s="122">
        <v>103625</v>
      </c>
      <c r="G67" s="112">
        <f t="shared" si="6"/>
        <v>27</v>
      </c>
      <c r="H67" s="99">
        <f>G67+'20'!H67</f>
        <v>-303</v>
      </c>
      <c r="I67" s="118"/>
      <c r="J67" s="175">
        <f>H67/DAY(B2)</f>
        <v>-14.428571428571429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'20'!F68</f>
        <v>156249</v>
      </c>
      <c r="F68" s="122">
        <v>156284</v>
      </c>
      <c r="G68" s="112">
        <f t="shared" si="6"/>
        <v>35</v>
      </c>
      <c r="H68" s="99">
        <f>G68+'20'!H68</f>
        <v>-336</v>
      </c>
      <c r="I68" s="118"/>
      <c r="J68" s="175">
        <f>H68/DAY(B2)</f>
        <v>-16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'20'!F69</f>
        <v>10078</v>
      </c>
      <c r="F69" s="122">
        <v>10087</v>
      </c>
      <c r="G69" s="112">
        <f t="shared" si="6"/>
        <v>9</v>
      </c>
      <c r="H69" s="99">
        <f>G69+'20'!H69</f>
        <v>-127</v>
      </c>
      <c r="I69" s="118"/>
      <c r="J69" s="175">
        <f>H69/DAY(B2)</f>
        <v>-6.0476190476190474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'20'!F70</f>
        <v>7763</v>
      </c>
      <c r="F70" s="122">
        <v>7771</v>
      </c>
      <c r="G70" s="112">
        <f t="shared" si="6"/>
        <v>8</v>
      </c>
      <c r="H70" s="99">
        <f>G70+'20'!H70</f>
        <v>-91</v>
      </c>
      <c r="I70" s="118"/>
      <c r="J70" s="175">
        <f>H70/DAY(B2)</f>
        <v>-4.333333333333333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193</v>
      </c>
      <c r="H71" s="99">
        <f>G71+'20'!H71</f>
        <v>-2095</v>
      </c>
      <c r="I71" s="154"/>
      <c r="J71" s="175">
        <f>H71/DAY(B2)</f>
        <v>-99.761904761904759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'20'!F74</f>
        <v>888574</v>
      </c>
      <c r="F74" s="123">
        <v>888895.21</v>
      </c>
      <c r="G74" s="112">
        <f t="shared" ref="G74:G78" si="7">F74-E74</f>
        <v>321.20999999996275</v>
      </c>
      <c r="H74" s="99">
        <f>G74+'20'!H74</f>
        <v>-3136.7900000000373</v>
      </c>
      <c r="I74" s="154"/>
      <c r="J74" s="175">
        <f>H74/DAY(B2)</f>
        <v>-149.37095238095415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243.88999999999942</v>
      </c>
      <c r="I75" s="154"/>
      <c r="J75" s="175">
        <f>H75/DAY(B2)</f>
        <v>11.613809523809497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'20'!F76</f>
        <v>166014.25</v>
      </c>
      <c r="F76" s="123">
        <v>166125.73000000001</v>
      </c>
      <c r="G76" s="112">
        <f t="shared" si="7"/>
        <v>111.48000000001048</v>
      </c>
      <c r="H76" s="99">
        <f>G76+'20'!H76</f>
        <v>-1081.2699999999895</v>
      </c>
      <c r="I76" s="154"/>
      <c r="J76" s="175">
        <f>H76/DAY(B2)</f>
        <v>-51.48904761904712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'20'!F77</f>
        <v>39796</v>
      </c>
      <c r="F77" s="123">
        <v>39851</v>
      </c>
      <c r="G77" s="112">
        <f t="shared" si="7"/>
        <v>55</v>
      </c>
      <c r="H77" s="99">
        <f>G77+'20'!H77</f>
        <v>-465</v>
      </c>
      <c r="I77" s="154"/>
      <c r="J77" s="175">
        <f>H77/DAY(B2)</f>
        <v>-22.142857142857142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'20'!F78</f>
        <v>9466</v>
      </c>
      <c r="F78" s="123">
        <v>9467</v>
      </c>
      <c r="G78" s="112">
        <f t="shared" si="7"/>
        <v>1</v>
      </c>
      <c r="H78" s="99">
        <f>G78+'20'!H78</f>
        <v>-19</v>
      </c>
      <c r="I78" s="118"/>
      <c r="J78" s="175">
        <f>H78/DAY(B2)</f>
        <v>-0.90476190476190477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'20'!F79</f>
        <v>0</v>
      </c>
      <c r="F79" s="123"/>
      <c r="G79" s="112">
        <f>G15-SUM(G74:G78)</f>
        <v>611.31000000002678</v>
      </c>
      <c r="H79" s="99">
        <f>G79+'20'!H79</f>
        <v>25827.170000000024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'20'!F84</f>
        <v>41675.4</v>
      </c>
      <c r="F84" s="164">
        <v>41675.4</v>
      </c>
      <c r="G84" s="112">
        <f t="shared" si="8"/>
        <v>0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'20'!F85</f>
        <v>1868</v>
      </c>
      <c r="F85" s="164">
        <v>1892.37</v>
      </c>
      <c r="G85" s="112">
        <f t="shared" si="8"/>
        <v>24.369999999999891</v>
      </c>
      <c r="H85" s="99">
        <f>G85+'20'!H85</f>
        <v>-204.19000000000005</v>
      </c>
      <c r="I85" s="118">
        <f>G82+G83+G84+G85</f>
        <v>24.369999999999891</v>
      </c>
      <c r="J85" s="175">
        <f>H85/DAY(B2)</f>
        <v>-9.7233333333333363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-36.529999999998836</v>
      </c>
      <c r="I86" s="118"/>
      <c r="J86" s="175">
        <f>H86/DAY(B2)</f>
        <v>-1.7395238095237542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'20'!F88</f>
        <v>24005.53</v>
      </c>
      <c r="F88" s="164">
        <v>24005.53</v>
      </c>
      <c r="G88" s="112">
        <f t="shared" si="8"/>
        <v>0</v>
      </c>
      <c r="H88" s="99">
        <f>G88+'20'!H88</f>
        <v>-41.470000000001164</v>
      </c>
      <c r="I88" s="118">
        <f>G86+G87+G88</f>
        <v>0</v>
      </c>
      <c r="J88" s="175">
        <f>H88/DAY(B2)</f>
        <v>-1.9747619047619602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'20'!F89</f>
        <v>25595.63</v>
      </c>
      <c r="F89" s="164">
        <v>25606.26</v>
      </c>
      <c r="G89" s="112">
        <f t="shared" si="8"/>
        <v>10.629999999997381</v>
      </c>
      <c r="H89" s="99">
        <f>G89+'20'!H89</f>
        <v>-56.740000000001601</v>
      </c>
      <c r="I89" s="118"/>
      <c r="J89" s="175">
        <f>H89/DAY(B2)</f>
        <v>-2.7019047619048382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'20'!F90</f>
        <v>70969.11</v>
      </c>
      <c r="F90" s="164">
        <v>70975.42</v>
      </c>
      <c r="G90" s="112">
        <f t="shared" si="8"/>
        <v>6.3099999999976717</v>
      </c>
      <c r="H90" s="99">
        <f>G90+'20'!H90</f>
        <v>-58.580000000001746</v>
      </c>
      <c r="I90" s="118">
        <f>G89+G90</f>
        <v>16.939999999995052</v>
      </c>
      <c r="J90" s="175">
        <f>H90/DAY(B2)</f>
        <v>-2.7895238095238928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'20'!F92</f>
        <v>5317.4</v>
      </c>
      <c r="F92" s="122">
        <v>5328.57</v>
      </c>
      <c r="G92" s="112">
        <f t="shared" si="8"/>
        <v>11.170000000000073</v>
      </c>
      <c r="H92" s="99">
        <f>G92+'20'!H92</f>
        <v>-109.43000000000029</v>
      </c>
      <c r="I92" s="165"/>
      <c r="J92" s="175">
        <f>H92/DAY(B2)</f>
        <v>-5.2109523809523948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5841.3699999999626</v>
      </c>
      <c r="H94" s="99">
        <f>G94+'20'!H94</f>
        <v>1959142.04</v>
      </c>
      <c r="I94" s="118"/>
      <c r="J94" s="175">
        <f>H94/DAY(B2)</f>
        <v>93292.478095238097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0.24856893617021117</v>
      </c>
      <c r="H95" s="99">
        <f>G95+'20'!H95</f>
        <v>83.829105624088498</v>
      </c>
      <c r="I95" s="167"/>
      <c r="J95" s="175">
        <f>H95/DAY(B2)</f>
        <v>3.9918621725756429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4666.0799999999981</v>
      </c>
      <c r="H96" s="99">
        <f>G96+'20'!H96</f>
        <v>1126555.5900000001</v>
      </c>
      <c r="I96" s="118"/>
      <c r="J96" s="175">
        <f>H96/DAY(B2)</f>
        <v>53645.504285714291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0.19855659574468076</v>
      </c>
      <c r="H97" s="99">
        <f>G97+'20'!H97</f>
        <v>48.181490190046304</v>
      </c>
      <c r="I97" s="167"/>
      <c r="J97" s="175">
        <f>H97/DAY(B2)</f>
        <v>2.2943566757164908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2810.5999999999767</v>
      </c>
      <c r="H98" s="99">
        <f>G98+'20'!H98</f>
        <v>405118.23</v>
      </c>
      <c r="I98" s="168"/>
      <c r="J98" s="175">
        <f>H98/DAY(B2)</f>
        <v>19291.344285714284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0.11959999999999901</v>
      </c>
      <c r="H99" s="99">
        <f>G99+'20'!H99</f>
        <v>17.453023521885523</v>
      </c>
      <c r="I99" s="168"/>
      <c r="J99" s="175">
        <f>H99/DAY(B2)</f>
        <v>0.83109635818502492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1893.8399999999965</v>
      </c>
      <c r="H100" s="99">
        <f>G100+'20'!H100</f>
        <v>226421.87</v>
      </c>
      <c r="I100" s="118"/>
      <c r="J100" s="175">
        <f>H100/DAY(B2)</f>
        <v>10781.993809523809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8.0588936170212622E-2</v>
      </c>
      <c r="H101" s="99">
        <f>G101+'20'!H101</f>
        <v>9.7658449127917724</v>
      </c>
      <c r="I101" s="168"/>
      <c r="J101" s="175">
        <f>H101/DAY(B2)</f>
        <v>0.46504023394246535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2154.7099999999973</v>
      </c>
      <c r="H102" s="99">
        <f>G102+'20'!H102</f>
        <v>807943.2699999999</v>
      </c>
      <c r="I102" s="168"/>
      <c r="J102" s="175">
        <f>H102/DAY(B2)</f>
        <v>38473.489047619041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9.1689787234042433E-2</v>
      </c>
      <c r="H103" s="99">
        <f>G103+'20'!H103</f>
        <v>34.524903303780363</v>
      </c>
      <c r="I103" s="118"/>
      <c r="J103" s="175">
        <f>H103/DAY(B2)</f>
        <v>1.6440430144657316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1625.5</v>
      </c>
      <c r="H104" s="99">
        <f>G104+'20'!H104</f>
        <v>191719.15</v>
      </c>
      <c r="I104" s="118"/>
      <c r="J104" s="175">
        <f>H104/DAY(B2)</f>
        <v>9129.4833333333336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6.9170212765957445E-2</v>
      </c>
      <c r="H105" s="99">
        <f>G105+'20'!H105</f>
        <v>8.2787265808593631</v>
      </c>
      <c r="I105" s="187"/>
      <c r="J105" s="188">
        <f>H105/DAY(B2)</f>
        <v>0.39422507527901729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'20'!F112</f>
        <v>54909.440000000002</v>
      </c>
      <c r="F112" s="237">
        <v>54981.62</v>
      </c>
      <c r="G112" s="112">
        <f t="shared" ref="G112:G123" si="9">F112-E112</f>
        <v>72.180000000000291</v>
      </c>
      <c r="H112" s="99">
        <f>G112+'20'!H112</f>
        <v>-699.37999999999738</v>
      </c>
      <c r="I112" s="165"/>
      <c r="J112" s="330">
        <f>H112/DAY(B2)</f>
        <v>-33.303809523809399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'20'!F113</f>
        <v>27206.95</v>
      </c>
      <c r="F113" s="604">
        <v>27650.66</v>
      </c>
      <c r="G113" s="112">
        <f t="shared" si="9"/>
        <v>443.70999999999913</v>
      </c>
      <c r="H113" s="99">
        <f>G113+'20'!H113</f>
        <v>-4544.34</v>
      </c>
      <c r="I113" s="165"/>
      <c r="J113" s="330">
        <f>H113/DAY(B2)</f>
        <v>-216.39714285714285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'20'!F114</f>
        <v>21535.19</v>
      </c>
      <c r="F114" s="237">
        <v>21811.75</v>
      </c>
      <c r="G114" s="112">
        <f t="shared" si="9"/>
        <v>276.56000000000131</v>
      </c>
      <c r="H114" s="99">
        <f>G114+'20'!H114</f>
        <v>-3216.4300000000021</v>
      </c>
      <c r="I114" s="165"/>
      <c r="J114" s="330">
        <f>H114/DAY(B2)</f>
        <v>-153.16333333333344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'20'!F115</f>
        <v>8654.93</v>
      </c>
      <c r="F115" s="237">
        <v>8664.44</v>
      </c>
      <c r="G115" s="112">
        <f t="shared" si="9"/>
        <v>9.5100000000002183</v>
      </c>
      <c r="H115" s="99">
        <f>G115+'20'!H115</f>
        <v>-120.55999999999949</v>
      </c>
      <c r="I115" s="165"/>
      <c r="J115" s="330">
        <f>H115/DAY(B2)</f>
        <v>-5.7409523809523568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'20'!F117</f>
        <v>2341.16</v>
      </c>
      <c r="F117" s="237">
        <v>2366.94</v>
      </c>
      <c r="G117" s="112">
        <f t="shared" si="9"/>
        <v>25.7800000000002</v>
      </c>
      <c r="H117" s="99">
        <f>G117+'20'!H117</f>
        <v>-223.05999999999995</v>
      </c>
      <c r="I117" s="165"/>
      <c r="J117" s="330">
        <f>H117/DAY(B2)</f>
        <v>-10.621904761904759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'20'!F118</f>
        <v>237382.29</v>
      </c>
      <c r="F118" s="237">
        <v>237795.19</v>
      </c>
      <c r="G118" s="112">
        <f t="shared" si="9"/>
        <v>412.89999999999418</v>
      </c>
      <c r="H118" s="99">
        <f>G118+'20'!H118</f>
        <v>-3851.8099999999977</v>
      </c>
      <c r="I118" s="165"/>
      <c r="J118" s="330">
        <f>H118/DAY(B2)</f>
        <v>-183.4195238095237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'20'!F119</f>
        <v>240489.23</v>
      </c>
      <c r="F119" s="237">
        <v>240915.45</v>
      </c>
      <c r="G119" s="112">
        <f t="shared" si="9"/>
        <v>426.22000000000116</v>
      </c>
      <c r="H119" s="99">
        <f>G119+'20'!H119</f>
        <v>-4210.5499999999884</v>
      </c>
      <c r="I119" s="165"/>
      <c r="J119" s="330">
        <f>H119/DAY(B2)</f>
        <v>-200.50238095238041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'20'!F120</f>
        <v>25493.41</v>
      </c>
      <c r="F120" s="604">
        <v>25910.3</v>
      </c>
      <c r="G120" s="112">
        <f t="shared" si="9"/>
        <v>416.88999999999942</v>
      </c>
      <c r="H120" s="99">
        <f>G120+'20'!H120</f>
        <v>-4167.7000000000007</v>
      </c>
      <c r="I120" s="165"/>
      <c r="J120" s="330">
        <f>H120/DAY(B2)</f>
        <v>-198.4619047619048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'20'!F121</f>
        <v>367913.71</v>
      </c>
      <c r="F121" s="237">
        <v>368697.51</v>
      </c>
      <c r="G121" s="112">
        <f t="shared" si="9"/>
        <v>783.79999999998836</v>
      </c>
      <c r="H121" s="99">
        <f>G121+'20'!H121</f>
        <v>-7831.4899999999907</v>
      </c>
      <c r="I121" s="165"/>
      <c r="J121" s="330">
        <f>H121/DAY(B2)</f>
        <v>-372.92809523809478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'20'!F122</f>
        <v>117612.63</v>
      </c>
      <c r="F122" s="237">
        <v>117870.13</v>
      </c>
      <c r="G122" s="112">
        <f t="shared" si="9"/>
        <v>257.5</v>
      </c>
      <c r="H122" s="99">
        <f>G122+'20'!H122</f>
        <v>-2179.8699999999953</v>
      </c>
      <c r="I122" s="165"/>
      <c r="J122" s="330">
        <f>H122/DAY(B2)</f>
        <v>-103.80333333333311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'20'!F123</f>
        <v>141264.28</v>
      </c>
      <c r="F123" s="237">
        <v>141648.82999999999</v>
      </c>
      <c r="G123" s="112">
        <f t="shared" si="9"/>
        <v>384.54999999998836</v>
      </c>
      <c r="H123" s="99">
        <f>G123+'20'!H123</f>
        <v>-3476.1700000000128</v>
      </c>
      <c r="I123" s="165"/>
      <c r="J123" s="330">
        <f>H123/DAY(B2)</f>
        <v>-165.53190476190537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99">
        <f>G124+'20'!H124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3509.5999999999726</v>
      </c>
      <c r="H125" s="156"/>
      <c r="I125" s="329">
        <f>G125-(G39+G53)</f>
        <v>698.99999999999591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G127+'20'!H127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'20'!F128</f>
        <v>34356.51</v>
      </c>
      <c r="F128" s="165">
        <v>34682.300000000003</v>
      </c>
      <c r="G128" s="112">
        <f t="shared" ref="G128:G134" si="10">F128-E128</f>
        <v>325.79000000000087</v>
      </c>
      <c r="H128" s="99">
        <f>G128+'20'!H128</f>
        <v>-3321.6999999999971</v>
      </c>
      <c r="I128" s="165"/>
      <c r="J128" s="330">
        <f>H128/DAY(B2)</f>
        <v>-158.17619047619033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'20'!F129</f>
        <v>17955.68</v>
      </c>
      <c r="F129" s="165">
        <v>18118.53</v>
      </c>
      <c r="G129" s="112">
        <f t="shared" si="10"/>
        <v>162.84999999999854</v>
      </c>
      <c r="H129" s="99">
        <f>G129+'20'!H129</f>
        <v>-2202.4700000000012</v>
      </c>
      <c r="I129" s="165"/>
      <c r="J129" s="330">
        <f>H129/DAY(B2)</f>
        <v>-104.87952380952386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'20'!F130</f>
        <v>10100.120000000001</v>
      </c>
      <c r="F130" s="598">
        <v>10812.36</v>
      </c>
      <c r="G130" s="112">
        <f t="shared" si="10"/>
        <v>712.23999999999978</v>
      </c>
      <c r="H130" s="99">
        <f>G130+'20'!H130</f>
        <v>-7569.6400000000012</v>
      </c>
      <c r="I130" s="165"/>
      <c r="J130" s="330">
        <f>H130/DAY(B2)</f>
        <v>-360.45904761904768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'20'!F131</f>
        <v>12095.78</v>
      </c>
      <c r="F131" s="165">
        <v>12207.84</v>
      </c>
      <c r="G131" s="112">
        <f t="shared" si="10"/>
        <v>112.05999999999949</v>
      </c>
      <c r="H131" s="99">
        <f>G131+'20'!H131</f>
        <v>-945.15999999999985</v>
      </c>
      <c r="I131" s="165"/>
      <c r="J131" s="330">
        <f>H131/DAY(B2)</f>
        <v>-45.007619047619038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v>35647.980000000003</v>
      </c>
      <c r="F132" s="165">
        <v>36160.97</v>
      </c>
      <c r="G132" s="112">
        <f t="shared" si="10"/>
        <v>512.98999999999796</v>
      </c>
      <c r="H132" s="99">
        <f>G132+'20'!H132</f>
        <v>-6475.1500000000015</v>
      </c>
      <c r="I132" s="165"/>
      <c r="J132" s="330">
        <f>H132/DAY(B2)</f>
        <v>-308.34047619047624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'20'!F133</f>
        <v>80371.27</v>
      </c>
      <c r="F133" s="165">
        <v>81077.960000000006</v>
      </c>
      <c r="G133" s="112">
        <f t="shared" si="10"/>
        <v>706.69000000000233</v>
      </c>
      <c r="H133" s="99">
        <f>G133+'20'!H133</f>
        <v>-6625.0399999999936</v>
      </c>
      <c r="I133" s="165"/>
      <c r="J133" s="330">
        <f>H133/DAY(B2)</f>
        <v>-315.47809523809491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'20'!F134</f>
        <v>663357</v>
      </c>
      <c r="F134" s="165">
        <v>663614</v>
      </c>
      <c r="G134" s="112">
        <f t="shared" si="10"/>
        <v>257</v>
      </c>
      <c r="H134" s="99">
        <f>G134+'20'!H134</f>
        <v>12480</v>
      </c>
      <c r="I134" s="165"/>
      <c r="J134" s="330">
        <f>H134/DAY(B2)</f>
        <v>594.28571428571433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2789.619999999999</v>
      </c>
      <c r="H135" s="99">
        <f>G135+'10'!H135</f>
        <v>-44958.380000000005</v>
      </c>
      <c r="I135" s="329">
        <f>G135-(G35+G49)</f>
        <v>-359.58999999996377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'20'!F138</f>
        <v>862944</v>
      </c>
      <c r="F138" s="147">
        <v>863035</v>
      </c>
      <c r="G138" s="112">
        <f t="shared" ref="G138:G152" si="11">F138-E138</f>
        <v>91</v>
      </c>
      <c r="H138" s="99">
        <f>G138+'20'!H138</f>
        <v>-1136</v>
      </c>
      <c r="I138" s="118"/>
      <c r="J138" s="330">
        <f>H138/DAY(B2)</f>
        <v>-54.095238095238095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'20'!F139</f>
        <v>886456</v>
      </c>
      <c r="F139" s="148">
        <v>886459</v>
      </c>
      <c r="G139" s="112">
        <f t="shared" si="11"/>
        <v>3</v>
      </c>
      <c r="H139" s="99">
        <f>G139+'20'!H139</f>
        <v>-87</v>
      </c>
      <c r="I139" s="118"/>
      <c r="J139" s="330">
        <f>H139/DAY(B2)</f>
        <v>-4.1428571428571432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'20'!F140</f>
        <v>88880.6</v>
      </c>
      <c r="F140" s="149">
        <v>88881.2</v>
      </c>
      <c r="G140" s="112">
        <f t="shared" si="11"/>
        <v>0.59999999999126885</v>
      </c>
      <c r="H140" s="99">
        <f>G140+'20'!H140</f>
        <v>-0.80000000000291038</v>
      </c>
      <c r="I140" s="118"/>
      <c r="J140" s="330">
        <f>H140/DAY(B2)</f>
        <v>-3.8095238095376682E-2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'20'!F141</f>
        <v>47124.61</v>
      </c>
      <c r="F141" s="149">
        <v>47324.58</v>
      </c>
      <c r="G141" s="112">
        <f t="shared" si="11"/>
        <v>199.97000000000116</v>
      </c>
      <c r="H141" s="99">
        <f>G141+'20'!H141</f>
        <v>-1981.4199999999983</v>
      </c>
      <c r="I141" s="118"/>
      <c r="J141" s="330">
        <f>H141/DAY(B2)</f>
        <v>-94.353333333333254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'20'!F142</f>
        <v>18179.09</v>
      </c>
      <c r="F142" s="148">
        <v>18252.310000000001</v>
      </c>
      <c r="G142" s="112">
        <f t="shared" si="11"/>
        <v>73.220000000001164</v>
      </c>
      <c r="H142" s="99">
        <f>G142+'20'!H142</f>
        <v>-756.68999999999869</v>
      </c>
      <c r="I142" s="140"/>
      <c r="J142" s="330">
        <f>H142/DAY(B2)</f>
        <v>-36.032857142857083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'20'!F143</f>
        <v>2802.07</v>
      </c>
      <c r="F143" s="149">
        <v>2827.6</v>
      </c>
      <c r="G143" s="112">
        <f t="shared" si="11"/>
        <v>25.529999999999745</v>
      </c>
      <c r="H143" s="99">
        <f>G143+'20'!H143</f>
        <v>-233.40000000000009</v>
      </c>
      <c r="I143" s="140"/>
      <c r="J143" s="330">
        <f>H143/DAY(B2)</f>
        <v>-11.114285714285719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'20'!F144</f>
        <v>867024</v>
      </c>
      <c r="F144" s="147">
        <v>867266</v>
      </c>
      <c r="G144" s="112">
        <f t="shared" si="11"/>
        <v>242</v>
      </c>
      <c r="H144" s="99">
        <f>G144+'20'!H144</f>
        <v>-2404</v>
      </c>
      <c r="I144" s="140"/>
      <c r="J144" s="330">
        <f>H144/DAY(B2)</f>
        <v>-114.47619047619048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'20'!F145</f>
        <v>4365.04</v>
      </c>
      <c r="F145" s="147">
        <v>4388.93</v>
      </c>
      <c r="G145" s="112">
        <f t="shared" si="11"/>
        <v>23.890000000000327</v>
      </c>
      <c r="H145" s="99">
        <f>G145+'20'!H145</f>
        <v>-169.06999999999971</v>
      </c>
      <c r="I145" s="140"/>
      <c r="J145" s="330">
        <f>H145/DAY(B2)</f>
        <v>-8.0509523809523671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'20'!F146</f>
        <v>719483</v>
      </c>
      <c r="F146" s="148">
        <v>719980</v>
      </c>
      <c r="G146" s="112">
        <f t="shared" si="11"/>
        <v>497</v>
      </c>
      <c r="H146" s="99">
        <f>G146+'20'!H146</f>
        <v>-4878</v>
      </c>
      <c r="I146" s="140"/>
      <c r="J146" s="330">
        <f>H146/DAY(B2)</f>
        <v>-232.28571428571428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'20'!F147</f>
        <v>610730.52</v>
      </c>
      <c r="F147" s="148">
        <v>611137.48</v>
      </c>
      <c r="G147" s="112">
        <f t="shared" si="11"/>
        <v>406.95999999996275</v>
      </c>
      <c r="H147" s="99">
        <f>G147+'20'!H147</f>
        <v>-4144.5200000000186</v>
      </c>
      <c r="I147" s="140"/>
      <c r="J147" s="330">
        <f>H147/DAY(B2)</f>
        <v>-197.35809523809613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'20'!F148</f>
        <v>679800.4</v>
      </c>
      <c r="F148" s="150">
        <v>680078.48</v>
      </c>
      <c r="G148" s="112">
        <f t="shared" si="11"/>
        <v>278.07999999995809</v>
      </c>
      <c r="H148" s="99">
        <f>G148+'20'!H148</f>
        <v>-2954.640000000014</v>
      </c>
      <c r="I148" s="124"/>
      <c r="J148" s="330">
        <f>H148/DAY(B2)</f>
        <v>-140.69714285714352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'20'!F149</f>
        <v>4621.4799999999996</v>
      </c>
      <c r="F149" s="146">
        <v>5177.62</v>
      </c>
      <c r="G149" s="112">
        <f t="shared" si="11"/>
        <v>556.14000000000033</v>
      </c>
      <c r="H149" s="99">
        <f>G149+'20'!H149</f>
        <v>181668.62000000002</v>
      </c>
      <c r="I149" s="119"/>
      <c r="J149" s="330">
        <f>H149/DAY(B2)</f>
        <v>8650.8866666666672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'20'!F150</f>
        <v>1555.79</v>
      </c>
      <c r="F150" s="233">
        <v>1784.62</v>
      </c>
      <c r="G150" s="112">
        <f t="shared" si="11"/>
        <v>228.82999999999993</v>
      </c>
      <c r="H150" s="99">
        <f>G150+'20'!H150</f>
        <v>7164772.6200000001</v>
      </c>
      <c r="I150" s="119"/>
      <c r="J150" s="330">
        <f>H150/DAY(B2)</f>
        <v>341179.64857142855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'20'!F151</f>
        <v>75645</v>
      </c>
      <c r="F151" s="152">
        <v>75859</v>
      </c>
      <c r="G151" s="112">
        <f t="shared" si="11"/>
        <v>214</v>
      </c>
      <c r="H151" s="99">
        <f>G151+'20'!H151</f>
        <v>-2358</v>
      </c>
      <c r="I151" s="119"/>
      <c r="J151" s="330">
        <f>H151/DAY(B2)</f>
        <v>-112.28571428571429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'20'!F152</f>
        <v>578.74</v>
      </c>
      <c r="F152" s="233">
        <v>638.66999999999996</v>
      </c>
      <c r="G152" s="112">
        <f t="shared" si="11"/>
        <v>59.92999999999995</v>
      </c>
      <c r="H152" s="99">
        <f>G152+'20'!H152</f>
        <v>-488.33000000000004</v>
      </c>
      <c r="I152" s="119"/>
      <c r="J152" s="330">
        <f>H152/DAY(B2)</f>
        <v>-23.253809523809526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2900.1499999999146</v>
      </c>
      <c r="H153" s="365"/>
      <c r="I153" s="119">
        <f>G153-(G38+G52)</f>
        <v>1006.3099999999181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'20'!F155</f>
        <v>5454.77</v>
      </c>
      <c r="F155" s="376">
        <v>6155.09</v>
      </c>
      <c r="G155" s="112">
        <f t="shared" ref="G155:G158" si="12">F155-E155</f>
        <v>700.31999999999971</v>
      </c>
      <c r="H155" s="99">
        <f>G155+'20'!H155</f>
        <v>70300.09</v>
      </c>
      <c r="I155" s="366"/>
      <c r="J155" s="330">
        <f>H155/DAY(B2)</f>
        <v>3347.623333333333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'20'!F156</f>
        <v>442</v>
      </c>
      <c r="F156" s="155">
        <v>491.41</v>
      </c>
      <c r="G156" s="112">
        <f t="shared" si="12"/>
        <v>49.410000000000025</v>
      </c>
      <c r="H156" s="99">
        <f>G156+'20'!H156</f>
        <v>-596.58999999999992</v>
      </c>
      <c r="I156" s="165"/>
      <c r="J156" s="330">
        <f>H156/DAY(B2)</f>
        <v>-28.409047619047616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'20'!F157</f>
        <v>488.7</v>
      </c>
      <c r="F157" s="155">
        <v>556.39</v>
      </c>
      <c r="G157" s="112">
        <f t="shared" si="12"/>
        <v>67.69</v>
      </c>
      <c r="H157" s="99">
        <f>G157+'20'!H157</f>
        <v>136.26</v>
      </c>
      <c r="I157" s="165"/>
      <c r="J157" s="330">
        <f>H157/DAY(B2)</f>
        <v>6.4885714285714284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'20'!F158</f>
        <v>0.83</v>
      </c>
      <c r="F158" s="155">
        <v>0.93</v>
      </c>
      <c r="G158" s="112">
        <f t="shared" si="12"/>
        <v>0.10000000000000009</v>
      </c>
      <c r="H158" s="99">
        <f>G158+'20'!H158</f>
        <v>0.93</v>
      </c>
      <c r="I158" s="165"/>
      <c r="J158" s="330">
        <f>H158/DAY(B2)</f>
        <v>4.4285714285714289E-2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471143.8</v>
      </c>
      <c r="F161" s="235">
        <v>471146.76</v>
      </c>
      <c r="G161" s="238">
        <f t="shared" ref="G161:G165" si="13">F161-E161</f>
        <v>2.9600000000209548</v>
      </c>
      <c r="H161" s="99">
        <f>G161+'20'!H161</f>
        <v>-6.3999999999650754</v>
      </c>
      <c r="I161" s="236"/>
      <c r="J161" s="239">
        <f>H161/DAY(B2)</f>
        <v>-0.30476190476024168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87247.8</v>
      </c>
      <c r="F162" s="235">
        <v>87281.5</v>
      </c>
      <c r="G162" s="238">
        <f t="shared" si="13"/>
        <v>33.69999999999709</v>
      </c>
      <c r="H162" s="99">
        <f>G162+'20'!H162</f>
        <v>-288.5</v>
      </c>
      <c r="I162" s="236"/>
      <c r="J162" s="239">
        <f>H162/DAY(B2)</f>
        <v>-13.738095238095237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77106.8</v>
      </c>
      <c r="F163" s="644">
        <v>77185.7</v>
      </c>
      <c r="G163" s="238">
        <f t="shared" si="13"/>
        <v>78.899999999994179</v>
      </c>
      <c r="H163" s="99">
        <f>G163+'20'!H163</f>
        <v>-639.30000000000291</v>
      </c>
      <c r="I163" s="236"/>
      <c r="J163" s="239">
        <f>H163/DAY(B2)</f>
        <v>-30.442857142857282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4200.8</v>
      </c>
      <c r="F164" s="644">
        <v>4207.1000000000004</v>
      </c>
      <c r="G164" s="238">
        <f t="shared" si="13"/>
        <v>6.3000000000001819</v>
      </c>
      <c r="H164" s="99">
        <f>G164+'20'!H164</f>
        <v>-34.899999999999636</v>
      </c>
      <c r="I164" s="236"/>
      <c r="J164" s="239">
        <f>H164/DAY(B2)</f>
        <v>-1.6619047619047447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29569.55</v>
      </c>
      <c r="F165" s="235">
        <v>29577.54</v>
      </c>
      <c r="G165" s="238">
        <f t="shared" si="13"/>
        <v>7.9900000000016007</v>
      </c>
      <c r="H165" s="99">
        <f>G165+'20'!H165</f>
        <v>-68.459999999999127</v>
      </c>
      <c r="I165" s="236"/>
      <c r="J165" s="239">
        <f>H165/DAY(B2)</f>
        <v>-3.2599999999999585</v>
      </c>
    </row>
    <row r="166" spans="1:10" ht="29.25" x14ac:dyDescent="0.5">
      <c r="A166" s="824"/>
      <c r="B166" s="824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'20'!F173</f>
        <v>8110</v>
      </c>
      <c r="F173" s="155">
        <v>8110</v>
      </c>
      <c r="G173" s="155">
        <f>F173-E173</f>
        <v>0</v>
      </c>
      <c r="H173" s="99">
        <f>G173+'20'!H173</f>
        <v>-16</v>
      </c>
      <c r="I173" s="155"/>
      <c r="J173" s="178">
        <f>H173/DAY(B2)</f>
        <v>-0.76190476190476186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'20'!F174</f>
        <v>38131</v>
      </c>
      <c r="F174" s="157">
        <v>38147</v>
      </c>
      <c r="G174" s="155">
        <f t="shared" ref="G174:G175" si="14">F174-E174</f>
        <v>16</v>
      </c>
      <c r="H174" s="99">
        <f>G174+'20'!H174</f>
        <v>-140</v>
      </c>
      <c r="I174" s="155"/>
      <c r="J174" s="178">
        <f>H174/DAY(B2)</f>
        <v>-6.666666666666667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'20'!F175</f>
        <v>21392</v>
      </c>
      <c r="F175" s="155">
        <v>21405</v>
      </c>
      <c r="G175" s="155">
        <f t="shared" si="14"/>
        <v>13</v>
      </c>
      <c r="H175" s="99">
        <f>G175+'20'!H175</f>
        <v>-113</v>
      </c>
      <c r="I175" s="155"/>
      <c r="J175" s="178">
        <f>H175/DAY(B2)</f>
        <v>-5.3809523809523814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29</v>
      </c>
      <c r="H176" s="99">
        <f>G176+'20'!H176</f>
        <v>-269</v>
      </c>
      <c r="I176" s="155"/>
      <c r="J176" s="178">
        <f>H176/DAY(B2)</f>
        <v>-12.80952380952381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'20'!F178</f>
        <v>78855</v>
      </c>
      <c r="F178" s="155">
        <v>78915</v>
      </c>
      <c r="G178" s="155">
        <f>F178-E178</f>
        <v>60</v>
      </c>
      <c r="H178" s="99">
        <f>G178+'20'!H178</f>
        <v>-699</v>
      </c>
      <c r="I178" s="155"/>
      <c r="J178" s="178">
        <f>H178/DAY(B2)</f>
        <v>-33.285714285714285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'20'!F179</f>
        <v>33915</v>
      </c>
      <c r="F179" s="155">
        <v>33915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'20'!F180</f>
        <v>5398</v>
      </c>
      <c r="F180" s="155">
        <v>5409</v>
      </c>
      <c r="G180" s="155">
        <f t="shared" si="15"/>
        <v>11</v>
      </c>
      <c r="H180" s="99">
        <f>G180+'20'!H180</f>
        <v>-68</v>
      </c>
      <c r="I180" s="155"/>
      <c r="J180" s="178">
        <f>H180/DAY(B2)</f>
        <v>-3.2380952380952381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71</v>
      </c>
      <c r="H181" s="99">
        <f>G181+'20'!H181</f>
        <v>-767</v>
      </c>
      <c r="I181" s="155"/>
      <c r="J181" s="178">
        <f>H181/DAY(B2)</f>
        <v>-36.523809523809526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'20'!F183</f>
        <v>14781</v>
      </c>
      <c r="F183" s="157">
        <v>14793</v>
      </c>
      <c r="G183" s="157">
        <f>F183-E183</f>
        <v>12</v>
      </c>
      <c r="H183" s="99">
        <f>G183+'20'!H183</f>
        <v>-154</v>
      </c>
      <c r="I183" s="155"/>
      <c r="J183" s="178">
        <f>H183/DAY(B2)</f>
        <v>-7.333333333333333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'20'!F184</f>
        <v>10216</v>
      </c>
      <c r="F184" s="157">
        <v>10225</v>
      </c>
      <c r="G184" s="157">
        <f t="shared" ref="G184:G185" si="16">F184-E184</f>
        <v>9</v>
      </c>
      <c r="H184" s="99">
        <f>G184+'20'!H184</f>
        <v>-76</v>
      </c>
      <c r="I184" s="155"/>
      <c r="J184" s="178">
        <f>H184/DAY(B2)</f>
        <v>-3.6190476190476191</v>
      </c>
    </row>
    <row r="185" spans="1:10" ht="32.25" customHeight="1" x14ac:dyDescent="0.5">
      <c r="A185" s="828" t="s">
        <v>216</v>
      </c>
      <c r="B185" s="829"/>
      <c r="C185" s="336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21</v>
      </c>
      <c r="H186" s="99">
        <f>G186+'20'!H186</f>
        <v>-230</v>
      </c>
      <c r="I186" s="157"/>
      <c r="J186" s="178">
        <f>H186/DAY(B2)</f>
        <v>-10.952380952380953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172</v>
      </c>
      <c r="H187" s="99">
        <f>G187+'20'!H187</f>
        <v>-4</v>
      </c>
      <c r="I187" s="158"/>
      <c r="J187" s="179">
        <f>H187/DAY(B2)</f>
        <v>-0.19047619047619047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158</v>
      </c>
      <c r="H188" s="99">
        <f>G188+'20'!H188</f>
        <v>1205</v>
      </c>
      <c r="I188" s="158"/>
      <c r="J188" s="179">
        <f>H188/DAY(B2)</f>
        <v>57.38095238095238</v>
      </c>
    </row>
    <row r="189" spans="1:10" ht="21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71</v>
      </c>
      <c r="H189" s="99">
        <f>G189+'20'!H189</f>
        <v>214</v>
      </c>
      <c r="I189" s="158"/>
      <c r="J189" s="179">
        <f>H189/DAY(B2)</f>
        <v>10.19047619047619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42" zoomScale="50" zoomScaleNormal="71" zoomScaleSheetLayoutView="5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356</v>
      </c>
      <c r="B2" s="262">
        <v>44552</v>
      </c>
      <c r="C2" s="350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551978</v>
      </c>
      <c r="F7" s="95">
        <f>E7+23500</f>
        <v>575478</v>
      </c>
      <c r="G7" s="112">
        <f>F7-E7</f>
        <v>23500</v>
      </c>
      <c r="H7" s="99">
        <f>G7+'21'!H7</f>
        <v>480917</v>
      </c>
      <c r="I7" s="113">
        <f>'1'!I7</f>
        <v>12000</v>
      </c>
      <c r="J7" s="175">
        <f>H7/DAY(B2)</f>
        <v>21859.863636363636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601937</v>
      </c>
      <c r="F8" s="95">
        <f>E8+23500</f>
        <v>625437</v>
      </c>
      <c r="G8" s="115">
        <f>F8-E8</f>
        <v>23500</v>
      </c>
      <c r="H8" s="99">
        <f>G8+'21'!H8</f>
        <v>484552</v>
      </c>
      <c r="I8" s="116"/>
      <c r="J8" s="175">
        <f>H8/DAY(B2)</f>
        <v>22025.090909090908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179657</v>
      </c>
      <c r="F9" s="605">
        <f>E9+14000</f>
        <v>193657</v>
      </c>
      <c r="G9" s="112">
        <f>F9-E9</f>
        <v>14000</v>
      </c>
      <c r="H9" s="99">
        <f>G9+'21'!H9</f>
        <v>292162</v>
      </c>
      <c r="I9" s="124">
        <f>I7-J7</f>
        <v>-9859.863636363636</v>
      </c>
      <c r="J9" s="175">
        <f>H9/DAY(B2)</f>
        <v>13280.09090909091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511550</v>
      </c>
      <c r="F10" s="355">
        <f>E10+4500</f>
        <v>516050</v>
      </c>
      <c r="G10" s="112">
        <f t="shared" ref="G10:G12" si="0">F10-E10</f>
        <v>4500</v>
      </c>
      <c r="H10" s="99">
        <f>G10+'21'!H10</f>
        <v>118940</v>
      </c>
      <c r="I10" s="282"/>
      <c r="J10" s="175">
        <f>H10/DAY(B2)</f>
        <v>5406.363636363636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G13+'21'!H13</f>
        <v>391636.74999999988</v>
      </c>
      <c r="I13" s="120">
        <f>G7-G13</f>
        <v>5000</v>
      </c>
      <c r="J13" s="175">
        <f>H13/DAY(B2)</f>
        <v>17801.670454545449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'21'!F15</f>
        <v>1867226</v>
      </c>
      <c r="F15" s="123">
        <f>E15+1100</f>
        <v>1868326</v>
      </c>
      <c r="G15" s="112">
        <f>(F15-E15)</f>
        <v>1100</v>
      </c>
      <c r="H15" s="99">
        <f>G15+'21'!H15</f>
        <v>22469</v>
      </c>
      <c r="I15" s="113">
        <f>'1'!I15</f>
        <v>800</v>
      </c>
      <c r="J15" s="175">
        <f>H15/DAY(B2)</f>
        <v>1021.3181818181819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-221.31818181818187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'21'!F18</f>
        <v>159</v>
      </c>
      <c r="F18" s="122">
        <f>E18+12</f>
        <v>171</v>
      </c>
      <c r="G18" s="119">
        <f>F18*10</f>
        <v>1710</v>
      </c>
      <c r="H18" s="99">
        <f>G18+'21'!H18</f>
        <v>14090</v>
      </c>
      <c r="I18" s="113">
        <f>'1'!I18</f>
        <v>65</v>
      </c>
      <c r="J18" s="175">
        <f>H18/DAY(B2)</f>
        <v>640.4545454545455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'21'!F19</f>
        <v>153355</v>
      </c>
      <c r="F19" s="122">
        <f>E19+55</f>
        <v>153410</v>
      </c>
      <c r="G19" s="112">
        <f t="shared" ref="G19" si="1">F19-E19</f>
        <v>55</v>
      </c>
      <c r="H19" s="99">
        <f>G19+'21'!H19</f>
        <v>1185</v>
      </c>
      <c r="I19" s="337"/>
      <c r="J19" s="175">
        <f>H19/DAY(B2)</f>
        <v>53.863636363636367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1765</v>
      </c>
      <c r="H20" s="99">
        <f>G20+'21'!H20</f>
        <v>15275</v>
      </c>
      <c r="I20" s="338">
        <f>I18-J20</f>
        <v>-629.31818181818187</v>
      </c>
      <c r="J20" s="175">
        <f>H20/DAY(B2)</f>
        <v>694.31818181818187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G27+'21'!H27</f>
        <v>4360968</v>
      </c>
      <c r="I27" s="138"/>
      <c r="J27" s="175">
        <f>H27/DAY(B2)</f>
        <v>198225.81818181818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G28+'21'!H28</f>
        <v>1168388</v>
      </c>
      <c r="I28" s="140"/>
      <c r="J28" s="175">
        <f>H28/DAY(B2)</f>
        <v>53108.545454545456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G30+'21'!H30</f>
        <v>173010</v>
      </c>
      <c r="I30" s="140"/>
      <c r="J30" s="175">
        <f>H30/DAY(B2)</f>
        <v>7864.090909090909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1710</v>
      </c>
      <c r="F31" s="136">
        <v>80</v>
      </c>
      <c r="G31" s="137">
        <f>E31*F31</f>
        <v>136800</v>
      </c>
      <c r="H31" s="99">
        <f>G31+'21'!H31</f>
        <v>1127200</v>
      </c>
      <c r="I31" s="140"/>
      <c r="J31" s="175">
        <f>H31/DAY(B2)</f>
        <v>51236.36363636364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413530</v>
      </c>
      <c r="H32" s="99">
        <f>G32+'21'!H32</f>
        <v>6829566</v>
      </c>
      <c r="I32" s="144"/>
      <c r="J32" s="175">
        <f>H32/DAY(B2)</f>
        <v>310434.81818181818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135332.18</v>
      </c>
      <c r="F35" s="506">
        <v>136855.21</v>
      </c>
      <c r="G35" s="112">
        <f t="shared" ref="G35:G46" si="3">F35-E35</f>
        <v>1523.0299999999988</v>
      </c>
      <c r="H35" s="99">
        <f>G35+'21'!H35</f>
        <v>152055.21</v>
      </c>
      <c r="I35" s="95"/>
      <c r="J35" s="175">
        <f>H35/DAY(B2)</f>
        <v>6911.6004545454543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12225.39</v>
      </c>
      <c r="F36" s="145">
        <v>13145.36</v>
      </c>
      <c r="G36" s="112">
        <f t="shared" si="3"/>
        <v>919.97000000000116</v>
      </c>
      <c r="H36" s="99">
        <f>G36+'21'!H36</f>
        <v>81348.36</v>
      </c>
      <c r="I36" s="95"/>
      <c r="J36" s="175">
        <f>H36/DAY(B2)</f>
        <v>3697.6527272727271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179507.15</v>
      </c>
      <c r="F37" s="506">
        <v>181097.29</v>
      </c>
      <c r="G37" s="112">
        <f t="shared" si="3"/>
        <v>1590.140000000014</v>
      </c>
      <c r="H37" s="99">
        <f>G37+'21'!H37</f>
        <v>193309.29</v>
      </c>
      <c r="I37" s="95"/>
      <c r="J37" s="175">
        <f>H37/DAY(B2)</f>
        <v>8786.7859090909096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213221.87</v>
      </c>
      <c r="F38" s="108">
        <v>215136.45</v>
      </c>
      <c r="G38" s="112">
        <f t="shared" si="3"/>
        <v>1914.5800000000163</v>
      </c>
      <c r="H38" s="99">
        <f>G38+'21'!H38</f>
        <v>228336.45</v>
      </c>
      <c r="I38" s="95"/>
      <c r="J38" s="175">
        <f>H38/DAY(B2)</f>
        <v>10378.929545454546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383436.23</v>
      </c>
      <c r="F39" s="506">
        <v>386212.15</v>
      </c>
      <c r="G39" s="112">
        <f t="shared" si="3"/>
        <v>2775.9200000000419</v>
      </c>
      <c r="H39" s="99">
        <f>G39+'21'!H39</f>
        <v>407894.15</v>
      </c>
      <c r="I39" s="95"/>
      <c r="J39" s="175">
        <f>H39/DAY(B2)</f>
        <v>18540.643181818185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863.05</v>
      </c>
      <c r="F40" s="145">
        <v>1228.6199999999999</v>
      </c>
      <c r="G40" s="112">
        <f t="shared" si="3"/>
        <v>365.56999999999994</v>
      </c>
      <c r="H40" s="99">
        <f>G40+'21'!H40</f>
        <v>-3841.2300000000005</v>
      </c>
      <c r="I40" s="95"/>
      <c r="J40" s="175">
        <f>H40/DAY(B2)</f>
        <v>-174.60136363636366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599900</v>
      </c>
      <c r="I41" s="95"/>
      <c r="J41" s="175">
        <f>H41/DAY(B2)</f>
        <v>27268.18181818182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34250.589999999997</v>
      </c>
      <c r="F42" s="145">
        <v>38987.9</v>
      </c>
      <c r="G42" s="112">
        <f t="shared" si="3"/>
        <v>4737.3100000000049</v>
      </c>
      <c r="H42" s="99">
        <f>G42+'21'!H42</f>
        <v>322838.90000000002</v>
      </c>
      <c r="I42" s="95"/>
      <c r="J42" s="175">
        <f>H42/DAY(B2)</f>
        <v>14674.495454545455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20922.75</v>
      </c>
      <c r="F43" s="145">
        <v>23615.5</v>
      </c>
      <c r="G43" s="112">
        <f t="shared" si="3"/>
        <v>2692.75</v>
      </c>
      <c r="H43" s="99">
        <f>G43+'21'!H43</f>
        <v>1541035.4999999998</v>
      </c>
      <c r="I43" s="95"/>
      <c r="J43" s="175">
        <f>H43/DAY(B2)</f>
        <v>70047.068181818177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16519.270000000077</v>
      </c>
      <c r="H47" s="99">
        <f>G47+'21'!H47</f>
        <v>3522876.63</v>
      </c>
      <c r="I47" s="95"/>
      <c r="J47" s="175">
        <f>H47/DAY(B2)</f>
        <v>160130.75590909089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257146.11</v>
      </c>
      <c r="F49" s="145">
        <v>258707.57</v>
      </c>
      <c r="G49" s="112">
        <f t="shared" ref="G49:G58" si="4">F49-E49</f>
        <v>1561.460000000021</v>
      </c>
      <c r="H49" s="99">
        <f>G49+'21'!H49</f>
        <v>271828.57000000007</v>
      </c>
      <c r="I49" s="95"/>
      <c r="J49" s="175">
        <f>H49/DAY(B2)</f>
        <v>12355.844090909093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13089.88</v>
      </c>
      <c r="F50" s="145">
        <v>14197.89</v>
      </c>
      <c r="G50" s="112">
        <f t="shared" si="4"/>
        <v>1108.0100000000002</v>
      </c>
      <c r="H50" s="99">
        <f>G50+'21'!H50</f>
        <v>728622.89000000013</v>
      </c>
      <c r="I50" s="95"/>
      <c r="J50" s="175">
        <f>H50/DAY(B2)</f>
        <v>33119.222272727282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3139.76</v>
      </c>
      <c r="F54" s="145">
        <v>3144.2</v>
      </c>
      <c r="G54" s="112">
        <f t="shared" si="4"/>
        <v>4.4399999999995998</v>
      </c>
      <c r="H54" s="99">
        <f>G54+'21'!H54</f>
        <v>4911.28</v>
      </c>
      <c r="I54" s="95"/>
      <c r="J54" s="175">
        <f>H54/DAY(B2)</f>
        <v>223.23999999999998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0</v>
      </c>
      <c r="F55" s="506">
        <v>0</v>
      </c>
      <c r="G55" s="112">
        <f t="shared" si="4"/>
        <v>0</v>
      </c>
      <c r="H55" s="99">
        <f>G55+'21'!H55</f>
        <v>-3511</v>
      </c>
      <c r="I55" s="95"/>
      <c r="J55" s="175">
        <f>H55/DAY(B2)</f>
        <v>-159.59090909090909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6">
        <v>8610.5400000000009</v>
      </c>
      <c r="G56" s="112">
        <f>F56-E56</f>
        <v>0</v>
      </c>
      <c r="H56" s="99">
        <f>G56+'21'!H56</f>
        <v>212065</v>
      </c>
      <c r="I56" s="95"/>
      <c r="J56" s="175">
        <f>H56/DAY(B2)</f>
        <v>9639.318181818182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90130.03</v>
      </c>
      <c r="F58" s="145">
        <v>90345.04</v>
      </c>
      <c r="G58" s="112">
        <f t="shared" si="4"/>
        <v>215.00999999999476</v>
      </c>
      <c r="H58" s="99">
        <f>G58+'21'!H58</f>
        <v>90685.67</v>
      </c>
      <c r="I58" s="95"/>
      <c r="J58" s="175">
        <f>H58/DAY(B2)</f>
        <v>4122.0759090909087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2888.9200000000155</v>
      </c>
      <c r="H59" s="99">
        <f>G59+'21'!H59</f>
        <v>1304602.4100000001</v>
      </c>
      <c r="I59" s="95">
        <f>G7-G60</f>
        <v>4091.8099999999067</v>
      </c>
      <c r="J59" s="175">
        <f>H59/DAY(B2)</f>
        <v>59300.10954545455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19408.190000000093</v>
      </c>
      <c r="H60" s="99">
        <f>G60+'21'!H60</f>
        <v>4827479.040000001</v>
      </c>
      <c r="I60" s="95">
        <f>G13-G60</f>
        <v>-908.19000000009328</v>
      </c>
      <c r="J60" s="175">
        <f>H60/DAY(B2)</f>
        <v>219430.86545454551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'21'!F62</f>
        <v>266079</v>
      </c>
      <c r="F62" s="122">
        <v>266199</v>
      </c>
      <c r="G62" s="112">
        <f t="shared" ref="G62:G63" si="5">F62-E62</f>
        <v>120</v>
      </c>
      <c r="H62" s="99">
        <f>G62+'21'!H62</f>
        <v>-1014</v>
      </c>
      <c r="I62" s="118"/>
      <c r="J62" s="175">
        <f>H62/DAY(B2)</f>
        <v>-46.090909090909093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'21'!F63</f>
        <v>211568</v>
      </c>
      <c r="F63" s="122">
        <v>211648</v>
      </c>
      <c r="G63" s="112">
        <f t="shared" si="5"/>
        <v>80</v>
      </c>
      <c r="H63" s="99">
        <f>G63+'21'!H63</f>
        <v>-777</v>
      </c>
      <c r="I63" s="118"/>
      <c r="J63" s="175">
        <f>H63/DAY(B2)</f>
        <v>-35.31818181818182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'21'!F64</f>
        <v>0</v>
      </c>
      <c r="F64" s="122"/>
      <c r="G64" s="112">
        <f>G62+G63</f>
        <v>200</v>
      </c>
      <c r="H64" s="99">
        <f>G64+'21'!H64</f>
        <v>-1791</v>
      </c>
      <c r="I64" s="118"/>
      <c r="J64" s="175">
        <f>H64/DAY(B2)</f>
        <v>-81.409090909090907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'21'!F65</f>
        <v>431583</v>
      </c>
      <c r="F65" s="122">
        <v>431688</v>
      </c>
      <c r="G65" s="112">
        <f t="shared" ref="G65:G70" si="6">F65-E65</f>
        <v>105</v>
      </c>
      <c r="H65" s="99">
        <f>G65+'21'!H65</f>
        <v>-926</v>
      </c>
      <c r="I65" s="118"/>
      <c r="J65" s="175">
        <f>H65/DAY(B2)</f>
        <v>-42.090909090909093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'21'!F66</f>
        <v>107007</v>
      </c>
      <c r="F66" s="122">
        <v>107025</v>
      </c>
      <c r="G66" s="112">
        <f t="shared" si="6"/>
        <v>18</v>
      </c>
      <c r="H66" s="99">
        <f>G66+'21'!H66</f>
        <v>-189</v>
      </c>
      <c r="I66" s="118"/>
      <c r="J66" s="175">
        <f>H66/DAY(B2)</f>
        <v>-8.5909090909090917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'21'!F67</f>
        <v>103625</v>
      </c>
      <c r="F67" s="122">
        <v>103652</v>
      </c>
      <c r="G67" s="112">
        <f t="shared" si="6"/>
        <v>27</v>
      </c>
      <c r="H67" s="99">
        <f>G67+'21'!H67</f>
        <v>-276</v>
      </c>
      <c r="I67" s="118"/>
      <c r="J67" s="175">
        <f>H67/DAY(B2)</f>
        <v>-12.545454545454545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'21'!F68</f>
        <v>156284</v>
      </c>
      <c r="F68" s="122">
        <v>156316</v>
      </c>
      <c r="G68" s="112">
        <f t="shared" si="6"/>
        <v>32</v>
      </c>
      <c r="H68" s="99">
        <f>G68+'21'!H68</f>
        <v>-304</v>
      </c>
      <c r="I68" s="118"/>
      <c r="J68" s="175">
        <f>H68/DAY(B2)</f>
        <v>-13.818181818181818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'21'!F69</f>
        <v>10087</v>
      </c>
      <c r="F69" s="122">
        <v>10095</v>
      </c>
      <c r="G69" s="112">
        <f t="shared" si="6"/>
        <v>8</v>
      </c>
      <c r="H69" s="99">
        <f>G69+'21'!H69</f>
        <v>-119</v>
      </c>
      <c r="I69" s="118"/>
      <c r="J69" s="175">
        <f>H69/DAY(B2)</f>
        <v>-5.4090909090909092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'21'!F70</f>
        <v>7771</v>
      </c>
      <c r="F70" s="122">
        <v>7780</v>
      </c>
      <c r="G70" s="112">
        <f t="shared" si="6"/>
        <v>9</v>
      </c>
      <c r="H70" s="99">
        <f>G70+'21'!H70</f>
        <v>-82</v>
      </c>
      <c r="I70" s="118"/>
      <c r="J70" s="175">
        <f>H70/DAY(B2)</f>
        <v>-3.7272727272727271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199</v>
      </c>
      <c r="H71" s="99">
        <f>G71+'21'!H71</f>
        <v>-1896</v>
      </c>
      <c r="I71" s="154"/>
      <c r="J71" s="175">
        <f>H71/DAY(B2)</f>
        <v>-86.181818181818187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'21'!F74</f>
        <v>888895.21</v>
      </c>
      <c r="F74" s="123">
        <v>889227.52</v>
      </c>
      <c r="G74" s="112">
        <f t="shared" ref="G74:G78" si="7">F74-E74</f>
        <v>332.31000000005588</v>
      </c>
      <c r="H74" s="99">
        <f>G74+'21'!H74</f>
        <v>-2804.4799999999814</v>
      </c>
      <c r="I74" s="154"/>
      <c r="J74" s="175">
        <f>H74/DAY(B2)</f>
        <v>-127.47636363636279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243.88999999999942</v>
      </c>
      <c r="I75" s="154"/>
      <c r="J75" s="175">
        <f>H75/DAY(B2)</f>
        <v>11.085909090909064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'21'!F76</f>
        <v>166125.73000000001</v>
      </c>
      <c r="F76" s="123">
        <v>166217.79999999999</v>
      </c>
      <c r="G76" s="112">
        <f t="shared" si="7"/>
        <v>92.069999999977881</v>
      </c>
      <c r="H76" s="99">
        <f>G76+'21'!H76</f>
        <v>-989.20000000001164</v>
      </c>
      <c r="I76" s="154"/>
      <c r="J76" s="175">
        <f>H76/DAY(B2)</f>
        <v>-44.963636363636894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'21'!F77</f>
        <v>39851</v>
      </c>
      <c r="F77" s="123">
        <v>39898.9</v>
      </c>
      <c r="G77" s="112">
        <f t="shared" si="7"/>
        <v>47.900000000001455</v>
      </c>
      <c r="H77" s="99">
        <f>G77+'21'!H77</f>
        <v>-417.09999999999854</v>
      </c>
      <c r="I77" s="154"/>
      <c r="J77" s="175">
        <f>H77/DAY(B2)</f>
        <v>-18.959090909090843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'21'!F78</f>
        <v>9467</v>
      </c>
      <c r="F78" s="123">
        <v>9468.7000000000007</v>
      </c>
      <c r="G78" s="112">
        <f t="shared" si="7"/>
        <v>1.7000000000007276</v>
      </c>
      <c r="H78" s="99">
        <f>G78+'21'!H78</f>
        <v>-17.299999999999272</v>
      </c>
      <c r="I78" s="118"/>
      <c r="J78" s="175">
        <f>H78/DAY(B2)</f>
        <v>-0.78636363636360329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'21'!F79</f>
        <v>0</v>
      </c>
      <c r="F79" s="123"/>
      <c r="G79" s="112">
        <f>G15-SUM(G74:G78)</f>
        <v>626.01999999996406</v>
      </c>
      <c r="H79" s="99">
        <f>G79+'21'!H79</f>
        <v>26453.189999999988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'21'!F85</f>
        <v>1892.37</v>
      </c>
      <c r="F85" s="164">
        <v>1916.37</v>
      </c>
      <c r="G85" s="112">
        <f t="shared" si="8"/>
        <v>24</v>
      </c>
      <c r="H85" s="99">
        <f>G85+'21'!H85</f>
        <v>-180.19000000000005</v>
      </c>
      <c r="I85" s="118">
        <f>G82+G83+G84+G85</f>
        <v>24</v>
      </c>
      <c r="J85" s="175">
        <f>H85/DAY(B2)</f>
        <v>-8.1904545454545481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-36.529999999998836</v>
      </c>
      <c r="I86" s="118"/>
      <c r="J86" s="175">
        <f>H86/DAY(B2)</f>
        <v>-1.6604545454544926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'21'!F88</f>
        <v>24005.53</v>
      </c>
      <c r="F88" s="164">
        <v>24005.53</v>
      </c>
      <c r="G88" s="112">
        <f t="shared" si="8"/>
        <v>0</v>
      </c>
      <c r="H88" s="99">
        <f>G88+'21'!H88</f>
        <v>-41.470000000001164</v>
      </c>
      <c r="I88" s="118">
        <f>G86+G87+G88</f>
        <v>0</v>
      </c>
      <c r="J88" s="175">
        <f>H88/DAY(B2)</f>
        <v>-1.8850000000000529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'21'!F89</f>
        <v>25606.26</v>
      </c>
      <c r="F89" s="164">
        <v>25616.27</v>
      </c>
      <c r="G89" s="112">
        <f t="shared" si="8"/>
        <v>10.010000000002037</v>
      </c>
      <c r="H89" s="99">
        <f>G89+'21'!H89</f>
        <v>-46.729999999999563</v>
      </c>
      <c r="I89" s="118"/>
      <c r="J89" s="175">
        <f>H89/DAY(B2)</f>
        <v>-2.124090909090889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'21'!F90</f>
        <v>70975.42</v>
      </c>
      <c r="F90" s="164">
        <v>70981.08</v>
      </c>
      <c r="G90" s="112">
        <f t="shared" si="8"/>
        <v>5.6600000000034925</v>
      </c>
      <c r="H90" s="99">
        <f>G90+'21'!H90</f>
        <v>-52.919999999998254</v>
      </c>
      <c r="I90" s="118">
        <f>G89+G90</f>
        <v>15.67000000000553</v>
      </c>
      <c r="J90" s="175">
        <f>H90/DAY(B2)</f>
        <v>-2.4054545454544662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'21'!F92</f>
        <v>5328.57</v>
      </c>
      <c r="F92" s="122">
        <v>5340.01</v>
      </c>
      <c r="G92" s="112">
        <f t="shared" si="8"/>
        <v>11.440000000000509</v>
      </c>
      <c r="H92" s="99">
        <f>G92+'21'!H92</f>
        <v>-97.989999999999782</v>
      </c>
      <c r="I92" s="165"/>
      <c r="J92" s="175">
        <f>H92/DAY(B2)</f>
        <v>-4.4540909090908993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5777.2400000000198</v>
      </c>
      <c r="H94" s="99">
        <f>G94+'21'!H94</f>
        <v>1964919.28</v>
      </c>
      <c r="I94" s="118"/>
      <c r="J94" s="175">
        <f>H94/DAY(B2)</f>
        <v>89314.512727272726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0.24584000000000084</v>
      </c>
      <c r="H95" s="99">
        <f>G95+'21'!H95</f>
        <v>84.0749456240885</v>
      </c>
      <c r="I95" s="167"/>
      <c r="J95" s="175">
        <f>H95/DAY(B2)</f>
        <v>3.8215884374585682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4737.3100000000049</v>
      </c>
      <c r="H96" s="99">
        <f>G96+'21'!H96</f>
        <v>1131292.9000000001</v>
      </c>
      <c r="I96" s="118"/>
      <c r="J96" s="175">
        <f>H96/DAY(B2)</f>
        <v>51422.404545454548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0.20158765957446831</v>
      </c>
      <c r="H97" s="99">
        <f>G97+'21'!H97</f>
        <v>48.383077849620776</v>
      </c>
      <c r="I97" s="167"/>
      <c r="J97" s="175">
        <f>H97/DAY(B2)</f>
        <v>2.199230811346399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2775.9200000000419</v>
      </c>
      <c r="H98" s="99">
        <f>G98+'21'!H98</f>
        <v>407894.15</v>
      </c>
      <c r="I98" s="168"/>
      <c r="J98" s="175">
        <f>H98/DAY(B2)</f>
        <v>18540.643181818185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0.11812425531915072</v>
      </c>
      <c r="H99" s="99">
        <f>G99+'21'!H99</f>
        <v>17.571147777204676</v>
      </c>
      <c r="I99" s="168"/>
      <c r="J99" s="175">
        <f>H99/DAY(B2)</f>
        <v>0.79868853532748529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1914.5800000000163</v>
      </c>
      <c r="H100" s="99">
        <f>G100+'21'!H100</f>
        <v>228336.45</v>
      </c>
      <c r="I100" s="118"/>
      <c r="J100" s="175">
        <f>H100/DAY(B2)</f>
        <v>10378.929545454546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8.1471489361702815E-2</v>
      </c>
      <c r="H101" s="99">
        <f>G101+'21'!H101</f>
        <v>9.847316402153476</v>
      </c>
      <c r="I101" s="168"/>
      <c r="J101" s="175">
        <f>H101/DAY(B2)</f>
        <v>0.44760529100697616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2027.9800000000014</v>
      </c>
      <c r="H102" s="99">
        <f>G102+'21'!H102</f>
        <v>809971.24999999988</v>
      </c>
      <c r="I102" s="168"/>
      <c r="J102" s="175">
        <f>H102/DAY(B2)</f>
        <v>36816.874999999993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8.6297021276595803E-2</v>
      </c>
      <c r="H103" s="99">
        <f>G103+'21'!H103</f>
        <v>34.611200325056956</v>
      </c>
      <c r="I103" s="118"/>
      <c r="J103" s="175">
        <f>H103/DAY(B2)</f>
        <v>1.5732363784116798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1590.140000000014</v>
      </c>
      <c r="H104" s="99">
        <f>G104+'21'!H104</f>
        <v>193309.29</v>
      </c>
      <c r="I104" s="118"/>
      <c r="J104" s="175">
        <f>H104/DAY(B2)</f>
        <v>8786.7859090909096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6.7665531914894217E-2</v>
      </c>
      <c r="H105" s="99">
        <f>G105+'21'!H105</f>
        <v>8.3463921127742573</v>
      </c>
      <c r="I105" s="187"/>
      <c r="J105" s="188">
        <f>H105/DAY(B2)</f>
        <v>0.37938145967155718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'21'!F112</f>
        <v>54981.62</v>
      </c>
      <c r="F112" s="237">
        <v>55052.68</v>
      </c>
      <c r="G112" s="112">
        <f t="shared" ref="G112:G123" si="9">F112-E112</f>
        <v>71.059999999997672</v>
      </c>
      <c r="H112" s="99">
        <f>G112+'21'!H112</f>
        <v>-628.31999999999971</v>
      </c>
      <c r="I112" s="165"/>
      <c r="J112" s="330">
        <f>H112/DAY(B2)</f>
        <v>-28.559999999999988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'21'!F113</f>
        <v>27650.66</v>
      </c>
      <c r="F113" s="237">
        <v>28103.25</v>
      </c>
      <c r="G113" s="112">
        <f t="shared" si="9"/>
        <v>452.59000000000015</v>
      </c>
      <c r="H113" s="99">
        <f>G113+'21'!H113</f>
        <v>-4091.75</v>
      </c>
      <c r="I113" s="165"/>
      <c r="J113" s="330">
        <f>H113/DAY(B2)</f>
        <v>-185.98863636363637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'21'!F114</f>
        <v>21811.75</v>
      </c>
      <c r="F114" s="237">
        <v>22093.16</v>
      </c>
      <c r="G114" s="112">
        <f t="shared" si="9"/>
        <v>281.40999999999985</v>
      </c>
      <c r="H114" s="99">
        <f>G114+'21'!H114</f>
        <v>-2935.0200000000023</v>
      </c>
      <c r="I114" s="165"/>
      <c r="J114" s="330">
        <f>H114/DAY(B2)</f>
        <v>-133.41000000000011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'21'!F115</f>
        <v>8664.44</v>
      </c>
      <c r="F115" s="237">
        <v>8676.44</v>
      </c>
      <c r="G115" s="112">
        <f t="shared" si="9"/>
        <v>12</v>
      </c>
      <c r="H115" s="99">
        <f>G115+'21'!H115</f>
        <v>-108.55999999999949</v>
      </c>
      <c r="I115" s="165"/>
      <c r="J115" s="330">
        <f>H115/DAY(B2)</f>
        <v>-4.9345454545454315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'21'!F117</f>
        <v>2366.94</v>
      </c>
      <c r="F117" s="237">
        <v>2381.9299999999998</v>
      </c>
      <c r="G117" s="112">
        <f t="shared" si="9"/>
        <v>14.989999999999782</v>
      </c>
      <c r="H117" s="99">
        <f>G117+'21'!H117</f>
        <v>-208.07000000000016</v>
      </c>
      <c r="I117" s="165"/>
      <c r="J117" s="330">
        <f>H117/DAY(B2)</f>
        <v>-9.457727272727281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'21'!F118</f>
        <v>237795.19</v>
      </c>
      <c r="F118" s="237">
        <v>238200.89</v>
      </c>
      <c r="G118" s="112">
        <f t="shared" si="9"/>
        <v>405.70000000001164</v>
      </c>
      <c r="H118" s="99">
        <f>G118+'21'!H118</f>
        <v>-3446.109999999986</v>
      </c>
      <c r="I118" s="165"/>
      <c r="J118" s="330">
        <f>H118/DAY(B2)</f>
        <v>-156.641363636363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'21'!F119</f>
        <v>240915.45</v>
      </c>
      <c r="F119" s="237">
        <v>241342.97</v>
      </c>
      <c r="G119" s="112">
        <f t="shared" si="9"/>
        <v>427.51999999998952</v>
      </c>
      <c r="H119" s="99">
        <f>G119+'21'!H119</f>
        <v>-3783.0299999999988</v>
      </c>
      <c r="I119" s="165"/>
      <c r="J119" s="330">
        <f>H119/DAY(B2)</f>
        <v>-171.95590909090905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'21'!F120</f>
        <v>25910.3</v>
      </c>
      <c r="F120" s="237">
        <v>26322.51</v>
      </c>
      <c r="G120" s="112">
        <f t="shared" si="9"/>
        <v>412.20999999999913</v>
      </c>
      <c r="H120" s="99">
        <f>G120+'21'!H120</f>
        <v>-3755.4900000000016</v>
      </c>
      <c r="I120" s="165"/>
      <c r="J120" s="330">
        <f>H120/DAY(B2)</f>
        <v>-170.70409090909098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'21'!F121</f>
        <v>368697.51</v>
      </c>
      <c r="F121" s="237">
        <v>369474.35</v>
      </c>
      <c r="G121" s="112">
        <f t="shared" si="9"/>
        <v>776.8399999999674</v>
      </c>
      <c r="H121" s="99">
        <f>G121+'21'!H121</f>
        <v>-7054.6500000000233</v>
      </c>
      <c r="I121" s="165"/>
      <c r="J121" s="330">
        <f>H121/DAY(B2)</f>
        <v>-320.66590909091013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'21'!F122</f>
        <v>117870.13</v>
      </c>
      <c r="F122" s="237">
        <v>118105.71</v>
      </c>
      <c r="G122" s="112">
        <f t="shared" si="9"/>
        <v>235.58000000000175</v>
      </c>
      <c r="H122" s="99">
        <f>G122+'21'!H122</f>
        <v>-1944.2899999999936</v>
      </c>
      <c r="I122" s="165"/>
      <c r="J122" s="330">
        <f>H122/DAY(B2)</f>
        <v>-88.376818181817896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'21'!F123</f>
        <v>141648.82999999999</v>
      </c>
      <c r="F123" s="237">
        <v>142003.64000000001</v>
      </c>
      <c r="G123" s="112">
        <f t="shared" si="9"/>
        <v>354.81000000002678</v>
      </c>
      <c r="H123" s="99">
        <f>G123+'21'!H123</f>
        <v>-3121.359999999986</v>
      </c>
      <c r="I123" s="165"/>
      <c r="J123" s="330">
        <f>H123/DAY(B2)</f>
        <v>-141.87999999999937</v>
      </c>
    </row>
    <row r="124" spans="1:18" ht="29.25" customHeight="1" x14ac:dyDescent="0.5">
      <c r="A124" s="839"/>
      <c r="B124" s="840"/>
      <c r="C124" s="841"/>
      <c r="D124" s="165"/>
      <c r="E124" s="95">
        <f>'21'!F124</f>
        <v>0</v>
      </c>
      <c r="F124" s="165"/>
      <c r="G124" s="329"/>
      <c r="H124" s="99">
        <f>G124+'21'!H124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3444.7099999999937</v>
      </c>
      <c r="H125" s="156"/>
      <c r="I125" s="329">
        <f>G125-(G39+G53)</f>
        <v>668.78999999995176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G127+'21'!H127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'21'!F128</f>
        <v>34682.300000000003</v>
      </c>
      <c r="F128" s="165">
        <v>34988.19</v>
      </c>
      <c r="G128" s="112">
        <f t="shared" ref="G128:G134" si="10">F128-E128</f>
        <v>305.88999999999942</v>
      </c>
      <c r="H128" s="99">
        <f>G128+'21'!H128</f>
        <v>-3015.8099999999977</v>
      </c>
      <c r="I128" s="165"/>
      <c r="J128" s="330">
        <f>H128/DAY(B2)</f>
        <v>-137.08227272727262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'21'!F129</f>
        <v>18118.53</v>
      </c>
      <c r="F129" s="165">
        <v>18368.71</v>
      </c>
      <c r="G129" s="112">
        <f t="shared" si="10"/>
        <v>250.18000000000029</v>
      </c>
      <c r="H129" s="99">
        <f>G129+'21'!H129</f>
        <v>-1952.2900000000009</v>
      </c>
      <c r="I129" s="165"/>
      <c r="J129" s="330">
        <f>H129/DAY(B2)</f>
        <v>-88.740454545454583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'21'!F130</f>
        <v>10812.36</v>
      </c>
      <c r="F130" s="165">
        <v>11513.11</v>
      </c>
      <c r="G130" s="112">
        <f t="shared" si="10"/>
        <v>700.75</v>
      </c>
      <c r="H130" s="99">
        <f>G130+'21'!H130</f>
        <v>-6868.8900000000012</v>
      </c>
      <c r="I130" s="165"/>
      <c r="J130" s="330">
        <f>H130/DAY(B2)</f>
        <v>-312.22227272727281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'21'!F131</f>
        <v>12207.84</v>
      </c>
      <c r="F131" s="165">
        <v>12305.57</v>
      </c>
      <c r="G131" s="112">
        <f t="shared" si="10"/>
        <v>97.729999999999563</v>
      </c>
      <c r="H131" s="99">
        <f>G131+'21'!H131</f>
        <v>-847.43000000000029</v>
      </c>
      <c r="I131" s="165"/>
      <c r="J131" s="330">
        <f>H131/DAY(B2)</f>
        <v>-38.519545454545465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'21'!F132</f>
        <v>36160.97</v>
      </c>
      <c r="F132" s="165">
        <v>36673.07</v>
      </c>
      <c r="G132" s="112">
        <f t="shared" si="10"/>
        <v>512.09999999999854</v>
      </c>
      <c r="H132" s="99">
        <f>G132+'21'!H132</f>
        <v>-5963.0500000000029</v>
      </c>
      <c r="I132" s="165"/>
      <c r="J132" s="330">
        <f>H132/DAY(B2)</f>
        <v>-271.0477272727274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'21'!F133</f>
        <v>81077.960000000006</v>
      </c>
      <c r="F133" s="165">
        <v>81727.06</v>
      </c>
      <c r="G133" s="112">
        <f t="shared" si="10"/>
        <v>649.09999999999127</v>
      </c>
      <c r="H133" s="99">
        <f>G133+'21'!H133</f>
        <v>-5975.9400000000023</v>
      </c>
      <c r="I133" s="165"/>
      <c r="J133" s="330">
        <f>H133/DAY(B2)</f>
        <v>-271.63363636363647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'21'!F134</f>
        <v>663614</v>
      </c>
      <c r="F134" s="165">
        <v>663872</v>
      </c>
      <c r="G134" s="112">
        <f t="shared" si="10"/>
        <v>258</v>
      </c>
      <c r="H134" s="99">
        <f>G134+'21'!H134</f>
        <v>12738</v>
      </c>
      <c r="I134" s="165"/>
      <c r="J134" s="330">
        <f>H134/DAY(B2)</f>
        <v>579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2773.7499999999891</v>
      </c>
      <c r="H135" s="99">
        <f>G135+'10'!H135</f>
        <v>-44974.250000000015</v>
      </c>
      <c r="I135" s="329">
        <f>G135-(G35+G49)</f>
        <v>-310.7400000000307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'21'!F138</f>
        <v>863035</v>
      </c>
      <c r="F138" s="147">
        <v>863144</v>
      </c>
      <c r="G138" s="112">
        <f t="shared" ref="G138:G152" si="11">F138-E138</f>
        <v>109</v>
      </c>
      <c r="H138" s="99">
        <f>G138+'21'!H138</f>
        <v>-1027</v>
      </c>
      <c r="I138" s="118"/>
      <c r="J138" s="330">
        <f>H138/DAY(B2)</f>
        <v>-46.68181818181818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'21'!F139</f>
        <v>886459</v>
      </c>
      <c r="F139" s="148">
        <v>886463</v>
      </c>
      <c r="G139" s="112">
        <f t="shared" si="11"/>
        <v>4</v>
      </c>
      <c r="H139" s="99">
        <f>G139+'21'!H139</f>
        <v>-83</v>
      </c>
      <c r="I139" s="118"/>
      <c r="J139" s="330">
        <f>H139/DAY(B2)</f>
        <v>-3.7727272727272729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'21'!F140</f>
        <v>88881.2</v>
      </c>
      <c r="F140" s="149">
        <v>88882.4</v>
      </c>
      <c r="G140" s="112">
        <f t="shared" si="11"/>
        <v>1.1999999999970896</v>
      </c>
      <c r="H140" s="99">
        <f>G140+'21'!H140</f>
        <v>0.39999999999417923</v>
      </c>
      <c r="I140" s="118"/>
      <c r="J140" s="330">
        <f>H140/DAY(B2)</f>
        <v>1.8181818181553601E-2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'21'!F141</f>
        <v>47324.58</v>
      </c>
      <c r="F141" s="149">
        <v>47522.02</v>
      </c>
      <c r="G141" s="112">
        <f t="shared" si="11"/>
        <v>197.43999999999505</v>
      </c>
      <c r="H141" s="99">
        <f>G141+'21'!H141</f>
        <v>-1783.9800000000032</v>
      </c>
      <c r="I141" s="118"/>
      <c r="J141" s="330">
        <f>H141/DAY(B2)</f>
        <v>-81.090000000000146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'21'!F142</f>
        <v>18252.310000000001</v>
      </c>
      <c r="F142" s="148">
        <v>18326.689999999999</v>
      </c>
      <c r="G142" s="112">
        <f t="shared" si="11"/>
        <v>74.379999999997381</v>
      </c>
      <c r="H142" s="99">
        <f>G142+'21'!H142</f>
        <v>-682.31000000000131</v>
      </c>
      <c r="I142" s="140"/>
      <c r="J142" s="330">
        <f>H142/DAY(B2)</f>
        <v>-31.014090909090967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'21'!F143</f>
        <v>2827.6</v>
      </c>
      <c r="F143" s="149">
        <v>2855.02</v>
      </c>
      <c r="G143" s="112">
        <f t="shared" si="11"/>
        <v>27.420000000000073</v>
      </c>
      <c r="H143" s="99">
        <f>G143+'21'!H143</f>
        <v>-205.98000000000002</v>
      </c>
      <c r="I143" s="140"/>
      <c r="J143" s="330">
        <f>H143/DAY(B2)</f>
        <v>-9.3627272727272732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'21'!F144</f>
        <v>867266</v>
      </c>
      <c r="F144" s="149">
        <v>867517</v>
      </c>
      <c r="G144" s="112">
        <f t="shared" si="11"/>
        <v>251</v>
      </c>
      <c r="H144" s="99">
        <f>G144+'21'!H144</f>
        <v>-2153</v>
      </c>
      <c r="I144" s="140"/>
      <c r="J144" s="330">
        <f>H144/DAY(B2)</f>
        <v>-97.86363636363636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'21'!F145</f>
        <v>4388.93</v>
      </c>
      <c r="F145" s="149">
        <v>4414.07</v>
      </c>
      <c r="G145" s="112">
        <f t="shared" si="11"/>
        <v>25.139999999999418</v>
      </c>
      <c r="H145" s="99">
        <f>G145+'21'!H145</f>
        <v>-143.93000000000029</v>
      </c>
      <c r="I145" s="140"/>
      <c r="J145" s="330">
        <f>H145/DAY(B2)</f>
        <v>-6.5422727272727403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'21'!F146</f>
        <v>719980</v>
      </c>
      <c r="F146" s="148">
        <v>720480</v>
      </c>
      <c r="G146" s="112">
        <f t="shared" si="11"/>
        <v>500</v>
      </c>
      <c r="H146" s="99">
        <f>G146+'21'!H146</f>
        <v>-4378</v>
      </c>
      <c r="I146" s="140"/>
      <c r="J146" s="330">
        <f>H146/DAY(B2)</f>
        <v>-199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'21'!F147</f>
        <v>611137.48</v>
      </c>
      <c r="F147" s="148">
        <v>611540.12</v>
      </c>
      <c r="G147" s="112">
        <f t="shared" si="11"/>
        <v>402.64000000001397</v>
      </c>
      <c r="H147" s="99">
        <f>G147+'21'!H147</f>
        <v>-3741.8800000000047</v>
      </c>
      <c r="I147" s="140"/>
      <c r="J147" s="330">
        <f>H147/DAY(B2)</f>
        <v>-170.08545454545475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'21'!F148</f>
        <v>680078.48</v>
      </c>
      <c r="F148" s="150">
        <v>680376.24</v>
      </c>
      <c r="G148" s="112">
        <f t="shared" si="11"/>
        <v>297.76000000000931</v>
      </c>
      <c r="H148" s="99">
        <f>G148+'21'!H148</f>
        <v>-2656.8800000000047</v>
      </c>
      <c r="I148" s="124"/>
      <c r="J148" s="330">
        <f>H148/DAY(B2)</f>
        <v>-120.76727272727294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'21'!F149</f>
        <v>5177.62</v>
      </c>
      <c r="F149" s="146">
        <v>5720.08</v>
      </c>
      <c r="G149" s="112">
        <f t="shared" si="11"/>
        <v>542.46</v>
      </c>
      <c r="H149" s="99">
        <f>G149+'21'!H149</f>
        <v>182211.08000000002</v>
      </c>
      <c r="I149" s="119"/>
      <c r="J149" s="330">
        <f>H149/DAY(B2)</f>
        <v>8282.3218181818193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'21'!F150</f>
        <v>1784.62</v>
      </c>
      <c r="F150" s="233">
        <v>2012.94</v>
      </c>
      <c r="G150" s="112">
        <f t="shared" si="11"/>
        <v>228.32000000000016</v>
      </c>
      <c r="H150" s="99">
        <f>G150+'21'!H150</f>
        <v>7165000.9400000004</v>
      </c>
      <c r="I150" s="119"/>
      <c r="J150" s="330">
        <f>H150/DAY(B2)</f>
        <v>325681.8609090909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'21'!F151</f>
        <v>75859</v>
      </c>
      <c r="F151" s="233">
        <v>76084</v>
      </c>
      <c r="G151" s="112">
        <f t="shared" si="11"/>
        <v>225</v>
      </c>
      <c r="H151" s="99">
        <f>G151+'21'!H151</f>
        <v>-2133</v>
      </c>
      <c r="I151" s="119"/>
      <c r="J151" s="330">
        <f>H151/DAY(B2)</f>
        <v>-96.954545454545453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'21'!F152</f>
        <v>638.66999999999996</v>
      </c>
      <c r="F152" s="233">
        <v>687.58</v>
      </c>
      <c r="G152" s="112">
        <f t="shared" si="11"/>
        <v>48.910000000000082</v>
      </c>
      <c r="H152" s="99">
        <f>G152+'21'!H152</f>
        <v>-439.41999999999996</v>
      </c>
      <c r="I152" s="119"/>
      <c r="J152" s="330">
        <f>H152/DAY(B2)</f>
        <v>-19.973636363636363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2934.6700000000128</v>
      </c>
      <c r="H153" s="365"/>
      <c r="I153" s="119">
        <f>G153-(G38+G52)</f>
        <v>1020.0899999999965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'21'!F155</f>
        <v>6155.09</v>
      </c>
      <c r="F155" s="376">
        <v>6848.03</v>
      </c>
      <c r="G155" s="112">
        <f t="shared" ref="G155:G156" si="12">F155-E155</f>
        <v>692.9399999999996</v>
      </c>
      <c r="H155" s="99">
        <f>G155+'21'!H155</f>
        <v>70993.03</v>
      </c>
      <c r="I155" s="366"/>
      <c r="J155" s="330">
        <f>H155/DAY(B2)</f>
        <v>3226.9559090909092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'21'!F156</f>
        <v>491.41</v>
      </c>
      <c r="F156" s="155">
        <v>542.41</v>
      </c>
      <c r="G156" s="112">
        <f t="shared" si="12"/>
        <v>50.999999999999943</v>
      </c>
      <c r="H156" s="99">
        <f>G156+'21'!H156</f>
        <v>-545.58999999999992</v>
      </c>
      <c r="I156" s="165"/>
      <c r="J156" s="330">
        <f>H156/DAY(B2)</f>
        <v>-24.799545454545452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6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471146.76</v>
      </c>
      <c r="F161" s="235">
        <v>471149.04</v>
      </c>
      <c r="G161" s="238">
        <f t="shared" ref="G161:G165" si="13">F161-E161</f>
        <v>2.279999999969732</v>
      </c>
      <c r="H161" s="99">
        <f>G161+'21'!H161</f>
        <v>-4.1199999999953434</v>
      </c>
      <c r="I161" s="236"/>
      <c r="J161" s="239">
        <f>H161/DAY(B2)</f>
        <v>-0.18727272727251562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87281.5</v>
      </c>
      <c r="F162" s="235">
        <v>87322.5</v>
      </c>
      <c r="G162" s="238">
        <f t="shared" si="13"/>
        <v>41</v>
      </c>
      <c r="H162" s="99">
        <f>G162+'21'!H162</f>
        <v>-247.5</v>
      </c>
      <c r="I162" s="236"/>
      <c r="J162" s="239">
        <f>H162/DAY(B2)</f>
        <v>-11.25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77185.7</v>
      </c>
      <c r="F163" s="235">
        <v>77264.399999999994</v>
      </c>
      <c r="G163" s="238">
        <f t="shared" si="13"/>
        <v>78.69999999999709</v>
      </c>
      <c r="H163" s="99">
        <f>G163+'21'!H163</f>
        <v>-560.60000000000582</v>
      </c>
      <c r="I163" s="236"/>
      <c r="J163" s="239">
        <f>H163/DAY(B2)</f>
        <v>-25.481818181818447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4207.1000000000004</v>
      </c>
      <c r="F164" s="235">
        <v>4213.1000000000004</v>
      </c>
      <c r="G164" s="238">
        <f t="shared" si="13"/>
        <v>6</v>
      </c>
      <c r="H164" s="99">
        <f>G164+'21'!H164</f>
        <v>-28.899999999999636</v>
      </c>
      <c r="I164" s="236"/>
      <c r="J164" s="239">
        <f>H164/DAY(B2)</f>
        <v>-1.3136363636363471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29577.54</v>
      </c>
      <c r="F165" s="235">
        <v>29584.99</v>
      </c>
      <c r="G165" s="238">
        <f t="shared" si="13"/>
        <v>7.4500000000007276</v>
      </c>
      <c r="H165" s="99">
        <f>G165+'21'!H165</f>
        <v>-61.009999999998399</v>
      </c>
      <c r="I165" s="236"/>
      <c r="J165" s="239">
        <f>H165/DAY(B2)</f>
        <v>-2.7731818181817456</v>
      </c>
    </row>
    <row r="166" spans="1:10" ht="21.95" customHeight="1" x14ac:dyDescent="0.5">
      <c r="A166" s="824"/>
      <c r="B166" s="824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24"/>
      <c r="B167" s="824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24"/>
      <c r="B168" s="824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'21'!F173</f>
        <v>8110</v>
      </c>
      <c r="F173" s="155">
        <v>8126</v>
      </c>
      <c r="G173" s="155">
        <f>F173-E173</f>
        <v>16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'21'!F174</f>
        <v>38147</v>
      </c>
      <c r="F174" s="157">
        <v>38161</v>
      </c>
      <c r="G174" s="155">
        <f t="shared" ref="G174:G175" si="14">F174-E174</f>
        <v>14</v>
      </c>
      <c r="H174" s="99">
        <f>G174+'21'!H174</f>
        <v>-126</v>
      </c>
      <c r="I174" s="155"/>
      <c r="J174" s="178">
        <f>H174/DAY(B2)</f>
        <v>-5.7272727272727275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'21'!F175</f>
        <v>21405</v>
      </c>
      <c r="F175" s="155">
        <v>21415</v>
      </c>
      <c r="G175" s="155">
        <f t="shared" si="14"/>
        <v>10</v>
      </c>
      <c r="H175" s="99">
        <f>G175+'21'!H175</f>
        <v>-103</v>
      </c>
      <c r="I175" s="155"/>
      <c r="J175" s="178">
        <f>H175/DAY(B2)</f>
        <v>-4.6818181818181817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40</v>
      </c>
      <c r="H176" s="99">
        <f>G176+'21'!H176</f>
        <v>-229</v>
      </c>
      <c r="I176" s="155"/>
      <c r="J176" s="178">
        <f>H176/DAY(B2)</f>
        <v>-10.409090909090908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'21'!F178</f>
        <v>78915</v>
      </c>
      <c r="F178" s="155">
        <v>78972</v>
      </c>
      <c r="G178" s="155">
        <f>F178-E178</f>
        <v>57</v>
      </c>
      <c r="H178" s="99">
        <f>G178+'21'!H178</f>
        <v>-642</v>
      </c>
      <c r="I178" s="155"/>
      <c r="J178" s="178">
        <f>H178/DAY(B2)</f>
        <v>-29.181818181818183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'21'!F179</f>
        <v>33915</v>
      </c>
      <c r="F179" s="155">
        <v>33915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'21'!F180</f>
        <v>5409</v>
      </c>
      <c r="F180" s="155">
        <v>5421</v>
      </c>
      <c r="G180" s="376">
        <f t="shared" si="15"/>
        <v>12</v>
      </c>
      <c r="H180" s="99">
        <f>G180+'21'!H180</f>
        <v>-56</v>
      </c>
      <c r="I180" s="155"/>
      <c r="J180" s="178">
        <f>H180/DAY(B2)</f>
        <v>-2.5454545454545454</v>
      </c>
    </row>
    <row r="181" spans="1:10" ht="27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69</v>
      </c>
      <c r="H181" s="99">
        <f>G181+'21'!H181</f>
        <v>-698</v>
      </c>
      <c r="I181" s="155"/>
      <c r="J181" s="178">
        <f>H181/DAY(B2)</f>
        <v>-31.727272727272727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'21'!F183</f>
        <v>14793</v>
      </c>
      <c r="F183" s="157">
        <v>14803</v>
      </c>
      <c r="G183" s="157">
        <f>F183-E183</f>
        <v>10</v>
      </c>
      <c r="H183" s="99">
        <f>G183+'21'!H183</f>
        <v>-144</v>
      </c>
      <c r="I183" s="155"/>
      <c r="J183" s="178">
        <f>H183/DAY(B2)</f>
        <v>-6.5454545454545459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'21'!F184</f>
        <v>10225</v>
      </c>
      <c r="F184" s="157">
        <v>10231</v>
      </c>
      <c r="G184" s="157">
        <f t="shared" ref="G184:G185" si="16">F184-E184</f>
        <v>6</v>
      </c>
      <c r="H184" s="99">
        <f>G184+'21'!H184</f>
        <v>-70</v>
      </c>
      <c r="I184" s="155"/>
      <c r="J184" s="178">
        <f>H184/DAY(B2)</f>
        <v>-3.1818181818181817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16</v>
      </c>
      <c r="H186" s="99">
        <f>G186+'21'!H186</f>
        <v>-214</v>
      </c>
      <c r="I186" s="157"/>
      <c r="J186" s="178">
        <f>H186/DAY(B2)</f>
        <v>-9.7272727272727266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175</v>
      </c>
      <c r="H187" s="99">
        <f>G187+'21'!H187</f>
        <v>171</v>
      </c>
      <c r="I187" s="158"/>
      <c r="J187" s="179">
        <f>H187/DAY(B2)</f>
        <v>7.7727272727272725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167</v>
      </c>
      <c r="H188" s="99">
        <f>G188+'21'!H188</f>
        <v>1372</v>
      </c>
      <c r="I188" s="158"/>
      <c r="J188" s="179">
        <f>H188/DAY(B2)</f>
        <v>62.363636363636367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69</v>
      </c>
      <c r="H189" s="99">
        <f>G189+'21'!H189</f>
        <v>283</v>
      </c>
      <c r="I189" s="158"/>
      <c r="J189" s="179">
        <f>H189/DAY(B2)</f>
        <v>12.863636363636363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33" zoomScale="50" zoomScaleNormal="80" zoomScaleSheetLayoutView="50" workbookViewId="0">
      <selection activeCell="F18" sqref="F18: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 x14ac:dyDescent="0.5">
      <c r="A2" s="191" t="s">
        <v>357</v>
      </c>
      <c r="B2" s="262">
        <v>44553</v>
      </c>
      <c r="C2" s="350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575478</v>
      </c>
      <c r="F7" s="95">
        <f>E7+23500</f>
        <v>598978</v>
      </c>
      <c r="G7" s="112">
        <f>F7-E7</f>
        <v>23500</v>
      </c>
      <c r="H7" s="99">
        <f>G7+'22'!H7</f>
        <v>504417</v>
      </c>
      <c r="I7" s="113">
        <f>'1'!I7</f>
        <v>12000</v>
      </c>
      <c r="J7" s="175">
        <f>H7/DAY(B2)</f>
        <v>21931.17391304348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625437</v>
      </c>
      <c r="F8" s="95">
        <f>E8+23500</f>
        <v>648937</v>
      </c>
      <c r="G8" s="115">
        <f>F8-E8</f>
        <v>23500</v>
      </c>
      <c r="H8" s="99">
        <f>G8+'22'!H8</f>
        <v>508052</v>
      </c>
      <c r="I8" s="116"/>
      <c r="J8" s="175">
        <f>H8/DAY(B2)</f>
        <v>22089.217391304348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193657</v>
      </c>
      <c r="F9" s="605">
        <f>E9+14000</f>
        <v>207657</v>
      </c>
      <c r="G9" s="112">
        <f>F9-E9</f>
        <v>14000</v>
      </c>
      <c r="H9" s="99">
        <f>G9+'22'!H9</f>
        <v>306162</v>
      </c>
      <c r="I9" s="124">
        <f>I7-J7</f>
        <v>-9931.1739130434798</v>
      </c>
      <c r="J9" s="175">
        <f>H9/DAY(B2)</f>
        <v>13311.391304347826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516050</v>
      </c>
      <c r="F10" s="355">
        <f>E10+4500</f>
        <v>520550</v>
      </c>
      <c r="G10" s="112">
        <f t="shared" ref="G10:G12" si="0">F10-E10</f>
        <v>4500</v>
      </c>
      <c r="H10" s="99">
        <f>G10+'22'!H10</f>
        <v>123440</v>
      </c>
      <c r="I10" s="282"/>
      <c r="J10" s="175">
        <f>H10/DAY(B2)</f>
        <v>5366.95652173913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G13+'22'!H13</f>
        <v>410136.74999999988</v>
      </c>
      <c r="I13" s="120">
        <f>G7-G13</f>
        <v>5000</v>
      </c>
      <c r="J13" s="175">
        <f>H13/DAY(B2)</f>
        <v>17832.032608695648</v>
      </c>
      <c r="K13" s="79"/>
      <c r="L13" s="66"/>
      <c r="N13" s="87"/>
      <c r="O13" s="71"/>
    </row>
    <row r="14" spans="1:15" ht="30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7" t="s">
        <v>138</v>
      </c>
      <c r="B15" s="205"/>
      <c r="C15" s="205"/>
      <c r="D15" s="151" t="s">
        <v>139</v>
      </c>
      <c r="E15" s="95">
        <f>'22'!F15</f>
        <v>1868326</v>
      </c>
      <c r="F15" s="123">
        <f>E15+1100</f>
        <v>1869426</v>
      </c>
      <c r="G15" s="112">
        <f>(F15-E15)</f>
        <v>1100</v>
      </c>
      <c r="H15" s="99">
        <f>G15+'22'!H15</f>
        <v>23569</v>
      </c>
      <c r="I15" s="113">
        <f>'1'!I15</f>
        <v>800</v>
      </c>
      <c r="J15" s="175">
        <f>H15/DAY(B2)</f>
        <v>1024.7391304347825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-224.73913043478251</v>
      </c>
      <c r="J16" s="176"/>
      <c r="K16" s="79"/>
      <c r="L16" s="66"/>
      <c r="N16" s="87"/>
      <c r="O16" s="71"/>
    </row>
    <row r="17" spans="1:15" ht="30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6" t="s">
        <v>141</v>
      </c>
      <c r="B18" s="857"/>
      <c r="C18" s="858"/>
      <c r="D18" s="151" t="s">
        <v>142</v>
      </c>
      <c r="E18" s="95">
        <f>'22'!F18</f>
        <v>171</v>
      </c>
      <c r="F18" s="122">
        <f>E18+12</f>
        <v>183</v>
      </c>
      <c r="G18" s="119">
        <f>F18*10</f>
        <v>1830</v>
      </c>
      <c r="H18" s="99">
        <f>G18+'22'!H18</f>
        <v>15920</v>
      </c>
      <c r="I18" s="113">
        <f>'1'!I18</f>
        <v>65</v>
      </c>
      <c r="J18" s="175">
        <f>H18/DAY(B2)</f>
        <v>692.17391304347825</v>
      </c>
      <c r="K18" s="79"/>
      <c r="L18" s="66"/>
      <c r="N18" s="87"/>
      <c r="O18" s="71"/>
    </row>
    <row r="19" spans="1:15" ht="30.75" customHeight="1" x14ac:dyDescent="0.5">
      <c r="A19" s="856" t="s">
        <v>69</v>
      </c>
      <c r="B19" s="857"/>
      <c r="C19" s="858"/>
      <c r="D19" s="151" t="s">
        <v>142</v>
      </c>
      <c r="E19" s="95">
        <f>'22'!F19</f>
        <v>153410</v>
      </c>
      <c r="F19" s="122">
        <f>E19+55</f>
        <v>153465</v>
      </c>
      <c r="G19" s="112">
        <f t="shared" ref="G19" si="1">F19-E19</f>
        <v>55</v>
      </c>
      <c r="H19" s="99">
        <f>G19+'22'!H19</f>
        <v>1240</v>
      </c>
      <c r="I19" s="337"/>
      <c r="J19" s="175">
        <f>H19/DAY(B2)</f>
        <v>53.913043478260867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1885</v>
      </c>
      <c r="H20" s="99">
        <f>G20+'22'!H20</f>
        <v>17160</v>
      </c>
      <c r="I20" s="338">
        <f>I18-J20</f>
        <v>-681.08695652173913</v>
      </c>
      <c r="J20" s="175">
        <f>H20/DAY(B2)</f>
        <v>746.08695652173913</v>
      </c>
      <c r="K20" s="79"/>
      <c r="L20" s="66"/>
      <c r="N20" s="87"/>
      <c r="O20" s="71"/>
    </row>
    <row r="21" spans="1:15" ht="30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7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7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G27+'22'!H27</f>
        <v>4572468</v>
      </c>
      <c r="I27" s="138"/>
      <c r="J27" s="175">
        <f>H27/DAY(B2)</f>
        <v>198802.95652173914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G28+'22'!H28</f>
        <v>1225588</v>
      </c>
      <c r="I28" s="140"/>
      <c r="J28" s="175">
        <f>H28/DAY(B2)</f>
        <v>53286.434782608696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G30+'22'!H30</f>
        <v>181040</v>
      </c>
      <c r="I30" s="140"/>
      <c r="J30" s="175">
        <f>H30/DAY(B2)</f>
        <v>7871.304347826087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1830</v>
      </c>
      <c r="F31" s="136">
        <v>80</v>
      </c>
      <c r="G31" s="137">
        <f>E31*F31</f>
        <v>146400</v>
      </c>
      <c r="H31" s="99">
        <f>G31+'22'!H31</f>
        <v>1273600</v>
      </c>
      <c r="I31" s="140"/>
      <c r="J31" s="175">
        <f>H31/DAY(B2)</f>
        <v>55373.913043478264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423130</v>
      </c>
      <c r="H32" s="99">
        <f>G32+'22'!H32</f>
        <v>7252696</v>
      </c>
      <c r="I32" s="144"/>
      <c r="J32" s="175">
        <f>H32/DAY(B2)</f>
        <v>315334.60869565216</v>
      </c>
      <c r="K32" s="63"/>
      <c r="L32" s="89"/>
      <c r="N32" s="87"/>
      <c r="O32" s="71"/>
    </row>
    <row r="33" spans="1:15" ht="30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136855.21</v>
      </c>
      <c r="F35" s="145">
        <v>138344</v>
      </c>
      <c r="G35" s="112">
        <f t="shared" ref="G35:G46" si="3">F35-E35</f>
        <v>1488.7900000000081</v>
      </c>
      <c r="H35" s="99">
        <f>G35+'22'!H35</f>
        <v>153544</v>
      </c>
      <c r="I35" s="95"/>
      <c r="J35" s="175">
        <f>H35/DAY(B2)</f>
        <v>6675.826086956522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13145.36</v>
      </c>
      <c r="F36" s="145">
        <v>13967</v>
      </c>
      <c r="G36" s="112">
        <f t="shared" si="3"/>
        <v>821.63999999999942</v>
      </c>
      <c r="H36" s="99">
        <f>G36+'22'!H36</f>
        <v>82170</v>
      </c>
      <c r="I36" s="95"/>
      <c r="J36" s="175">
        <f>H36/DAY(B2)</f>
        <v>3572.608695652174</v>
      </c>
      <c r="K36" s="79"/>
      <c r="L36" s="66"/>
      <c r="N36" s="87"/>
      <c r="O36" s="346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181097.29</v>
      </c>
      <c r="F37" s="145">
        <v>182684</v>
      </c>
      <c r="G37" s="112">
        <f t="shared" si="3"/>
        <v>1586.7099999999919</v>
      </c>
      <c r="H37" s="99">
        <f>G37+'22'!H37</f>
        <v>194896</v>
      </c>
      <c r="I37" s="95"/>
      <c r="J37" s="175">
        <f>H37/DAY(B2)</f>
        <v>8473.7391304347821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215136.45</v>
      </c>
      <c r="F38" s="108">
        <v>217070</v>
      </c>
      <c r="G38" s="112">
        <f t="shared" si="3"/>
        <v>1933.5499999999884</v>
      </c>
      <c r="H38" s="99">
        <f>G38+'22'!H38</f>
        <v>230270</v>
      </c>
      <c r="I38" s="95"/>
      <c r="J38" s="175">
        <f>H38/DAY(B2)</f>
        <v>10011.739130434782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386212.15</v>
      </c>
      <c r="F39" s="145">
        <v>388956</v>
      </c>
      <c r="G39" s="112">
        <f t="shared" si="3"/>
        <v>2743.8499999999767</v>
      </c>
      <c r="H39" s="99">
        <f>G39+'22'!H39</f>
        <v>410638</v>
      </c>
      <c r="I39" s="95"/>
      <c r="J39" s="175">
        <f>H39/DAY(B2)</f>
        <v>17853.82608695652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1228.6199999999999</v>
      </c>
      <c r="F40" s="145">
        <v>1817</v>
      </c>
      <c r="G40" s="112">
        <f t="shared" si="3"/>
        <v>588.38000000000011</v>
      </c>
      <c r="H40" s="99">
        <f>G40+'22'!H40</f>
        <v>-3252.8500000000004</v>
      </c>
      <c r="I40" s="95"/>
      <c r="J40" s="175">
        <f>H40/DAY(B2)</f>
        <v>-141.42826086956524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599900</v>
      </c>
      <c r="I41" s="95"/>
      <c r="J41" s="175">
        <f>H41/DAY(B2)</f>
        <v>26082.608695652172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38987.9</v>
      </c>
      <c r="F42" s="145">
        <v>43442</v>
      </c>
      <c r="G42" s="112">
        <f t="shared" si="3"/>
        <v>4454.0999999999985</v>
      </c>
      <c r="H42" s="99">
        <f>G42+'22'!H42</f>
        <v>327293</v>
      </c>
      <c r="I42" s="95"/>
      <c r="J42" s="175">
        <f>H42/DAY(B2)</f>
        <v>14230.130434782608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23615.5</v>
      </c>
      <c r="F43" s="145">
        <v>26293</v>
      </c>
      <c r="G43" s="112">
        <f t="shared" si="3"/>
        <v>2677.5</v>
      </c>
      <c r="H43" s="99">
        <f>G43+'22'!H43</f>
        <v>1543712.9999999998</v>
      </c>
      <c r="I43" s="95"/>
      <c r="J43" s="175">
        <f>H43/DAY(B2)</f>
        <v>67117.956521739121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16294.519999999964</v>
      </c>
      <c r="H47" s="99">
        <f>G47+'22'!H47</f>
        <v>3539171.15</v>
      </c>
      <c r="I47" s="95"/>
      <c r="J47" s="175">
        <f>H47/DAY(B2)</f>
        <v>153877.00652173912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258707.57</v>
      </c>
      <c r="F49" s="145">
        <v>260245</v>
      </c>
      <c r="G49" s="112">
        <f t="shared" ref="G49:G58" si="4">F49-E49</f>
        <v>1537.429999999993</v>
      </c>
      <c r="H49" s="99">
        <f>G49+'22'!H49</f>
        <v>273366.00000000006</v>
      </c>
      <c r="I49" s="95"/>
      <c r="J49" s="175">
        <f>H49/DAY(B2)</f>
        <v>11885.478260869568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14197.89</v>
      </c>
      <c r="F50" s="145">
        <v>15275</v>
      </c>
      <c r="G50" s="112">
        <f t="shared" si="4"/>
        <v>1077.1100000000006</v>
      </c>
      <c r="H50" s="99">
        <f>G50+'22'!H50</f>
        <v>729700.00000000012</v>
      </c>
      <c r="I50" s="95"/>
      <c r="J50" s="175">
        <f>H50/DAY(B2)</f>
        <v>31726.086956521744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3144.2</v>
      </c>
      <c r="F54" s="145">
        <v>3148</v>
      </c>
      <c r="G54" s="112">
        <f t="shared" si="4"/>
        <v>3.8000000000001819</v>
      </c>
      <c r="H54" s="99">
        <f>G54+'22'!H54</f>
        <v>4915.08</v>
      </c>
      <c r="I54" s="95"/>
      <c r="J54" s="175">
        <f>H54/DAY(B2)</f>
        <v>213.6991304347826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-3511</v>
      </c>
      <c r="I55" s="95"/>
      <c r="J55" s="175">
        <f>H55/DAY(B2)</f>
        <v>-152.65217391304347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212065</v>
      </c>
      <c r="I56" s="95"/>
      <c r="J56" s="175">
        <f>H56/DAY(B2)</f>
        <v>9220.217391304348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90345.04</v>
      </c>
      <c r="F58" s="145">
        <v>90581</v>
      </c>
      <c r="G58" s="112">
        <f t="shared" si="4"/>
        <v>235.9600000000064</v>
      </c>
      <c r="H58" s="99">
        <f>G58+'22'!H58</f>
        <v>90921.63</v>
      </c>
      <c r="I58" s="95"/>
      <c r="J58" s="175">
        <f>H58/DAY(B2)</f>
        <v>3953.1143478260869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2854.3</v>
      </c>
      <c r="H59" s="99">
        <f>G59+'22'!H59</f>
        <v>1307456.7100000002</v>
      </c>
      <c r="I59" s="95">
        <f>G7-G60</f>
        <v>4351.1800000000367</v>
      </c>
      <c r="J59" s="175">
        <f>H59/DAY(B2)</f>
        <v>56845.943913043484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19148.819999999963</v>
      </c>
      <c r="H60" s="99">
        <f>G60+'22'!H60</f>
        <v>4846627.8600000013</v>
      </c>
      <c r="I60" s="95">
        <f>G13-G60</f>
        <v>-648.81999999996333</v>
      </c>
      <c r="J60" s="175">
        <f>H60/DAY(B2)</f>
        <v>210722.95043478266</v>
      </c>
      <c r="K60" s="79"/>
      <c r="L60" s="66"/>
      <c r="N60" s="87"/>
      <c r="O60" s="71"/>
    </row>
    <row r="61" spans="1:15" s="68" customFormat="1" ht="30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0.75" customHeight="1" x14ac:dyDescent="0.5">
      <c r="A62" s="856" t="s">
        <v>198</v>
      </c>
      <c r="B62" s="857"/>
      <c r="C62" s="858"/>
      <c r="D62" s="151" t="s">
        <v>142</v>
      </c>
      <c r="E62" s="95">
        <f>'22'!F62</f>
        <v>266199</v>
      </c>
      <c r="F62" s="122">
        <v>266319</v>
      </c>
      <c r="G62" s="112">
        <f t="shared" ref="G62:G63" si="5">F62-E62</f>
        <v>120</v>
      </c>
      <c r="H62" s="99">
        <f>G62+'22'!H62</f>
        <v>-894</v>
      </c>
      <c r="I62" s="118"/>
      <c r="J62" s="175">
        <f>H62/DAY(B2)</f>
        <v>-38.869565217391305</v>
      </c>
      <c r="K62" s="80"/>
      <c r="L62" s="66"/>
      <c r="N62" s="87"/>
      <c r="O62" s="71"/>
    </row>
    <row r="63" spans="1:15" ht="30.75" customHeight="1" x14ac:dyDescent="0.5">
      <c r="A63" s="856" t="s">
        <v>199</v>
      </c>
      <c r="B63" s="857"/>
      <c r="C63" s="858"/>
      <c r="D63" s="151" t="s">
        <v>142</v>
      </c>
      <c r="E63" s="95">
        <f>'22'!F63</f>
        <v>211648</v>
      </c>
      <c r="F63" s="122">
        <v>211714</v>
      </c>
      <c r="G63" s="112">
        <f t="shared" si="5"/>
        <v>66</v>
      </c>
      <c r="H63" s="99">
        <f>G63+'22'!H63</f>
        <v>-711</v>
      </c>
      <c r="I63" s="118"/>
      <c r="J63" s="175">
        <f>H63/DAY(B2)</f>
        <v>-30.913043478260871</v>
      </c>
      <c r="K63" s="69"/>
      <c r="L63" s="66"/>
      <c r="N63" s="87"/>
      <c r="O63" s="71"/>
    </row>
    <row r="64" spans="1:15" ht="30.75" customHeight="1" x14ac:dyDescent="0.5">
      <c r="A64" s="865" t="s">
        <v>200</v>
      </c>
      <c r="B64" s="866"/>
      <c r="C64" s="867"/>
      <c r="D64" s="151"/>
      <c r="E64" s="95">
        <f>'22'!F64</f>
        <v>0</v>
      </c>
      <c r="F64" s="122"/>
      <c r="G64" s="112">
        <f>G62+G63</f>
        <v>186</v>
      </c>
      <c r="H64" s="99">
        <f>G64+'22'!H64</f>
        <v>-1605</v>
      </c>
      <c r="I64" s="118"/>
      <c r="J64" s="175">
        <f>H64/DAY(B2)</f>
        <v>-69.782608695652172</v>
      </c>
      <c r="K64" s="69"/>
      <c r="L64" s="66"/>
      <c r="N64" s="87"/>
      <c r="O64" s="71"/>
    </row>
    <row r="65" spans="1:15" ht="30.75" customHeight="1" x14ac:dyDescent="0.5">
      <c r="A65" s="856" t="s">
        <v>201</v>
      </c>
      <c r="B65" s="857"/>
      <c r="C65" s="858"/>
      <c r="D65" s="151" t="s">
        <v>142</v>
      </c>
      <c r="E65" s="95">
        <f>'22'!F65</f>
        <v>431688</v>
      </c>
      <c r="F65" s="122">
        <v>431787</v>
      </c>
      <c r="G65" s="112">
        <f t="shared" ref="G65:G70" si="6">F65-E65</f>
        <v>99</v>
      </c>
      <c r="H65" s="99">
        <f>G65+'22'!H65</f>
        <v>-827</v>
      </c>
      <c r="I65" s="118"/>
      <c r="J65" s="175">
        <f>H65/DAY(B2)</f>
        <v>-35.956521739130437</v>
      </c>
      <c r="K65" s="69"/>
      <c r="L65" s="66"/>
      <c r="N65" s="87"/>
      <c r="O65" s="71"/>
    </row>
    <row r="66" spans="1:15" ht="30.75" customHeight="1" x14ac:dyDescent="0.5">
      <c r="A66" s="347" t="s">
        <v>202</v>
      </c>
      <c r="B66" s="348"/>
      <c r="C66" s="348"/>
      <c r="D66" s="151" t="s">
        <v>142</v>
      </c>
      <c r="E66" s="95">
        <f>'22'!F66</f>
        <v>107025</v>
      </c>
      <c r="F66" s="122">
        <v>107050</v>
      </c>
      <c r="G66" s="112">
        <f t="shared" si="6"/>
        <v>25</v>
      </c>
      <c r="H66" s="99">
        <f>G66+'22'!H66</f>
        <v>-164</v>
      </c>
      <c r="I66" s="118"/>
      <c r="J66" s="175">
        <f>H66/DAY(B2)</f>
        <v>-7.1304347826086953</v>
      </c>
      <c r="K66" s="78"/>
      <c r="L66" s="66"/>
      <c r="N66" s="87"/>
      <c r="O66" s="71"/>
    </row>
    <row r="67" spans="1:15" ht="30.75" customHeight="1" x14ac:dyDescent="0.5">
      <c r="A67" s="347" t="s">
        <v>203</v>
      </c>
      <c r="B67" s="348"/>
      <c r="C67" s="348"/>
      <c r="D67" s="151" t="s">
        <v>142</v>
      </c>
      <c r="E67" s="95">
        <f>'22'!F67</f>
        <v>103652</v>
      </c>
      <c r="F67" s="150">
        <v>103680</v>
      </c>
      <c r="G67" s="112">
        <f t="shared" si="6"/>
        <v>28</v>
      </c>
      <c r="H67" s="99">
        <f>G67+'22'!H67</f>
        <v>-248</v>
      </c>
      <c r="I67" s="118"/>
      <c r="J67" s="175">
        <f>H67/DAY(B2)</f>
        <v>-10.782608695652174</v>
      </c>
      <c r="K67" s="81"/>
      <c r="L67" s="66"/>
      <c r="N67" s="87"/>
      <c r="O67" s="71"/>
    </row>
    <row r="68" spans="1:15" ht="30.75" customHeight="1" x14ac:dyDescent="0.5">
      <c r="A68" s="347" t="s">
        <v>204</v>
      </c>
      <c r="B68" s="348"/>
      <c r="C68" s="348"/>
      <c r="D68" s="151" t="s">
        <v>142</v>
      </c>
      <c r="E68" s="95">
        <f>'22'!F68</f>
        <v>156316</v>
      </c>
      <c r="F68" s="122">
        <v>156345</v>
      </c>
      <c r="G68" s="112">
        <f t="shared" si="6"/>
        <v>29</v>
      </c>
      <c r="H68" s="99">
        <f>G68+'22'!H68</f>
        <v>-275</v>
      </c>
      <c r="I68" s="118"/>
      <c r="J68" s="175">
        <f>H68/DAY(B2)</f>
        <v>-11.956521739130435</v>
      </c>
      <c r="K68" s="69"/>
      <c r="L68" s="66"/>
      <c r="N68" s="87"/>
      <c r="O68" s="71"/>
    </row>
    <row r="69" spans="1:15" ht="30.75" customHeight="1" x14ac:dyDescent="0.5">
      <c r="A69" s="347" t="s">
        <v>205</v>
      </c>
      <c r="B69" s="348"/>
      <c r="C69" s="348"/>
      <c r="D69" s="151" t="s">
        <v>142</v>
      </c>
      <c r="E69" s="95">
        <f>'22'!F69</f>
        <v>10095</v>
      </c>
      <c r="F69" s="122">
        <v>10106</v>
      </c>
      <c r="G69" s="112">
        <f t="shared" si="6"/>
        <v>11</v>
      </c>
      <c r="H69" s="99">
        <f>G69+'22'!H69</f>
        <v>-108</v>
      </c>
      <c r="I69" s="118"/>
      <c r="J69" s="175">
        <f>H69/DAY(B2)</f>
        <v>-4.6956521739130439</v>
      </c>
      <c r="K69" s="69"/>
      <c r="L69" s="66"/>
      <c r="N69" s="87"/>
      <c r="O69" s="71"/>
    </row>
    <row r="70" spans="1:15" ht="30.75" customHeight="1" x14ac:dyDescent="0.5">
      <c r="A70" s="347" t="s">
        <v>206</v>
      </c>
      <c r="B70" s="348"/>
      <c r="C70" s="348"/>
      <c r="D70" s="151" t="s">
        <v>142</v>
      </c>
      <c r="E70" s="95">
        <f>'22'!F70</f>
        <v>7780</v>
      </c>
      <c r="F70" s="150">
        <v>7791</v>
      </c>
      <c r="G70" s="112">
        <f t="shared" si="6"/>
        <v>11</v>
      </c>
      <c r="H70" s="99">
        <f>G70+'22'!H70</f>
        <v>-71</v>
      </c>
      <c r="I70" s="118"/>
      <c r="J70" s="175">
        <f>H70/DAY(B2)</f>
        <v>-3.0869565217391304</v>
      </c>
      <c r="K70" s="69"/>
      <c r="L70" s="66"/>
      <c r="N70" s="87"/>
      <c r="O70" s="71"/>
    </row>
    <row r="71" spans="1:15" ht="30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203</v>
      </c>
      <c r="H71" s="99">
        <f>G71+'22'!H71</f>
        <v>-1693</v>
      </c>
      <c r="I71" s="154"/>
      <c r="J71" s="175">
        <f>H71/DAY(B2)</f>
        <v>-73.608695652173907</v>
      </c>
      <c r="K71" s="69"/>
      <c r="L71" s="66"/>
      <c r="N71" s="87"/>
      <c r="O71" s="71"/>
    </row>
    <row r="72" spans="1:15" s="88" customFormat="1" ht="30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0.75" customHeight="1" x14ac:dyDescent="0.5">
      <c r="A74" s="856" t="s">
        <v>220</v>
      </c>
      <c r="B74" s="857"/>
      <c r="C74" s="858"/>
      <c r="D74" s="151" t="s">
        <v>139</v>
      </c>
      <c r="E74" s="95">
        <f>'22'!F74</f>
        <v>889227.52</v>
      </c>
      <c r="F74" s="117">
        <v>889529</v>
      </c>
      <c r="G74" s="112">
        <f t="shared" ref="G74:G78" si="7">F74-E74</f>
        <v>301.47999999998137</v>
      </c>
      <c r="H74" s="99">
        <f>G74+'22'!H74</f>
        <v>-2503</v>
      </c>
      <c r="I74" s="154"/>
      <c r="J74" s="175">
        <f>H74/DAY(B2)</f>
        <v>-108.82608695652173</v>
      </c>
      <c r="K74" s="69"/>
      <c r="L74" s="66"/>
      <c r="N74" s="87"/>
      <c r="O74" s="71"/>
    </row>
    <row r="75" spans="1:15" ht="30.75" customHeight="1" x14ac:dyDescent="0.5">
      <c r="A75" s="856" t="s">
        <v>221</v>
      </c>
      <c r="B75" s="857"/>
      <c r="C75" s="858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243.88999999999942</v>
      </c>
      <c r="I75" s="154"/>
      <c r="J75" s="175">
        <f>H75/DAY(B2)</f>
        <v>10.603913043478235</v>
      </c>
      <c r="K75" s="69"/>
      <c r="L75" s="66"/>
      <c r="N75" s="87"/>
      <c r="O75" s="71"/>
    </row>
    <row r="76" spans="1:15" ht="30.75" customHeight="1" x14ac:dyDescent="0.5">
      <c r="A76" s="853" t="s">
        <v>222</v>
      </c>
      <c r="B76" s="854"/>
      <c r="C76" s="855"/>
      <c r="D76" s="151" t="s">
        <v>139</v>
      </c>
      <c r="E76" s="95">
        <f>'22'!F76</f>
        <v>166217.79999999999</v>
      </c>
      <c r="F76" s="123">
        <v>166338</v>
      </c>
      <c r="G76" s="112">
        <f t="shared" si="7"/>
        <v>120.20000000001164</v>
      </c>
      <c r="H76" s="99">
        <f>G76+'22'!H76</f>
        <v>-869</v>
      </c>
      <c r="I76" s="154"/>
      <c r="J76" s="175">
        <f>H76/DAY(B2)</f>
        <v>-37.782608695652172</v>
      </c>
      <c r="K76" s="69"/>
      <c r="L76" s="66"/>
      <c r="N76" s="87"/>
      <c r="O76" s="71"/>
    </row>
    <row r="77" spans="1:15" ht="30.75" customHeight="1" x14ac:dyDescent="0.5">
      <c r="A77" s="853" t="s">
        <v>223</v>
      </c>
      <c r="B77" s="854"/>
      <c r="C77" s="855"/>
      <c r="D77" s="151" t="s">
        <v>139</v>
      </c>
      <c r="E77" s="95">
        <f>'22'!F77</f>
        <v>39898.9</v>
      </c>
      <c r="F77" s="123">
        <v>39940</v>
      </c>
      <c r="G77" s="112">
        <f t="shared" si="7"/>
        <v>41.099999999998545</v>
      </c>
      <c r="H77" s="99">
        <f>G77+'22'!H77</f>
        <v>-376</v>
      </c>
      <c r="I77" s="154"/>
      <c r="J77" s="175">
        <f>H77/DAY(B2)</f>
        <v>-16.347826086956523</v>
      </c>
      <c r="K77" s="69"/>
      <c r="L77" s="66"/>
      <c r="N77" s="87"/>
      <c r="O77" s="71"/>
    </row>
    <row r="78" spans="1:15" ht="30.75" customHeight="1" x14ac:dyDescent="0.5">
      <c r="A78" s="853" t="s">
        <v>224</v>
      </c>
      <c r="B78" s="854"/>
      <c r="C78" s="855"/>
      <c r="D78" s="151" t="s">
        <v>139</v>
      </c>
      <c r="E78" s="95">
        <f>'22'!F78</f>
        <v>9468.7000000000007</v>
      </c>
      <c r="F78" s="123">
        <v>9470</v>
      </c>
      <c r="G78" s="112">
        <f t="shared" si="7"/>
        <v>1.2999999999992724</v>
      </c>
      <c r="H78" s="99">
        <f>G78+'22'!H78</f>
        <v>-16</v>
      </c>
      <c r="I78" s="118"/>
      <c r="J78" s="175">
        <f>H78/DAY(B2)</f>
        <v>-0.69565217391304346</v>
      </c>
      <c r="K78" s="69"/>
      <c r="L78" s="66"/>
      <c r="N78" s="87"/>
      <c r="O78" s="71"/>
    </row>
    <row r="79" spans="1:15" s="57" customFormat="1" ht="30.75" customHeight="1" x14ac:dyDescent="0.5">
      <c r="A79" s="853" t="s">
        <v>225</v>
      </c>
      <c r="B79" s="854"/>
      <c r="C79" s="855"/>
      <c r="D79" s="151"/>
      <c r="E79" s="95">
        <f>'22'!F79</f>
        <v>0</v>
      </c>
      <c r="F79" s="123"/>
      <c r="G79" s="112">
        <f>G15-SUM(G74:G78)</f>
        <v>635.92000000000917</v>
      </c>
      <c r="H79" s="99">
        <f>G79+'22'!H79</f>
        <v>27089.109999999997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7" t="s">
        <v>227</v>
      </c>
      <c r="B82" s="348"/>
      <c r="C82" s="348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7" t="s">
        <v>229</v>
      </c>
      <c r="B83" s="348"/>
      <c r="C83" s="348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7" t="s">
        <v>230</v>
      </c>
      <c r="B84" s="348"/>
      <c r="C84" s="348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7" t="s">
        <v>231</v>
      </c>
      <c r="B85" s="348"/>
      <c r="C85" s="348"/>
      <c r="D85" s="151" t="s">
        <v>228</v>
      </c>
      <c r="E85" s="95">
        <f>'22'!F85</f>
        <v>1916.37</v>
      </c>
      <c r="F85" s="164">
        <v>1940</v>
      </c>
      <c r="G85" s="112">
        <f t="shared" si="8"/>
        <v>23.630000000000109</v>
      </c>
      <c r="H85" s="99">
        <f>G85+'22'!H85</f>
        <v>-156.55999999999995</v>
      </c>
      <c r="I85" s="118">
        <f>G82+G83+G84+G85</f>
        <v>23.630000000000109</v>
      </c>
      <c r="J85" s="175">
        <f>H85/DAY(B2)</f>
        <v>-6.8069565217391279</v>
      </c>
      <c r="O85" s="71"/>
    </row>
    <row r="86" spans="1:15" ht="30.75" customHeight="1" x14ac:dyDescent="0.5">
      <c r="A86" s="347" t="s">
        <v>232</v>
      </c>
      <c r="B86" s="348"/>
      <c r="C86" s="348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-36.529999999998836</v>
      </c>
      <c r="I86" s="118"/>
      <c r="J86" s="175">
        <f>H86/DAY(B2)</f>
        <v>-1.5882608695651668</v>
      </c>
      <c r="O86" s="71"/>
    </row>
    <row r="87" spans="1:15" ht="30.75" customHeight="1" x14ac:dyDescent="0.5">
      <c r="A87" s="347" t="s">
        <v>233</v>
      </c>
      <c r="B87" s="348"/>
      <c r="C87" s="348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7" t="s">
        <v>234</v>
      </c>
      <c r="B88" s="348"/>
      <c r="C88" s="348"/>
      <c r="D88" s="151" t="s">
        <v>228</v>
      </c>
      <c r="E88" s="95">
        <f>'22'!F88</f>
        <v>24005.53</v>
      </c>
      <c r="F88" s="164">
        <v>24005.53</v>
      </c>
      <c r="G88" s="112">
        <f t="shared" si="8"/>
        <v>0</v>
      </c>
      <c r="H88" s="99">
        <f>G88+'22'!H88</f>
        <v>-41.470000000001164</v>
      </c>
      <c r="I88" s="118">
        <f>G86+G87+G88</f>
        <v>0</v>
      </c>
      <c r="J88" s="175">
        <f>H88/DAY(B2)</f>
        <v>-1.8030434782609202</v>
      </c>
      <c r="O88" s="71"/>
    </row>
    <row r="89" spans="1:15" ht="30.75" customHeight="1" x14ac:dyDescent="0.5">
      <c r="A89" s="347" t="s">
        <v>235</v>
      </c>
      <c r="B89" s="348"/>
      <c r="C89" s="348"/>
      <c r="D89" s="151" t="s">
        <v>228</v>
      </c>
      <c r="E89" s="95">
        <f>'22'!F89</f>
        <v>25616.27</v>
      </c>
      <c r="F89" s="164">
        <v>25626.69</v>
      </c>
      <c r="G89" s="112">
        <f t="shared" si="8"/>
        <v>10.419999999998254</v>
      </c>
      <c r="H89" s="99">
        <f>G89+'22'!H89</f>
        <v>-36.31000000000131</v>
      </c>
      <c r="I89" s="118"/>
      <c r="J89" s="175">
        <f>H89/DAY(B2)</f>
        <v>-1.5786956521739699</v>
      </c>
      <c r="O89" s="71"/>
    </row>
    <row r="90" spans="1:15" ht="30.75" customHeight="1" x14ac:dyDescent="0.5">
      <c r="A90" s="347" t="s">
        <v>236</v>
      </c>
      <c r="B90" s="348"/>
      <c r="C90" s="348"/>
      <c r="D90" s="151" t="s">
        <v>228</v>
      </c>
      <c r="E90" s="95">
        <f>'22'!F90</f>
        <v>70981.08</v>
      </c>
      <c r="F90" s="164">
        <v>70986.62</v>
      </c>
      <c r="G90" s="112">
        <f t="shared" si="8"/>
        <v>5.5399999999935972</v>
      </c>
      <c r="H90" s="99">
        <f>G90+'22'!H90</f>
        <v>-47.380000000004657</v>
      </c>
      <c r="I90" s="118">
        <f>G89+G90</f>
        <v>15.959999999991851</v>
      </c>
      <c r="J90" s="175">
        <f>H90/DAY(B2)</f>
        <v>-2.0600000000002026</v>
      </c>
      <c r="O90" s="71"/>
    </row>
    <row r="91" spans="1:15" ht="30.75" customHeight="1" x14ac:dyDescent="0.5">
      <c r="A91" s="347" t="s">
        <v>237</v>
      </c>
      <c r="B91" s="348"/>
      <c r="C91" s="348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7" t="s">
        <v>238</v>
      </c>
      <c r="B92" s="348"/>
      <c r="C92" s="348"/>
      <c r="D92" s="151" t="s">
        <v>228</v>
      </c>
      <c r="E92" s="95">
        <f>'22'!F92</f>
        <v>5340.01</v>
      </c>
      <c r="F92" s="122">
        <v>5350.74</v>
      </c>
      <c r="G92" s="112">
        <f t="shared" si="8"/>
        <v>10.729999999999563</v>
      </c>
      <c r="H92" s="99">
        <f>G92+'22'!H92</f>
        <v>-87.260000000000218</v>
      </c>
      <c r="I92" s="165"/>
      <c r="J92" s="175">
        <f>H92/DAY(B2)</f>
        <v>-3.7939130434782702</v>
      </c>
      <c r="O92" s="71"/>
    </row>
    <row r="93" spans="1:15" ht="30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5703.7200000000012</v>
      </c>
      <c r="H94" s="99">
        <f>G94+'22'!H94</f>
        <v>1970623</v>
      </c>
      <c r="I94" s="118"/>
      <c r="J94" s="175">
        <f>H94/DAY(B2)</f>
        <v>85679.260869565216</v>
      </c>
      <c r="K94" s="69"/>
      <c r="L94" s="66"/>
      <c r="O94" s="71"/>
    </row>
    <row r="95" spans="1:15" ht="30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0.24271148936170217</v>
      </c>
      <c r="H95" s="99">
        <f>G95+'22'!H95</f>
        <v>84.317657113450196</v>
      </c>
      <c r="I95" s="167"/>
      <c r="J95" s="175">
        <f>H95/DAY(B2)</f>
        <v>3.665985091889139</v>
      </c>
      <c r="K95" s="69"/>
      <c r="L95" s="66"/>
      <c r="O95" s="71"/>
    </row>
    <row r="96" spans="1:15" ht="30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4454.0999999999985</v>
      </c>
      <c r="H96" s="99">
        <f>G96+'22'!H96</f>
        <v>1135747.0000000002</v>
      </c>
      <c r="I96" s="118"/>
      <c r="J96" s="175">
        <f>H96/DAY(B2)</f>
        <v>49380.304347826095</v>
      </c>
      <c r="K96" s="69"/>
      <c r="L96" s="66"/>
      <c r="O96" s="71"/>
    </row>
    <row r="97" spans="1:15" ht="30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0.18953617021276589</v>
      </c>
      <c r="H97" s="99">
        <f>G97+'22'!H97</f>
        <v>48.572614019833544</v>
      </c>
      <c r="I97" s="167"/>
      <c r="J97" s="175">
        <f>H97/DAY(B2)</f>
        <v>2.1118527834710235</v>
      </c>
      <c r="K97" s="69"/>
      <c r="L97" s="66"/>
      <c r="O97" s="71"/>
    </row>
    <row r="98" spans="1:15" ht="30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2743.8499999999767</v>
      </c>
      <c r="H98" s="99">
        <f>G98+'22'!H98</f>
        <v>410638</v>
      </c>
      <c r="I98" s="168"/>
      <c r="J98" s="175">
        <f>H98/DAY(B2)</f>
        <v>17853.82608695652</v>
      </c>
      <c r="K98" s="69"/>
      <c r="L98" s="66"/>
      <c r="O98" s="71"/>
    </row>
    <row r="99" spans="1:15" ht="30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0.11675957446808412</v>
      </c>
      <c r="H99" s="99">
        <f>G99+'22'!H99</f>
        <v>17.687907351672759</v>
      </c>
      <c r="I99" s="168"/>
      <c r="J99" s="175">
        <f>H99/DAY(B2)</f>
        <v>0.76903945007272867</v>
      </c>
      <c r="O99" s="71"/>
    </row>
    <row r="100" spans="1:15" ht="30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1933.5499999999884</v>
      </c>
      <c r="H100" s="99">
        <f>G100+'22'!H100</f>
        <v>230270</v>
      </c>
      <c r="I100" s="118"/>
      <c r="J100" s="175">
        <f>H100/DAY(B2)</f>
        <v>10011.739130434782</v>
      </c>
      <c r="K100" s="70"/>
      <c r="O100" s="71"/>
    </row>
    <row r="101" spans="1:15" ht="30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8.2278723404254822E-2</v>
      </c>
      <c r="H101" s="99">
        <f>G101+'22'!H101</f>
        <v>9.9295951255577304</v>
      </c>
      <c r="I101" s="168"/>
      <c r="J101" s="175">
        <f>H101/DAY(B2)</f>
        <v>0.4317215271981622</v>
      </c>
      <c r="O101" s="71"/>
    </row>
    <row r="102" spans="1:15" ht="30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1898.75</v>
      </c>
      <c r="H102" s="99">
        <f>G102+'22'!H102</f>
        <v>811869.99999999988</v>
      </c>
      <c r="I102" s="168"/>
      <c r="J102" s="175">
        <f>H102/DAY(B2)</f>
        <v>35298.695652173905</v>
      </c>
      <c r="O102" s="71"/>
    </row>
    <row r="103" spans="1:15" ht="30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8.0797872340425528E-2</v>
      </c>
      <c r="H103" s="99">
        <f>G103+'22'!H103</f>
        <v>34.691998197397382</v>
      </c>
      <c r="I103" s="118"/>
      <c r="J103" s="175">
        <f>H103/DAY(B2)</f>
        <v>1.5083477477129297</v>
      </c>
      <c r="O103" s="71"/>
    </row>
    <row r="104" spans="1:15" ht="30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1586.7099999999919</v>
      </c>
      <c r="H104" s="99">
        <f>G104+'22'!H104</f>
        <v>194896</v>
      </c>
      <c r="I104" s="118"/>
      <c r="J104" s="175">
        <f>H104/DAY(B2)</f>
        <v>8473.7391304347821</v>
      </c>
      <c r="O104" s="71"/>
    </row>
    <row r="105" spans="1:15" ht="30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6.7519574468084764E-2</v>
      </c>
      <c r="H105" s="99">
        <f>G105+'22'!H105</f>
        <v>8.4139116872423418</v>
      </c>
      <c r="I105" s="187"/>
      <c r="J105" s="188">
        <f>H105/DAY(B2)</f>
        <v>0.36582224727140616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30.75" customHeight="1" x14ac:dyDescent="0.5">
      <c r="A109" s="873"/>
      <c r="B109" s="873"/>
    </row>
    <row r="110" spans="1:15" ht="30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30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30.75" customHeight="1" x14ac:dyDescent="0.5">
      <c r="A112" s="835" t="s">
        <v>252</v>
      </c>
      <c r="B112" s="836"/>
      <c r="C112" s="837"/>
      <c r="D112" s="146" t="s">
        <v>183</v>
      </c>
      <c r="E112" s="95">
        <f>'22'!F112</f>
        <v>55052.68</v>
      </c>
      <c r="F112" s="237">
        <v>55121</v>
      </c>
      <c r="G112" s="112">
        <f t="shared" ref="G112:G123" si="9">F112-E112</f>
        <v>68.319999999999709</v>
      </c>
      <c r="H112" s="99">
        <f>G112+'22'!H112</f>
        <v>-560</v>
      </c>
      <c r="I112" s="165"/>
      <c r="J112" s="330">
        <f>H112/DAY(B2)</f>
        <v>-24.347826086956523</v>
      </c>
    </row>
    <row r="113" spans="1:18" ht="30.75" customHeight="1" x14ac:dyDescent="0.5">
      <c r="A113" s="835" t="s">
        <v>253</v>
      </c>
      <c r="B113" s="836"/>
      <c r="C113" s="837"/>
      <c r="D113" s="146" t="s">
        <v>183</v>
      </c>
      <c r="E113" s="95">
        <f>'22'!F113</f>
        <v>28103.25</v>
      </c>
      <c r="F113" s="237">
        <v>28553</v>
      </c>
      <c r="G113" s="112">
        <f t="shared" si="9"/>
        <v>449.75</v>
      </c>
      <c r="H113" s="99">
        <f>G113+'22'!H113</f>
        <v>-3642</v>
      </c>
      <c r="I113" s="165"/>
      <c r="J113" s="330">
        <f>H113/DAY(B2)</f>
        <v>-158.34782608695653</v>
      </c>
    </row>
    <row r="114" spans="1:18" ht="30.75" customHeight="1" x14ac:dyDescent="0.5">
      <c r="A114" s="835" t="s">
        <v>254</v>
      </c>
      <c r="B114" s="836"/>
      <c r="C114" s="837"/>
      <c r="D114" s="146" t="s">
        <v>183</v>
      </c>
      <c r="E114" s="95">
        <f>'22'!F114</f>
        <v>22093.16</v>
      </c>
      <c r="F114" s="237">
        <v>22386</v>
      </c>
      <c r="G114" s="112">
        <f t="shared" si="9"/>
        <v>292.84000000000015</v>
      </c>
      <c r="H114" s="99">
        <f>G114+'22'!H114</f>
        <v>-2642.1800000000021</v>
      </c>
      <c r="I114" s="165"/>
      <c r="J114" s="330">
        <f>H114/DAY(B2)</f>
        <v>-114.87739130434792</v>
      </c>
    </row>
    <row r="115" spans="1:18" ht="30.75" customHeight="1" x14ac:dyDescent="0.5">
      <c r="A115" s="835" t="s">
        <v>255</v>
      </c>
      <c r="B115" s="836"/>
      <c r="C115" s="837"/>
      <c r="D115" s="146" t="s">
        <v>183</v>
      </c>
      <c r="E115" s="95">
        <f>'22'!F115</f>
        <v>8676.44</v>
      </c>
      <c r="F115" s="237">
        <v>8687</v>
      </c>
      <c r="G115" s="112">
        <f t="shared" si="9"/>
        <v>10.559999999999491</v>
      </c>
      <c r="H115" s="99">
        <f>G115+'22'!H115</f>
        <v>-98</v>
      </c>
      <c r="I115" s="165"/>
      <c r="J115" s="330">
        <f>H115/DAY(B2)</f>
        <v>-4.2608695652173916</v>
      </c>
    </row>
    <row r="116" spans="1:18" ht="30.75" customHeight="1" x14ac:dyDescent="0.5">
      <c r="A116" s="842" t="s">
        <v>96</v>
      </c>
      <c r="B116" s="843"/>
      <c r="C116" s="844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30.75" customHeight="1" x14ac:dyDescent="0.5">
      <c r="A117" s="842" t="s">
        <v>184</v>
      </c>
      <c r="B117" s="843"/>
      <c r="C117" s="844"/>
      <c r="D117" s="146" t="s">
        <v>183</v>
      </c>
      <c r="E117" s="95">
        <f>'22'!F117</f>
        <v>2381.9299999999998</v>
      </c>
      <c r="F117" s="237">
        <v>2397</v>
      </c>
      <c r="G117" s="112">
        <f t="shared" si="9"/>
        <v>15.070000000000164</v>
      </c>
      <c r="H117" s="99">
        <f>G117+'22'!H117</f>
        <v>-193</v>
      </c>
      <c r="I117" s="165"/>
      <c r="J117" s="330">
        <f>H117/DAY(B2)</f>
        <v>-8.3913043478260878</v>
      </c>
      <c r="Q117" s="835" t="s">
        <v>312</v>
      </c>
      <c r="R117" s="837"/>
    </row>
    <row r="118" spans="1:18" ht="30.75" customHeight="1" x14ac:dyDescent="0.5">
      <c r="A118" s="834" t="s">
        <v>97</v>
      </c>
      <c r="B118" s="834"/>
      <c r="C118" s="834"/>
      <c r="D118" s="151" t="s">
        <v>183</v>
      </c>
      <c r="E118" s="95">
        <f>'22'!F118</f>
        <v>238200.89</v>
      </c>
      <c r="F118" s="237">
        <v>238577</v>
      </c>
      <c r="G118" s="112">
        <f t="shared" si="9"/>
        <v>376.10999999998603</v>
      </c>
      <c r="H118" s="99">
        <f>G118+'22'!H118</f>
        <v>-3070</v>
      </c>
      <c r="I118" s="165"/>
      <c r="J118" s="330">
        <f>H118/DAY(B2)</f>
        <v>-133.47826086956522</v>
      </c>
      <c r="Q118" s="835" t="s">
        <v>311</v>
      </c>
      <c r="R118" s="837"/>
    </row>
    <row r="119" spans="1:18" ht="30.75" customHeight="1" x14ac:dyDescent="0.5">
      <c r="A119" s="834" t="s">
        <v>98</v>
      </c>
      <c r="B119" s="834"/>
      <c r="C119" s="834"/>
      <c r="D119" s="151" t="s">
        <v>183</v>
      </c>
      <c r="E119" s="95">
        <f>'22'!F119</f>
        <v>241342.97</v>
      </c>
      <c r="F119" s="237">
        <v>241781</v>
      </c>
      <c r="G119" s="112">
        <f t="shared" si="9"/>
        <v>438.02999999999884</v>
      </c>
      <c r="H119" s="99">
        <f>G119+'22'!H119</f>
        <v>-3345</v>
      </c>
      <c r="I119" s="165"/>
      <c r="J119" s="330">
        <f>H119/DAY(B2)</f>
        <v>-145.43478260869566</v>
      </c>
    </row>
    <row r="120" spans="1:18" ht="30.75" customHeight="1" x14ac:dyDescent="0.5">
      <c r="A120" s="834" t="s">
        <v>99</v>
      </c>
      <c r="B120" s="834"/>
      <c r="C120" s="834"/>
      <c r="D120" s="151" t="s">
        <v>183</v>
      </c>
      <c r="E120" s="95">
        <f>'22'!F120</f>
        <v>26322.51</v>
      </c>
      <c r="F120" s="237">
        <v>26758</v>
      </c>
      <c r="G120" s="112">
        <f t="shared" si="9"/>
        <v>435.4900000000016</v>
      </c>
      <c r="H120" s="99">
        <f>G120+'22'!H120</f>
        <v>-3320</v>
      </c>
      <c r="I120" s="165"/>
      <c r="J120" s="330">
        <f>H120/DAY(B2)</f>
        <v>-144.34782608695653</v>
      </c>
    </row>
    <row r="121" spans="1:18" ht="30.75" customHeight="1" x14ac:dyDescent="0.5">
      <c r="A121" s="834" t="s">
        <v>100</v>
      </c>
      <c r="B121" s="834"/>
      <c r="C121" s="834"/>
      <c r="D121" s="151" t="s">
        <v>183</v>
      </c>
      <c r="E121" s="95">
        <f>'22'!F121</f>
        <v>369474.35</v>
      </c>
      <c r="F121" s="237">
        <v>370233</v>
      </c>
      <c r="G121" s="112">
        <f t="shared" si="9"/>
        <v>758.65000000002328</v>
      </c>
      <c r="H121" s="99">
        <f>G121+'22'!H121</f>
        <v>-6296</v>
      </c>
      <c r="I121" s="165"/>
      <c r="J121" s="330">
        <f>H121/DAY(B2)</f>
        <v>-273.73913043478262</v>
      </c>
    </row>
    <row r="122" spans="1:18" ht="30.75" customHeight="1" x14ac:dyDescent="0.5">
      <c r="A122" s="834" t="s">
        <v>101</v>
      </c>
      <c r="B122" s="834"/>
      <c r="C122" s="834"/>
      <c r="D122" s="151" t="s">
        <v>183</v>
      </c>
      <c r="E122" s="95">
        <f>'22'!F122</f>
        <v>118105.71</v>
      </c>
      <c r="F122" s="237">
        <v>118297</v>
      </c>
      <c r="G122" s="112">
        <f t="shared" si="9"/>
        <v>191.2899999999936</v>
      </c>
      <c r="H122" s="99">
        <f>G122+'22'!H122</f>
        <v>-1753</v>
      </c>
      <c r="I122" s="165"/>
      <c r="J122" s="330">
        <f>H122/DAY(B2)</f>
        <v>-76.217391304347828</v>
      </c>
    </row>
    <row r="123" spans="1:18" ht="30.75" customHeight="1" x14ac:dyDescent="0.5">
      <c r="A123" s="834" t="s">
        <v>102</v>
      </c>
      <c r="B123" s="834"/>
      <c r="C123" s="834"/>
      <c r="D123" s="151" t="s">
        <v>183</v>
      </c>
      <c r="E123" s="95">
        <f>'22'!F123</f>
        <v>142003.64000000001</v>
      </c>
      <c r="F123" s="237">
        <v>142355</v>
      </c>
      <c r="G123" s="112">
        <f t="shared" si="9"/>
        <v>351.35999999998603</v>
      </c>
      <c r="H123" s="99">
        <f>G123+'22'!H123</f>
        <v>-2770</v>
      </c>
      <c r="I123" s="165"/>
      <c r="J123" s="330">
        <f>H123/DAY(B2)</f>
        <v>-120.43478260869566</v>
      </c>
    </row>
    <row r="124" spans="1:18" ht="30.75" customHeight="1" x14ac:dyDescent="0.5">
      <c r="A124" s="839"/>
      <c r="B124" s="840"/>
      <c r="C124" s="841"/>
      <c r="D124" s="165"/>
      <c r="E124" s="95">
        <f>'22'!F124</f>
        <v>0</v>
      </c>
      <c r="F124" s="165"/>
      <c r="G124" s="329"/>
      <c r="H124" s="99">
        <f>G124+'22'!H124</f>
        <v>0</v>
      </c>
      <c r="I124" s="165"/>
      <c r="J124" s="329"/>
    </row>
    <row r="125" spans="1:18" ht="30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3387.4699999999889</v>
      </c>
      <c r="H125" s="156"/>
      <c r="I125" s="329">
        <f>G125-(G39+G53)</f>
        <v>643.62000000001217</v>
      </c>
      <c r="J125" s="329"/>
    </row>
    <row r="126" spans="1:18" ht="30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30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G127+'22'!H127</f>
        <v>0</v>
      </c>
      <c r="I127" s="165"/>
      <c r="J127" s="330">
        <f>H127/DAY(B2)</f>
        <v>0</v>
      </c>
    </row>
    <row r="128" spans="1:18" ht="30.75" customHeight="1" x14ac:dyDescent="0.5">
      <c r="A128" s="835" t="s">
        <v>318</v>
      </c>
      <c r="B128" s="836"/>
      <c r="C128" s="837"/>
      <c r="D128" s="151" t="s">
        <v>183</v>
      </c>
      <c r="E128" s="95">
        <f>'22'!F128</f>
        <v>34988.19</v>
      </c>
      <c r="F128" s="155">
        <v>35320</v>
      </c>
      <c r="G128" s="112">
        <f t="shared" ref="G128:G134" si="10">F128-E128</f>
        <v>331.80999999999767</v>
      </c>
      <c r="H128" s="99">
        <f>G128+'22'!H128</f>
        <v>-2684</v>
      </c>
      <c r="I128" s="165"/>
      <c r="J128" s="330">
        <f>H128/DAY(B2)</f>
        <v>-116.69565217391305</v>
      </c>
    </row>
    <row r="129" spans="1:15" ht="30.75" customHeight="1" x14ac:dyDescent="0.5">
      <c r="A129" s="331" t="s">
        <v>319</v>
      </c>
      <c r="B129" s="332"/>
      <c r="C129" s="333"/>
      <c r="D129" s="151" t="s">
        <v>183</v>
      </c>
      <c r="E129" s="95">
        <f>'22'!F129</f>
        <v>18368.71</v>
      </c>
      <c r="F129" s="155">
        <v>18568</v>
      </c>
      <c r="G129" s="112">
        <f t="shared" si="10"/>
        <v>199.29000000000087</v>
      </c>
      <c r="H129" s="99">
        <f>G129+'22'!H129</f>
        <v>-1753</v>
      </c>
      <c r="I129" s="165"/>
      <c r="J129" s="330">
        <f>H129/DAY(B2)</f>
        <v>-76.217391304347828</v>
      </c>
      <c r="N129" s="240"/>
      <c r="O129" s="241"/>
    </row>
    <row r="130" spans="1:15" ht="30.75" customHeight="1" x14ac:dyDescent="0.5">
      <c r="A130" s="331" t="s">
        <v>320</v>
      </c>
      <c r="B130" s="332"/>
      <c r="C130" s="333"/>
      <c r="D130" s="151" t="s">
        <v>183</v>
      </c>
      <c r="E130" s="95">
        <f>'22'!F130</f>
        <v>11513.11</v>
      </c>
      <c r="F130" s="155">
        <v>12146</v>
      </c>
      <c r="G130" s="112">
        <f t="shared" si="10"/>
        <v>632.88999999999942</v>
      </c>
      <c r="H130" s="99">
        <f>G130+'22'!H130</f>
        <v>-6236.0000000000018</v>
      </c>
      <c r="I130" s="165"/>
      <c r="J130" s="330">
        <f>H130/DAY(B2)</f>
        <v>-271.1304347826088</v>
      </c>
      <c r="N130" s="240"/>
      <c r="O130" s="241"/>
    </row>
    <row r="131" spans="1:15" ht="30.75" customHeight="1" x14ac:dyDescent="0.5">
      <c r="A131" s="835" t="s">
        <v>321</v>
      </c>
      <c r="B131" s="836"/>
      <c r="C131" s="837"/>
      <c r="D131" s="151" t="s">
        <v>183</v>
      </c>
      <c r="E131" s="95">
        <f>'22'!F131</f>
        <v>12305.57</v>
      </c>
      <c r="F131" s="155">
        <v>12405</v>
      </c>
      <c r="G131" s="112">
        <f t="shared" si="10"/>
        <v>99.430000000000291</v>
      </c>
      <c r="H131" s="99">
        <f>G131+'22'!H131</f>
        <v>-748</v>
      </c>
      <c r="I131" s="165"/>
      <c r="J131" s="330">
        <f>H131/DAY(B2)</f>
        <v>-32.521739130434781</v>
      </c>
      <c r="N131" s="240"/>
      <c r="O131" s="241"/>
    </row>
    <row r="132" spans="1:15" ht="30.75" customHeight="1" x14ac:dyDescent="0.5">
      <c r="A132" s="835" t="s">
        <v>322</v>
      </c>
      <c r="B132" s="836"/>
      <c r="C132" s="837"/>
      <c r="D132" s="151" t="s">
        <v>183</v>
      </c>
      <c r="E132" s="95">
        <f>'22'!F132</f>
        <v>36673.07</v>
      </c>
      <c r="F132" s="155">
        <v>37178</v>
      </c>
      <c r="G132" s="112">
        <f t="shared" si="10"/>
        <v>504.93000000000029</v>
      </c>
      <c r="H132" s="99">
        <f>G132+'22'!H132</f>
        <v>-5458.1200000000026</v>
      </c>
      <c r="I132" s="165"/>
      <c r="J132" s="330">
        <f>H132/DAY(B2)</f>
        <v>-237.30956521739142</v>
      </c>
    </row>
    <row r="133" spans="1:15" ht="30.75" customHeight="1" x14ac:dyDescent="0.5">
      <c r="A133" s="835" t="s">
        <v>362</v>
      </c>
      <c r="B133" s="836"/>
      <c r="C133" s="837"/>
      <c r="D133" s="151" t="s">
        <v>183</v>
      </c>
      <c r="E133" s="95">
        <f>'22'!F133</f>
        <v>81727.06</v>
      </c>
      <c r="F133" s="155">
        <v>82391</v>
      </c>
      <c r="G133" s="112">
        <f t="shared" si="10"/>
        <v>663.94000000000233</v>
      </c>
      <c r="H133" s="99">
        <f>G133+'22'!H133</f>
        <v>-5312</v>
      </c>
      <c r="I133" s="165"/>
      <c r="J133" s="330">
        <f>H133/DAY(B2)</f>
        <v>-230.95652173913044</v>
      </c>
    </row>
    <row r="134" spans="1:15" ht="30.75" customHeight="1" x14ac:dyDescent="0.5">
      <c r="A134" s="835" t="s">
        <v>340</v>
      </c>
      <c r="B134" s="836"/>
      <c r="C134" s="837"/>
      <c r="D134" s="151" t="s">
        <v>183</v>
      </c>
      <c r="E134" s="95">
        <f>'22'!F134</f>
        <v>663872</v>
      </c>
      <c r="F134" s="376">
        <v>664239</v>
      </c>
      <c r="G134" s="112">
        <f t="shared" si="10"/>
        <v>367</v>
      </c>
      <c r="H134" s="99">
        <f>G134+'22'!H134</f>
        <v>13105</v>
      </c>
      <c r="I134" s="165"/>
      <c r="J134" s="330">
        <f>H134/DAY(B2)</f>
        <v>569.78260869565213</v>
      </c>
    </row>
    <row r="135" spans="1:15" ht="30.75" customHeight="1" x14ac:dyDescent="0.5">
      <c r="A135" s="819" t="s">
        <v>196</v>
      </c>
      <c r="B135" s="820"/>
      <c r="C135" s="333"/>
      <c r="D135" s="151"/>
      <c r="E135" s="95"/>
      <c r="F135" s="598"/>
      <c r="G135" s="112">
        <f>SUM(G128:G134)</f>
        <v>2799.2900000000009</v>
      </c>
      <c r="H135" s="99">
        <f>G135+'10'!H135</f>
        <v>-44948.71</v>
      </c>
      <c r="I135" s="329">
        <f>G135-(G35+G49)</f>
        <v>-226.93000000000029</v>
      </c>
      <c r="J135" s="330"/>
    </row>
    <row r="136" spans="1:15" ht="30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30.75" customHeight="1" x14ac:dyDescent="0.5">
      <c r="A138" s="834" t="s">
        <v>185</v>
      </c>
      <c r="B138" s="834"/>
      <c r="C138" s="834"/>
      <c r="D138" s="151" t="s">
        <v>183</v>
      </c>
      <c r="E138" s="95">
        <f>'22'!F138</f>
        <v>863144</v>
      </c>
      <c r="F138" s="147">
        <v>863269</v>
      </c>
      <c r="G138" s="112">
        <f t="shared" ref="G138:G152" si="11">F138-E138</f>
        <v>125</v>
      </c>
      <c r="H138" s="99">
        <f>G138+'22'!H138</f>
        <v>-902</v>
      </c>
      <c r="I138" s="118"/>
      <c r="J138" s="330">
        <f>H138/DAY(B2)</f>
        <v>-39.217391304347828</v>
      </c>
    </row>
    <row r="139" spans="1:15" ht="30.75" customHeight="1" x14ac:dyDescent="0.5">
      <c r="A139" s="834" t="s">
        <v>186</v>
      </c>
      <c r="B139" s="834"/>
      <c r="C139" s="834"/>
      <c r="D139" s="151" t="s">
        <v>183</v>
      </c>
      <c r="E139" s="95">
        <f>'22'!F139</f>
        <v>886463</v>
      </c>
      <c r="F139" s="148">
        <v>886477</v>
      </c>
      <c r="G139" s="112">
        <f t="shared" si="11"/>
        <v>14</v>
      </c>
      <c r="H139" s="99">
        <f>G139+'22'!H139</f>
        <v>-69</v>
      </c>
      <c r="I139" s="118"/>
      <c r="J139" s="330">
        <f>H139/DAY(B2)</f>
        <v>-3</v>
      </c>
    </row>
    <row r="140" spans="1:15" ht="30.75" customHeight="1" x14ac:dyDescent="0.5">
      <c r="A140" s="834" t="s">
        <v>187</v>
      </c>
      <c r="B140" s="834"/>
      <c r="C140" s="834"/>
      <c r="D140" s="151" t="s">
        <v>183</v>
      </c>
      <c r="E140" s="95">
        <f>'22'!F140</f>
        <v>88882.4</v>
      </c>
      <c r="F140" s="149">
        <v>88882.4</v>
      </c>
      <c r="G140" s="112">
        <f t="shared" si="11"/>
        <v>0</v>
      </c>
      <c r="H140" s="99">
        <f>G140+'22'!H140</f>
        <v>0.39999999999417923</v>
      </c>
      <c r="I140" s="118"/>
      <c r="J140" s="330">
        <f>H140/DAY(B2)</f>
        <v>1.7391304347573012E-2</v>
      </c>
    </row>
    <row r="141" spans="1:15" ht="30.75" customHeight="1" x14ac:dyDescent="0.5">
      <c r="A141" s="815" t="s">
        <v>188</v>
      </c>
      <c r="B141" s="815"/>
      <c r="C141" s="815"/>
      <c r="D141" s="151" t="s">
        <v>183</v>
      </c>
      <c r="E141" s="95">
        <f>'22'!F141</f>
        <v>47522.02</v>
      </c>
      <c r="F141" s="149">
        <v>47721</v>
      </c>
      <c r="G141" s="112">
        <f t="shared" si="11"/>
        <v>198.9800000000032</v>
      </c>
      <c r="H141" s="99">
        <f>G141+'22'!H141</f>
        <v>-1585</v>
      </c>
      <c r="I141" s="118"/>
      <c r="J141" s="330">
        <f>H141/DAY(B2)</f>
        <v>-68.913043478260875</v>
      </c>
    </row>
    <row r="142" spans="1:15" ht="30.75" customHeight="1" x14ac:dyDescent="0.5">
      <c r="A142" s="815" t="s">
        <v>189</v>
      </c>
      <c r="B142" s="815"/>
      <c r="C142" s="815"/>
      <c r="D142" s="151" t="s">
        <v>183</v>
      </c>
      <c r="E142" s="95">
        <f>'22'!F142</f>
        <v>18326.689999999999</v>
      </c>
      <c r="F142" s="148">
        <v>18398</v>
      </c>
      <c r="G142" s="112">
        <f t="shared" si="11"/>
        <v>71.31000000000131</v>
      </c>
      <c r="H142" s="99">
        <f>G142+'22'!H142</f>
        <v>-611</v>
      </c>
      <c r="I142" s="140"/>
      <c r="J142" s="330">
        <f>H142/DAY(B2)</f>
        <v>-26.565217391304348</v>
      </c>
    </row>
    <row r="143" spans="1:15" ht="30.75" customHeight="1" x14ac:dyDescent="0.5">
      <c r="A143" s="834" t="s">
        <v>91</v>
      </c>
      <c r="B143" s="834"/>
      <c r="C143" s="834"/>
      <c r="D143" s="151" t="s">
        <v>183</v>
      </c>
      <c r="E143" s="95">
        <f>'22'!F143</f>
        <v>2855.02</v>
      </c>
      <c r="F143" s="149">
        <v>2877</v>
      </c>
      <c r="G143" s="112">
        <f t="shared" si="11"/>
        <v>21.980000000000018</v>
      </c>
      <c r="H143" s="99">
        <f>G143+'22'!H143</f>
        <v>-184</v>
      </c>
      <c r="I143" s="140"/>
      <c r="J143" s="330">
        <f>H143/DAY(B2)</f>
        <v>-8</v>
      </c>
    </row>
    <row r="144" spans="1:15" ht="30.75" customHeight="1" x14ac:dyDescent="0.5">
      <c r="A144" s="815" t="s">
        <v>90</v>
      </c>
      <c r="B144" s="815"/>
      <c r="C144" s="815"/>
      <c r="D144" s="151" t="s">
        <v>183</v>
      </c>
      <c r="E144" s="95">
        <f>'22'!F144</f>
        <v>867517</v>
      </c>
      <c r="F144" s="149">
        <v>867751</v>
      </c>
      <c r="G144" s="112">
        <f t="shared" si="11"/>
        <v>234</v>
      </c>
      <c r="H144" s="99">
        <f>G144+'22'!H144</f>
        <v>-1919</v>
      </c>
      <c r="I144" s="140"/>
      <c r="J144" s="330">
        <f>H144/DAY(B2)</f>
        <v>-83.434782608695656</v>
      </c>
    </row>
    <row r="145" spans="1:10" ht="30.75" customHeight="1" x14ac:dyDescent="0.5">
      <c r="A145" s="834" t="s">
        <v>190</v>
      </c>
      <c r="B145" s="834"/>
      <c r="C145" s="834"/>
      <c r="D145" s="152" t="s">
        <v>183</v>
      </c>
      <c r="E145" s="95">
        <f>'22'!F145</f>
        <v>4414.07</v>
      </c>
      <c r="F145" s="149">
        <v>4439</v>
      </c>
      <c r="G145" s="112">
        <f t="shared" si="11"/>
        <v>24.930000000000291</v>
      </c>
      <c r="H145" s="99">
        <f>G145+'22'!H145</f>
        <v>-119</v>
      </c>
      <c r="I145" s="140"/>
      <c r="J145" s="330">
        <f>H145/DAY(B2)</f>
        <v>-5.1739130434782608</v>
      </c>
    </row>
    <row r="146" spans="1:10" ht="30.75" customHeight="1" x14ac:dyDescent="0.5">
      <c r="A146" s="869" t="s">
        <v>191</v>
      </c>
      <c r="B146" s="854"/>
      <c r="C146" s="855"/>
      <c r="D146" s="152" t="s">
        <v>183</v>
      </c>
      <c r="E146" s="95">
        <f>'22'!F146</f>
        <v>720480</v>
      </c>
      <c r="F146" s="148">
        <v>720962</v>
      </c>
      <c r="G146" s="112">
        <f t="shared" si="11"/>
        <v>482</v>
      </c>
      <c r="H146" s="99">
        <f>G146+'22'!H146</f>
        <v>-3896</v>
      </c>
      <c r="I146" s="140"/>
      <c r="J146" s="330">
        <f>H146/DAY(B2)</f>
        <v>-169.39130434782609</v>
      </c>
    </row>
    <row r="147" spans="1:10" ht="30.75" customHeight="1" x14ac:dyDescent="0.5">
      <c r="A147" s="815" t="s">
        <v>192</v>
      </c>
      <c r="B147" s="815"/>
      <c r="C147" s="815"/>
      <c r="D147" s="152" t="s">
        <v>183</v>
      </c>
      <c r="E147" s="95">
        <f>'22'!F147</f>
        <v>611540.12</v>
      </c>
      <c r="F147" s="148">
        <v>611914</v>
      </c>
      <c r="G147" s="112">
        <f t="shared" si="11"/>
        <v>373.88000000000466</v>
      </c>
      <c r="H147" s="99">
        <f>G147+'22'!H147</f>
        <v>-3368</v>
      </c>
      <c r="I147" s="140"/>
      <c r="J147" s="330">
        <f>H147/DAY(B2)</f>
        <v>-146.43478260869566</v>
      </c>
    </row>
    <row r="148" spans="1:10" ht="30.75" customHeight="1" x14ac:dyDescent="0.5">
      <c r="A148" s="816" t="s">
        <v>193</v>
      </c>
      <c r="B148" s="817"/>
      <c r="C148" s="818"/>
      <c r="D148" s="123" t="s">
        <v>130</v>
      </c>
      <c r="E148" s="95">
        <f>'22'!F148</f>
        <v>680376.24</v>
      </c>
      <c r="F148" s="150">
        <v>680640</v>
      </c>
      <c r="G148" s="112">
        <f t="shared" si="11"/>
        <v>263.76000000000931</v>
      </c>
      <c r="H148" s="99">
        <f>G148+'22'!H148</f>
        <v>-2393.1199999999953</v>
      </c>
      <c r="I148" s="124"/>
      <c r="J148" s="330">
        <f>H148/DAY(B2)</f>
        <v>-104.04869565217371</v>
      </c>
    </row>
    <row r="149" spans="1:10" ht="30.75" customHeight="1" x14ac:dyDescent="0.5">
      <c r="A149" s="816" t="s">
        <v>336</v>
      </c>
      <c r="B149" s="817"/>
      <c r="C149" s="818"/>
      <c r="D149" s="227" t="s">
        <v>130</v>
      </c>
      <c r="E149" s="95">
        <f>'22'!F149</f>
        <v>5720.08</v>
      </c>
      <c r="F149" s="645">
        <v>6290</v>
      </c>
      <c r="G149" s="112">
        <f t="shared" si="11"/>
        <v>569.92000000000007</v>
      </c>
      <c r="H149" s="99">
        <f>G149+'22'!H149</f>
        <v>182781.00000000003</v>
      </c>
      <c r="I149" s="119"/>
      <c r="J149" s="330">
        <f>H149/DAY(B2)</f>
        <v>7947.0000000000009</v>
      </c>
    </row>
    <row r="150" spans="1:10" ht="30.75" customHeight="1" x14ac:dyDescent="0.5">
      <c r="A150" s="816" t="s">
        <v>337</v>
      </c>
      <c r="B150" s="817"/>
      <c r="C150" s="818"/>
      <c r="D150" s="117" t="s">
        <v>130</v>
      </c>
      <c r="E150" s="95">
        <f>'22'!F150</f>
        <v>2012.94</v>
      </c>
      <c r="F150" s="233">
        <v>2235</v>
      </c>
      <c r="G150" s="112">
        <f t="shared" si="11"/>
        <v>222.05999999999995</v>
      </c>
      <c r="H150" s="99">
        <f>G150+'22'!H150</f>
        <v>7165223</v>
      </c>
      <c r="I150" s="119"/>
      <c r="J150" s="330">
        <f>H150/DAY(B2)</f>
        <v>311531.4347826087</v>
      </c>
    </row>
    <row r="151" spans="1:10" ht="30.75" customHeight="1" x14ac:dyDescent="0.5">
      <c r="A151" s="816" t="s">
        <v>338</v>
      </c>
      <c r="B151" s="817"/>
      <c r="C151" s="818"/>
      <c r="D151" s="117" t="s">
        <v>130</v>
      </c>
      <c r="E151" s="95">
        <f>'22'!F151</f>
        <v>76084</v>
      </c>
      <c r="F151" s="233">
        <v>76296</v>
      </c>
      <c r="G151" s="112">
        <f t="shared" si="11"/>
        <v>212</v>
      </c>
      <c r="H151" s="99">
        <f>G151+'22'!H151</f>
        <v>-1921</v>
      </c>
      <c r="I151" s="119"/>
      <c r="J151" s="330">
        <f>H151/DAY(B2)</f>
        <v>-83.521739130434781</v>
      </c>
    </row>
    <row r="152" spans="1:10" ht="30.75" customHeight="1" x14ac:dyDescent="0.5">
      <c r="A152" s="816" t="s">
        <v>339</v>
      </c>
      <c r="B152" s="817"/>
      <c r="C152" s="818"/>
      <c r="D152" s="117" t="s">
        <v>130</v>
      </c>
      <c r="E152" s="95">
        <f>'22'!F152</f>
        <v>687.58</v>
      </c>
      <c r="F152" s="233">
        <v>736</v>
      </c>
      <c r="G152" s="112">
        <f t="shared" si="11"/>
        <v>48.419999999999959</v>
      </c>
      <c r="H152" s="99">
        <f>G152+'22'!H152</f>
        <v>-391</v>
      </c>
      <c r="I152" s="119"/>
      <c r="J152" s="330">
        <f>H152/DAY(B2)</f>
        <v>-17</v>
      </c>
    </row>
    <row r="153" spans="1:10" ht="30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2862.2400000000189</v>
      </c>
      <c r="H153" s="365"/>
      <c r="I153" s="119">
        <f>G153-(G38+G52)</f>
        <v>928.69000000003052</v>
      </c>
      <c r="J153" s="368"/>
    </row>
    <row r="154" spans="1:10" ht="30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0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'22'!F155</f>
        <v>6848.03</v>
      </c>
      <c r="F155" s="376">
        <v>7467</v>
      </c>
      <c r="G155" s="112">
        <f t="shared" ref="G155:G158" si="12">F155-E155</f>
        <v>618.97000000000025</v>
      </c>
      <c r="H155" s="99">
        <f>G155+'22'!H155</f>
        <v>71612</v>
      </c>
      <c r="I155" s="366"/>
      <c r="J155" s="161">
        <v>329</v>
      </c>
    </row>
    <row r="156" spans="1:10" ht="30.75" customHeight="1" x14ac:dyDescent="0.5">
      <c r="A156" s="815" t="s">
        <v>347</v>
      </c>
      <c r="B156" s="815"/>
      <c r="C156" s="815"/>
      <c r="D156" s="117" t="s">
        <v>130</v>
      </c>
      <c r="E156" s="95">
        <f>'22'!F156</f>
        <v>542.41</v>
      </c>
      <c r="F156" s="557">
        <v>595</v>
      </c>
      <c r="G156" s="112">
        <f t="shared" si="12"/>
        <v>52.590000000000032</v>
      </c>
      <c r="H156" s="99">
        <f>G156+'22'!H156</f>
        <v>-492.99999999999989</v>
      </c>
      <c r="I156" s="165"/>
      <c r="J156" s="330">
        <f>H156/DAY(B2)</f>
        <v>-21.434782608695649</v>
      </c>
    </row>
    <row r="157" spans="1:10" ht="30.75" customHeight="1" x14ac:dyDescent="0.5">
      <c r="A157" s="816" t="s">
        <v>364</v>
      </c>
      <c r="B157" s="817"/>
      <c r="C157" s="818"/>
      <c r="D157" s="117" t="s">
        <v>130</v>
      </c>
      <c r="E157" s="95">
        <v>0</v>
      </c>
      <c r="F157" s="95">
        <v>712</v>
      </c>
      <c r="G157" s="112">
        <f t="shared" si="12"/>
        <v>712</v>
      </c>
      <c r="H157" s="99">
        <f>G157+'22'!H157</f>
        <v>712</v>
      </c>
      <c r="I157" s="165"/>
      <c r="J157" s="330"/>
    </row>
    <row r="158" spans="1:10" ht="30.75" customHeight="1" x14ac:dyDescent="0.5">
      <c r="A158" s="816" t="s">
        <v>365</v>
      </c>
      <c r="B158" s="817"/>
      <c r="C158" s="818"/>
      <c r="D158" s="117" t="s">
        <v>130</v>
      </c>
      <c r="E158" s="95">
        <v>0</v>
      </c>
      <c r="F158" s="95">
        <v>1.08</v>
      </c>
      <c r="G158" s="112">
        <f t="shared" si="12"/>
        <v>1.08</v>
      </c>
      <c r="H158" s="99">
        <f>G158+'22'!H158</f>
        <v>1.08</v>
      </c>
      <c r="I158" s="165"/>
      <c r="J158" s="330"/>
    </row>
    <row r="159" spans="1:10" ht="30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0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471149.04</v>
      </c>
      <c r="F161" s="235">
        <v>471149</v>
      </c>
      <c r="G161" s="238">
        <f t="shared" ref="G161:G165" si="13">F161-E161</f>
        <v>-3.9999999979045242E-2</v>
      </c>
      <c r="H161" s="99">
        <f>G161+'22'!H161</f>
        <v>-4.1599999999743886</v>
      </c>
      <c r="I161" s="236"/>
      <c r="J161" s="239">
        <f>H161/DAY(B2)</f>
        <v>-0.18086956521627776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87322.5</v>
      </c>
      <c r="F162" s="235">
        <v>87360</v>
      </c>
      <c r="G162" s="238">
        <f t="shared" si="13"/>
        <v>37.5</v>
      </c>
      <c r="H162" s="99">
        <f>G162+'22'!H162</f>
        <v>-210</v>
      </c>
      <c r="I162" s="236"/>
      <c r="J162" s="239">
        <f>H162/DAY(B2)</f>
        <v>-9.1304347826086953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77264.399999999994</v>
      </c>
      <c r="F163" s="235">
        <v>77324</v>
      </c>
      <c r="G163" s="238">
        <f t="shared" si="13"/>
        <v>59.600000000005821</v>
      </c>
      <c r="H163" s="99">
        <f>G163+'22'!H163</f>
        <v>-501</v>
      </c>
      <c r="I163" s="236"/>
      <c r="J163" s="239">
        <f>H163/DAY(B2)</f>
        <v>-21.782608695652176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4213.1000000000004</v>
      </c>
      <c r="F164" s="235">
        <v>4217</v>
      </c>
      <c r="G164" s="238">
        <f t="shared" si="13"/>
        <v>3.8999999999996362</v>
      </c>
      <c r="H164" s="99">
        <f>G164+'22'!H164</f>
        <v>-25</v>
      </c>
      <c r="I164" s="236"/>
      <c r="J164" s="239">
        <f>H164/DAY(B2)</f>
        <v>-1.0869565217391304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29584.99</v>
      </c>
      <c r="F165" s="235">
        <v>29592</v>
      </c>
      <c r="G165" s="238">
        <f t="shared" si="13"/>
        <v>7.0099999999983993</v>
      </c>
      <c r="H165" s="99">
        <f>G165+'22'!H165</f>
        <v>-54</v>
      </c>
      <c r="I165" s="236"/>
      <c r="J165" s="239">
        <f>H165/DAY(B2)</f>
        <v>-2.347826086956522</v>
      </c>
    </row>
    <row r="166" spans="1:10" ht="30.75" customHeight="1" x14ac:dyDescent="0.5">
      <c r="A166" s="824"/>
      <c r="B166" s="824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24"/>
      <c r="B167" s="824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24"/>
      <c r="B168" s="824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30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28" t="s">
        <v>209</v>
      </c>
      <c r="B173" s="829"/>
      <c r="C173" s="335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28" t="s">
        <v>75</v>
      </c>
      <c r="B174" s="829"/>
      <c r="C174" s="335"/>
      <c r="D174" s="228" t="s">
        <v>142</v>
      </c>
      <c r="E174" s="95">
        <f>'22'!F174</f>
        <v>38161</v>
      </c>
      <c r="F174" s="157">
        <v>38176</v>
      </c>
      <c r="G174" s="155">
        <f t="shared" ref="G174:G175" si="14">F174-E174</f>
        <v>15</v>
      </c>
      <c r="H174" s="99">
        <f>G174+'22'!H174</f>
        <v>-111</v>
      </c>
      <c r="I174" s="155"/>
      <c r="J174" s="178">
        <f>H174/DAY(B2)</f>
        <v>-4.8260869565217392</v>
      </c>
    </row>
    <row r="175" spans="1:10" ht="30.75" customHeight="1" x14ac:dyDescent="0.5">
      <c r="A175" s="828" t="s">
        <v>76</v>
      </c>
      <c r="B175" s="868"/>
      <c r="C175" s="829"/>
      <c r="D175" s="228" t="s">
        <v>142</v>
      </c>
      <c r="E175" s="95">
        <f>'22'!F175</f>
        <v>21415</v>
      </c>
      <c r="F175" s="155">
        <v>21427</v>
      </c>
      <c r="G175" s="155">
        <f t="shared" si="14"/>
        <v>12</v>
      </c>
      <c r="H175" s="99">
        <f>G175+'22'!H175</f>
        <v>-91</v>
      </c>
      <c r="I175" s="155"/>
      <c r="J175" s="178">
        <f>H175/DAY(B2)</f>
        <v>-3.9565217391304346</v>
      </c>
    </row>
    <row r="176" spans="1:10" ht="30.75" customHeight="1" x14ac:dyDescent="0.5">
      <c r="A176" s="819" t="s">
        <v>196</v>
      </c>
      <c r="B176" s="820"/>
      <c r="C176" s="487"/>
      <c r="D176" s="228"/>
      <c r="E176" s="95"/>
      <c r="F176" s="155"/>
      <c r="G176" s="155">
        <f>SUM(G173:G175)</f>
        <v>27</v>
      </c>
      <c r="H176" s="99">
        <f>G176+'22'!H176</f>
        <v>-202</v>
      </c>
      <c r="I176" s="155"/>
      <c r="J176" s="178">
        <f>H176/DAY(B2)</f>
        <v>-8.7826086956521738</v>
      </c>
    </row>
    <row r="177" spans="1:10" ht="30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28" t="s">
        <v>210</v>
      </c>
      <c r="B178" s="829"/>
      <c r="C178" s="335"/>
      <c r="D178" s="228" t="s">
        <v>142</v>
      </c>
      <c r="E178" s="95">
        <f>'22'!F178</f>
        <v>78972</v>
      </c>
      <c r="F178" s="155">
        <v>79028</v>
      </c>
      <c r="G178" s="155">
        <f>F178-E178</f>
        <v>56</v>
      </c>
      <c r="H178" s="99">
        <f>G178+'22'!H178</f>
        <v>-586</v>
      </c>
      <c r="I178" s="155"/>
      <c r="J178" s="178">
        <f>H178/DAY(B2)</f>
        <v>-25.478260869565219</v>
      </c>
    </row>
    <row r="179" spans="1:10" ht="30.75" customHeight="1" x14ac:dyDescent="0.5">
      <c r="A179" s="828" t="s">
        <v>211</v>
      </c>
      <c r="B179" s="829"/>
      <c r="C179" s="335"/>
      <c r="D179" s="228" t="s">
        <v>142</v>
      </c>
      <c r="E179" s="95">
        <f>'22'!F179</f>
        <v>33915</v>
      </c>
      <c r="F179" s="155">
        <v>33915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828" t="s">
        <v>212</v>
      </c>
      <c r="B180" s="829"/>
      <c r="C180" s="335"/>
      <c r="D180" s="228" t="s">
        <v>142</v>
      </c>
      <c r="E180" s="95">
        <f>'22'!F180</f>
        <v>5421</v>
      </c>
      <c r="F180" s="155">
        <v>5428</v>
      </c>
      <c r="G180" s="155">
        <f t="shared" si="15"/>
        <v>7</v>
      </c>
      <c r="H180" s="99">
        <f>G180+'22'!H180</f>
        <v>-49</v>
      </c>
      <c r="I180" s="155"/>
      <c r="J180" s="178">
        <f>H180/DAY(B2)</f>
        <v>-2.1304347826086958</v>
      </c>
    </row>
    <row r="181" spans="1:10" ht="30.75" customHeight="1" x14ac:dyDescent="0.5">
      <c r="A181" s="830" t="s">
        <v>108</v>
      </c>
      <c r="B181" s="831"/>
      <c r="C181" s="487"/>
      <c r="D181" s="228"/>
      <c r="E181" s="95"/>
      <c r="F181" s="155"/>
      <c r="G181" s="155">
        <f>SUM(G178:G180)</f>
        <v>63</v>
      </c>
      <c r="H181" s="99">
        <f>G181+'22'!H181</f>
        <v>-635</v>
      </c>
      <c r="I181" s="155"/>
      <c r="J181" s="178">
        <f>H181/DAY(B2)</f>
        <v>-27.608695652173914</v>
      </c>
    </row>
    <row r="182" spans="1:10" ht="30.75" customHeight="1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28" t="s">
        <v>214</v>
      </c>
      <c r="B183" s="829"/>
      <c r="C183" s="336"/>
      <c r="D183" s="228" t="s">
        <v>142</v>
      </c>
      <c r="E183" s="95">
        <f>'22'!F183</f>
        <v>14803</v>
      </c>
      <c r="F183" s="157">
        <v>14817</v>
      </c>
      <c r="G183" s="157">
        <f>F183-E183</f>
        <v>14</v>
      </c>
      <c r="H183" s="99">
        <f>G183+'22'!H183</f>
        <v>-130</v>
      </c>
      <c r="I183" s="155"/>
      <c r="J183" s="178">
        <f>H183/DAY(B2)</f>
        <v>-5.6521739130434785</v>
      </c>
    </row>
    <row r="184" spans="1:10" ht="30.75" customHeight="1" x14ac:dyDescent="0.5">
      <c r="A184" s="828" t="s">
        <v>215</v>
      </c>
      <c r="B184" s="829"/>
      <c r="C184" s="336"/>
      <c r="D184" s="228" t="s">
        <v>142</v>
      </c>
      <c r="E184" s="95">
        <f>'22'!F184</f>
        <v>10231</v>
      </c>
      <c r="F184" s="157">
        <v>10240</v>
      </c>
      <c r="G184" s="157">
        <f t="shared" ref="G184:G185" si="16">F184-E184</f>
        <v>9</v>
      </c>
      <c r="H184" s="99">
        <f>G184+'22'!H184</f>
        <v>-61</v>
      </c>
      <c r="I184" s="155"/>
      <c r="J184" s="178">
        <f>H184/DAY(B2)</f>
        <v>-2.652173913043478</v>
      </c>
    </row>
    <row r="185" spans="1:10" ht="30.75" customHeight="1" x14ac:dyDescent="0.5">
      <c r="A185" s="828" t="s">
        <v>216</v>
      </c>
      <c r="B185" s="829"/>
      <c r="C185" s="336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19" t="s">
        <v>196</v>
      </c>
      <c r="B186" s="820"/>
      <c r="C186" s="486"/>
      <c r="D186" s="229"/>
      <c r="E186" s="95"/>
      <c r="F186" s="157"/>
      <c r="G186" s="157">
        <f>SUM(G183:G185)</f>
        <v>23</v>
      </c>
      <c r="H186" s="99">
        <f>G186+'22'!H186</f>
        <v>-191</v>
      </c>
      <c r="I186" s="157"/>
      <c r="J186" s="178">
        <f>H186/DAY(B2)</f>
        <v>-8.304347826086957</v>
      </c>
    </row>
    <row r="187" spans="1:10" ht="30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175</v>
      </c>
      <c r="H187" s="99">
        <f>G187+'22'!H187</f>
        <v>346</v>
      </c>
      <c r="I187" s="158"/>
      <c r="J187" s="179">
        <f>H187/DAY(B2)</f>
        <v>15.043478260869565</v>
      </c>
    </row>
    <row r="188" spans="1:10" ht="30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174</v>
      </c>
      <c r="H188" s="99">
        <f>G188+'22'!H188</f>
        <v>1546</v>
      </c>
      <c r="I188" s="158"/>
      <c r="J188" s="179">
        <f>H188/DAY(B2)</f>
        <v>67.217391304347828</v>
      </c>
    </row>
    <row r="189" spans="1:10" ht="30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63</v>
      </c>
      <c r="H189" s="99">
        <f>G189+'22'!H189</f>
        <v>346</v>
      </c>
      <c r="I189" s="158"/>
      <c r="J189" s="179">
        <f>H189/DAY(B2)</f>
        <v>15.043478260869565</v>
      </c>
    </row>
    <row r="190" spans="1:10" ht="30.75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42" zoomScale="60" zoomScaleNormal="44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44554</v>
      </c>
      <c r="C2" s="350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598978</v>
      </c>
      <c r="F7" s="95">
        <f>E7+23500</f>
        <v>622478</v>
      </c>
      <c r="G7" s="112">
        <f>F7-E7</f>
        <v>23500</v>
      </c>
      <c r="H7" s="99">
        <f>G7+'23'!H7</f>
        <v>527917</v>
      </c>
      <c r="I7" s="113">
        <f>'1'!I7</f>
        <v>12000</v>
      </c>
      <c r="J7" s="175">
        <f>H7/DAY(B2)</f>
        <v>21996.541666666668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648937</v>
      </c>
      <c r="F8" s="95">
        <f>E8+23500</f>
        <v>672437</v>
      </c>
      <c r="G8" s="115">
        <f>F8-E8</f>
        <v>23500</v>
      </c>
      <c r="H8" s="99">
        <f>G8+'23'!H8</f>
        <v>531552</v>
      </c>
      <c r="I8" s="116"/>
      <c r="J8" s="175">
        <f>H8/DAY(B2)</f>
        <v>22148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207657</v>
      </c>
      <c r="F9" s="605">
        <f>E9+14000</f>
        <v>221657</v>
      </c>
      <c r="G9" s="112">
        <f>F9-E9</f>
        <v>14000</v>
      </c>
      <c r="H9" s="99">
        <f>G9+'23'!H9</f>
        <v>320162</v>
      </c>
      <c r="I9" s="124">
        <f>I7-J7</f>
        <v>-9996.5416666666679</v>
      </c>
      <c r="J9" s="175">
        <f>H9/DAY(B2)</f>
        <v>13340.083333333334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520550</v>
      </c>
      <c r="F10" s="355">
        <f>E10+4500</f>
        <v>525050</v>
      </c>
      <c r="G10" s="112">
        <f t="shared" ref="G10:G12" si="0">F10-E10</f>
        <v>4500</v>
      </c>
      <c r="H10" s="99">
        <f>G10+'23'!H10</f>
        <v>127940</v>
      </c>
      <c r="I10" s="282"/>
      <c r="J10" s="175">
        <f>H10/DAY(B2)</f>
        <v>5330.833333333333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G13+'23'!H13</f>
        <v>428636.74999999988</v>
      </c>
      <c r="I13" s="120">
        <f>G7-G13</f>
        <v>5000</v>
      </c>
      <c r="J13" s="175">
        <f>H13/DAY(B2)</f>
        <v>17859.864583333328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'23'!F15</f>
        <v>1869426</v>
      </c>
      <c r="F15" s="123">
        <f>E15+1100</f>
        <v>1870526</v>
      </c>
      <c r="G15" s="112">
        <f>(F15-E15)</f>
        <v>1100</v>
      </c>
      <c r="H15" s="99">
        <f>G15+'23'!H15</f>
        <v>24669</v>
      </c>
      <c r="I15" s="113">
        <f>'1'!I15</f>
        <v>800</v>
      </c>
      <c r="J15" s="175">
        <f>H15/DAY(B2)</f>
        <v>1027.875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-227.875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'23'!F18</f>
        <v>183</v>
      </c>
      <c r="F18" s="122">
        <f>E18+12</f>
        <v>195</v>
      </c>
      <c r="G18" s="119">
        <f>F18*10</f>
        <v>1950</v>
      </c>
      <c r="H18" s="99">
        <f>G18+'23'!H18</f>
        <v>17870</v>
      </c>
      <c r="I18" s="113">
        <f>'1'!I18</f>
        <v>65</v>
      </c>
      <c r="J18" s="175">
        <f>H18/DAY(B2)</f>
        <v>744.58333333333337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'23'!F19</f>
        <v>153465</v>
      </c>
      <c r="F19" s="122">
        <f>E19+55</f>
        <v>153520</v>
      </c>
      <c r="G19" s="112">
        <f t="shared" ref="G19" si="1">F19-E19</f>
        <v>55</v>
      </c>
      <c r="H19" s="99">
        <f>G19+'23'!H19</f>
        <v>1295</v>
      </c>
      <c r="I19" s="337"/>
      <c r="J19" s="175">
        <f>H19/DAY(B2)</f>
        <v>53.958333333333336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2005</v>
      </c>
      <c r="H20" s="99">
        <f>G20+'23'!H20</f>
        <v>19165</v>
      </c>
      <c r="I20" s="338">
        <f>I18-J20</f>
        <v>-733.54166666666663</v>
      </c>
      <c r="J20" s="175">
        <f>H20/DAY(B2)</f>
        <v>798.54166666666663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G27+'23'!H27</f>
        <v>4783968</v>
      </c>
      <c r="I27" s="138"/>
      <c r="J27" s="175">
        <f>H27/DAY(B2)</f>
        <v>199332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G28+'23'!H28</f>
        <v>1282788</v>
      </c>
      <c r="I28" s="140"/>
      <c r="J28" s="175">
        <f>H28/DAY(B2)</f>
        <v>53449.5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G30+'23'!H30</f>
        <v>189070</v>
      </c>
      <c r="I30" s="140"/>
      <c r="J30" s="175">
        <f>H30/DAY(B2)</f>
        <v>7877.916666666667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1950</v>
      </c>
      <c r="F31" s="136">
        <v>80</v>
      </c>
      <c r="G31" s="137">
        <f>E31*F31</f>
        <v>156000</v>
      </c>
      <c r="H31" s="99">
        <f>G31+'23'!H31</f>
        <v>1429600</v>
      </c>
      <c r="I31" s="140"/>
      <c r="J31" s="175">
        <f>H31/DAY(B2)</f>
        <v>59566.666666666664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432730</v>
      </c>
      <c r="H32" s="99">
        <f>G32+'23'!H32</f>
        <v>7685426</v>
      </c>
      <c r="I32" s="144"/>
      <c r="J32" s="175">
        <f>H32/DAY(B2)</f>
        <v>320226.08333333331</v>
      </c>
      <c r="K32" s="63"/>
      <c r="L32" s="89"/>
      <c r="N32" s="87"/>
      <c r="O32" s="71"/>
    </row>
    <row r="33" spans="1:15" ht="25.5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138344</v>
      </c>
      <c r="F35" s="145">
        <v>139879</v>
      </c>
      <c r="G35" s="112">
        <f t="shared" ref="G35:G46" si="3">F35-E35</f>
        <v>1535</v>
      </c>
      <c r="H35" s="99">
        <f>G35+'23'!H35</f>
        <v>155079</v>
      </c>
      <c r="I35" s="95"/>
      <c r="J35" s="175">
        <f>H35/DAY(B2)</f>
        <v>6461.625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13967</v>
      </c>
      <c r="F36" s="145">
        <v>14922</v>
      </c>
      <c r="G36" s="112">
        <f t="shared" si="3"/>
        <v>955</v>
      </c>
      <c r="H36" s="99">
        <f>G36+'23'!H36</f>
        <v>83125</v>
      </c>
      <c r="I36" s="95"/>
      <c r="J36" s="175">
        <f>H36/DAY(B2)</f>
        <v>3463.5416666666665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182684</v>
      </c>
      <c r="F37" s="145">
        <v>184300</v>
      </c>
      <c r="G37" s="112">
        <f t="shared" si="3"/>
        <v>1616</v>
      </c>
      <c r="H37" s="99">
        <f>G37+'23'!H37</f>
        <v>196512</v>
      </c>
      <c r="I37" s="95"/>
      <c r="J37" s="175">
        <f>H37/DAY(B2)</f>
        <v>8188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217070</v>
      </c>
      <c r="F38" s="108">
        <v>219024</v>
      </c>
      <c r="G38" s="112">
        <f t="shared" si="3"/>
        <v>1954</v>
      </c>
      <c r="H38" s="99">
        <f>G38+'23'!H38</f>
        <v>232224</v>
      </c>
      <c r="I38" s="95"/>
      <c r="J38" s="175">
        <f>H38/DAY(B2)</f>
        <v>9676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388956</v>
      </c>
      <c r="F39" s="145">
        <v>391702</v>
      </c>
      <c r="G39" s="112">
        <f t="shared" si="3"/>
        <v>2746</v>
      </c>
      <c r="H39" s="99">
        <f>G39+'23'!H39</f>
        <v>413384</v>
      </c>
      <c r="I39" s="95"/>
      <c r="J39" s="175">
        <f>H39/DAY(B2)</f>
        <v>17224.333333333332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1817</v>
      </c>
      <c r="F40" s="145">
        <v>2406</v>
      </c>
      <c r="G40" s="112">
        <f t="shared" si="3"/>
        <v>589</v>
      </c>
      <c r="H40" s="99">
        <f>G40+'23'!H40</f>
        <v>-2663.8500000000004</v>
      </c>
      <c r="I40" s="95"/>
      <c r="J40" s="175">
        <f>H40/DAY(B2)</f>
        <v>-110.99375000000002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599900</v>
      </c>
      <c r="I41" s="95"/>
      <c r="J41" s="175">
        <f>H41/DAY(B2)</f>
        <v>24995.833333333332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43442</v>
      </c>
      <c r="F42" s="145">
        <v>48063</v>
      </c>
      <c r="G42" s="112">
        <f t="shared" si="3"/>
        <v>4621</v>
      </c>
      <c r="H42" s="99">
        <f>G42+'23'!H42</f>
        <v>331914</v>
      </c>
      <c r="I42" s="95"/>
      <c r="J42" s="175">
        <f>H42/DAY(B2)</f>
        <v>13829.75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26293</v>
      </c>
      <c r="F43" s="145">
        <v>28980</v>
      </c>
      <c r="G43" s="112">
        <f t="shared" si="3"/>
        <v>2687</v>
      </c>
      <c r="H43" s="99">
        <f>G43+'23'!H43</f>
        <v>1546399.9999999998</v>
      </c>
      <c r="I43" s="95"/>
      <c r="J43" s="175">
        <f>H43/DAY(B2)</f>
        <v>64433.333333333321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16703</v>
      </c>
      <c r="H47" s="99">
        <f>G47+'23'!H47</f>
        <v>3555874.15</v>
      </c>
      <c r="I47" s="95"/>
      <c r="J47" s="175">
        <f>H47/DAY(B2)</f>
        <v>148161.42291666666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260245</v>
      </c>
      <c r="F49" s="145">
        <v>261805</v>
      </c>
      <c r="G49" s="112">
        <f t="shared" ref="G49:G58" si="4">F49-E49</f>
        <v>1560</v>
      </c>
      <c r="H49" s="99">
        <f>G49+'23'!H49</f>
        <v>274926.00000000006</v>
      </c>
      <c r="I49" s="95"/>
      <c r="J49" s="175">
        <f>H49/DAY(B2)</f>
        <v>11455.250000000002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15275</v>
      </c>
      <c r="F50" s="145">
        <v>16307</v>
      </c>
      <c r="G50" s="112">
        <f t="shared" si="4"/>
        <v>1032</v>
      </c>
      <c r="H50" s="99">
        <f>G50+'23'!H50</f>
        <v>730732.00000000012</v>
      </c>
      <c r="I50" s="95"/>
      <c r="J50" s="175">
        <f>H50/DAY(B2)</f>
        <v>30447.166666666672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3148</v>
      </c>
      <c r="F54" s="145">
        <v>3153</v>
      </c>
      <c r="G54" s="112">
        <f t="shared" si="4"/>
        <v>5</v>
      </c>
      <c r="H54" s="99">
        <f>G54+'23'!H54</f>
        <v>4920.08</v>
      </c>
      <c r="I54" s="95"/>
      <c r="J54" s="175">
        <f>H54/DAY(B2)</f>
        <v>205.00333333333333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-3511</v>
      </c>
      <c r="I55" s="95"/>
      <c r="J55" s="175">
        <f>H55/DAY(B2)</f>
        <v>-146.29166666666666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212065</v>
      </c>
      <c r="I56" s="95"/>
      <c r="J56" s="175">
        <f>H56/DAY(B2)</f>
        <v>8836.0416666666661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90581</v>
      </c>
      <c r="F58" s="145">
        <v>90799</v>
      </c>
      <c r="G58" s="112">
        <f t="shared" si="4"/>
        <v>218</v>
      </c>
      <c r="H58" s="99">
        <f>G58+'23'!H58</f>
        <v>91139.63</v>
      </c>
      <c r="I58" s="95"/>
      <c r="J58" s="175">
        <f>H58/DAY(B2)</f>
        <v>3797.4845833333334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2815</v>
      </c>
      <c r="H59" s="99">
        <f>G59+'23'!H59</f>
        <v>1310271.7100000002</v>
      </c>
      <c r="I59" s="95">
        <f>G7-G60</f>
        <v>3982</v>
      </c>
      <c r="J59" s="175">
        <f>H59/DAY(B2)</f>
        <v>54594.654583333344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19518</v>
      </c>
      <c r="H60" s="99">
        <f>G60+'23'!H60</f>
        <v>4866145.8600000013</v>
      </c>
      <c r="I60" s="95">
        <f>G13-G60</f>
        <v>-1018</v>
      </c>
      <c r="J60" s="175">
        <f>H60/DAY(B2)</f>
        <v>202756.07750000004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'23'!F62</f>
        <v>266319</v>
      </c>
      <c r="F62" s="122">
        <v>266429</v>
      </c>
      <c r="G62" s="112">
        <f t="shared" ref="G62:G63" si="5">F62-E62</f>
        <v>110</v>
      </c>
      <c r="H62" s="99">
        <f>G62+'23'!H62</f>
        <v>-784</v>
      </c>
      <c r="I62" s="118"/>
      <c r="J62" s="175">
        <f>H62/DAY(B2)</f>
        <v>-32.666666666666664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'23'!F63</f>
        <v>211714</v>
      </c>
      <c r="F63" s="122">
        <v>211785</v>
      </c>
      <c r="G63" s="112">
        <f t="shared" si="5"/>
        <v>71</v>
      </c>
      <c r="H63" s="99">
        <f>G63+'23'!H63</f>
        <v>-640</v>
      </c>
      <c r="I63" s="118"/>
      <c r="J63" s="175">
        <f>H63/DAY(B2)</f>
        <v>-26.666666666666668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'23'!F64</f>
        <v>0</v>
      </c>
      <c r="F64" s="122"/>
      <c r="G64" s="112">
        <f>G62+G63</f>
        <v>181</v>
      </c>
      <c r="H64" s="99">
        <f>G64+'23'!H64</f>
        <v>-1424</v>
      </c>
      <c r="I64" s="118"/>
      <c r="J64" s="175">
        <f>H64/DAY(B2)</f>
        <v>-59.333333333333336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'23'!F65</f>
        <v>431787</v>
      </c>
      <c r="F65" s="122">
        <v>431876</v>
      </c>
      <c r="G65" s="112">
        <f t="shared" ref="G65:G70" si="6">F65-E65</f>
        <v>89</v>
      </c>
      <c r="H65" s="99">
        <f>G65+'23'!H65</f>
        <v>-738</v>
      </c>
      <c r="I65" s="118"/>
      <c r="J65" s="175">
        <f>H65/DAY(B2)</f>
        <v>-30.75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'23'!F66</f>
        <v>107050</v>
      </c>
      <c r="F66" s="122">
        <v>107070</v>
      </c>
      <c r="G66" s="112">
        <f t="shared" si="6"/>
        <v>20</v>
      </c>
      <c r="H66" s="99">
        <f>G66+'23'!H66</f>
        <v>-144</v>
      </c>
      <c r="I66" s="118"/>
      <c r="J66" s="175">
        <f>H66/DAY(B2)</f>
        <v>-6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'23'!F67</f>
        <v>103680</v>
      </c>
      <c r="F67" s="122">
        <v>103711</v>
      </c>
      <c r="G67" s="112">
        <f t="shared" si="6"/>
        <v>31</v>
      </c>
      <c r="H67" s="99">
        <f>G67+'23'!H67</f>
        <v>-217</v>
      </c>
      <c r="I67" s="118"/>
      <c r="J67" s="175">
        <f>H67/DAY(B2)</f>
        <v>-9.0416666666666661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'23'!F68</f>
        <v>156345</v>
      </c>
      <c r="F68" s="122">
        <v>156386</v>
      </c>
      <c r="G68" s="112">
        <f t="shared" si="6"/>
        <v>41</v>
      </c>
      <c r="H68" s="99">
        <f>G68+'23'!H68</f>
        <v>-234</v>
      </c>
      <c r="I68" s="118"/>
      <c r="J68" s="175">
        <f>H68/DAY(B2)</f>
        <v>-9.75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'23'!F69</f>
        <v>10106</v>
      </c>
      <c r="F69" s="122">
        <v>10118</v>
      </c>
      <c r="G69" s="112">
        <f t="shared" si="6"/>
        <v>12</v>
      </c>
      <c r="H69" s="99">
        <f>G69+'23'!H69</f>
        <v>-96</v>
      </c>
      <c r="I69" s="118"/>
      <c r="J69" s="175">
        <f>H69/DAY(B2)</f>
        <v>-4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'23'!F70</f>
        <v>7791</v>
      </c>
      <c r="F70" s="122">
        <v>7801</v>
      </c>
      <c r="G70" s="112">
        <f t="shared" si="6"/>
        <v>10</v>
      </c>
      <c r="H70" s="99">
        <f>G70+'23'!H70</f>
        <v>-61</v>
      </c>
      <c r="I70" s="118"/>
      <c r="J70" s="175">
        <f>H70/DAY(B2)</f>
        <v>-2.5416666666666665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203</v>
      </c>
      <c r="H71" s="99">
        <f>G71+'23'!H71</f>
        <v>-1490</v>
      </c>
      <c r="I71" s="154"/>
      <c r="J71" s="175">
        <f>H71/DAY(B2)</f>
        <v>-62.083333333333336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'23'!F74</f>
        <v>889529</v>
      </c>
      <c r="F74" s="117">
        <v>889828</v>
      </c>
      <c r="G74" s="112">
        <f t="shared" ref="G74:G78" si="7">F74-E74</f>
        <v>299</v>
      </c>
      <c r="H74" s="99">
        <f>G74+'23'!H74</f>
        <v>-2204</v>
      </c>
      <c r="I74" s="154"/>
      <c r="J74" s="175">
        <f>H74/DAY(B2)</f>
        <v>-91.833333333333329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243.88999999999942</v>
      </c>
      <c r="I75" s="154"/>
      <c r="J75" s="175">
        <f>H75/DAY(B2)</f>
        <v>10.162083333333308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'23'!F76</f>
        <v>166338</v>
      </c>
      <c r="F76" s="123">
        <v>166459</v>
      </c>
      <c r="G76" s="112">
        <f t="shared" si="7"/>
        <v>121</v>
      </c>
      <c r="H76" s="99">
        <f>G76+'23'!H76</f>
        <v>-748</v>
      </c>
      <c r="I76" s="154"/>
      <c r="J76" s="175">
        <f>H76/DAY(B2)</f>
        <v>-31.166666666666668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'23'!F77</f>
        <v>39940</v>
      </c>
      <c r="F77" s="123">
        <v>39983</v>
      </c>
      <c r="G77" s="112">
        <f t="shared" si="7"/>
        <v>43</v>
      </c>
      <c r="H77" s="99">
        <f>G77+'23'!H77</f>
        <v>-333</v>
      </c>
      <c r="I77" s="154"/>
      <c r="J77" s="175">
        <f>H77/DAY(B2)</f>
        <v>-13.875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'23'!F78</f>
        <v>9470</v>
      </c>
      <c r="F78" s="123">
        <v>9472</v>
      </c>
      <c r="G78" s="112">
        <f t="shared" si="7"/>
        <v>2</v>
      </c>
      <c r="H78" s="99">
        <f>G78+'23'!H78</f>
        <v>-14</v>
      </c>
      <c r="I78" s="118"/>
      <c r="J78" s="175">
        <f>H78/DAY(B2)</f>
        <v>-0.58333333333333337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'23'!F79</f>
        <v>0</v>
      </c>
      <c r="F79" s="117"/>
      <c r="G79" s="112">
        <f>G15-SUM(G74:G78)</f>
        <v>635</v>
      </c>
      <c r="H79" s="99">
        <f>G79+'23'!H79</f>
        <v>27724.109999999997</v>
      </c>
      <c r="I79" s="118"/>
      <c r="J79" s="175">
        <f>H79/DAY(B2)</f>
        <v>1155.1712499999999</v>
      </c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'23'!F84</f>
        <v>41675.4</v>
      </c>
      <c r="F84" s="164">
        <v>41675.4</v>
      </c>
      <c r="G84" s="112">
        <f t="shared" si="8"/>
        <v>0</v>
      </c>
      <c r="H84" s="99">
        <f>G84+'23'!H84</f>
        <v>0.40000000000145519</v>
      </c>
      <c r="I84" s="118"/>
      <c r="J84" s="175">
        <f>H84/DAY(B2)</f>
        <v>1.6666666666727298E-2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'23'!F85</f>
        <v>1940</v>
      </c>
      <c r="F85" s="164">
        <v>1964</v>
      </c>
      <c r="G85" s="112">
        <f t="shared" si="8"/>
        <v>24</v>
      </c>
      <c r="H85" s="99">
        <f>G85+'23'!H85</f>
        <v>-132.55999999999995</v>
      </c>
      <c r="I85" s="118">
        <f>G82+G83+G84+G85</f>
        <v>24</v>
      </c>
      <c r="J85" s="175">
        <f>H85/DAY(B2)</f>
        <v>-5.5233333333333308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-36.529999999998836</v>
      </c>
      <c r="I86" s="118"/>
      <c r="J86" s="175">
        <f>H86/DAY(B2)</f>
        <v>-1.5220833333332848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'23'!F88</f>
        <v>24005.53</v>
      </c>
      <c r="F88" s="164">
        <v>24007.97</v>
      </c>
      <c r="G88" s="112">
        <f t="shared" si="8"/>
        <v>2.4400000000023283</v>
      </c>
      <c r="H88" s="99">
        <f>G88+'23'!H88</f>
        <v>-39.029999999998836</v>
      </c>
      <c r="I88" s="118">
        <f>G86+G87+G88</f>
        <v>2.4400000000023283</v>
      </c>
      <c r="J88" s="175">
        <f>H88/DAY(B2)</f>
        <v>-1.6262499999999516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'23'!F89</f>
        <v>25626.69</v>
      </c>
      <c r="F89" s="164">
        <v>25634</v>
      </c>
      <c r="G89" s="112">
        <f t="shared" si="8"/>
        <v>7.3100000000013097</v>
      </c>
      <c r="H89" s="99">
        <f>G89+'23'!H89</f>
        <v>-29</v>
      </c>
      <c r="I89" s="118"/>
      <c r="J89" s="175">
        <f>H89/DAY(B2)</f>
        <v>-1.2083333333333333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'23'!F90</f>
        <v>70986.62</v>
      </c>
      <c r="F90" s="164">
        <v>70991.8</v>
      </c>
      <c r="G90" s="112">
        <f t="shared" si="8"/>
        <v>5.180000000007567</v>
      </c>
      <c r="H90" s="99">
        <f>G90+'23'!H90</f>
        <v>-42.19999999999709</v>
      </c>
      <c r="I90" s="118">
        <f>G89+G90</f>
        <v>12.490000000008877</v>
      </c>
      <c r="J90" s="175">
        <f>H90/DAY(B2)</f>
        <v>-1.7583333333332121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'23'!F92</f>
        <v>5350.74</v>
      </c>
      <c r="F92" s="122">
        <v>5361</v>
      </c>
      <c r="G92" s="112">
        <f t="shared" si="8"/>
        <v>10.260000000000218</v>
      </c>
      <c r="H92" s="99">
        <f>G92+'23'!H92</f>
        <v>-77</v>
      </c>
      <c r="I92" s="165"/>
      <c r="J92" s="175">
        <f>H92/DAY(B2)</f>
        <v>-3.2083333333333335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5782</v>
      </c>
      <c r="H94" s="99">
        <f>G94+'23'!H94</f>
        <v>1976405</v>
      </c>
      <c r="I94" s="118"/>
      <c r="J94" s="175">
        <f>H94/DAY(B2)</f>
        <v>82350.208333333328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0.24604255319148935</v>
      </c>
      <c r="H95" s="99">
        <f>G95+'23'!H95</f>
        <v>84.563699666641682</v>
      </c>
      <c r="I95" s="167"/>
      <c r="J95" s="175">
        <f>H95/DAY(B2)</f>
        <v>3.5234874861100702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4621</v>
      </c>
      <c r="H96" s="99">
        <f>G96+'23'!H96</f>
        <v>1140368.0000000002</v>
      </c>
      <c r="I96" s="118"/>
      <c r="J96" s="175">
        <f>H96/DAY(B2)</f>
        <v>47515.333333333343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0.19663829787234041</v>
      </c>
      <c r="H97" s="99">
        <f>G97+'23'!H97</f>
        <v>48.769252317705885</v>
      </c>
      <c r="I97" s="167"/>
      <c r="J97" s="175">
        <f>H97/DAY(B2)</f>
        <v>2.032052179904412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2746</v>
      </c>
      <c r="H98" s="99">
        <f>G98+'23'!H98</f>
        <v>413384</v>
      </c>
      <c r="I98" s="168"/>
      <c r="J98" s="175">
        <f>H98/DAY(B2)</f>
        <v>17224.333333333332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0.11685106382978723</v>
      </c>
      <c r="H99" s="99">
        <f>G99+'23'!H99</f>
        <v>17.804758415502548</v>
      </c>
      <c r="I99" s="168"/>
      <c r="J99" s="175">
        <f>H99/DAY(B2)</f>
        <v>0.74186493397927278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1954</v>
      </c>
      <c r="H100" s="99">
        <f>G100+'23'!H100</f>
        <v>232224</v>
      </c>
      <c r="I100" s="118"/>
      <c r="J100" s="175">
        <f>H100/DAY(B2)</f>
        <v>9676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8.3148936170212767E-2</v>
      </c>
      <c r="H101" s="99">
        <f>G101+'23'!H101</f>
        <v>10.012744061727943</v>
      </c>
      <c r="I101" s="168"/>
      <c r="J101" s="175">
        <f>H101/DAY(B2)</f>
        <v>0.4171976692386643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1987</v>
      </c>
      <c r="H102" s="99">
        <f>G102+'23'!H102</f>
        <v>813856.99999999988</v>
      </c>
      <c r="I102" s="168"/>
      <c r="J102" s="175">
        <f>H102/DAY(B2)</f>
        <v>33910.708333333328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8.4553191489361704E-2</v>
      </c>
      <c r="H103" s="99">
        <f>G103+'23'!H103</f>
        <v>34.776551388886745</v>
      </c>
      <c r="I103" s="118"/>
      <c r="J103" s="175">
        <f>H103/DAY(B2)</f>
        <v>1.4490229745369476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1616</v>
      </c>
      <c r="H104" s="99">
        <f>G104+'23'!H104</f>
        <v>196512</v>
      </c>
      <c r="I104" s="118"/>
      <c r="J104" s="175">
        <f>H104/DAY(B2)</f>
        <v>8188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6.8765957446808509E-2</v>
      </c>
      <c r="H105" s="99">
        <f>G105+'23'!H105</f>
        <v>8.4826776446891508</v>
      </c>
      <c r="I105" s="187"/>
      <c r="J105" s="188">
        <f>H105/DAY(B2)</f>
        <v>0.35344490186204797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'23'!F112</f>
        <v>55121</v>
      </c>
      <c r="F112" s="237">
        <v>55191</v>
      </c>
      <c r="G112" s="112">
        <f t="shared" ref="G112:G123" si="9">F112-E112</f>
        <v>70</v>
      </c>
      <c r="H112" s="99">
        <f>G112+'23'!H112</f>
        <v>-490</v>
      </c>
      <c r="I112" s="165"/>
      <c r="J112" s="330">
        <f>H112/DAY(B2)</f>
        <v>-20.416666666666668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'23'!F113</f>
        <v>28553</v>
      </c>
      <c r="F113" s="237">
        <v>29010</v>
      </c>
      <c r="G113" s="112">
        <f t="shared" si="9"/>
        <v>457</v>
      </c>
      <c r="H113" s="99">
        <f>G113+'23'!H113</f>
        <v>-3185</v>
      </c>
      <c r="I113" s="165"/>
      <c r="J113" s="330">
        <f>H113/DAY(B2)</f>
        <v>-132.70833333333334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'23'!F114</f>
        <v>22386</v>
      </c>
      <c r="F114" s="237">
        <v>22647</v>
      </c>
      <c r="G114" s="112">
        <f t="shared" si="9"/>
        <v>261</v>
      </c>
      <c r="H114" s="99">
        <f>G114+'23'!H114</f>
        <v>-2381.1800000000021</v>
      </c>
      <c r="I114" s="165"/>
      <c r="J114" s="330">
        <f>H114/DAY(B2)</f>
        <v>-99.215833333333421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'23'!F115</f>
        <v>8687</v>
      </c>
      <c r="F115" s="237">
        <v>8699</v>
      </c>
      <c r="G115" s="112">
        <f t="shared" si="9"/>
        <v>12</v>
      </c>
      <c r="H115" s="99">
        <f>G115+'23'!H115</f>
        <v>-86</v>
      </c>
      <c r="I115" s="165"/>
      <c r="J115" s="330">
        <f>H115/DAY(B2)</f>
        <v>-3.5833333333333335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'23'!F117</f>
        <v>2397</v>
      </c>
      <c r="F117" s="237">
        <v>2412</v>
      </c>
      <c r="G117" s="112">
        <f t="shared" si="9"/>
        <v>15</v>
      </c>
      <c r="H117" s="99">
        <f>G117+'23'!H117</f>
        <v>-178</v>
      </c>
      <c r="I117" s="165"/>
      <c r="J117" s="330">
        <f>H117/DAY(B2)</f>
        <v>-7.416666666666667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'23'!F118</f>
        <v>238577</v>
      </c>
      <c r="F118" s="237">
        <v>238965</v>
      </c>
      <c r="G118" s="112">
        <f t="shared" si="9"/>
        <v>388</v>
      </c>
      <c r="H118" s="99">
        <f>G118+'23'!H118</f>
        <v>-2682</v>
      </c>
      <c r="I118" s="165"/>
      <c r="J118" s="330">
        <f>H118/DAY(B2)</f>
        <v>-111.75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'23'!F119</f>
        <v>241781</v>
      </c>
      <c r="F119" s="237">
        <v>242198</v>
      </c>
      <c r="G119" s="112">
        <f t="shared" si="9"/>
        <v>417</v>
      </c>
      <c r="H119" s="99">
        <f>G119+'23'!H119</f>
        <v>-2928</v>
      </c>
      <c r="I119" s="165"/>
      <c r="J119" s="330">
        <f>H119/DAY(B2)</f>
        <v>-122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'23'!F120</f>
        <v>26758</v>
      </c>
      <c r="F120" s="237">
        <v>27196</v>
      </c>
      <c r="G120" s="112">
        <f t="shared" si="9"/>
        <v>438</v>
      </c>
      <c r="H120" s="99">
        <f>G120+'23'!H120</f>
        <v>-2882</v>
      </c>
      <c r="I120" s="165"/>
      <c r="J120" s="330">
        <f>H120/DAY(B2)</f>
        <v>-120.08333333333333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'23'!F121</f>
        <v>370233</v>
      </c>
      <c r="F121" s="237">
        <v>371027</v>
      </c>
      <c r="G121" s="112">
        <f t="shared" si="9"/>
        <v>794</v>
      </c>
      <c r="H121" s="99">
        <f>G121+'23'!H121</f>
        <v>-5502</v>
      </c>
      <c r="I121" s="165"/>
      <c r="J121" s="330">
        <f>H121/DAY(B2)</f>
        <v>-229.25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'23'!F122</f>
        <v>118297</v>
      </c>
      <c r="F122" s="237">
        <v>118488</v>
      </c>
      <c r="G122" s="112">
        <f t="shared" si="9"/>
        <v>191</v>
      </c>
      <c r="H122" s="99">
        <f>G122+'23'!H122</f>
        <v>-1562</v>
      </c>
      <c r="I122" s="165"/>
      <c r="J122" s="330">
        <f>H122/DAY(B2)</f>
        <v>-65.083333333333329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'23'!F123</f>
        <v>142355</v>
      </c>
      <c r="F123" s="237">
        <v>142703</v>
      </c>
      <c r="G123" s="112">
        <f t="shared" si="9"/>
        <v>348</v>
      </c>
      <c r="H123" s="99">
        <f>G123+'23'!H123</f>
        <v>-2422</v>
      </c>
      <c r="I123" s="165"/>
      <c r="J123" s="330">
        <f>H123/DAY(B2)</f>
        <v>-100.91666666666667</v>
      </c>
    </row>
    <row r="124" spans="1:18" ht="29.25" customHeight="1" x14ac:dyDescent="0.5">
      <c r="A124" s="839"/>
      <c r="B124" s="840"/>
      <c r="C124" s="841"/>
      <c r="D124" s="165"/>
      <c r="E124" s="95">
        <f>'23'!F124</f>
        <v>0</v>
      </c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3391</v>
      </c>
      <c r="H125" s="156"/>
      <c r="I125" s="329">
        <f>G125-(G39+G53)</f>
        <v>645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G127+'23'!H127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'23'!F128</f>
        <v>35320</v>
      </c>
      <c r="F128" s="165">
        <v>35649</v>
      </c>
      <c r="G128" s="112">
        <f t="shared" ref="G128:G134" si="10">F128-E128</f>
        <v>329</v>
      </c>
      <c r="H128" s="99">
        <f>G128+'23'!H128</f>
        <v>-2355</v>
      </c>
      <c r="I128" s="165"/>
      <c r="J128" s="330">
        <f>H128/DAY(B2)</f>
        <v>-98.125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'23'!F129</f>
        <v>18568</v>
      </c>
      <c r="F129" s="165">
        <v>18793</v>
      </c>
      <c r="G129" s="112">
        <f t="shared" si="10"/>
        <v>225</v>
      </c>
      <c r="H129" s="99">
        <f>G129+'23'!H129</f>
        <v>-1528</v>
      </c>
      <c r="I129" s="165"/>
      <c r="J129" s="330">
        <f>H129/DAY(B2)</f>
        <v>-63.666666666666664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'23'!F130</f>
        <v>12146</v>
      </c>
      <c r="F130" s="165">
        <v>12830</v>
      </c>
      <c r="G130" s="112">
        <f t="shared" si="10"/>
        <v>684</v>
      </c>
      <c r="H130" s="99">
        <f>G130+'23'!H130</f>
        <v>-5552.0000000000018</v>
      </c>
      <c r="I130" s="165"/>
      <c r="J130" s="330">
        <f>H130/DAY(B2)</f>
        <v>-231.3333333333334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'23'!F131</f>
        <v>12405</v>
      </c>
      <c r="F131" s="165">
        <v>12511</v>
      </c>
      <c r="G131" s="112">
        <f t="shared" si="10"/>
        <v>106</v>
      </c>
      <c r="H131" s="99">
        <f>G131+'23'!H131</f>
        <v>-642</v>
      </c>
      <c r="I131" s="165"/>
      <c r="J131" s="330">
        <f>H131/DAY(B2)</f>
        <v>-26.75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'23'!F132</f>
        <v>37178</v>
      </c>
      <c r="F132" s="165">
        <v>37692</v>
      </c>
      <c r="G132" s="112">
        <f t="shared" si="10"/>
        <v>514</v>
      </c>
      <c r="H132" s="99">
        <f>G132+'23'!H132</f>
        <v>-4944.1200000000026</v>
      </c>
      <c r="I132" s="165"/>
      <c r="J132" s="330">
        <f>H132/DAY(B2)</f>
        <v>-206.00500000000011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'23'!F133</f>
        <v>82391</v>
      </c>
      <c r="F133" s="165">
        <v>83070</v>
      </c>
      <c r="G133" s="112">
        <f t="shared" si="10"/>
        <v>679</v>
      </c>
      <c r="H133" s="99">
        <f>G133+'23'!H133</f>
        <v>-4633</v>
      </c>
      <c r="I133" s="165"/>
      <c r="J133" s="330">
        <f>H133/DAY(B2)</f>
        <v>-193.04166666666666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'23'!F134</f>
        <v>664239</v>
      </c>
      <c r="F134" s="504">
        <v>664602</v>
      </c>
      <c r="G134" s="112">
        <f t="shared" si="10"/>
        <v>363</v>
      </c>
      <c r="H134" s="99">
        <f>G134+'23'!H134</f>
        <v>13468</v>
      </c>
      <c r="I134" s="165"/>
      <c r="J134" s="330">
        <f>H134/DAY(B2)</f>
        <v>561.16666666666663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2900</v>
      </c>
      <c r="H135" s="99">
        <f>G135+'23'!H135</f>
        <v>-42048.71</v>
      </c>
      <c r="I135" s="329">
        <f>G135-(G35+G49)</f>
        <v>-195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'23'!F138</f>
        <v>863269</v>
      </c>
      <c r="F138" s="147">
        <v>863387</v>
      </c>
      <c r="G138" s="112">
        <f t="shared" ref="G138:G152" si="11">F138-E138</f>
        <v>118</v>
      </c>
      <c r="H138" s="99">
        <f>G138+'23'!H138</f>
        <v>-784</v>
      </c>
      <c r="I138" s="118"/>
      <c r="J138" s="330">
        <f>H138/DAY(B2)</f>
        <v>-32.666666666666664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'23'!F139</f>
        <v>886477</v>
      </c>
      <c r="F139" s="148">
        <v>886484</v>
      </c>
      <c r="G139" s="112">
        <f t="shared" si="11"/>
        <v>7</v>
      </c>
      <c r="H139" s="99">
        <f>G139+'23'!H139</f>
        <v>-62</v>
      </c>
      <c r="I139" s="118"/>
      <c r="J139" s="330">
        <f>H139/DAY(B2)</f>
        <v>-2.5833333333333335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'23'!F140</f>
        <v>88882.4</v>
      </c>
      <c r="F140" s="149">
        <v>88882</v>
      </c>
      <c r="G140" s="112">
        <f t="shared" si="11"/>
        <v>-0.39999999999417923</v>
      </c>
      <c r="H140" s="99">
        <f>G140+'23'!H140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'23'!F141</f>
        <v>47721</v>
      </c>
      <c r="F141" s="149">
        <v>47929</v>
      </c>
      <c r="G141" s="112">
        <f t="shared" si="11"/>
        <v>208</v>
      </c>
      <c r="H141" s="99">
        <f>G141+'23'!H141</f>
        <v>-1377</v>
      </c>
      <c r="I141" s="118"/>
      <c r="J141" s="330">
        <f>H141/DAY(B2)</f>
        <v>-57.375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'23'!F142</f>
        <v>18398</v>
      </c>
      <c r="F142" s="148">
        <v>18476</v>
      </c>
      <c r="G142" s="112">
        <f t="shared" si="11"/>
        <v>78</v>
      </c>
      <c r="H142" s="99">
        <f>G142+'23'!H142</f>
        <v>-533</v>
      </c>
      <c r="I142" s="140"/>
      <c r="J142" s="330">
        <f>H142/DAY(B2)</f>
        <v>-22.208333333333332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'23'!F143</f>
        <v>2877</v>
      </c>
      <c r="F143" s="149">
        <v>2900</v>
      </c>
      <c r="G143" s="112">
        <f t="shared" si="11"/>
        <v>23</v>
      </c>
      <c r="H143" s="99">
        <f>G143+'23'!H143</f>
        <v>-161</v>
      </c>
      <c r="I143" s="140"/>
      <c r="J143" s="330">
        <f>H143/DAY(B2)</f>
        <v>-6.708333333333333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'23'!F144</f>
        <v>867751</v>
      </c>
      <c r="F144" s="149">
        <v>867996</v>
      </c>
      <c r="G144" s="112">
        <f t="shared" si="11"/>
        <v>245</v>
      </c>
      <c r="H144" s="99">
        <f>G144+'23'!H144</f>
        <v>-1674</v>
      </c>
      <c r="I144" s="140"/>
      <c r="J144" s="330">
        <f>H144/DAY(B2)</f>
        <v>-69.75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'23'!F145</f>
        <v>4439</v>
      </c>
      <c r="F145" s="149">
        <v>4459</v>
      </c>
      <c r="G145" s="112">
        <f t="shared" si="11"/>
        <v>20</v>
      </c>
      <c r="H145" s="99">
        <f>G145+'23'!H145</f>
        <v>-99</v>
      </c>
      <c r="I145" s="140"/>
      <c r="J145" s="330">
        <f>H145/DAY(B2)</f>
        <v>-4.125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'23'!F146</f>
        <v>720962</v>
      </c>
      <c r="F146" s="148">
        <v>721410</v>
      </c>
      <c r="G146" s="112">
        <f t="shared" si="11"/>
        <v>448</v>
      </c>
      <c r="H146" s="99">
        <f>G146+'23'!H146</f>
        <v>-3448</v>
      </c>
      <c r="I146" s="140"/>
      <c r="J146" s="330">
        <f>H146/DAY(B2)</f>
        <v>-143.66666666666666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'23'!F147</f>
        <v>611914</v>
      </c>
      <c r="F147" s="148">
        <v>612294</v>
      </c>
      <c r="G147" s="112">
        <f t="shared" si="11"/>
        <v>380</v>
      </c>
      <c r="H147" s="99">
        <f>G147+'23'!H147</f>
        <v>-2988</v>
      </c>
      <c r="I147" s="140"/>
      <c r="J147" s="330">
        <f>H147/DAY(B2)</f>
        <v>-124.5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'23'!F148</f>
        <v>680640</v>
      </c>
      <c r="F148" s="150">
        <v>680925</v>
      </c>
      <c r="G148" s="112">
        <f t="shared" si="11"/>
        <v>285</v>
      </c>
      <c r="H148" s="99">
        <f>G148+'23'!H148</f>
        <v>-2108.1199999999953</v>
      </c>
      <c r="I148" s="124"/>
      <c r="J148" s="330">
        <f>H148/DAY(B2)</f>
        <v>-87.838333333333139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'23'!F149</f>
        <v>6290</v>
      </c>
      <c r="F149" s="146">
        <v>6843</v>
      </c>
      <c r="G149" s="112">
        <f t="shared" si="11"/>
        <v>553</v>
      </c>
      <c r="H149" s="99">
        <f>G149+'23'!H149</f>
        <v>183334.00000000003</v>
      </c>
      <c r="I149" s="119"/>
      <c r="J149" s="330">
        <f>H149/DAY(B2)</f>
        <v>7638.9166666666679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'23'!F150</f>
        <v>2235</v>
      </c>
      <c r="F150" s="233">
        <v>2464</v>
      </c>
      <c r="G150" s="112">
        <f t="shared" si="11"/>
        <v>229</v>
      </c>
      <c r="H150" s="99">
        <f>G150+'23'!H150</f>
        <v>7165452</v>
      </c>
      <c r="I150" s="119"/>
      <c r="J150" s="330">
        <f>H150/DAY(B2)</f>
        <v>298560.5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'23'!F151</f>
        <v>76296</v>
      </c>
      <c r="F151" s="233">
        <v>76543</v>
      </c>
      <c r="G151" s="112">
        <f t="shared" si="11"/>
        <v>247</v>
      </c>
      <c r="H151" s="99">
        <f>G151+'23'!H151</f>
        <v>-1674</v>
      </c>
      <c r="I151" s="119"/>
      <c r="J151" s="330">
        <f>H151/DAY(B2)</f>
        <v>-69.75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'23'!F152</f>
        <v>736</v>
      </c>
      <c r="F152" s="233">
        <v>789</v>
      </c>
      <c r="G152" s="112">
        <f t="shared" si="11"/>
        <v>53</v>
      </c>
      <c r="H152" s="99">
        <f>G152+'23'!H152</f>
        <v>-338</v>
      </c>
      <c r="I152" s="119"/>
      <c r="J152" s="330">
        <f>H152/DAY(B2)</f>
        <v>-14.083333333333334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2893.6000000000058</v>
      </c>
      <c r="H153" s="365"/>
      <c r="I153" s="119">
        <f>G153-(G38+G52)</f>
        <v>939.60000000000582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'23'!F155</f>
        <v>7467</v>
      </c>
      <c r="F155" s="507">
        <v>8074</v>
      </c>
      <c r="G155" s="112">
        <f t="shared" ref="G155:G158" si="12">F155-E155</f>
        <v>607</v>
      </c>
      <c r="H155" s="99">
        <f>G155+'23'!H155</f>
        <v>72219</v>
      </c>
      <c r="I155" s="366"/>
      <c r="J155" s="330">
        <f>H155/DAY(B2)</f>
        <v>3009.125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'23'!F156</f>
        <v>595</v>
      </c>
      <c r="F156" s="155">
        <v>646</v>
      </c>
      <c r="G156" s="112">
        <f t="shared" si="12"/>
        <v>51</v>
      </c>
      <c r="H156" s="99">
        <f>G156+'23'!H156</f>
        <v>-441.99999999999989</v>
      </c>
      <c r="I156" s="165"/>
      <c r="J156" s="330">
        <f>H156/DAY(B2)</f>
        <v>-18.416666666666661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v>712</v>
      </c>
      <c r="F157" s="155">
        <v>767</v>
      </c>
      <c r="G157" s="112">
        <f t="shared" si="12"/>
        <v>55</v>
      </c>
      <c r="H157" s="99">
        <f>G157+'23'!H157</f>
        <v>767</v>
      </c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v>1.08</v>
      </c>
      <c r="F158" s="155">
        <v>1.19</v>
      </c>
      <c r="G158" s="112">
        <f t="shared" si="12"/>
        <v>0.10999999999999988</v>
      </c>
      <c r="H158" s="99">
        <f>G158+'23'!H158</f>
        <v>1.19</v>
      </c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471149</v>
      </c>
      <c r="F161" s="235">
        <v>471149</v>
      </c>
      <c r="G161" s="238">
        <f t="shared" ref="G161:G165" si="13">F161-E161</f>
        <v>0</v>
      </c>
      <c r="H161" s="99">
        <f>G161+'23'!H161</f>
        <v>-4.1599999999743886</v>
      </c>
      <c r="I161" s="236"/>
      <c r="J161" s="239">
        <f>H161/DAY(B2)</f>
        <v>-0.17333333333226619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87360</v>
      </c>
      <c r="F162" s="235">
        <v>87391</v>
      </c>
      <c r="G162" s="238">
        <f t="shared" si="13"/>
        <v>31</v>
      </c>
      <c r="H162" s="99">
        <f>G162+'23'!H162</f>
        <v>-179</v>
      </c>
      <c r="I162" s="236"/>
      <c r="J162" s="239">
        <f>H162/DAY(B2)</f>
        <v>-7.458333333333333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77324</v>
      </c>
      <c r="F163" s="235">
        <v>77385</v>
      </c>
      <c r="G163" s="238">
        <f t="shared" si="13"/>
        <v>61</v>
      </c>
      <c r="H163" s="99">
        <f>G163+'23'!H163</f>
        <v>-440</v>
      </c>
      <c r="I163" s="236"/>
      <c r="J163" s="239">
        <f>H163/DAY(B2)</f>
        <v>-18.333333333333332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4217</v>
      </c>
      <c r="F164" s="235">
        <v>4223</v>
      </c>
      <c r="G164" s="238">
        <f t="shared" si="13"/>
        <v>6</v>
      </c>
      <c r="H164" s="99">
        <f>G164+'23'!H164</f>
        <v>-19</v>
      </c>
      <c r="I164" s="236"/>
      <c r="J164" s="239">
        <f>H164/DAY(B2)</f>
        <v>-0.79166666666666663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29592</v>
      </c>
      <c r="F165" s="235">
        <v>29602</v>
      </c>
      <c r="G165" s="238">
        <f t="shared" si="13"/>
        <v>10</v>
      </c>
      <c r="H165" s="99">
        <f>G165+'23'!H165</f>
        <v>-44</v>
      </c>
      <c r="I165" s="236"/>
      <c r="J165" s="239">
        <f>H165/DAY(B2)</f>
        <v>-1.8333333333333333</v>
      </c>
    </row>
    <row r="166" spans="1:10" ht="29.25" x14ac:dyDescent="0.5">
      <c r="A166" s="824"/>
      <c r="B166" s="824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1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28" t="s">
        <v>209</v>
      </c>
      <c r="B173" s="829"/>
      <c r="C173" s="335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28" t="s">
        <v>75</v>
      </c>
      <c r="B174" s="829"/>
      <c r="C174" s="335"/>
      <c r="D174" s="228" t="s">
        <v>142</v>
      </c>
      <c r="E174" s="95">
        <f>'23'!F174</f>
        <v>38176</v>
      </c>
      <c r="F174" s="157">
        <v>38190</v>
      </c>
      <c r="G174" s="155">
        <f t="shared" ref="G174:G175" si="14">F174-E174</f>
        <v>14</v>
      </c>
      <c r="H174" s="99">
        <f>G174+'23'!H174</f>
        <v>-97</v>
      </c>
      <c r="I174" s="155"/>
      <c r="J174" s="178">
        <f>H174/DAY(B2)</f>
        <v>-4.041666666666667</v>
      </c>
    </row>
    <row r="175" spans="1:10" ht="27" customHeight="1" x14ac:dyDescent="0.5">
      <c r="A175" s="828" t="s">
        <v>76</v>
      </c>
      <c r="B175" s="868"/>
      <c r="C175" s="829"/>
      <c r="D175" s="228" t="s">
        <v>142</v>
      </c>
      <c r="E175" s="95">
        <f>'23'!F175</f>
        <v>21427</v>
      </c>
      <c r="F175" s="155">
        <v>21438</v>
      </c>
      <c r="G175" s="155">
        <f t="shared" si="14"/>
        <v>11</v>
      </c>
      <c r="H175" s="99">
        <f>G175+'23'!H175</f>
        <v>-80</v>
      </c>
      <c r="I175" s="155"/>
      <c r="J175" s="178">
        <f>H175/DAY(B2)</f>
        <v>-3.3333333333333335</v>
      </c>
    </row>
    <row r="176" spans="1:10" ht="21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25</v>
      </c>
      <c r="H176" s="99">
        <f>G176+'23'!H176</f>
        <v>-177</v>
      </c>
      <c r="I176" s="155"/>
      <c r="J176" s="178">
        <f>H176/DAY(B2)</f>
        <v>-7.375</v>
      </c>
    </row>
    <row r="177" spans="1:10" ht="21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'23'!F178</f>
        <v>79028</v>
      </c>
      <c r="F178" s="155">
        <v>79127</v>
      </c>
      <c r="G178" s="155">
        <f>F178-E178</f>
        <v>99</v>
      </c>
      <c r="H178" s="99">
        <f>G178+'23'!H178</f>
        <v>-487</v>
      </c>
      <c r="I178" s="155"/>
      <c r="J178" s="178">
        <f>H178/DAY(B2)</f>
        <v>-20.291666666666668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'23'!F179</f>
        <v>33915</v>
      </c>
      <c r="F179" s="155">
        <v>33915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'23'!F180</f>
        <v>5428</v>
      </c>
      <c r="F180" s="155">
        <v>5437</v>
      </c>
      <c r="G180" s="155">
        <f t="shared" si="15"/>
        <v>9</v>
      </c>
      <c r="H180" s="99">
        <f>G180+'23'!H180</f>
        <v>-40</v>
      </c>
      <c r="I180" s="155"/>
      <c r="J180" s="178">
        <f>H180/DAY(B2)</f>
        <v>-1.6666666666666667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108</v>
      </c>
      <c r="H181" s="99">
        <f>G181+'23'!H181</f>
        <v>-527</v>
      </c>
      <c r="I181" s="155"/>
      <c r="J181" s="178">
        <f>H181/DAY(B2)</f>
        <v>-21.958333333333332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'23'!F183</f>
        <v>14817</v>
      </c>
      <c r="F183" s="157">
        <v>14832</v>
      </c>
      <c r="G183" s="157">
        <f>F183-E183</f>
        <v>15</v>
      </c>
      <c r="H183" s="99">
        <f>G183+'23'!H183</f>
        <v>-115</v>
      </c>
      <c r="I183" s="155"/>
      <c r="J183" s="178">
        <f>H183/DAY(B2)</f>
        <v>-4.791666666666667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'23'!F184</f>
        <v>10240</v>
      </c>
      <c r="F184" s="157">
        <v>10248</v>
      </c>
      <c r="G184" s="157">
        <f t="shared" ref="G184:G185" si="16">F184-E184</f>
        <v>8</v>
      </c>
      <c r="H184" s="99">
        <f>G184+'23'!H184</f>
        <v>-53</v>
      </c>
      <c r="I184" s="155"/>
      <c r="J184" s="178">
        <f>H184/DAY(B2)</f>
        <v>-2.2083333333333335</v>
      </c>
    </row>
    <row r="185" spans="1:10" ht="26.25" customHeight="1" x14ac:dyDescent="0.5">
      <c r="A185" s="828" t="s">
        <v>216</v>
      </c>
      <c r="B185" s="829"/>
      <c r="C185" s="336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23</v>
      </c>
      <c r="H186" s="99">
        <f>G186+'23'!H186</f>
        <v>-168</v>
      </c>
      <c r="I186" s="157"/>
      <c r="J186" s="178">
        <f>H186/DAY(B2)</f>
        <v>-7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>
        <f>'23'!F187</f>
        <v>0</v>
      </c>
      <c r="F187" s="159"/>
      <c r="G187" s="464">
        <f>G62+G19</f>
        <v>165</v>
      </c>
      <c r="H187" s="99">
        <f>G187+'23'!H187</f>
        <v>511</v>
      </c>
      <c r="I187" s="158"/>
      <c r="J187" s="179">
        <f>H187/DAY(B2)</f>
        <v>21.291666666666668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'23'!F188</f>
        <v>0</v>
      </c>
      <c r="F188" s="159"/>
      <c r="G188" s="464">
        <f>G65+G66+G67+G69+G70</f>
        <v>162</v>
      </c>
      <c r="H188" s="99">
        <f>G188+'23'!H188</f>
        <v>1708</v>
      </c>
      <c r="I188" s="158"/>
      <c r="J188" s="179">
        <f>H188/DAY(B2)</f>
        <v>71.166666666666671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'23'!F189</f>
        <v>0</v>
      </c>
      <c r="F189" s="157"/>
      <c r="G189" s="461">
        <f>G181</f>
        <v>108</v>
      </c>
      <c r="H189" s="99">
        <f>G189+'23'!H189</f>
        <v>454</v>
      </c>
      <c r="I189" s="158"/>
      <c r="J189" s="179">
        <f>H189/DAY(B2)</f>
        <v>18.916666666666668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3" zoomScale="55" zoomScaleNormal="49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44555</v>
      </c>
      <c r="C2" s="350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622478</v>
      </c>
      <c r="F7" s="95">
        <f>E7+23500</f>
        <v>645978</v>
      </c>
      <c r="G7" s="112">
        <f>F7-E7</f>
        <v>23500</v>
      </c>
      <c r="H7" s="99">
        <f>G7+'24'!H7</f>
        <v>551417</v>
      </c>
      <c r="I7" s="113">
        <f>'1'!I7</f>
        <v>12000</v>
      </c>
      <c r="J7" s="175">
        <f>H7/DAY(B2)</f>
        <v>22056.68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v>0</v>
      </c>
      <c r="F8" s="611">
        <f>E8+23500</f>
        <v>23500</v>
      </c>
      <c r="G8" s="115">
        <f>F8-E8</f>
        <v>23500</v>
      </c>
      <c r="H8" s="99">
        <f>G8+'24'!H8</f>
        <v>555052</v>
      </c>
      <c r="I8" s="116"/>
      <c r="J8" s="175">
        <f>H8/DAY(B2)</f>
        <v>22202.080000000002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221657</v>
      </c>
      <c r="F9" s="605">
        <f>E9+14000</f>
        <v>235657</v>
      </c>
      <c r="G9" s="112">
        <f>F9-E9</f>
        <v>14000</v>
      </c>
      <c r="H9" s="99">
        <f>G9+'24'!H9</f>
        <v>334162</v>
      </c>
      <c r="I9" s="124">
        <f>I7-J7</f>
        <v>-10056.68</v>
      </c>
      <c r="J9" s="175">
        <f>H9/DAY(B2)</f>
        <v>13366.48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525050</v>
      </c>
      <c r="F10" s="355">
        <f>E10+4500</f>
        <v>529550</v>
      </c>
      <c r="G10" s="112">
        <f t="shared" ref="G10:G12" si="0">F10-E10</f>
        <v>4500</v>
      </c>
      <c r="H10" s="99">
        <f>G10+'24'!H10</f>
        <v>132440</v>
      </c>
      <c r="I10" s="282"/>
      <c r="J10" s="175">
        <f>H10/DAY(B2)</f>
        <v>5297.6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G13+'24'!H13</f>
        <v>447136.74999999988</v>
      </c>
      <c r="I13" s="120">
        <f>G7-G13</f>
        <v>5000</v>
      </c>
      <c r="J13" s="175">
        <f>H13/DAY(B2)</f>
        <v>17885.469999999994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'24'!F15</f>
        <v>1870526</v>
      </c>
      <c r="F15" s="123">
        <f>E15+1100</f>
        <v>1871626</v>
      </c>
      <c r="G15" s="112">
        <f>(F15-E15)</f>
        <v>1100</v>
      </c>
      <c r="H15" s="99">
        <f>G15+'24'!H15</f>
        <v>25769</v>
      </c>
      <c r="I15" s="113">
        <f>'1'!I15</f>
        <v>800</v>
      </c>
      <c r="J15" s="175">
        <f>H15/DAY(B2)</f>
        <v>1030.76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-230.76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'24'!F18</f>
        <v>195</v>
      </c>
      <c r="F18" s="122">
        <f>E18+12</f>
        <v>207</v>
      </c>
      <c r="G18" s="119">
        <f>F18*10</f>
        <v>2070</v>
      </c>
      <c r="H18" s="99">
        <f>G18+'24'!H18</f>
        <v>19940</v>
      </c>
      <c r="I18" s="113">
        <f>'1'!I18</f>
        <v>65</v>
      </c>
      <c r="J18" s="175">
        <f>H18/DAY(B2)</f>
        <v>797.6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'24'!F19</f>
        <v>153520</v>
      </c>
      <c r="F19" s="122">
        <f>E19+55</f>
        <v>153575</v>
      </c>
      <c r="G19" s="112">
        <f t="shared" ref="G19" si="1">F19-E19</f>
        <v>55</v>
      </c>
      <c r="H19" s="99">
        <f>G19+'24'!H19</f>
        <v>1350</v>
      </c>
      <c r="I19" s="337"/>
      <c r="J19" s="175">
        <f>H19/DAY(B2)</f>
        <v>54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2125</v>
      </c>
      <c r="H20" s="99">
        <f>G20+'24'!H20</f>
        <v>21290</v>
      </c>
      <c r="I20" s="338">
        <f>I18-J20</f>
        <v>-786.6</v>
      </c>
      <c r="J20" s="175">
        <f>H20/DAY(B2)</f>
        <v>851.6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G27+'24'!H27</f>
        <v>4995468</v>
      </c>
      <c r="I27" s="138"/>
      <c r="J27" s="175">
        <f>H27/DAY(B2)</f>
        <v>199818.72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G28+'24'!H28</f>
        <v>1339988</v>
      </c>
      <c r="I28" s="140"/>
      <c r="J28" s="175">
        <f>H28/DAY(B2)</f>
        <v>53599.519999999997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G30+'24'!H30</f>
        <v>197100</v>
      </c>
      <c r="I30" s="140"/>
      <c r="J30" s="175">
        <f>H30/DAY(B2)</f>
        <v>7884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2070</v>
      </c>
      <c r="F31" s="136">
        <v>80</v>
      </c>
      <c r="G31" s="137">
        <f>E31*F31</f>
        <v>165600</v>
      </c>
      <c r="H31" s="99">
        <f>G31+'24'!H31</f>
        <v>1595200</v>
      </c>
      <c r="I31" s="140"/>
      <c r="J31" s="175">
        <f>H31/DAY(B2)</f>
        <v>63808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442330</v>
      </c>
      <c r="H32" s="99">
        <f>G32+'24'!H32</f>
        <v>8127756</v>
      </c>
      <c r="I32" s="144"/>
      <c r="J32" s="175">
        <f>H32/DAY(B2)</f>
        <v>325110.24</v>
      </c>
      <c r="K32" s="63"/>
      <c r="L32" s="89"/>
      <c r="N32" s="87"/>
      <c r="O32" s="71"/>
    </row>
    <row r="33" spans="1:15" ht="25.5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139879</v>
      </c>
      <c r="F35" s="145">
        <v>141529</v>
      </c>
      <c r="G35" s="112">
        <f t="shared" ref="G35:G46" si="3">F35-E35</f>
        <v>1650</v>
      </c>
      <c r="H35" s="99">
        <f>G35+'24'!H35</f>
        <v>156729</v>
      </c>
      <c r="I35" s="95"/>
      <c r="J35" s="175">
        <f>H35/DAY(B2)</f>
        <v>6269.16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14922</v>
      </c>
      <c r="F36" s="145">
        <v>16090</v>
      </c>
      <c r="G36" s="112">
        <f t="shared" si="3"/>
        <v>1168</v>
      </c>
      <c r="H36" s="99">
        <f>G36+'24'!H36</f>
        <v>84293</v>
      </c>
      <c r="I36" s="95"/>
      <c r="J36" s="175">
        <f>H36/DAY(B2)</f>
        <v>3371.72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184300</v>
      </c>
      <c r="F37" s="145">
        <v>185932</v>
      </c>
      <c r="G37" s="112">
        <f t="shared" si="3"/>
        <v>1632</v>
      </c>
      <c r="H37" s="99">
        <f>G37+'24'!H37</f>
        <v>198144</v>
      </c>
      <c r="I37" s="95"/>
      <c r="J37" s="175">
        <f>H37/DAY(B2)</f>
        <v>7925.76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219024</v>
      </c>
      <c r="F38" s="108">
        <v>221059</v>
      </c>
      <c r="G38" s="112">
        <f t="shared" si="3"/>
        <v>2035</v>
      </c>
      <c r="H38" s="99">
        <f>G38+'24'!H38</f>
        <v>234259</v>
      </c>
      <c r="I38" s="95"/>
      <c r="J38" s="175">
        <f>H38/DAY(B2)</f>
        <v>9370.36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391702</v>
      </c>
      <c r="F39" s="145">
        <v>394552</v>
      </c>
      <c r="G39" s="112">
        <f t="shared" si="3"/>
        <v>2850</v>
      </c>
      <c r="H39" s="99">
        <f>G39+'24'!H39</f>
        <v>416234</v>
      </c>
      <c r="I39" s="95"/>
      <c r="J39" s="175">
        <f>H39/DAY(B2)</f>
        <v>16649.36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2406</v>
      </c>
      <c r="F40" s="145">
        <v>2887</v>
      </c>
      <c r="G40" s="112">
        <f t="shared" si="3"/>
        <v>481</v>
      </c>
      <c r="H40" s="99">
        <f>G40+'24'!H40</f>
        <v>-2182.8500000000004</v>
      </c>
      <c r="I40" s="95"/>
      <c r="J40" s="175">
        <f>H40/DAY(B2)</f>
        <v>-87.314000000000021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599900</v>
      </c>
      <c r="I41" s="95"/>
      <c r="J41" s="175">
        <f>H41/DAY(B2)</f>
        <v>23996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48063</v>
      </c>
      <c r="F42" s="145">
        <v>53055</v>
      </c>
      <c r="G42" s="112">
        <f t="shared" si="3"/>
        <v>4992</v>
      </c>
      <c r="H42" s="99">
        <f>G42+'24'!H42</f>
        <v>336906</v>
      </c>
      <c r="I42" s="95"/>
      <c r="J42" s="175">
        <f>H42/DAY(B2)</f>
        <v>13476.24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28980</v>
      </c>
      <c r="F43" s="145">
        <v>31665</v>
      </c>
      <c r="G43" s="112">
        <f t="shared" si="3"/>
        <v>2685</v>
      </c>
      <c r="H43" s="99">
        <f>G43+'24'!H43</f>
        <v>1549084.9999999998</v>
      </c>
      <c r="I43" s="95"/>
      <c r="J43" s="175">
        <f>H43/DAY(B2)</f>
        <v>61963.399999999994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17493</v>
      </c>
      <c r="H47" s="99">
        <f>G47+'24'!H47</f>
        <v>3573367.15</v>
      </c>
      <c r="I47" s="95"/>
      <c r="J47" s="175">
        <f>H47/DAY(B2)</f>
        <v>142934.68599999999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261805</v>
      </c>
      <c r="F49" s="145">
        <v>263398</v>
      </c>
      <c r="G49" s="112">
        <f t="shared" ref="G49:G58" si="4">F49-E49</f>
        <v>1593</v>
      </c>
      <c r="H49" s="99">
        <f>G49+'24'!H49</f>
        <v>276519.00000000006</v>
      </c>
      <c r="I49" s="95"/>
      <c r="J49" s="175">
        <f>H49/DAY(B2)</f>
        <v>11060.760000000002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16307</v>
      </c>
      <c r="F50" s="145">
        <v>17700</v>
      </c>
      <c r="G50" s="112">
        <f t="shared" si="4"/>
        <v>1393</v>
      </c>
      <c r="H50" s="99">
        <f>G50+'24'!H50</f>
        <v>732125.00000000012</v>
      </c>
      <c r="I50" s="95"/>
      <c r="J50" s="175">
        <f>H50/DAY(B2)</f>
        <v>29285.000000000004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3153</v>
      </c>
      <c r="F54" s="145">
        <v>3157</v>
      </c>
      <c r="G54" s="112">
        <f t="shared" si="4"/>
        <v>4</v>
      </c>
      <c r="H54" s="99">
        <f>G54+'24'!H54</f>
        <v>4924.08</v>
      </c>
      <c r="I54" s="95"/>
      <c r="J54" s="175">
        <f>H54/DAY(B2)</f>
        <v>196.9632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-3511</v>
      </c>
      <c r="I55" s="95"/>
      <c r="J55" s="175">
        <f>H55/DAY(B2)</f>
        <v>-140.44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212065</v>
      </c>
      <c r="I56" s="95"/>
      <c r="J56" s="175">
        <f>H56/DAY(B2)</f>
        <v>8482.6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90799</v>
      </c>
      <c r="F58" s="145">
        <v>91011</v>
      </c>
      <c r="G58" s="112">
        <f t="shared" si="4"/>
        <v>212</v>
      </c>
      <c r="H58" s="99">
        <f>G58+'24'!H58</f>
        <v>91351.63</v>
      </c>
      <c r="I58" s="95"/>
      <c r="J58" s="175">
        <f>H58/DAY(B2)</f>
        <v>3654.0652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3202</v>
      </c>
      <c r="H59" s="99">
        <f>G59+'24'!H59</f>
        <v>1313473.7100000002</v>
      </c>
      <c r="I59" s="95">
        <f>G7-G60</f>
        <v>2805</v>
      </c>
      <c r="J59" s="175">
        <f>H59/DAY(B2)</f>
        <v>52538.948400000008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20695</v>
      </c>
      <c r="H60" s="99">
        <f>G60+'24'!H60</f>
        <v>4886840.8600000013</v>
      </c>
      <c r="I60" s="95">
        <f>G13-G60</f>
        <v>-2195</v>
      </c>
      <c r="J60" s="175">
        <f>H60/DAY(B2)</f>
        <v>195473.63440000004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'24'!F62</f>
        <v>266429</v>
      </c>
      <c r="F62" s="122">
        <v>266550</v>
      </c>
      <c r="G62" s="112">
        <f t="shared" ref="G62:G63" si="5">F62-E62</f>
        <v>121</v>
      </c>
      <c r="H62" s="99">
        <f>G62+'24'!H62</f>
        <v>-663</v>
      </c>
      <c r="I62" s="118"/>
      <c r="J62" s="175">
        <f>H62/DAY(B2)</f>
        <v>-26.52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'24'!F63</f>
        <v>211785</v>
      </c>
      <c r="F63" s="122">
        <v>211910</v>
      </c>
      <c r="G63" s="112">
        <f t="shared" si="5"/>
        <v>125</v>
      </c>
      <c r="H63" s="99">
        <f>G63+'24'!H63</f>
        <v>-515</v>
      </c>
      <c r="I63" s="118"/>
      <c r="J63" s="175">
        <f>H63/DAY(B2)</f>
        <v>-20.6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'24'!F64</f>
        <v>0</v>
      </c>
      <c r="F64" s="122"/>
      <c r="G64" s="112">
        <f>G62+G63</f>
        <v>246</v>
      </c>
      <c r="H64" s="99">
        <f>G64+'24'!H64</f>
        <v>-1178</v>
      </c>
      <c r="I64" s="118"/>
      <c r="J64" s="175">
        <f>H64/DAY(B2)</f>
        <v>-47.12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'24'!F65</f>
        <v>431876</v>
      </c>
      <c r="F65" s="122">
        <v>431967</v>
      </c>
      <c r="G65" s="112">
        <f t="shared" ref="G65:G70" si="6">F65-E65</f>
        <v>91</v>
      </c>
      <c r="H65" s="99">
        <f>G65+'24'!H65</f>
        <v>-647</v>
      </c>
      <c r="I65" s="118"/>
      <c r="J65" s="175">
        <f>H65/DAY(B2)</f>
        <v>-25.88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'24'!F66</f>
        <v>107070</v>
      </c>
      <c r="F66" s="122">
        <v>107094</v>
      </c>
      <c r="G66" s="112">
        <f t="shared" si="6"/>
        <v>24</v>
      </c>
      <c r="H66" s="99">
        <f>G66+'24'!H66</f>
        <v>-120</v>
      </c>
      <c r="I66" s="118"/>
      <c r="J66" s="175">
        <f>H66/DAY(B2)</f>
        <v>-4.8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'24'!F67</f>
        <v>103711</v>
      </c>
      <c r="F67" s="122">
        <v>103749</v>
      </c>
      <c r="G67" s="112">
        <f t="shared" si="6"/>
        <v>38</v>
      </c>
      <c r="H67" s="99">
        <f>G67+'24'!H67</f>
        <v>-179</v>
      </c>
      <c r="I67" s="118"/>
      <c r="J67" s="175">
        <f>H67/DAY(B2)</f>
        <v>-7.16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'24'!F68</f>
        <v>156386</v>
      </c>
      <c r="F68" s="122">
        <v>156414</v>
      </c>
      <c r="G68" s="112">
        <f t="shared" si="6"/>
        <v>28</v>
      </c>
      <c r="H68" s="99">
        <f>G68+'24'!H68</f>
        <v>-206</v>
      </c>
      <c r="I68" s="118"/>
      <c r="J68" s="175">
        <f>H68/DAY(B2)</f>
        <v>-8.24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'24'!F69</f>
        <v>10118</v>
      </c>
      <c r="F69" s="122">
        <v>10132</v>
      </c>
      <c r="G69" s="112">
        <f t="shared" si="6"/>
        <v>14</v>
      </c>
      <c r="H69" s="99">
        <f>G69+'24'!H69</f>
        <v>-82</v>
      </c>
      <c r="I69" s="118"/>
      <c r="J69" s="175">
        <f>H69/DAY(B2)</f>
        <v>-3.28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'24'!F70</f>
        <v>7801</v>
      </c>
      <c r="F70" s="122">
        <v>7811</v>
      </c>
      <c r="G70" s="112">
        <f t="shared" si="6"/>
        <v>10</v>
      </c>
      <c r="H70" s="99">
        <f>G70+'24'!H70</f>
        <v>-51</v>
      </c>
      <c r="I70" s="118"/>
      <c r="J70" s="175">
        <f>H70/DAY(B2)</f>
        <v>-2.04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205</v>
      </c>
      <c r="H71" s="99">
        <f>G71+'24'!H71</f>
        <v>-1285</v>
      </c>
      <c r="I71" s="154"/>
      <c r="J71" s="175">
        <f>H71/DAY(B2)</f>
        <v>-51.4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'24'!F74</f>
        <v>889828</v>
      </c>
      <c r="F74" s="123">
        <v>890157</v>
      </c>
      <c r="G74" s="112">
        <f t="shared" ref="G74:G78" si="7">F74-E74</f>
        <v>329</v>
      </c>
      <c r="H74" s="99">
        <f>G74+'24'!H74</f>
        <v>-1875</v>
      </c>
      <c r="I74" s="154"/>
      <c r="J74" s="175">
        <f>H74/DAY(B2)</f>
        <v>-75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243.88999999999942</v>
      </c>
      <c r="I75" s="154"/>
      <c r="J75" s="175">
        <f>H75/DAY(B2)</f>
        <v>9.7555999999999763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'24'!F76</f>
        <v>166459</v>
      </c>
      <c r="F76" s="123">
        <v>166582</v>
      </c>
      <c r="G76" s="112">
        <f t="shared" si="7"/>
        <v>123</v>
      </c>
      <c r="H76" s="99">
        <f>G76+'24'!H76</f>
        <v>-625</v>
      </c>
      <c r="I76" s="154"/>
      <c r="J76" s="175">
        <f>H76/DAY(B2)</f>
        <v>-25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'24'!F77</f>
        <v>39983</v>
      </c>
      <c r="F77" s="232">
        <v>40066</v>
      </c>
      <c r="G77" s="112">
        <f t="shared" si="7"/>
        <v>83</v>
      </c>
      <c r="H77" s="99">
        <f>G77+'24'!H77</f>
        <v>-250</v>
      </c>
      <c r="I77" s="154"/>
      <c r="J77" s="175">
        <f>H77/DAY(B2)</f>
        <v>-10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'24'!F78</f>
        <v>9472</v>
      </c>
      <c r="F78" s="123">
        <v>9476</v>
      </c>
      <c r="G78" s="112">
        <f t="shared" si="7"/>
        <v>4</v>
      </c>
      <c r="H78" s="99">
        <f>G78+'24'!H78</f>
        <v>-10</v>
      </c>
      <c r="I78" s="118"/>
      <c r="J78" s="175">
        <f>H78/DAY(B2)</f>
        <v>-0.4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'24'!F79</f>
        <v>0</v>
      </c>
      <c r="F79" s="117"/>
      <c r="G79" s="112">
        <f>G15-SUM(G74:G78)</f>
        <v>561</v>
      </c>
      <c r="H79" s="99">
        <f>G79+'24'!H79</f>
        <v>28285.109999999997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'24'!F84</f>
        <v>41675.4</v>
      </c>
      <c r="F84" s="164">
        <v>41675.4</v>
      </c>
      <c r="G84" s="112">
        <f t="shared" si="8"/>
        <v>0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'24'!F85</f>
        <v>1964</v>
      </c>
      <c r="F85" s="164">
        <v>1988</v>
      </c>
      <c r="G85" s="112">
        <f t="shared" si="8"/>
        <v>24</v>
      </c>
      <c r="H85" s="99">
        <f>G85+'24'!H85</f>
        <v>-108.55999999999995</v>
      </c>
      <c r="I85" s="118">
        <f>G82+G83+G84+G85</f>
        <v>24</v>
      </c>
      <c r="J85" s="175">
        <f>H85/DAY(B2)</f>
        <v>-4.3423999999999978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'24'!F86</f>
        <v>42826.47</v>
      </c>
      <c r="F86" s="164">
        <v>42826.47</v>
      </c>
      <c r="G86" s="112">
        <f t="shared" si="8"/>
        <v>0</v>
      </c>
      <c r="H86" s="99">
        <f>G86+'24'!H86</f>
        <v>-36.529999999998836</v>
      </c>
      <c r="I86" s="118"/>
      <c r="J86" s="175">
        <f>H86/DAY(B2)</f>
        <v>-1.4611999999999534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'24'!F88</f>
        <v>24007.97</v>
      </c>
      <c r="F88" s="164">
        <v>24017</v>
      </c>
      <c r="G88" s="112">
        <f t="shared" si="8"/>
        <v>9.0299999999988358</v>
      </c>
      <c r="H88" s="99">
        <f>G88+'24'!H88</f>
        <v>-30</v>
      </c>
      <c r="I88" s="118">
        <f>G86+G87+G88</f>
        <v>9.0299999999988358</v>
      </c>
      <c r="J88" s="175">
        <f>H88/DAY(B2)</f>
        <v>-1.2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'24'!F89</f>
        <v>25634</v>
      </c>
      <c r="F89" s="164">
        <v>25634</v>
      </c>
      <c r="G89" s="112">
        <f t="shared" si="8"/>
        <v>0</v>
      </c>
      <c r="H89" s="99">
        <f>G89+'24'!H89</f>
        <v>-29</v>
      </c>
      <c r="I89" s="118"/>
      <c r="J89" s="175">
        <f>H89/DAY(B2)</f>
        <v>-1.1599999999999999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'24'!F90</f>
        <v>70991.8</v>
      </c>
      <c r="F90" s="164">
        <v>70999.649999999994</v>
      </c>
      <c r="G90" s="112">
        <f t="shared" si="8"/>
        <v>7.8499999999912689</v>
      </c>
      <c r="H90" s="99">
        <f>G90+'24'!H90</f>
        <v>-34.350000000005821</v>
      </c>
      <c r="I90" s="118">
        <f>G89+G90</f>
        <v>7.8499999999912689</v>
      </c>
      <c r="J90" s="175">
        <f>H90/DAY(B2)</f>
        <v>-1.3740000000002328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-0.32000000000016371</v>
      </c>
      <c r="I91" s="165"/>
      <c r="J91" s="175">
        <f>H91/DAY(B2)</f>
        <v>-1.2800000000006549E-2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'24'!F92</f>
        <v>5361</v>
      </c>
      <c r="F92" s="122">
        <v>5373</v>
      </c>
      <c r="G92" s="112">
        <f t="shared" si="8"/>
        <v>12</v>
      </c>
      <c r="H92" s="99">
        <f>G92+'24'!H92</f>
        <v>-65</v>
      </c>
      <c r="I92" s="165"/>
      <c r="J92" s="175">
        <f>H92/DAY(B2)</f>
        <v>-2.6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5928</v>
      </c>
      <c r="H94" s="99">
        <f>G94+'24'!H94</f>
        <v>1982333</v>
      </c>
      <c r="I94" s="118"/>
      <c r="J94" s="175">
        <f>H94/DAY(B2)</f>
        <v>79293.320000000007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0.25225531914893617</v>
      </c>
      <c r="H95" s="99">
        <f>G95+'24'!H95</f>
        <v>84.815954985790611</v>
      </c>
      <c r="I95" s="167"/>
      <c r="J95" s="175">
        <f>H95/DAY(B2)</f>
        <v>3.3926381994316244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4992</v>
      </c>
      <c r="H96" s="99">
        <f>G96+'24'!H96</f>
        <v>1145360.0000000002</v>
      </c>
      <c r="I96" s="118"/>
      <c r="J96" s="175">
        <f>H96/DAY(B2)</f>
        <v>45814.400000000009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0.21242553191489361</v>
      </c>
      <c r="H97" s="99">
        <f>G97+'24'!H97</f>
        <v>48.98167784962078</v>
      </c>
      <c r="I97" s="167"/>
      <c r="J97" s="175">
        <f>H97/DAY(B2)</f>
        <v>1.9592671139848312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2850</v>
      </c>
      <c r="H98" s="99">
        <f>G98+'24'!H98</f>
        <v>416234</v>
      </c>
      <c r="I98" s="168"/>
      <c r="J98" s="175">
        <f>H98/DAY(B2)</f>
        <v>16649.36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0.12127659574468085</v>
      </c>
      <c r="H99" s="99">
        <f>G99+'24'!H99</f>
        <v>17.92603501124723</v>
      </c>
      <c r="I99" s="168"/>
      <c r="J99" s="175">
        <f>H99/DAY(B2)</f>
        <v>0.71704140044988918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2035</v>
      </c>
      <c r="H100" s="99">
        <f>G100+'24'!H100</f>
        <v>234259</v>
      </c>
      <c r="I100" s="118"/>
      <c r="J100" s="175">
        <f>H100/DAY(B2)</f>
        <v>9370.36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8.6595744680851058E-2</v>
      </c>
      <c r="H101" s="99">
        <f>G101+'24'!H101</f>
        <v>10.099339806408794</v>
      </c>
      <c r="I101" s="168"/>
      <c r="J101" s="175">
        <f>H101/DAY(B2)</f>
        <v>0.40397359225635177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2561</v>
      </c>
      <c r="H102" s="99">
        <f>G102+'24'!H102</f>
        <v>816417.99999999988</v>
      </c>
      <c r="I102" s="168"/>
      <c r="J102" s="175">
        <f>H102/DAY(B2)</f>
        <v>32656.719999999994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0.10897872340425532</v>
      </c>
      <c r="H103" s="99">
        <f>G103+'24'!H103</f>
        <v>34.885530112291001</v>
      </c>
      <c r="I103" s="118"/>
      <c r="J103" s="175">
        <f>H103/DAY(B2)</f>
        <v>1.3954212044916401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1632</v>
      </c>
      <c r="H104" s="99">
        <f>G104+'24'!H104</f>
        <v>198144</v>
      </c>
      <c r="I104" s="118"/>
      <c r="J104" s="175">
        <f>H104/DAY(B2)</f>
        <v>7925.76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6.9446808510638294E-2</v>
      </c>
      <c r="H105" s="99">
        <f>G105+'24'!H105</f>
        <v>8.5521244531997898</v>
      </c>
      <c r="I105" s="187"/>
      <c r="J105" s="188">
        <f>H105/DAY(B2)</f>
        <v>0.3420849781279916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'24'!F112</f>
        <v>55191</v>
      </c>
      <c r="F112" s="237">
        <v>55261</v>
      </c>
      <c r="G112" s="112">
        <f t="shared" ref="G112:G123" si="9">F112-E112</f>
        <v>70</v>
      </c>
      <c r="H112" s="99">
        <f>G112+'24'!H112</f>
        <v>-420</v>
      </c>
      <c r="I112" s="165"/>
      <c r="J112" s="330">
        <f>H112/DAY(B2)</f>
        <v>-16.8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'24'!F113</f>
        <v>29010</v>
      </c>
      <c r="F113" s="237">
        <v>29469</v>
      </c>
      <c r="G113" s="112">
        <f t="shared" si="9"/>
        <v>459</v>
      </c>
      <c r="H113" s="99">
        <f>G113+'24'!H113</f>
        <v>-2726</v>
      </c>
      <c r="I113" s="165"/>
      <c r="J113" s="330">
        <f>H113/DAY(B2)</f>
        <v>-109.04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'24'!F114</f>
        <v>22647</v>
      </c>
      <c r="F114" s="237">
        <v>23051</v>
      </c>
      <c r="G114" s="112">
        <f t="shared" si="9"/>
        <v>404</v>
      </c>
      <c r="H114" s="99">
        <f>G114+'24'!H114</f>
        <v>-1977.1800000000021</v>
      </c>
      <c r="I114" s="165"/>
      <c r="J114" s="330">
        <f>H114/DAY(B2)</f>
        <v>-79.087200000000081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'24'!F115</f>
        <v>8699</v>
      </c>
      <c r="F115" s="237">
        <v>8716</v>
      </c>
      <c r="G115" s="112">
        <f t="shared" si="9"/>
        <v>17</v>
      </c>
      <c r="H115" s="99">
        <f>G115+'24'!H115</f>
        <v>-69</v>
      </c>
      <c r="I115" s="165"/>
      <c r="J115" s="330">
        <f>H115/DAY(B2)</f>
        <v>-2.76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'24'!F117</f>
        <v>2412</v>
      </c>
      <c r="F117" s="237">
        <v>2444</v>
      </c>
      <c r="G117" s="112">
        <f t="shared" si="9"/>
        <v>32</v>
      </c>
      <c r="H117" s="99">
        <f>G117+'24'!H117</f>
        <v>-146</v>
      </c>
      <c r="I117" s="165"/>
      <c r="J117" s="330">
        <f>H117/DAY(B2)</f>
        <v>-5.84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'24'!F118</f>
        <v>238965</v>
      </c>
      <c r="F118" s="237">
        <v>239308</v>
      </c>
      <c r="G118" s="112">
        <f t="shared" si="9"/>
        <v>343</v>
      </c>
      <c r="H118" s="99">
        <f>G118+'24'!H118</f>
        <v>-2339</v>
      </c>
      <c r="I118" s="165"/>
      <c r="J118" s="330">
        <f>H118/DAY(B2)</f>
        <v>-93.56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'24'!F119</f>
        <v>242198</v>
      </c>
      <c r="F119" s="237">
        <v>242623</v>
      </c>
      <c r="G119" s="112">
        <f t="shared" si="9"/>
        <v>425</v>
      </c>
      <c r="H119" s="99">
        <f>G119+'24'!H119</f>
        <v>-2503</v>
      </c>
      <c r="I119" s="165"/>
      <c r="J119" s="330">
        <f>H119/DAY(B2)</f>
        <v>-100.12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'24'!F120</f>
        <v>27196</v>
      </c>
      <c r="F120" s="237">
        <v>27612</v>
      </c>
      <c r="G120" s="112">
        <f t="shared" si="9"/>
        <v>416</v>
      </c>
      <c r="H120" s="99">
        <f>G120+'24'!H120</f>
        <v>-2466</v>
      </c>
      <c r="I120" s="165"/>
      <c r="J120" s="330">
        <f>H120/DAY(B2)</f>
        <v>-98.64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'24'!F121</f>
        <v>371027</v>
      </c>
      <c r="F121" s="237">
        <v>371856</v>
      </c>
      <c r="G121" s="112">
        <f t="shared" si="9"/>
        <v>829</v>
      </c>
      <c r="H121" s="99">
        <f>G121+'24'!H121</f>
        <v>-4673</v>
      </c>
      <c r="I121" s="165"/>
      <c r="J121" s="330">
        <f>H121/DAY(B2)</f>
        <v>-186.92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'24'!F122</f>
        <v>118488</v>
      </c>
      <c r="F122" s="237">
        <v>118690</v>
      </c>
      <c r="G122" s="112">
        <f t="shared" si="9"/>
        <v>202</v>
      </c>
      <c r="H122" s="99">
        <f>G122+'24'!H122</f>
        <v>-1360</v>
      </c>
      <c r="I122" s="165"/>
      <c r="J122" s="330">
        <f>H122/DAY(B2)</f>
        <v>-54.4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'24'!F123</f>
        <v>142703</v>
      </c>
      <c r="F123" s="237">
        <v>143063</v>
      </c>
      <c r="G123" s="112">
        <f t="shared" si="9"/>
        <v>360</v>
      </c>
      <c r="H123" s="99">
        <f>G123+'24'!H123</f>
        <v>-2062</v>
      </c>
      <c r="I123" s="165"/>
      <c r="J123" s="330">
        <f>H123/DAY(B2)</f>
        <v>-82.48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3557</v>
      </c>
      <c r="H125" s="156"/>
      <c r="I125" s="329">
        <f>G125-(G39+G53)</f>
        <v>707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G127+'24'!H127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'24'!F128</f>
        <v>35649</v>
      </c>
      <c r="F128" s="155">
        <v>35990</v>
      </c>
      <c r="G128" s="112">
        <f t="shared" ref="G128:G134" si="10">F128-E128</f>
        <v>341</v>
      </c>
      <c r="H128" s="99">
        <f>G128+'24'!H128</f>
        <v>-2014</v>
      </c>
      <c r="I128" s="165"/>
      <c r="J128" s="330">
        <f>H128/DAY(B2)</f>
        <v>-80.56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'24'!F129</f>
        <v>18793</v>
      </c>
      <c r="F129" s="155">
        <v>19024</v>
      </c>
      <c r="G129" s="112">
        <f t="shared" si="10"/>
        <v>231</v>
      </c>
      <c r="H129" s="99">
        <f>G129+'24'!H129</f>
        <v>-1297</v>
      </c>
      <c r="I129" s="165"/>
      <c r="J129" s="330">
        <f>H129/DAY(B2)</f>
        <v>-51.88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'24'!F130</f>
        <v>12830</v>
      </c>
      <c r="F130" s="155">
        <v>13552</v>
      </c>
      <c r="G130" s="112">
        <f t="shared" si="10"/>
        <v>722</v>
      </c>
      <c r="H130" s="99">
        <f>G130+'24'!H130</f>
        <v>-4830.0000000000018</v>
      </c>
      <c r="I130" s="165"/>
      <c r="J130" s="330">
        <f>H130/DAY(B2)</f>
        <v>-193.20000000000007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'24'!F131</f>
        <v>12511</v>
      </c>
      <c r="F131" s="155">
        <v>12601</v>
      </c>
      <c r="G131" s="112">
        <f t="shared" si="10"/>
        <v>90</v>
      </c>
      <c r="H131" s="99">
        <f>G131+'24'!H131</f>
        <v>-552</v>
      </c>
      <c r="I131" s="165"/>
      <c r="J131" s="330">
        <f>H131/DAY(B2)</f>
        <v>-22.08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'24'!F132</f>
        <v>37692</v>
      </c>
      <c r="F132" s="155">
        <v>38204</v>
      </c>
      <c r="G132" s="112">
        <f t="shared" si="10"/>
        <v>512</v>
      </c>
      <c r="H132" s="99">
        <f>G132+'24'!H132</f>
        <v>-4432.1200000000026</v>
      </c>
      <c r="I132" s="165"/>
      <c r="J132" s="330">
        <f>H132/DAY(B2)</f>
        <v>-177.2848000000001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'24'!F133</f>
        <v>83070</v>
      </c>
      <c r="F133" s="155">
        <v>83772</v>
      </c>
      <c r="G133" s="112">
        <f t="shared" si="10"/>
        <v>702</v>
      </c>
      <c r="H133" s="99">
        <f>G133+'24'!H133</f>
        <v>-3931</v>
      </c>
      <c r="I133" s="165"/>
      <c r="J133" s="330">
        <f>H133/DAY(B2)</f>
        <v>-157.24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'24'!F134</f>
        <v>664602</v>
      </c>
      <c r="F134" s="155">
        <v>665129</v>
      </c>
      <c r="G134" s="112">
        <f t="shared" si="10"/>
        <v>527</v>
      </c>
      <c r="H134" s="99">
        <f>G134+'24'!H134</f>
        <v>13995</v>
      </c>
      <c r="I134" s="165"/>
      <c r="J134" s="330">
        <f>H134/DAY(B2)</f>
        <v>559.79999999999995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3125</v>
      </c>
      <c r="H135" s="99">
        <f>G135+'23'!H135</f>
        <v>-41823.71</v>
      </c>
      <c r="I135" s="329">
        <f>G135-(G35+G49)</f>
        <v>-118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'24'!F138</f>
        <v>863387</v>
      </c>
      <c r="F138" s="147">
        <v>863524</v>
      </c>
      <c r="G138" s="112">
        <f t="shared" ref="G138:G152" si="11">F138-E138</f>
        <v>137</v>
      </c>
      <c r="H138" s="99">
        <f>G138+'24'!H138</f>
        <v>-647</v>
      </c>
      <c r="I138" s="118"/>
      <c r="J138" s="330">
        <f>H138/DAY(B2)</f>
        <v>-25.88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'24'!F139</f>
        <v>886484</v>
      </c>
      <c r="F139" s="148">
        <v>886523</v>
      </c>
      <c r="G139" s="112">
        <f t="shared" si="11"/>
        <v>39</v>
      </c>
      <c r="H139" s="99">
        <f>G139+'24'!H139</f>
        <v>-23</v>
      </c>
      <c r="I139" s="118"/>
      <c r="J139" s="330">
        <f>H139/DAY(B2)</f>
        <v>-0.92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'24'!F140</f>
        <v>88882</v>
      </c>
      <c r="F140" s="149">
        <v>88882</v>
      </c>
      <c r="G140" s="112">
        <f t="shared" si="11"/>
        <v>0</v>
      </c>
      <c r="H140" s="99">
        <f>G140+'24'!H140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'24'!F141</f>
        <v>47929</v>
      </c>
      <c r="F141" s="149">
        <v>48151</v>
      </c>
      <c r="G141" s="112">
        <f t="shared" si="11"/>
        <v>222</v>
      </c>
      <c r="H141" s="99">
        <f>G141+'24'!H141</f>
        <v>-1155</v>
      </c>
      <c r="I141" s="118"/>
      <c r="J141" s="330">
        <f>H141/DAY(B2)</f>
        <v>-46.2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'24'!F142</f>
        <v>18476</v>
      </c>
      <c r="F142" s="148">
        <v>18558</v>
      </c>
      <c r="G142" s="112">
        <f t="shared" si="11"/>
        <v>82</v>
      </c>
      <c r="H142" s="99">
        <f>G142+'24'!H142</f>
        <v>-451</v>
      </c>
      <c r="I142" s="140"/>
      <c r="J142" s="330">
        <f>H142/DAY(B2)</f>
        <v>-18.04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'24'!F143</f>
        <v>2900</v>
      </c>
      <c r="F143" s="149">
        <v>2924</v>
      </c>
      <c r="G143" s="112">
        <f t="shared" si="11"/>
        <v>24</v>
      </c>
      <c r="H143" s="99">
        <f>G143+'24'!H143</f>
        <v>-137</v>
      </c>
      <c r="I143" s="140"/>
      <c r="J143" s="330">
        <f>H143/DAY(B2)</f>
        <v>-5.48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'24'!F144</f>
        <v>867996</v>
      </c>
      <c r="F144" s="149">
        <v>868238</v>
      </c>
      <c r="G144" s="112">
        <f t="shared" si="11"/>
        <v>242</v>
      </c>
      <c r="H144" s="99">
        <f>G144+'24'!H144</f>
        <v>-1432</v>
      </c>
      <c r="I144" s="140"/>
      <c r="J144" s="330">
        <f>H144/DAY(B2)</f>
        <v>-57.28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'24'!F145</f>
        <v>4459</v>
      </c>
      <c r="F145" s="149">
        <v>4474</v>
      </c>
      <c r="G145" s="112">
        <f t="shared" si="11"/>
        <v>15</v>
      </c>
      <c r="H145" s="99">
        <f>G145+'24'!H145</f>
        <v>-84</v>
      </c>
      <c r="I145" s="140"/>
      <c r="J145" s="330">
        <f>H145/DAY(B2)</f>
        <v>-3.36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'24'!F146</f>
        <v>721410</v>
      </c>
      <c r="F146" s="148">
        <v>722039</v>
      </c>
      <c r="G146" s="112">
        <f t="shared" si="11"/>
        <v>629</v>
      </c>
      <c r="H146" s="99">
        <f>G146+'24'!H146</f>
        <v>-2819</v>
      </c>
      <c r="I146" s="140"/>
      <c r="J146" s="330">
        <f>H146/DAY(B2)</f>
        <v>-112.76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'24'!F147</f>
        <v>612294</v>
      </c>
      <c r="F147" s="148">
        <v>612768</v>
      </c>
      <c r="G147" s="112">
        <f t="shared" si="11"/>
        <v>474</v>
      </c>
      <c r="H147" s="99">
        <f>G147+'24'!H147</f>
        <v>-2514</v>
      </c>
      <c r="I147" s="140"/>
      <c r="J147" s="330">
        <f>H147/DAY(B2)</f>
        <v>-100.56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'24'!F148</f>
        <v>680925</v>
      </c>
      <c r="F148" s="490">
        <v>681323</v>
      </c>
      <c r="G148" s="112">
        <f t="shared" si="11"/>
        <v>398</v>
      </c>
      <c r="H148" s="99">
        <f>G148+'24'!H148</f>
        <v>-1710.1199999999953</v>
      </c>
      <c r="I148" s="124"/>
      <c r="J148" s="330">
        <f>H148/DAY(B2)</f>
        <v>-68.40479999999981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'24'!F149</f>
        <v>6843</v>
      </c>
      <c r="F149" s="146">
        <v>7419</v>
      </c>
      <c r="G149" s="112">
        <f t="shared" si="11"/>
        <v>576</v>
      </c>
      <c r="H149" s="99">
        <f>G149+'24'!H149</f>
        <v>183910.00000000003</v>
      </c>
      <c r="I149" s="119"/>
      <c r="J149" s="330">
        <f>H149/DAY(B2)</f>
        <v>7356.4000000000015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'24'!F150</f>
        <v>2464</v>
      </c>
      <c r="F150" s="233">
        <v>2697</v>
      </c>
      <c r="G150" s="112">
        <f t="shared" si="11"/>
        <v>233</v>
      </c>
      <c r="H150" s="99">
        <f>G150+'24'!H150</f>
        <v>7165685</v>
      </c>
      <c r="I150" s="119"/>
      <c r="J150" s="330">
        <f>H150/DAY(B2)</f>
        <v>286627.40000000002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'24'!F151</f>
        <v>76543</v>
      </c>
      <c r="F151" s="233">
        <v>76788</v>
      </c>
      <c r="G151" s="112">
        <f t="shared" si="11"/>
        <v>245</v>
      </c>
      <c r="H151" s="99">
        <f>G151+'24'!H151</f>
        <v>-1429</v>
      </c>
      <c r="I151" s="119"/>
      <c r="J151" s="330">
        <f>H151/DAY(B2)</f>
        <v>-57.16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'24'!F152</f>
        <v>789</v>
      </c>
      <c r="F152" s="233">
        <v>837</v>
      </c>
      <c r="G152" s="112">
        <f t="shared" si="11"/>
        <v>48</v>
      </c>
      <c r="H152" s="99">
        <f>G152+'24'!H152</f>
        <v>-290</v>
      </c>
      <c r="I152" s="119"/>
      <c r="J152" s="330">
        <f>H152/DAY(B2)</f>
        <v>-11.6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3364</v>
      </c>
      <c r="H153" s="365"/>
      <c r="I153" s="119">
        <f>G153-(G38+G52)</f>
        <v>1329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'24'!F155</f>
        <v>8074</v>
      </c>
      <c r="F155" s="366">
        <v>8800</v>
      </c>
      <c r="G155" s="112">
        <f t="shared" ref="G155:G158" si="12">F155-E155</f>
        <v>726</v>
      </c>
      <c r="H155" s="99">
        <f>G155+'24'!H155</f>
        <v>72945</v>
      </c>
      <c r="I155" s="366"/>
      <c r="J155" s="330">
        <f>H155/DAY(B2)</f>
        <v>2917.8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'24'!F156</f>
        <v>646</v>
      </c>
      <c r="F156" s="155">
        <v>700</v>
      </c>
      <c r="G156" s="112">
        <f t="shared" si="12"/>
        <v>54</v>
      </c>
      <c r="H156" s="99">
        <f>G156+'24'!H156</f>
        <v>-387.99999999999989</v>
      </c>
      <c r="I156" s="165"/>
      <c r="J156" s="330">
        <f>H156/DAY(B2)</f>
        <v>-15.519999999999996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v>767</v>
      </c>
      <c r="F157" s="155">
        <v>821</v>
      </c>
      <c r="G157" s="112">
        <f t="shared" si="12"/>
        <v>54</v>
      </c>
      <c r="H157" s="99">
        <f>G157+'24'!H157</f>
        <v>821</v>
      </c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v>1.27</v>
      </c>
      <c r="F158" s="155">
        <v>1.36</v>
      </c>
      <c r="G158" s="112">
        <f t="shared" si="12"/>
        <v>9.000000000000008E-2</v>
      </c>
      <c r="H158" s="99">
        <f>G158+'24'!H158</f>
        <v>1.28</v>
      </c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471149</v>
      </c>
      <c r="F161" s="235">
        <v>471149</v>
      </c>
      <c r="G161" s="238">
        <f t="shared" ref="G161:G165" si="13">F161-E161</f>
        <v>0</v>
      </c>
      <c r="H161" s="99">
        <f>G161+'24'!H161</f>
        <v>-4.1599999999743886</v>
      </c>
      <c r="I161" s="236"/>
      <c r="J161" s="239">
        <f>H161/DAY(B2)</f>
        <v>-0.16639999999897553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87391</v>
      </c>
      <c r="F162" s="235">
        <v>87410</v>
      </c>
      <c r="G162" s="238">
        <f t="shared" si="13"/>
        <v>19</v>
      </c>
      <c r="H162" s="99">
        <f>G162+'24'!H162</f>
        <v>-160</v>
      </c>
      <c r="I162" s="236"/>
      <c r="J162" s="239">
        <f>H162/DAY(B2)</f>
        <v>-6.4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77385</v>
      </c>
      <c r="F163" s="235">
        <v>77422</v>
      </c>
      <c r="G163" s="238">
        <f t="shared" si="13"/>
        <v>37</v>
      </c>
      <c r="H163" s="99">
        <f>G163+'24'!H163</f>
        <v>-403</v>
      </c>
      <c r="I163" s="236"/>
      <c r="J163" s="239">
        <f>H163/DAY(B2)</f>
        <v>-16.12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4223</v>
      </c>
      <c r="F164" s="235">
        <v>4225</v>
      </c>
      <c r="G164" s="238">
        <f t="shared" si="13"/>
        <v>2</v>
      </c>
      <c r="H164" s="99">
        <f>G164+'24'!H164</f>
        <v>-17</v>
      </c>
      <c r="I164" s="236"/>
      <c r="J164" s="239">
        <f>H164/DAY(B2)</f>
        <v>-0.68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29602</v>
      </c>
      <c r="F165" s="235">
        <v>29608</v>
      </c>
      <c r="G165" s="238">
        <f t="shared" si="13"/>
        <v>6</v>
      </c>
      <c r="H165" s="99">
        <f>G165+'24'!H165</f>
        <v>-38</v>
      </c>
      <c r="I165" s="236"/>
      <c r="J165" s="239">
        <f>H165/DAY(B2)</f>
        <v>-1.52</v>
      </c>
    </row>
    <row r="166" spans="1:10" ht="29.25" x14ac:dyDescent="0.5">
      <c r="A166" s="824"/>
      <c r="B166" s="824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9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9"/>
    </row>
    <row r="171" spans="1:10" ht="21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1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28" t="s">
        <v>209</v>
      </c>
      <c r="B173" s="829"/>
      <c r="C173" s="335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f>'24'!F174</f>
        <v>38190</v>
      </c>
      <c r="F174" s="157">
        <v>38205</v>
      </c>
      <c r="G174" s="155">
        <f t="shared" ref="G174:G175" si="14">F174-E174</f>
        <v>15</v>
      </c>
      <c r="H174" s="99">
        <f>G174+'24'!H174</f>
        <v>-82</v>
      </c>
      <c r="I174" s="155"/>
      <c r="J174" s="178">
        <f>H174/DAY(B2)</f>
        <v>-3.28</v>
      </c>
    </row>
    <row r="175" spans="1:10" ht="21.75" customHeight="1" x14ac:dyDescent="0.5">
      <c r="A175" s="828" t="s">
        <v>76</v>
      </c>
      <c r="B175" s="868"/>
      <c r="C175" s="829"/>
      <c r="D175" s="228" t="s">
        <v>142</v>
      </c>
      <c r="E175" s="95">
        <f>'24'!F175</f>
        <v>21438</v>
      </c>
      <c r="F175" s="155">
        <v>21451</v>
      </c>
      <c r="G175" s="155">
        <f t="shared" si="14"/>
        <v>13</v>
      </c>
      <c r="H175" s="99">
        <f>G175+'24'!H175</f>
        <v>-67</v>
      </c>
      <c r="I175" s="155"/>
      <c r="J175" s="178">
        <f>H175/DAY(B2)</f>
        <v>-2.68</v>
      </c>
    </row>
    <row r="176" spans="1:10" ht="23.2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28</v>
      </c>
      <c r="H176" s="99">
        <f>G176+'24'!H176</f>
        <v>-149</v>
      </c>
      <c r="I176" s="155"/>
      <c r="J176" s="178">
        <f>H176/DAY(B2)</f>
        <v>-5.96</v>
      </c>
    </row>
    <row r="177" spans="1:10" ht="21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'24'!F178</f>
        <v>79127</v>
      </c>
      <c r="F178" s="155">
        <v>79212</v>
      </c>
      <c r="G178" s="155">
        <f>F178-E178</f>
        <v>85</v>
      </c>
      <c r="H178" s="99">
        <f>G178+'24'!H178</f>
        <v>-402</v>
      </c>
      <c r="I178" s="155"/>
      <c r="J178" s="178">
        <f>H178/DAY(B2)</f>
        <v>-16.079999999999998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'24'!F179</f>
        <v>33915</v>
      </c>
      <c r="F179" s="155">
        <v>33915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'24'!F180</f>
        <v>5437</v>
      </c>
      <c r="F180" s="155">
        <v>5448</v>
      </c>
      <c r="G180" s="155">
        <f t="shared" si="15"/>
        <v>11</v>
      </c>
      <c r="H180" s="99">
        <f>G180+'24'!H180</f>
        <v>-29</v>
      </c>
      <c r="I180" s="155"/>
      <c r="J180" s="178">
        <f>H180/DAY(B2)</f>
        <v>-1.1599999999999999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96</v>
      </c>
      <c r="H181" s="99">
        <f>G181+'24'!H181</f>
        <v>-431</v>
      </c>
      <c r="I181" s="155"/>
      <c r="J181" s="178">
        <f>H181/DAY(B2)</f>
        <v>-17.239999999999998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'24'!F183</f>
        <v>14832</v>
      </c>
      <c r="F183" s="157">
        <v>14848</v>
      </c>
      <c r="G183" s="157">
        <f>F183-E183</f>
        <v>16</v>
      </c>
      <c r="H183" s="99">
        <f>G183+'24'!H183</f>
        <v>-99</v>
      </c>
      <c r="I183" s="155"/>
      <c r="J183" s="178">
        <f>H183/DAY(B2)</f>
        <v>-3.96</v>
      </c>
    </row>
    <row r="184" spans="1:10" ht="30.75" customHeight="1" x14ac:dyDescent="0.5">
      <c r="A184" s="828" t="s">
        <v>215</v>
      </c>
      <c r="B184" s="829"/>
      <c r="C184" s="336"/>
      <c r="D184" s="228" t="s">
        <v>142</v>
      </c>
      <c r="E184" s="95">
        <f>'24'!F184</f>
        <v>10248</v>
      </c>
      <c r="F184" s="157">
        <v>10257</v>
      </c>
      <c r="G184" s="157">
        <f t="shared" ref="G184:G185" si="16">F184-E184</f>
        <v>9</v>
      </c>
      <c r="H184" s="99">
        <f>G184+'24'!H184</f>
        <v>-44</v>
      </c>
      <c r="I184" s="155"/>
      <c r="J184" s="178">
        <f>H184/DAY(B2)</f>
        <v>-1.76</v>
      </c>
    </row>
    <row r="185" spans="1:10" ht="23.25" customHeight="1" x14ac:dyDescent="0.5">
      <c r="A185" s="828" t="s">
        <v>216</v>
      </c>
      <c r="B185" s="829"/>
      <c r="C185" s="336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>
        <v>0</v>
      </c>
      <c r="G186" s="157">
        <f>SUM(G183:G185)</f>
        <v>25</v>
      </c>
      <c r="H186" s="99">
        <f>G186+'24'!H186</f>
        <v>-143</v>
      </c>
      <c r="I186" s="157"/>
      <c r="J186" s="178">
        <f>H186/DAY(B2)</f>
        <v>-5.72</v>
      </c>
    </row>
    <row r="187" spans="1:10" ht="27.75" x14ac:dyDescent="0.5">
      <c r="A187" s="821" t="s">
        <v>217</v>
      </c>
      <c r="B187" s="822"/>
      <c r="C187" s="335"/>
      <c r="D187" s="228" t="s">
        <v>142</v>
      </c>
      <c r="E187" s="95">
        <f>'24'!F187</f>
        <v>0</v>
      </c>
      <c r="F187" s="159"/>
      <c r="G187" s="464">
        <f>G62+G19</f>
        <v>176</v>
      </c>
      <c r="H187" s="99">
        <f>G187+'24'!H187</f>
        <v>687</v>
      </c>
      <c r="I187" s="158"/>
      <c r="J187" s="179">
        <f>H187/DAY(B2)</f>
        <v>27.48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'24'!F188</f>
        <v>0</v>
      </c>
      <c r="F188" s="159"/>
      <c r="G188" s="464">
        <f>G65+G66+G67+G69+G70</f>
        <v>177</v>
      </c>
      <c r="H188" s="99">
        <f>G188+'24'!H188</f>
        <v>1885</v>
      </c>
      <c r="I188" s="158"/>
      <c r="J188" s="179">
        <f>H188/DAY(B2)</f>
        <v>75.400000000000006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'24'!F189</f>
        <v>0</v>
      </c>
      <c r="F189" s="157"/>
      <c r="G189" s="461">
        <f>G181</f>
        <v>96</v>
      </c>
      <c r="H189" s="99">
        <f>G189+'24'!H189</f>
        <v>550</v>
      </c>
      <c r="I189" s="158"/>
      <c r="J189" s="179">
        <f>H189/DAY(B2)</f>
        <v>22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44556</v>
      </c>
      <c r="C2" s="350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645978</v>
      </c>
      <c r="F7" s="95">
        <f>E7+23500</f>
        <v>669478</v>
      </c>
      <c r="G7" s="112">
        <f>F7-E7</f>
        <v>23500</v>
      </c>
      <c r="H7" s="99">
        <f>G7+'25'!H7</f>
        <v>574917</v>
      </c>
      <c r="I7" s="113">
        <f>'1'!I7</f>
        <v>12000</v>
      </c>
      <c r="J7" s="175">
        <f>H7/DAY(B2)</f>
        <v>22112.192307692309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v>16065</v>
      </c>
      <c r="F8" s="95">
        <f>E8+23500</f>
        <v>39565</v>
      </c>
      <c r="G8" s="115">
        <f>F8-E8</f>
        <v>23500</v>
      </c>
      <c r="H8" s="99">
        <f>G8+'25'!H8</f>
        <v>578552</v>
      </c>
      <c r="I8" s="116"/>
      <c r="J8" s="175">
        <f>H8/DAY(B2)</f>
        <v>22252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235657</v>
      </c>
      <c r="F9" s="605">
        <f>E9+14000</f>
        <v>249657</v>
      </c>
      <c r="G9" s="112">
        <f>F9-E9</f>
        <v>14000</v>
      </c>
      <c r="H9" s="99">
        <f>G9+'25'!H9</f>
        <v>348162</v>
      </c>
      <c r="I9" s="124">
        <f>I7-J7</f>
        <v>-10112.192307692309</v>
      </c>
      <c r="J9" s="175">
        <f>H9/DAY(B2)</f>
        <v>13390.846153846154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529550</v>
      </c>
      <c r="F10" s="355">
        <f>E10+4500</f>
        <v>534050</v>
      </c>
      <c r="G10" s="112">
        <f t="shared" ref="G10:G12" si="0">F10-E10</f>
        <v>4500</v>
      </c>
      <c r="H10" s="99">
        <f>G10+'25'!H10</f>
        <v>136940</v>
      </c>
      <c r="I10" s="282"/>
      <c r="J10" s="175">
        <f>H10/DAY(B2)</f>
        <v>5266.9230769230771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G13+'25'!H13</f>
        <v>465636.74999999988</v>
      </c>
      <c r="I13" s="120">
        <f>G7-G13</f>
        <v>5000</v>
      </c>
      <c r="J13" s="175">
        <f>H13/DAY(B2)</f>
        <v>17909.105769230766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'25'!F15</f>
        <v>1871626</v>
      </c>
      <c r="F15" s="123">
        <f>E15+1100</f>
        <v>1872726</v>
      </c>
      <c r="G15" s="112">
        <f>(F15-E15)</f>
        <v>1100</v>
      </c>
      <c r="H15" s="99">
        <f>G15+'25'!H15</f>
        <v>26869</v>
      </c>
      <c r="I15" s="113">
        <f>'1'!I15</f>
        <v>800</v>
      </c>
      <c r="J15" s="175">
        <f>H15/DAY(B2)</f>
        <v>1033.4230769230769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-233.42307692307691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'25'!F18</f>
        <v>207</v>
      </c>
      <c r="F18" s="122">
        <f>E18+12</f>
        <v>219</v>
      </c>
      <c r="G18" s="119">
        <f>F18*10</f>
        <v>2190</v>
      </c>
      <c r="H18" s="99">
        <f>G18+'25'!H18</f>
        <v>22130</v>
      </c>
      <c r="I18" s="113">
        <f>'1'!I18</f>
        <v>65</v>
      </c>
      <c r="J18" s="175">
        <f>H18/DAY(B2)</f>
        <v>851.15384615384619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'25'!F19</f>
        <v>153575</v>
      </c>
      <c r="F19" s="122">
        <f>E19+55</f>
        <v>153630</v>
      </c>
      <c r="G19" s="112">
        <f t="shared" ref="G19" si="1">F19-E19</f>
        <v>55</v>
      </c>
      <c r="H19" s="99">
        <f>G19+'25'!H19</f>
        <v>1405</v>
      </c>
      <c r="I19" s="337"/>
      <c r="J19" s="175">
        <f>H19/DAY(B2)</f>
        <v>54.03846153846154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2245</v>
      </c>
      <c r="H20" s="99">
        <f>G20+'25'!H20</f>
        <v>23535</v>
      </c>
      <c r="I20" s="338">
        <f>I18-J20</f>
        <v>-840.19230769230774</v>
      </c>
      <c r="J20" s="175">
        <f>H20/DAY(B2)</f>
        <v>905.19230769230774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G27+'25'!H27</f>
        <v>5206968</v>
      </c>
      <c r="I27" s="138"/>
      <c r="J27" s="175">
        <f>H27/DAY(B2)</f>
        <v>200268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G28+'25'!H28</f>
        <v>1397188</v>
      </c>
      <c r="I28" s="140"/>
      <c r="J28" s="175">
        <f>H28/DAY(B2)</f>
        <v>53738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205130</v>
      </c>
      <c r="I30" s="140"/>
      <c r="J30" s="175">
        <f>H30/DAY(B2)</f>
        <v>7889.6153846153848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2190</v>
      </c>
      <c r="F31" s="136">
        <v>80</v>
      </c>
      <c r="G31" s="137">
        <f>E31*F31</f>
        <v>175200</v>
      </c>
      <c r="H31" s="99">
        <f>G31+'25'!H31</f>
        <v>1770400</v>
      </c>
      <c r="I31" s="140"/>
      <c r="J31" s="175">
        <f>H31/DAY(B2)</f>
        <v>68092.307692307688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451930</v>
      </c>
      <c r="H32" s="99">
        <f>G32+'25'!H32</f>
        <v>8579686</v>
      </c>
      <c r="I32" s="144"/>
      <c r="J32" s="175">
        <f>H32/DAY(B2)</f>
        <v>329987.92307692306</v>
      </c>
      <c r="K32" s="63"/>
      <c r="L32" s="89"/>
      <c r="N32" s="87"/>
      <c r="O32" s="71"/>
    </row>
    <row r="33" spans="1:15" ht="25.5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141529</v>
      </c>
      <c r="F35" s="145">
        <v>143345</v>
      </c>
      <c r="G35" s="112">
        <f t="shared" ref="G35:G46" si="3">F35-E35</f>
        <v>1816</v>
      </c>
      <c r="H35" s="99">
        <f>G35+'25'!H35</f>
        <v>158545</v>
      </c>
      <c r="I35" s="95"/>
      <c r="J35" s="175">
        <f>H35/DAY(B2)</f>
        <v>6097.8846153846152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16090</v>
      </c>
      <c r="F36" s="145">
        <v>17358</v>
      </c>
      <c r="G36" s="112">
        <f t="shared" si="3"/>
        <v>1268</v>
      </c>
      <c r="H36" s="99">
        <f>G36+'25'!H36</f>
        <v>85561</v>
      </c>
      <c r="I36" s="95"/>
      <c r="J36" s="175">
        <f>H36/DAY(B2)</f>
        <v>3290.8076923076924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185932</v>
      </c>
      <c r="F37" s="145">
        <v>187529</v>
      </c>
      <c r="G37" s="112">
        <f t="shared" si="3"/>
        <v>1597</v>
      </c>
      <c r="H37" s="99">
        <f>G37+'25'!H37</f>
        <v>199741</v>
      </c>
      <c r="I37" s="95"/>
      <c r="J37" s="175">
        <f>H37/DAY(B2)</f>
        <v>7682.3461538461543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221059</v>
      </c>
      <c r="F38" s="108">
        <v>223025</v>
      </c>
      <c r="G38" s="112">
        <f t="shared" si="3"/>
        <v>1966</v>
      </c>
      <c r="H38" s="99">
        <f>G38+'25'!H38</f>
        <v>236225</v>
      </c>
      <c r="I38" s="95"/>
      <c r="J38" s="175">
        <f>H38/DAY(B2)</f>
        <v>9085.5769230769238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394552</v>
      </c>
      <c r="F39" s="145">
        <v>397280</v>
      </c>
      <c r="G39" s="112">
        <f t="shared" si="3"/>
        <v>2728</v>
      </c>
      <c r="H39" s="99">
        <f>G39+'25'!H39</f>
        <v>418962</v>
      </c>
      <c r="I39" s="95"/>
      <c r="J39" s="175">
        <f>H39/DAY(B2)</f>
        <v>16113.923076923076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2887</v>
      </c>
      <c r="F40" s="145">
        <v>3311</v>
      </c>
      <c r="G40" s="112">
        <f t="shared" si="3"/>
        <v>424</v>
      </c>
      <c r="H40" s="99">
        <f>G40+'25'!H40</f>
        <v>-1758.8500000000004</v>
      </c>
      <c r="I40" s="95"/>
      <c r="J40" s="175">
        <f>H40/DAY(B2)</f>
        <v>-67.648076923076943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599900</v>
      </c>
      <c r="I41" s="95"/>
      <c r="J41" s="175">
        <f>H41/DAY(B2)</f>
        <v>23073.076923076922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53055</v>
      </c>
      <c r="F42" s="145">
        <v>58144</v>
      </c>
      <c r="G42" s="112">
        <f t="shared" si="3"/>
        <v>5089</v>
      </c>
      <c r="H42" s="99">
        <f>G42+'25'!H42</f>
        <v>341995</v>
      </c>
      <c r="I42" s="95"/>
      <c r="J42" s="175">
        <f>H42/DAY(B2)</f>
        <v>13153.653846153846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31665</v>
      </c>
      <c r="F43" s="145">
        <v>34347</v>
      </c>
      <c r="G43" s="112">
        <f t="shared" si="3"/>
        <v>2682</v>
      </c>
      <c r="H43" s="99">
        <f>G43+'25'!H43</f>
        <v>1551766.9999999998</v>
      </c>
      <c r="I43" s="95"/>
      <c r="J43" s="175">
        <f>H43/DAY(B2)</f>
        <v>59683.346153846142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17570</v>
      </c>
      <c r="H47" s="99">
        <f>G47+'25'!H47</f>
        <v>3590937.15</v>
      </c>
      <c r="I47" s="95"/>
      <c r="J47" s="175">
        <f>H47/DAY(B2)</f>
        <v>138112.96730769231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263398</v>
      </c>
      <c r="F49" s="145">
        <v>264925</v>
      </c>
      <c r="G49" s="112">
        <f t="shared" ref="G49:G58" si="4">F49-E49</f>
        <v>1527</v>
      </c>
      <c r="H49" s="99">
        <f>G49+'25'!H49</f>
        <v>278046.00000000006</v>
      </c>
      <c r="I49" s="95"/>
      <c r="J49" s="175">
        <f>H49/DAY(B2)</f>
        <v>10694.076923076926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17700</v>
      </c>
      <c r="F50" s="145">
        <v>19128</v>
      </c>
      <c r="G50" s="112">
        <f t="shared" si="4"/>
        <v>1428</v>
      </c>
      <c r="H50" s="99">
        <f>G50+'25'!H50</f>
        <v>733553.00000000012</v>
      </c>
      <c r="I50" s="95"/>
      <c r="J50" s="175">
        <f>H50/DAY(B2)</f>
        <v>28213.576923076929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3157</v>
      </c>
      <c r="F54" s="145">
        <v>3162</v>
      </c>
      <c r="G54" s="112">
        <f t="shared" si="4"/>
        <v>5</v>
      </c>
      <c r="H54" s="99">
        <f>G54+'25'!H54</f>
        <v>4929.08</v>
      </c>
      <c r="I54" s="95"/>
      <c r="J54" s="175">
        <f>H54/DAY(B2)</f>
        <v>189.57999999999998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-3511</v>
      </c>
      <c r="I55" s="95"/>
      <c r="J55" s="175">
        <f>H55/DAY(B2)</f>
        <v>-135.03846153846155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212065</v>
      </c>
      <c r="I56" s="95"/>
      <c r="J56" s="175">
        <f>H56/DAY(B2)</f>
        <v>8156.3461538461543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91011</v>
      </c>
      <c r="F58" s="145">
        <v>91261</v>
      </c>
      <c r="G58" s="112">
        <f t="shared" si="4"/>
        <v>250</v>
      </c>
      <c r="H58" s="99">
        <f>G58+'25'!H58</f>
        <v>91601.63</v>
      </c>
      <c r="I58" s="95"/>
      <c r="J58" s="175">
        <f>H58/DAY(B2)</f>
        <v>3523.1396153846154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3210</v>
      </c>
      <c r="H59" s="99">
        <f>G59+'25'!H59</f>
        <v>1316683.7100000002</v>
      </c>
      <c r="I59" s="95">
        <f>G7-G60</f>
        <v>2720</v>
      </c>
      <c r="J59" s="175">
        <f>H59/DAY(B2)</f>
        <v>50641.681153846162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20780</v>
      </c>
      <c r="H60" s="99">
        <f>G60+'25'!H60</f>
        <v>4907620.8600000013</v>
      </c>
      <c r="I60" s="95">
        <f>G13-G60</f>
        <v>-2280</v>
      </c>
      <c r="J60" s="175">
        <f>H60/DAY(B2)</f>
        <v>188754.64846153851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'25'!F62</f>
        <v>266550</v>
      </c>
      <c r="F62" s="122">
        <v>266695</v>
      </c>
      <c r="G62" s="112">
        <f t="shared" ref="G62:G63" si="5">F62-E62</f>
        <v>145</v>
      </c>
      <c r="H62" s="99">
        <f>G62+'25'!H62</f>
        <v>-518</v>
      </c>
      <c r="I62" s="118"/>
      <c r="J62" s="175">
        <f>H62/DAY(B2)</f>
        <v>-19.923076923076923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'25'!F63</f>
        <v>211910</v>
      </c>
      <c r="F63" s="122">
        <v>212004</v>
      </c>
      <c r="G63" s="112">
        <f t="shared" si="5"/>
        <v>94</v>
      </c>
      <c r="H63" s="99">
        <f>G63+'25'!H63</f>
        <v>-421</v>
      </c>
      <c r="I63" s="118"/>
      <c r="J63" s="175">
        <f>H63/DAY(B2)</f>
        <v>-16.192307692307693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'25'!F64</f>
        <v>0</v>
      </c>
      <c r="F64" s="122"/>
      <c r="G64" s="112">
        <f>G62+G63</f>
        <v>239</v>
      </c>
      <c r="H64" s="99">
        <f>G64+'25'!H64</f>
        <v>-939</v>
      </c>
      <c r="I64" s="118"/>
      <c r="J64" s="175">
        <f>H64/DAY(B2)</f>
        <v>-36.115384615384613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'25'!F65</f>
        <v>431967</v>
      </c>
      <c r="F65" s="122">
        <v>432084</v>
      </c>
      <c r="G65" s="112">
        <f t="shared" ref="G65:G70" si="6">F65-E65</f>
        <v>117</v>
      </c>
      <c r="H65" s="99">
        <f>G65+'25'!H65</f>
        <v>-530</v>
      </c>
      <c r="I65" s="118"/>
      <c r="J65" s="175">
        <f>H65/DAY(B2)</f>
        <v>-20.384615384615383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'25'!F66</f>
        <v>107094</v>
      </c>
      <c r="F66" s="122">
        <v>107122</v>
      </c>
      <c r="G66" s="112">
        <f t="shared" si="6"/>
        <v>28</v>
      </c>
      <c r="H66" s="99">
        <f>G66+'25'!H66</f>
        <v>-92</v>
      </c>
      <c r="I66" s="118"/>
      <c r="J66" s="175">
        <f>H66/DAY(B2)</f>
        <v>-3.5384615384615383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'25'!F67</f>
        <v>103749</v>
      </c>
      <c r="F67" s="122">
        <v>103780</v>
      </c>
      <c r="G67" s="112">
        <f t="shared" si="6"/>
        <v>31</v>
      </c>
      <c r="H67" s="99">
        <f>G67+'25'!H67</f>
        <v>-148</v>
      </c>
      <c r="I67" s="118"/>
      <c r="J67" s="175">
        <f>H67/DAY(B2)</f>
        <v>-5.6923076923076925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'25'!F68</f>
        <v>156414</v>
      </c>
      <c r="F68" s="122">
        <v>156446</v>
      </c>
      <c r="G68" s="112">
        <f t="shared" si="6"/>
        <v>32</v>
      </c>
      <c r="H68" s="99">
        <f>G68+'25'!H68</f>
        <v>-174</v>
      </c>
      <c r="I68" s="118"/>
      <c r="J68" s="175">
        <f>H68/DAY(B2)</f>
        <v>-6.6923076923076925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'25'!F69</f>
        <v>10132</v>
      </c>
      <c r="F69" s="122">
        <v>10151</v>
      </c>
      <c r="G69" s="112">
        <f t="shared" si="6"/>
        <v>19</v>
      </c>
      <c r="H69" s="99">
        <f>G69+'25'!H69</f>
        <v>-63</v>
      </c>
      <c r="I69" s="118"/>
      <c r="J69" s="175">
        <f>H69/DAY(B2)</f>
        <v>-2.4230769230769229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'25'!F70</f>
        <v>7811</v>
      </c>
      <c r="F70" s="122">
        <v>7823</v>
      </c>
      <c r="G70" s="112">
        <f t="shared" si="6"/>
        <v>12</v>
      </c>
      <c r="H70" s="99">
        <f>G70+'25'!H70</f>
        <v>-39</v>
      </c>
      <c r="I70" s="118"/>
      <c r="J70" s="175">
        <f>H70/DAY(B2)</f>
        <v>-1.5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239</v>
      </c>
      <c r="H71" s="99">
        <f>G71+'25'!H71</f>
        <v>-1046</v>
      </c>
      <c r="I71" s="154"/>
      <c r="J71" s="175">
        <f>H71/DAY(B2)</f>
        <v>-40.230769230769234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'25'!F74</f>
        <v>890157</v>
      </c>
      <c r="F74" s="123">
        <v>890493</v>
      </c>
      <c r="G74" s="112">
        <f t="shared" ref="G74:G78" si="7">F74-E74</f>
        <v>336</v>
      </c>
      <c r="H74" s="99">
        <f>G74+'25'!H74</f>
        <v>-1539</v>
      </c>
      <c r="I74" s="154"/>
      <c r="J74" s="175">
        <f>H74/DAY(B2)</f>
        <v>-59.192307692307693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243.88999999999942</v>
      </c>
      <c r="I75" s="154"/>
      <c r="J75" s="175">
        <f>H75/DAY(B2)</f>
        <v>9.3803846153845925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'25'!F76</f>
        <v>166582</v>
      </c>
      <c r="F76" s="123">
        <v>166712</v>
      </c>
      <c r="G76" s="112">
        <f t="shared" si="7"/>
        <v>130</v>
      </c>
      <c r="H76" s="99">
        <f>G76+'25'!H76</f>
        <v>-495</v>
      </c>
      <c r="I76" s="154"/>
      <c r="J76" s="175">
        <f>H76/DAY(B2)</f>
        <v>-19.03846153846154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'25'!F77</f>
        <v>40066</v>
      </c>
      <c r="F77" s="123">
        <v>40112</v>
      </c>
      <c r="G77" s="112">
        <f t="shared" si="7"/>
        <v>46</v>
      </c>
      <c r="H77" s="99">
        <f>G77+'25'!H77</f>
        <v>-204</v>
      </c>
      <c r="I77" s="154"/>
      <c r="J77" s="175">
        <f>H77/DAY(B2)</f>
        <v>-7.8461538461538458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'25'!F78</f>
        <v>9476</v>
      </c>
      <c r="F78" s="123">
        <v>9478</v>
      </c>
      <c r="G78" s="112">
        <f t="shared" si="7"/>
        <v>2</v>
      </c>
      <c r="H78" s="99">
        <f>G78+'25'!H78</f>
        <v>-8</v>
      </c>
      <c r="I78" s="118"/>
      <c r="J78" s="175">
        <f>H78/DAY(B2)</f>
        <v>-0.30769230769230771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'25'!F79</f>
        <v>0</v>
      </c>
      <c r="F79" s="117"/>
      <c r="G79" s="112">
        <f>G15-SUM(G74:G78)</f>
        <v>586</v>
      </c>
      <c r="H79" s="99">
        <f>G79+'25'!H79</f>
        <v>28871.109999999997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'25'!F85</f>
        <v>1988</v>
      </c>
      <c r="F85" s="164">
        <v>2012.32</v>
      </c>
      <c r="G85" s="112">
        <f t="shared" si="8"/>
        <v>24.319999999999936</v>
      </c>
      <c r="H85" s="99">
        <f>G85+'25'!H85</f>
        <v>-84.240000000000009</v>
      </c>
      <c r="I85" s="118">
        <f>G82+G83+G84+G85</f>
        <v>24.319999999999936</v>
      </c>
      <c r="J85" s="175">
        <f>H85/DAY(B2)</f>
        <v>-3.24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'25'!F86</f>
        <v>42826.47</v>
      </c>
      <c r="F86" s="164">
        <v>42826.47</v>
      </c>
      <c r="G86" s="112">
        <f t="shared" si="8"/>
        <v>0</v>
      </c>
      <c r="H86" s="99">
        <f>G86+'25'!H86</f>
        <v>-36.529999999998836</v>
      </c>
      <c r="I86" s="118"/>
      <c r="J86" s="175">
        <f>H86/DAY(B2)</f>
        <v>-1.4049999999999552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'25'!F88</f>
        <v>24017</v>
      </c>
      <c r="F88" s="164">
        <v>24028</v>
      </c>
      <c r="G88" s="112">
        <f t="shared" si="8"/>
        <v>11</v>
      </c>
      <c r="H88" s="99">
        <f>G88+'25'!H88</f>
        <v>-19</v>
      </c>
      <c r="I88" s="118">
        <f>G86+G87+G88</f>
        <v>11</v>
      </c>
      <c r="J88" s="175">
        <f>H88/DAY(B2)</f>
        <v>-0.73076923076923073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'25'!F89</f>
        <v>25634</v>
      </c>
      <c r="F89" s="164">
        <v>25634</v>
      </c>
      <c r="G89" s="112">
        <f t="shared" si="8"/>
        <v>0</v>
      </c>
      <c r="H89" s="99">
        <f>G89+'25'!H89</f>
        <v>-29</v>
      </c>
      <c r="I89" s="118"/>
      <c r="J89" s="175">
        <f>H89/DAY(B2)</f>
        <v>-1.1153846153846154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'25'!F90</f>
        <v>70999.649999999994</v>
      </c>
      <c r="F90" s="164">
        <v>71005.539999999994</v>
      </c>
      <c r="G90" s="112">
        <f t="shared" si="8"/>
        <v>5.8899999999994179</v>
      </c>
      <c r="H90" s="99">
        <f>G90+'25'!H90</f>
        <v>-28.460000000006403</v>
      </c>
      <c r="I90" s="118">
        <f>G89+G90</f>
        <v>5.8899999999994179</v>
      </c>
      <c r="J90" s="175">
        <f>H90/DAY(B2)</f>
        <v>-1.0946153846156308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-0.32000000000016371</v>
      </c>
      <c r="I91" s="165"/>
      <c r="J91" s="175">
        <f>H91/DAY(B2)</f>
        <v>-1.2307692307698605E-2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'25'!F92</f>
        <v>5373</v>
      </c>
      <c r="F92" s="122">
        <v>5384</v>
      </c>
      <c r="G92" s="112">
        <f t="shared" si="8"/>
        <v>11</v>
      </c>
      <c r="H92" s="99">
        <f>G92+'25'!H92</f>
        <v>-54</v>
      </c>
      <c r="I92" s="165"/>
      <c r="J92" s="175">
        <f>H92/DAY(B2)</f>
        <v>-2.0769230769230771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6025</v>
      </c>
      <c r="H94" s="99">
        <f>G94+'25'!H94</f>
        <v>1988358</v>
      </c>
      <c r="I94" s="118"/>
      <c r="J94" s="175">
        <f>H94/DAY(B2)</f>
        <v>76475.307692307688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0.25638297872340426</v>
      </c>
      <c r="H95" s="99">
        <f>G95+'25'!H95</f>
        <v>85.07233796451402</v>
      </c>
      <c r="I95" s="167"/>
      <c r="J95" s="175">
        <f>H95/DAY(B2)</f>
        <v>3.2720129986351547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5089</v>
      </c>
      <c r="H96" s="99">
        <f>G96+'25'!H96</f>
        <v>1150449.0000000002</v>
      </c>
      <c r="I96" s="118"/>
      <c r="J96" s="175">
        <f>H96/DAY(B2)</f>
        <v>44248.038461538468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0.2165531914893617</v>
      </c>
      <c r="H97" s="99">
        <f>G97+'25'!H97</f>
        <v>49.198231041110141</v>
      </c>
      <c r="I97" s="167"/>
      <c r="J97" s="175">
        <f>H97/DAY(B2)</f>
        <v>1.8922396554273131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2728</v>
      </c>
      <c r="H98" s="99">
        <f>G98+'25'!H98</f>
        <v>418962</v>
      </c>
      <c r="I98" s="168"/>
      <c r="J98" s="175">
        <f>H98/DAY(B2)</f>
        <v>16113.923076923076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0.11608510638297873</v>
      </c>
      <c r="H99" s="99">
        <f>G99+'25'!H99</f>
        <v>18.042120117630208</v>
      </c>
      <c r="I99" s="168"/>
      <c r="J99" s="175">
        <f>H99/DAY(B2)</f>
        <v>0.69392769683193112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1966</v>
      </c>
      <c r="H100" s="99">
        <f>G100+'25'!H100</f>
        <v>236225</v>
      </c>
      <c r="I100" s="118"/>
      <c r="J100" s="175">
        <f>H100/DAY(B2)</f>
        <v>9085.5769230769238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8.3659574468085113E-2</v>
      </c>
      <c r="H101" s="99">
        <f>G101+'25'!H101</f>
        <v>10.182999380876879</v>
      </c>
      <c r="I101" s="168"/>
      <c r="J101" s="175">
        <f>H101/DAY(B2)</f>
        <v>0.39165382234141843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2696</v>
      </c>
      <c r="H102" s="99">
        <f>G102+'25'!H102</f>
        <v>819113.99999999988</v>
      </c>
      <c r="I102" s="168"/>
      <c r="J102" s="175">
        <f>H102/DAY(B2)</f>
        <v>31504.38461538461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0.11472340425531916</v>
      </c>
      <c r="H103" s="99">
        <f>G103+'25'!H103</f>
        <v>35.000253516546323</v>
      </c>
      <c r="I103" s="118"/>
      <c r="J103" s="175">
        <f>H103/DAY(B2)</f>
        <v>1.3461635967902432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1597</v>
      </c>
      <c r="H104" s="99">
        <f>G104+'25'!H104</f>
        <v>199741</v>
      </c>
      <c r="I104" s="118"/>
      <c r="J104" s="175">
        <f>H104/DAY(B2)</f>
        <v>7682.3461538461543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6.7957446808510638E-2</v>
      </c>
      <c r="H105" s="99">
        <f>G105+'25'!H105</f>
        <v>8.6200819000082998</v>
      </c>
      <c r="I105" s="187"/>
      <c r="J105" s="188">
        <f>H105/DAY(B2)</f>
        <v>0.33154161153878076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'25'!F112</f>
        <v>55261</v>
      </c>
      <c r="F112" s="237">
        <v>55331</v>
      </c>
      <c r="G112" s="112">
        <f t="shared" ref="G112:G123" si="9">F112-E112</f>
        <v>70</v>
      </c>
      <c r="H112" s="99">
        <f>G112+'25'!H112</f>
        <v>-350</v>
      </c>
      <c r="I112" s="165"/>
      <c r="J112" s="330">
        <f>H112/DAY(B2)</f>
        <v>-13.461538461538462</v>
      </c>
    </row>
    <row r="113" spans="1:18" ht="27.75" x14ac:dyDescent="0.5">
      <c r="A113" s="835" t="s">
        <v>253</v>
      </c>
      <c r="B113" s="836"/>
      <c r="C113" s="837"/>
      <c r="D113" s="146" t="s">
        <v>183</v>
      </c>
      <c r="E113" s="95">
        <f>'25'!F113</f>
        <v>29469</v>
      </c>
      <c r="F113" s="237">
        <v>29930</v>
      </c>
      <c r="G113" s="112">
        <f t="shared" si="9"/>
        <v>461</v>
      </c>
      <c r="H113" s="99">
        <f>G113+'25'!H113</f>
        <v>-2265</v>
      </c>
      <c r="I113" s="165"/>
      <c r="J113" s="330">
        <f>H113/DAY(B2)</f>
        <v>-87.115384615384613</v>
      </c>
    </row>
    <row r="114" spans="1:18" ht="27.75" x14ac:dyDescent="0.5">
      <c r="A114" s="835" t="s">
        <v>254</v>
      </c>
      <c r="B114" s="836"/>
      <c r="C114" s="837"/>
      <c r="D114" s="146" t="s">
        <v>183</v>
      </c>
      <c r="E114" s="95">
        <f>'25'!F114</f>
        <v>23051</v>
      </c>
      <c r="F114" s="237">
        <v>23348</v>
      </c>
      <c r="G114" s="112">
        <f t="shared" si="9"/>
        <v>297</v>
      </c>
      <c r="H114" s="99">
        <f>G114+'25'!H114</f>
        <v>-1680.1800000000021</v>
      </c>
      <c r="I114" s="165"/>
      <c r="J114" s="330">
        <f>H114/DAY(B2)</f>
        <v>-64.622307692307771</v>
      </c>
    </row>
    <row r="115" spans="1:18" ht="27.75" x14ac:dyDescent="0.5">
      <c r="A115" s="835" t="s">
        <v>255</v>
      </c>
      <c r="B115" s="836"/>
      <c r="C115" s="837"/>
      <c r="D115" s="146" t="s">
        <v>183</v>
      </c>
      <c r="E115" s="95">
        <f>'25'!F115</f>
        <v>8716</v>
      </c>
      <c r="F115" s="237">
        <v>8732</v>
      </c>
      <c r="G115" s="112">
        <f t="shared" si="9"/>
        <v>16</v>
      </c>
      <c r="H115" s="99">
        <f>G115+'25'!H115</f>
        <v>-53</v>
      </c>
      <c r="I115" s="165"/>
      <c r="J115" s="330">
        <f>H115/DAY(B2)</f>
        <v>-2.0384615384615383</v>
      </c>
    </row>
    <row r="116" spans="1:18" ht="27.75" x14ac:dyDescent="0.5">
      <c r="A116" s="842" t="s">
        <v>96</v>
      </c>
      <c r="B116" s="843"/>
      <c r="C116" s="844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x14ac:dyDescent="0.5">
      <c r="A117" s="842" t="s">
        <v>184</v>
      </c>
      <c r="B117" s="843"/>
      <c r="C117" s="844"/>
      <c r="D117" s="146" t="s">
        <v>183</v>
      </c>
      <c r="E117" s="95">
        <f>'25'!F117</f>
        <v>2444</v>
      </c>
      <c r="F117" s="237">
        <v>2485</v>
      </c>
      <c r="G117" s="112">
        <f t="shared" si="9"/>
        <v>41</v>
      </c>
      <c r="H117" s="99">
        <f>G117+'25'!H117</f>
        <v>-105</v>
      </c>
      <c r="I117" s="165"/>
      <c r="J117" s="330">
        <f>H117/DAY(B2)</f>
        <v>-4.0384615384615383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'25'!F118</f>
        <v>239308</v>
      </c>
      <c r="F118" s="237">
        <v>239648</v>
      </c>
      <c r="G118" s="112">
        <f t="shared" si="9"/>
        <v>340</v>
      </c>
      <c r="H118" s="99">
        <f>G118+'25'!H118</f>
        <v>-1999</v>
      </c>
      <c r="I118" s="165"/>
      <c r="J118" s="330">
        <f>H118/DAY(B2)</f>
        <v>-76.884615384615387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'25'!F119</f>
        <v>242623</v>
      </c>
      <c r="F119" s="237">
        <v>243057</v>
      </c>
      <c r="G119" s="112">
        <f t="shared" si="9"/>
        <v>434</v>
      </c>
      <c r="H119" s="99">
        <f>G119+'25'!H119</f>
        <v>-2069</v>
      </c>
      <c r="I119" s="165"/>
      <c r="J119" s="330">
        <f>H119/DAY(B2)</f>
        <v>-79.57692307692308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'25'!F120</f>
        <v>27612</v>
      </c>
      <c r="F120" s="237">
        <v>28021</v>
      </c>
      <c r="G120" s="112">
        <f t="shared" si="9"/>
        <v>409</v>
      </c>
      <c r="H120" s="99">
        <f>G120+'25'!H120</f>
        <v>-2057</v>
      </c>
      <c r="I120" s="165"/>
      <c r="J120" s="330">
        <f>H120/DAY(B2)</f>
        <v>-79.115384615384613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'25'!F121</f>
        <v>371856</v>
      </c>
      <c r="F121" s="237">
        <v>372629</v>
      </c>
      <c r="G121" s="112">
        <f t="shared" si="9"/>
        <v>773</v>
      </c>
      <c r="H121" s="99">
        <f>G121+'25'!H121</f>
        <v>-3900</v>
      </c>
      <c r="I121" s="165"/>
      <c r="J121" s="330">
        <f>H121/DAY(B2)</f>
        <v>-150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'25'!F122</f>
        <v>118690</v>
      </c>
      <c r="F122" s="237">
        <v>118921</v>
      </c>
      <c r="G122" s="112">
        <f t="shared" si="9"/>
        <v>231</v>
      </c>
      <c r="H122" s="99">
        <f>G122+'25'!H122</f>
        <v>-1129</v>
      </c>
      <c r="I122" s="165"/>
      <c r="J122" s="330">
        <f>H122/DAY(B2)</f>
        <v>-43.42307692307692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'25'!F123</f>
        <v>143063</v>
      </c>
      <c r="F123" s="237">
        <v>143418</v>
      </c>
      <c r="G123" s="112">
        <f t="shared" si="9"/>
        <v>355</v>
      </c>
      <c r="H123" s="99">
        <f>G123+'25'!H123</f>
        <v>-1707</v>
      </c>
      <c r="I123" s="165"/>
      <c r="J123" s="330">
        <f>H123/DAY(B2)</f>
        <v>-65.65384615384616</v>
      </c>
    </row>
    <row r="124" spans="1:18" ht="27.75" x14ac:dyDescent="0.5">
      <c r="A124" s="839"/>
      <c r="B124" s="840"/>
      <c r="C124" s="841"/>
      <c r="D124" s="165"/>
      <c r="E124" s="95">
        <f>'25'!F124</f>
        <v>0</v>
      </c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3427</v>
      </c>
      <c r="H125" s="156"/>
      <c r="I125" s="329">
        <f>G125-(G39+G53)</f>
        <v>699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G127+'25'!H127</f>
        <v>0</v>
      </c>
      <c r="I127" s="165"/>
      <c r="J127" s="330">
        <f>H127/DAY(B2)</f>
        <v>0</v>
      </c>
    </row>
    <row r="128" spans="1:18" ht="27.75" x14ac:dyDescent="0.5">
      <c r="A128" s="835" t="s">
        <v>318</v>
      </c>
      <c r="B128" s="836"/>
      <c r="C128" s="837"/>
      <c r="D128" s="151" t="s">
        <v>183</v>
      </c>
      <c r="E128" s="95">
        <f>'25'!F128</f>
        <v>35990</v>
      </c>
      <c r="F128" s="165">
        <v>36310</v>
      </c>
      <c r="G128" s="112">
        <f t="shared" ref="G128:G134" si="10">F128-E128</f>
        <v>320</v>
      </c>
      <c r="H128" s="99">
        <f>G128+'25'!H128</f>
        <v>-1694</v>
      </c>
      <c r="I128" s="165"/>
      <c r="J128" s="330">
        <f>H128/DAY(B2)</f>
        <v>-65.15384615384616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'25'!F129</f>
        <v>19024</v>
      </c>
      <c r="F129" s="165">
        <v>19235</v>
      </c>
      <c r="G129" s="112">
        <f t="shared" si="10"/>
        <v>211</v>
      </c>
      <c r="H129" s="99">
        <f>G129+'25'!H129</f>
        <v>-1086</v>
      </c>
      <c r="I129" s="165"/>
      <c r="J129" s="330">
        <f>H129/DAY(B2)</f>
        <v>-41.769230769230766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'25'!F130</f>
        <v>13552</v>
      </c>
      <c r="F130" s="165">
        <v>14307</v>
      </c>
      <c r="G130" s="112">
        <f t="shared" si="10"/>
        <v>755</v>
      </c>
      <c r="H130" s="99">
        <f>G130+'25'!H130</f>
        <v>-4075.0000000000018</v>
      </c>
      <c r="I130" s="165"/>
      <c r="J130" s="330">
        <f>H130/DAY(B2)</f>
        <v>-156.73076923076931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'25'!F131</f>
        <v>12601</v>
      </c>
      <c r="F131" s="165">
        <v>12700</v>
      </c>
      <c r="G131" s="112">
        <f t="shared" si="10"/>
        <v>99</v>
      </c>
      <c r="H131" s="99">
        <f>G131+'25'!H131</f>
        <v>-453</v>
      </c>
      <c r="I131" s="165"/>
      <c r="J131" s="330">
        <f>H131/DAY(B2)</f>
        <v>-17.423076923076923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'25'!F132</f>
        <v>38204</v>
      </c>
      <c r="F132" s="165">
        <v>38721</v>
      </c>
      <c r="G132" s="112">
        <f t="shared" si="10"/>
        <v>517</v>
      </c>
      <c r="H132" s="99">
        <f>G132+'25'!H132</f>
        <v>-3915.1200000000026</v>
      </c>
      <c r="I132" s="165"/>
      <c r="J132" s="330">
        <f>H132/DAY(B2)</f>
        <v>-150.58153846153857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'25'!F133</f>
        <v>83772</v>
      </c>
      <c r="F133" s="165">
        <v>84445</v>
      </c>
      <c r="G133" s="112">
        <f t="shared" si="10"/>
        <v>673</v>
      </c>
      <c r="H133" s="99">
        <f>G133+'25'!H133</f>
        <v>-3258</v>
      </c>
      <c r="I133" s="165"/>
      <c r="J133" s="330">
        <f>H133/DAY(B2)</f>
        <v>-125.30769230769231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'25'!F134</f>
        <v>665129</v>
      </c>
      <c r="F134" s="165">
        <v>665751</v>
      </c>
      <c r="G134" s="112">
        <f t="shared" si="10"/>
        <v>622</v>
      </c>
      <c r="H134" s="99">
        <f>G134+'25'!H134</f>
        <v>14617</v>
      </c>
      <c r="I134" s="165"/>
      <c r="J134" s="330">
        <f>H134/DAY(B2)</f>
        <v>562.19230769230774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3197</v>
      </c>
      <c r="H135" s="99">
        <f>G135+'23'!H135</f>
        <v>-41751.71</v>
      </c>
      <c r="I135" s="329">
        <f>G135-(G35+G49)</f>
        <v>-146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'25'!F138</f>
        <v>863524</v>
      </c>
      <c r="F138" s="147">
        <v>863642</v>
      </c>
      <c r="G138" s="112">
        <f t="shared" ref="G138:G152" si="11">F138-E138</f>
        <v>118</v>
      </c>
      <c r="H138" s="99">
        <f>G138+'25'!H138</f>
        <v>-529</v>
      </c>
      <c r="I138" s="118"/>
      <c r="J138" s="330">
        <f>H138/DAY(B2)</f>
        <v>-20.346153846153847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'25'!F139</f>
        <v>886523</v>
      </c>
      <c r="F139" s="148">
        <v>886525</v>
      </c>
      <c r="G139" s="112">
        <f t="shared" si="11"/>
        <v>2</v>
      </c>
      <c r="H139" s="99">
        <f>G139+'25'!H139</f>
        <v>-21</v>
      </c>
      <c r="I139" s="118"/>
      <c r="J139" s="330">
        <f>H139/DAY(B2)</f>
        <v>-0.80769230769230771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'25'!F140</f>
        <v>88882</v>
      </c>
      <c r="F140" s="149">
        <v>88882</v>
      </c>
      <c r="G140" s="112">
        <f t="shared" si="11"/>
        <v>0</v>
      </c>
      <c r="H140" s="99">
        <f>G140+'25'!H140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'25'!F141</f>
        <v>48151</v>
      </c>
      <c r="F141" s="149">
        <v>48352</v>
      </c>
      <c r="G141" s="112">
        <f t="shared" si="11"/>
        <v>201</v>
      </c>
      <c r="H141" s="99">
        <f>G141+'25'!H141</f>
        <v>-954</v>
      </c>
      <c r="I141" s="118"/>
      <c r="J141" s="330">
        <f>H141/DAY(B2)</f>
        <v>-36.692307692307693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'25'!F142</f>
        <v>18558</v>
      </c>
      <c r="F142" s="148">
        <v>18631</v>
      </c>
      <c r="G142" s="112">
        <f t="shared" si="11"/>
        <v>73</v>
      </c>
      <c r="H142" s="99">
        <f>G142+'25'!H142</f>
        <v>-378</v>
      </c>
      <c r="I142" s="140"/>
      <c r="J142" s="330">
        <f>H142/DAY(B2)</f>
        <v>-14.538461538461538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'25'!F143</f>
        <v>2924</v>
      </c>
      <c r="F143" s="149">
        <v>2946</v>
      </c>
      <c r="G143" s="112">
        <f t="shared" si="11"/>
        <v>22</v>
      </c>
      <c r="H143" s="99">
        <f>G143+'25'!H143</f>
        <v>-115</v>
      </c>
      <c r="I143" s="140"/>
      <c r="J143" s="330">
        <f>H143/DAY(B2)</f>
        <v>-4.4230769230769234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'25'!F144</f>
        <v>868238</v>
      </c>
      <c r="F144" s="149">
        <v>868486</v>
      </c>
      <c r="G144" s="112">
        <f t="shared" si="11"/>
        <v>248</v>
      </c>
      <c r="H144" s="99">
        <f>G144+'25'!H144</f>
        <v>-1184</v>
      </c>
      <c r="I144" s="140"/>
      <c r="J144" s="330">
        <f>H144/DAY(B2)</f>
        <v>-45.53846153846154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'25'!F145</f>
        <v>4474</v>
      </c>
      <c r="F145" s="149">
        <v>4491</v>
      </c>
      <c r="G145" s="112">
        <f t="shared" si="11"/>
        <v>17</v>
      </c>
      <c r="H145" s="99">
        <f>G145+'25'!H145</f>
        <v>-67</v>
      </c>
      <c r="I145" s="140"/>
      <c r="J145" s="330">
        <f>H145/DAY(B2)</f>
        <v>-2.5769230769230771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'25'!F146</f>
        <v>722039</v>
      </c>
      <c r="F146" s="148">
        <v>722504</v>
      </c>
      <c r="G146" s="112">
        <f t="shared" si="11"/>
        <v>465</v>
      </c>
      <c r="H146" s="99">
        <f>G146+'25'!H146</f>
        <v>-2354</v>
      </c>
      <c r="I146" s="140"/>
      <c r="J146" s="330">
        <f>H146/DAY(B2)</f>
        <v>-90.538461538461533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'25'!F147</f>
        <v>612768</v>
      </c>
      <c r="F147" s="148">
        <v>613642</v>
      </c>
      <c r="G147" s="112">
        <f t="shared" si="11"/>
        <v>874</v>
      </c>
      <c r="H147" s="99">
        <f>G147+'25'!H147</f>
        <v>-1640</v>
      </c>
      <c r="I147" s="140"/>
      <c r="J147" s="330">
        <f>H147/DAY(B2)</f>
        <v>-63.07692307692308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'25'!F148</f>
        <v>681323</v>
      </c>
      <c r="F148" s="150">
        <v>681670</v>
      </c>
      <c r="G148" s="112">
        <f t="shared" si="11"/>
        <v>347</v>
      </c>
      <c r="H148" s="99">
        <f>G148+'25'!H148</f>
        <v>-1363.1199999999953</v>
      </c>
      <c r="I148" s="124"/>
      <c r="J148" s="330">
        <f>H148/DAY(B2)</f>
        <v>-52.427692307692126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'25'!F149</f>
        <v>7419</v>
      </c>
      <c r="F149" s="146">
        <v>8034</v>
      </c>
      <c r="G149" s="112">
        <f t="shared" si="11"/>
        <v>615</v>
      </c>
      <c r="H149" s="99">
        <f>G149+'25'!H149</f>
        <v>184525.00000000003</v>
      </c>
      <c r="I149" s="119"/>
      <c r="J149" s="330">
        <f>H149/DAY(B2)</f>
        <v>7097.1153846153857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'25'!F150</f>
        <v>2697</v>
      </c>
      <c r="F150" s="233">
        <v>2930</v>
      </c>
      <c r="G150" s="112">
        <f t="shared" si="11"/>
        <v>233</v>
      </c>
      <c r="H150" s="99">
        <f>G150+'25'!H150</f>
        <v>7165918</v>
      </c>
      <c r="I150" s="119"/>
      <c r="J150" s="330">
        <f>H150/DAY(B2)</f>
        <v>275612.23076923075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'25'!F151</f>
        <v>76788</v>
      </c>
      <c r="F151" s="233">
        <v>77013</v>
      </c>
      <c r="G151" s="112">
        <f t="shared" si="11"/>
        <v>225</v>
      </c>
      <c r="H151" s="99">
        <f>G151+'25'!H151</f>
        <v>-1204</v>
      </c>
      <c r="I151" s="119"/>
      <c r="J151" s="330">
        <f>H151/DAY(B2)</f>
        <v>-46.307692307692307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'25'!F152</f>
        <v>837</v>
      </c>
      <c r="F152" s="233">
        <v>886</v>
      </c>
      <c r="G152" s="112">
        <f t="shared" si="11"/>
        <v>49</v>
      </c>
      <c r="H152" s="99">
        <f>G152+'25'!H152</f>
        <v>-241</v>
      </c>
      <c r="I152" s="119"/>
      <c r="J152" s="330">
        <f>H152/DAY(B2)</f>
        <v>-9.2692307692307701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3489</v>
      </c>
      <c r="H153" s="365"/>
      <c r="I153" s="119">
        <f>G153-(G38+G52)</f>
        <v>1523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'25'!F155</f>
        <v>8800</v>
      </c>
      <c r="F155" s="599">
        <v>9494</v>
      </c>
      <c r="G155" s="112">
        <f t="shared" ref="G155:G158" si="12">F155-E155</f>
        <v>694</v>
      </c>
      <c r="H155" s="99">
        <f>G155+'25'!H155</f>
        <v>73639</v>
      </c>
      <c r="I155" s="366"/>
      <c r="J155" s="330">
        <f>H155/DAY(B2)</f>
        <v>2832.2692307692309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'25'!F156</f>
        <v>700</v>
      </c>
      <c r="F156" s="155">
        <v>756</v>
      </c>
      <c r="G156" s="112">
        <f t="shared" si="12"/>
        <v>56</v>
      </c>
      <c r="H156" s="99">
        <f>G156+'25'!H156</f>
        <v>-331.99999999999989</v>
      </c>
      <c r="I156" s="165"/>
      <c r="J156" s="330">
        <f>H156/DAY(B2)</f>
        <v>-12.769230769230765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'25'!F157</f>
        <v>821</v>
      </c>
      <c r="F157" s="155">
        <v>880</v>
      </c>
      <c r="G157" s="112">
        <f t="shared" si="12"/>
        <v>59</v>
      </c>
      <c r="H157" s="99">
        <f>G157+'25'!H157</f>
        <v>880</v>
      </c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'25'!F158</f>
        <v>1.36</v>
      </c>
      <c r="F158" s="155">
        <v>1.36</v>
      </c>
      <c r="G158" s="112">
        <f t="shared" si="12"/>
        <v>0</v>
      </c>
      <c r="H158" s="99">
        <f>G158+'25'!H158</f>
        <v>1.28</v>
      </c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471149</v>
      </c>
      <c r="F161" s="235">
        <v>471149</v>
      </c>
      <c r="G161" s="238">
        <f t="shared" ref="G161:G165" si="13">F161-E161</f>
        <v>0</v>
      </c>
      <c r="H161" s="99">
        <f>G161+'25'!H161</f>
        <v>-4.1599999999743886</v>
      </c>
      <c r="I161" s="236"/>
      <c r="J161" s="239">
        <f>H161/DAY(B2)</f>
        <v>-0.15999999999901496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87410</v>
      </c>
      <c r="F162" s="235">
        <v>87424</v>
      </c>
      <c r="G162" s="238">
        <f t="shared" si="13"/>
        <v>14</v>
      </c>
      <c r="H162" s="99">
        <f>G162+'25'!H162</f>
        <v>-146</v>
      </c>
      <c r="I162" s="236"/>
      <c r="J162" s="239">
        <f>H162/DAY(B2)</f>
        <v>-5.615384615384615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77422</v>
      </c>
      <c r="F163" s="235">
        <v>77457</v>
      </c>
      <c r="G163" s="238">
        <f t="shared" si="13"/>
        <v>35</v>
      </c>
      <c r="H163" s="99">
        <f>G163+'25'!H163</f>
        <v>-368</v>
      </c>
      <c r="I163" s="236"/>
      <c r="J163" s="239">
        <f>H163/DAY(B2)</f>
        <v>-14.153846153846153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4225</v>
      </c>
      <c r="F164" s="235">
        <v>4226</v>
      </c>
      <c r="G164" s="238">
        <f t="shared" si="13"/>
        <v>1</v>
      </c>
      <c r="H164" s="99">
        <f>G164+'25'!H164</f>
        <v>-16</v>
      </c>
      <c r="I164" s="236"/>
      <c r="J164" s="239">
        <f>H164/DAY(B2)</f>
        <v>-0.61538461538461542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29608</v>
      </c>
      <c r="F165" s="235">
        <v>29613</v>
      </c>
      <c r="G165" s="238">
        <f t="shared" si="13"/>
        <v>5</v>
      </c>
      <c r="H165" s="99">
        <f>G165+'25'!H165</f>
        <v>-33</v>
      </c>
      <c r="I165" s="236"/>
      <c r="J165" s="239">
        <f>H165/DAY(B2)</f>
        <v>-1.2692307692307692</v>
      </c>
    </row>
    <row r="166" spans="1:10" ht="29.25" x14ac:dyDescent="0.5">
      <c r="A166" s="824"/>
      <c r="B166" s="824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'25'!F174</f>
        <v>38205</v>
      </c>
      <c r="F174" s="157">
        <v>38221</v>
      </c>
      <c r="G174" s="155">
        <f t="shared" ref="G174:G175" si="14">F174-E174</f>
        <v>16</v>
      </c>
      <c r="H174" s="99">
        <f>G174+'25'!H174</f>
        <v>-66</v>
      </c>
      <c r="I174" s="155"/>
      <c r="J174" s="178">
        <f>H174/DAY(B2)</f>
        <v>-2.5384615384615383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'25'!F175</f>
        <v>21451</v>
      </c>
      <c r="F175" s="155">
        <v>21463</v>
      </c>
      <c r="G175" s="155">
        <f t="shared" si="14"/>
        <v>12</v>
      </c>
      <c r="H175" s="99">
        <f>G175+'25'!H175</f>
        <v>-55</v>
      </c>
      <c r="I175" s="155"/>
      <c r="J175" s="178">
        <f>H175/DAY(B2)</f>
        <v>-2.1153846153846154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28</v>
      </c>
      <c r="H176" s="99">
        <f>G176+'25'!H176</f>
        <v>-121</v>
      </c>
      <c r="I176" s="155"/>
      <c r="J176" s="178">
        <f>H176/DAY(B2)</f>
        <v>-4.6538461538461542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'25'!F178</f>
        <v>79212</v>
      </c>
      <c r="F178" s="155">
        <v>79276</v>
      </c>
      <c r="G178" s="155">
        <f>F178-E178</f>
        <v>64</v>
      </c>
      <c r="H178" s="99">
        <f>G178+'25'!H178</f>
        <v>-338</v>
      </c>
      <c r="I178" s="155"/>
      <c r="J178" s="178">
        <f>H178/DAY(B2)</f>
        <v>-13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'25'!F179</f>
        <v>33915</v>
      </c>
      <c r="F179" s="155">
        <v>33915</v>
      </c>
      <c r="G179" s="155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'25'!F180</f>
        <v>5448</v>
      </c>
      <c r="F180" s="155">
        <v>5449</v>
      </c>
      <c r="G180" s="155">
        <f t="shared" si="15"/>
        <v>1</v>
      </c>
      <c r="H180" s="99">
        <f>G180+'25'!H180</f>
        <v>-28</v>
      </c>
      <c r="I180" s="155"/>
      <c r="J180" s="178">
        <f>H180/DAY(B2)</f>
        <v>-1.0769230769230769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65</v>
      </c>
      <c r="H181" s="99">
        <f>G181+'25'!H181</f>
        <v>-366</v>
      </c>
      <c r="I181" s="155"/>
      <c r="J181" s="178">
        <f>H181/DAY(B2)</f>
        <v>-14.076923076923077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'25'!F183</f>
        <v>14848</v>
      </c>
      <c r="F183" s="157">
        <v>14872</v>
      </c>
      <c r="G183" s="157">
        <f>F183-E183</f>
        <v>24</v>
      </c>
      <c r="H183" s="99">
        <f>G183+'25'!H183</f>
        <v>-75</v>
      </c>
      <c r="I183" s="155"/>
      <c r="J183" s="178">
        <f>H183/DAY(B2)</f>
        <v>-2.8846153846153846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'25'!F184</f>
        <v>10257</v>
      </c>
      <c r="F184" s="157">
        <v>10265</v>
      </c>
      <c r="G184" s="157">
        <f t="shared" ref="G184:G185" si="16">F184-E184</f>
        <v>8</v>
      </c>
      <c r="H184" s="99">
        <f>G184+'25'!H184</f>
        <v>-36</v>
      </c>
      <c r="I184" s="155"/>
      <c r="J184" s="178">
        <f>H184/DAY(B2)</f>
        <v>-1.3846153846153846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32</v>
      </c>
      <c r="H186" s="99">
        <f>G186+'25'!H186</f>
        <v>-111</v>
      </c>
      <c r="I186" s="157"/>
      <c r="J186" s="178">
        <f>H186/DAY(B2)</f>
        <v>-4.2692307692307692</v>
      </c>
    </row>
    <row r="187" spans="1:10" ht="27.75" x14ac:dyDescent="0.5">
      <c r="A187" s="821" t="s">
        <v>217</v>
      </c>
      <c r="B187" s="822"/>
      <c r="C187" s="335"/>
      <c r="D187" s="228" t="s">
        <v>142</v>
      </c>
      <c r="E187" s="95">
        <f>'25'!F187</f>
        <v>0</v>
      </c>
      <c r="F187" s="159"/>
      <c r="G187" s="464">
        <f>G62+G19</f>
        <v>200</v>
      </c>
      <c r="H187" s="99">
        <f>G187+'25'!H187</f>
        <v>887</v>
      </c>
      <c r="I187" s="158"/>
      <c r="J187" s="179">
        <f>H187/DAY(B2)</f>
        <v>34.115384615384613</v>
      </c>
    </row>
    <row r="188" spans="1:10" ht="27.75" x14ac:dyDescent="0.5">
      <c r="A188" s="821" t="s">
        <v>218</v>
      </c>
      <c r="B188" s="822"/>
      <c r="C188" s="335"/>
      <c r="D188" s="228" t="s">
        <v>142</v>
      </c>
      <c r="E188" s="95">
        <f>'25'!F188</f>
        <v>0</v>
      </c>
      <c r="F188" s="159"/>
      <c r="G188" s="464">
        <f>G65+G66+G67+G69+G70</f>
        <v>207</v>
      </c>
      <c r="H188" s="99">
        <f>G188+'25'!H188</f>
        <v>2092</v>
      </c>
      <c r="I188" s="158"/>
      <c r="J188" s="179">
        <f>H188/DAY(B2)</f>
        <v>80.461538461538467</v>
      </c>
    </row>
    <row r="189" spans="1:10" ht="27.75" x14ac:dyDescent="0.5">
      <c r="A189" s="821" t="s">
        <v>219</v>
      </c>
      <c r="B189" s="822"/>
      <c r="C189" s="335"/>
      <c r="D189" s="228" t="s">
        <v>142</v>
      </c>
      <c r="E189" s="95">
        <f>'25'!F189</f>
        <v>0</v>
      </c>
      <c r="F189" s="157"/>
      <c r="G189" s="461">
        <f>G181</f>
        <v>65</v>
      </c>
      <c r="H189" s="99">
        <f>G189+'25'!H189</f>
        <v>615</v>
      </c>
      <c r="I189" s="158"/>
      <c r="J189" s="179">
        <f>H189/DAY(B2)</f>
        <v>23.653846153846153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44557</v>
      </c>
      <c r="C2" s="350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0</v>
      </c>
      <c r="F7" s="95">
        <f>E7+23500</f>
        <v>23500</v>
      </c>
      <c r="G7" s="112">
        <f>F7-E7</f>
        <v>23500</v>
      </c>
      <c r="H7" s="99">
        <f>G7+'26'!H7</f>
        <v>598417</v>
      </c>
      <c r="I7" s="113">
        <f>'1'!I7</f>
        <v>12000</v>
      </c>
      <c r="J7" s="175">
        <f>H7/DAY(B2)</f>
        <v>22163.592592592591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39565</v>
      </c>
      <c r="F8" s="95">
        <f>E8+23500</f>
        <v>63065</v>
      </c>
      <c r="G8" s="115">
        <f>F8-E8</f>
        <v>23500</v>
      </c>
      <c r="H8" s="99">
        <f>G8+'26'!H8</f>
        <v>602052</v>
      </c>
      <c r="I8" s="116"/>
      <c r="J8" s="175">
        <f>H8/DAY(B2)</f>
        <v>22298.222222222223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249657</v>
      </c>
      <c r="F9" s="605">
        <f>E9+14000</f>
        <v>263657</v>
      </c>
      <c r="G9" s="112">
        <f>F9-E9</f>
        <v>14000</v>
      </c>
      <c r="H9" s="99">
        <f>G9+'26'!H9</f>
        <v>362162</v>
      </c>
      <c r="I9" s="124">
        <f>I7-J7</f>
        <v>-10163.592592592591</v>
      </c>
      <c r="J9" s="175">
        <f>H9/DAY(B2)</f>
        <v>13413.407407407407</v>
      </c>
      <c r="K9" s="79">
        <f>K8-100</f>
        <v>1715817</v>
      </c>
      <c r="L9" s="66"/>
      <c r="N9" s="87"/>
      <c r="O9" s="71">
        <f>G8-G7</f>
        <v>0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534050</v>
      </c>
      <c r="F10" s="355">
        <f>E10+4500</f>
        <v>538550</v>
      </c>
      <c r="G10" s="112">
        <f t="shared" ref="G10:G12" si="0">F10-E10</f>
        <v>4500</v>
      </c>
      <c r="H10" s="99">
        <f>G10+'26'!H10</f>
        <v>141440</v>
      </c>
      <c r="I10" s="282"/>
      <c r="J10" s="175">
        <f>H10/DAY(B2)</f>
        <v>5238.5185185185182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G13+'26'!H13</f>
        <v>484136.74999999988</v>
      </c>
      <c r="I13" s="120">
        <f>G7-G13</f>
        <v>5000</v>
      </c>
      <c r="J13" s="175">
        <f>H13/DAY(B2)</f>
        <v>17930.990740740737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'26'!F15</f>
        <v>1872726</v>
      </c>
      <c r="F15" s="123">
        <f>E15+1100</f>
        <v>1873826</v>
      </c>
      <c r="G15" s="112">
        <f>(F15-E15)</f>
        <v>1100</v>
      </c>
      <c r="H15" s="99">
        <f>G15+'26'!H15</f>
        <v>27969</v>
      </c>
      <c r="I15" s="113">
        <f>'1'!I15</f>
        <v>800</v>
      </c>
      <c r="J15" s="175">
        <f>H15/DAY(B2)</f>
        <v>1035.8888888888889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-235.88888888888891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'26'!F18</f>
        <v>219</v>
      </c>
      <c r="F18" s="122">
        <f>E18+12</f>
        <v>231</v>
      </c>
      <c r="G18" s="119">
        <f>F18*10</f>
        <v>2310</v>
      </c>
      <c r="H18" s="99">
        <f>G18+'26'!H18</f>
        <v>24440</v>
      </c>
      <c r="I18" s="113">
        <f>'1'!I18</f>
        <v>65</v>
      </c>
      <c r="J18" s="175">
        <f>H18/DAY(B2)</f>
        <v>905.18518518518522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'26'!F19</f>
        <v>153630</v>
      </c>
      <c r="F19" s="122">
        <f>E19+55</f>
        <v>153685</v>
      </c>
      <c r="G19" s="112">
        <f t="shared" ref="G19" si="1">F19-E19</f>
        <v>55</v>
      </c>
      <c r="H19" s="99">
        <f>G19+'26'!H19</f>
        <v>1460</v>
      </c>
      <c r="I19" s="337"/>
      <c r="J19" s="175">
        <f>H19/DAY(B2)</f>
        <v>54.074074074074076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2365</v>
      </c>
      <c r="H20" s="99">
        <f>G20+'26'!H20</f>
        <v>25900</v>
      </c>
      <c r="I20" s="338">
        <f>I18-J20</f>
        <v>-894.25925925925924</v>
      </c>
      <c r="J20" s="175">
        <f>H20/DAY(B2)</f>
        <v>959.25925925925924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G27+'26'!H27</f>
        <v>5418468</v>
      </c>
      <c r="I27" s="138"/>
      <c r="J27" s="175">
        <f>H27/DAY(B2)</f>
        <v>200684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G28+'26'!H28</f>
        <v>1454388</v>
      </c>
      <c r="I28" s="140"/>
      <c r="J28" s="175">
        <f>H28/DAY(B2)</f>
        <v>53866.222222222219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G30+'26'!H30</f>
        <v>213160</v>
      </c>
      <c r="I30" s="140"/>
      <c r="J30" s="175">
        <f>H30/DAY(B2)</f>
        <v>7894.8148148148148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2310</v>
      </c>
      <c r="F31" s="136">
        <v>80</v>
      </c>
      <c r="G31" s="137">
        <f>E31*F31</f>
        <v>184800</v>
      </c>
      <c r="H31" s="99">
        <f>G31+'26'!H31</f>
        <v>1955200</v>
      </c>
      <c r="I31" s="140"/>
      <c r="J31" s="175">
        <f>H31/DAY(B2)</f>
        <v>72414.814814814818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461530</v>
      </c>
      <c r="H32" s="99">
        <f>G32+'26'!H32</f>
        <v>9041216</v>
      </c>
      <c r="I32" s="144"/>
      <c r="J32" s="175">
        <f>H32/DAY(B2)</f>
        <v>334859.85185185185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143345</v>
      </c>
      <c r="F35" s="145">
        <v>145179</v>
      </c>
      <c r="G35" s="112">
        <f t="shared" ref="G35:G46" si="3">F35-E35</f>
        <v>1834</v>
      </c>
      <c r="H35" s="99">
        <f>G35+'26'!H35</f>
        <v>160379</v>
      </c>
      <c r="I35" s="95"/>
      <c r="J35" s="175">
        <f>H35/DAY(B2)</f>
        <v>5939.9629629629626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17358</v>
      </c>
      <c r="F36" s="145">
        <v>18238</v>
      </c>
      <c r="G36" s="112">
        <f t="shared" si="3"/>
        <v>880</v>
      </c>
      <c r="H36" s="99">
        <f>G36+'26'!H36</f>
        <v>86441</v>
      </c>
      <c r="I36" s="95"/>
      <c r="J36" s="175">
        <f>H36/DAY(B2)</f>
        <v>3201.5185185185187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187529</v>
      </c>
      <c r="F37" s="145">
        <v>189109</v>
      </c>
      <c r="G37" s="112">
        <f t="shared" si="3"/>
        <v>1580</v>
      </c>
      <c r="H37" s="99">
        <f>G37+'26'!H37</f>
        <v>201321</v>
      </c>
      <c r="I37" s="95"/>
      <c r="J37" s="175">
        <f>H37/DAY(B2)</f>
        <v>7456.333333333333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223025</v>
      </c>
      <c r="F38" s="108">
        <v>224984</v>
      </c>
      <c r="G38" s="112">
        <f t="shared" si="3"/>
        <v>1959</v>
      </c>
      <c r="H38" s="99">
        <f>G38+'26'!H38</f>
        <v>238184</v>
      </c>
      <c r="I38" s="95"/>
      <c r="J38" s="175">
        <f>H38/DAY(B2)</f>
        <v>8821.6296296296296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397280</v>
      </c>
      <c r="F39" s="145">
        <v>400137</v>
      </c>
      <c r="G39" s="112">
        <f t="shared" si="3"/>
        <v>2857</v>
      </c>
      <c r="H39" s="99">
        <f>G39+'26'!H39</f>
        <v>421819</v>
      </c>
      <c r="I39" s="95"/>
      <c r="J39" s="175">
        <f>H39/DAY(B2)</f>
        <v>15622.925925925925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3311</v>
      </c>
      <c r="F40" s="145">
        <v>4084</v>
      </c>
      <c r="G40" s="112">
        <f t="shared" si="3"/>
        <v>773</v>
      </c>
      <c r="H40" s="99">
        <f>G40+'26'!H40</f>
        <v>-985.85000000000036</v>
      </c>
      <c r="I40" s="95"/>
      <c r="J40" s="175">
        <f>H40/DAY(B2)</f>
        <v>-36.512962962962973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599900</v>
      </c>
      <c r="I41" s="95"/>
      <c r="J41" s="175">
        <f>H41/DAY(B2)</f>
        <v>22218.518518518518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58144</v>
      </c>
      <c r="F42" s="145">
        <v>63114</v>
      </c>
      <c r="G42" s="112">
        <f t="shared" si="3"/>
        <v>4970</v>
      </c>
      <c r="H42" s="99">
        <f>G42+'26'!H42</f>
        <v>346965</v>
      </c>
      <c r="I42" s="95"/>
      <c r="J42" s="175">
        <f>H42/DAY(B2)</f>
        <v>12850.555555555555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34347</v>
      </c>
      <c r="F43" s="145">
        <v>37050</v>
      </c>
      <c r="G43" s="112">
        <f t="shared" si="3"/>
        <v>2703</v>
      </c>
      <c r="H43" s="99">
        <f>G43+'26'!H43</f>
        <v>1554469.9999999998</v>
      </c>
      <c r="I43" s="95"/>
      <c r="J43" s="175">
        <f>H43/DAY(B2)</f>
        <v>57572.962962962956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17556</v>
      </c>
      <c r="H47" s="99">
        <f>G47+'26'!H47</f>
        <v>3608493.15</v>
      </c>
      <c r="I47" s="95"/>
      <c r="J47" s="175">
        <f>H47/DAY(B2)</f>
        <v>133647.89444444445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264925</v>
      </c>
      <c r="F49" s="145">
        <v>266456</v>
      </c>
      <c r="G49" s="112">
        <f t="shared" ref="G49:G58" si="4">F49-E49</f>
        <v>1531</v>
      </c>
      <c r="H49" s="99">
        <f>G49+'26'!H49</f>
        <v>279577.00000000006</v>
      </c>
      <c r="I49" s="95"/>
      <c r="J49" s="175">
        <f>H49/DAY(B2)</f>
        <v>10354.703703703706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19128</v>
      </c>
      <c r="F50" s="145">
        <v>20426</v>
      </c>
      <c r="G50" s="112">
        <f t="shared" si="4"/>
        <v>1298</v>
      </c>
      <c r="H50" s="99">
        <f>G50+'26'!H50</f>
        <v>734851.00000000012</v>
      </c>
      <c r="I50" s="95"/>
      <c r="J50" s="175">
        <f>H50/DAY(B2)</f>
        <v>27216.703703703708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3162</v>
      </c>
      <c r="F54" s="145">
        <v>3166</v>
      </c>
      <c r="G54" s="112">
        <f t="shared" si="4"/>
        <v>4</v>
      </c>
      <c r="H54" s="99">
        <f>G54+'26'!H54</f>
        <v>4933.08</v>
      </c>
      <c r="I54" s="95"/>
      <c r="J54" s="175">
        <f>H54/DAY(B2)</f>
        <v>182.70666666666668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-3511</v>
      </c>
      <c r="I55" s="95"/>
      <c r="J55" s="175">
        <f>H55/DAY(B2)</f>
        <v>-130.03703703703704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212065</v>
      </c>
      <c r="I56" s="95"/>
      <c r="J56" s="175">
        <f>H56/DAY(B2)</f>
        <v>7854.2592592592591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91261</v>
      </c>
      <c r="F58" s="145">
        <v>91484</v>
      </c>
      <c r="G58" s="112">
        <f t="shared" si="4"/>
        <v>223</v>
      </c>
      <c r="H58" s="99">
        <f>G58+'26'!H58</f>
        <v>91824.63</v>
      </c>
      <c r="I58" s="95"/>
      <c r="J58" s="175">
        <f>H58/DAY(B2)</f>
        <v>3400.9122222222222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3056</v>
      </c>
      <c r="H59" s="99">
        <f>G59+'26'!H59</f>
        <v>1319739.7100000002</v>
      </c>
      <c r="I59" s="95">
        <f>G7-G60</f>
        <v>2888</v>
      </c>
      <c r="J59" s="175">
        <f>H59/DAY(B2)</f>
        <v>48879.248518518529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20612</v>
      </c>
      <c r="H60" s="99">
        <f>G60+'26'!H60</f>
        <v>4928232.8600000013</v>
      </c>
      <c r="I60" s="95">
        <f>G13-G60</f>
        <v>-2112</v>
      </c>
      <c r="J60" s="175">
        <f>H60/DAY(B2)</f>
        <v>182527.142962963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'26'!F62</f>
        <v>266695</v>
      </c>
      <c r="F62" s="122">
        <v>266818</v>
      </c>
      <c r="G62" s="112">
        <f t="shared" ref="G62:G63" si="5">F62-E62</f>
        <v>123</v>
      </c>
      <c r="H62" s="99">
        <f>G62+'26'!H62</f>
        <v>-395</v>
      </c>
      <c r="I62" s="118"/>
      <c r="J62" s="175">
        <f>H62/DAY(B2)</f>
        <v>-14.62962962962963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'26'!F63</f>
        <v>212004</v>
      </c>
      <c r="F63" s="122">
        <v>212062</v>
      </c>
      <c r="G63" s="112">
        <f t="shared" si="5"/>
        <v>58</v>
      </c>
      <c r="H63" s="99">
        <f>G63+'26'!H63</f>
        <v>-363</v>
      </c>
      <c r="I63" s="118"/>
      <c r="J63" s="175">
        <f>H63/DAY(B2)</f>
        <v>-13.444444444444445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'26'!F64</f>
        <v>0</v>
      </c>
      <c r="F64" s="122"/>
      <c r="G64" s="112">
        <f>G62+G63</f>
        <v>181</v>
      </c>
      <c r="H64" s="99">
        <f>G64+'26'!H64</f>
        <v>-758</v>
      </c>
      <c r="I64" s="118"/>
      <c r="J64" s="175">
        <f>H64/DAY(B2)</f>
        <v>-28.074074074074073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'26'!F65</f>
        <v>432084</v>
      </c>
      <c r="F65" s="122">
        <v>432179</v>
      </c>
      <c r="G65" s="112">
        <f t="shared" ref="G65:G70" si="6">F65-E65</f>
        <v>95</v>
      </c>
      <c r="H65" s="99">
        <f>G65+'26'!H65</f>
        <v>-435</v>
      </c>
      <c r="I65" s="118"/>
      <c r="J65" s="175">
        <f>H65/DAY(B2)</f>
        <v>-16.111111111111111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'26'!F66</f>
        <v>107122</v>
      </c>
      <c r="F66" s="122">
        <v>107141</v>
      </c>
      <c r="G66" s="112">
        <f t="shared" si="6"/>
        <v>19</v>
      </c>
      <c r="H66" s="99">
        <f>G66+'26'!H66</f>
        <v>-73</v>
      </c>
      <c r="I66" s="118"/>
      <c r="J66" s="175">
        <f>H66/DAY(B2)</f>
        <v>-2.7037037037037037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'26'!F67</f>
        <v>103780</v>
      </c>
      <c r="F67" s="122">
        <v>103808</v>
      </c>
      <c r="G67" s="112">
        <f t="shared" si="6"/>
        <v>28</v>
      </c>
      <c r="H67" s="99">
        <f>G67+'26'!H67</f>
        <v>-120</v>
      </c>
      <c r="I67" s="118"/>
      <c r="J67" s="175">
        <f>H67/DAY(B2)</f>
        <v>-4.4444444444444446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'26'!F68</f>
        <v>156446</v>
      </c>
      <c r="F68" s="122">
        <v>156480</v>
      </c>
      <c r="G68" s="112">
        <f t="shared" si="6"/>
        <v>34</v>
      </c>
      <c r="H68" s="99">
        <f>G68+'26'!H68</f>
        <v>-140</v>
      </c>
      <c r="I68" s="118"/>
      <c r="J68" s="175">
        <f>H68/DAY(B2)</f>
        <v>-5.1851851851851851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'26'!F69</f>
        <v>10151</v>
      </c>
      <c r="F69" s="122">
        <v>10159</v>
      </c>
      <c r="G69" s="112">
        <f t="shared" si="6"/>
        <v>8</v>
      </c>
      <c r="H69" s="99">
        <f>G69+'26'!H69</f>
        <v>-55</v>
      </c>
      <c r="I69" s="118"/>
      <c r="J69" s="175">
        <f>H69/DAY(B2)</f>
        <v>-2.0370370370370372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'26'!F70</f>
        <v>7823</v>
      </c>
      <c r="F70" s="122">
        <v>7837</v>
      </c>
      <c r="G70" s="112">
        <f t="shared" si="6"/>
        <v>14</v>
      </c>
      <c r="H70" s="99">
        <f>G70+'26'!H70</f>
        <v>-25</v>
      </c>
      <c r="I70" s="118"/>
      <c r="J70" s="175">
        <f>H70/DAY(B2)</f>
        <v>-0.92592592592592593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198</v>
      </c>
      <c r="H71" s="99">
        <f>G71+'26'!H71</f>
        <v>-848</v>
      </c>
      <c r="I71" s="154"/>
      <c r="J71" s="175">
        <f>H71/DAY(B2)</f>
        <v>-31.407407407407408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'26'!F74</f>
        <v>890493</v>
      </c>
      <c r="F74" s="117">
        <v>890804</v>
      </c>
      <c r="G74" s="112">
        <f t="shared" ref="G74:G78" si="7">F74-E74</f>
        <v>311</v>
      </c>
      <c r="H74" s="99">
        <f>G74+'26'!H74</f>
        <v>-1228</v>
      </c>
      <c r="I74" s="154"/>
      <c r="J74" s="175">
        <f>H74/DAY(B2)</f>
        <v>-45.481481481481481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243.88999999999942</v>
      </c>
      <c r="I75" s="154"/>
      <c r="J75" s="175">
        <f>H75/DAY(B2)</f>
        <v>9.0329629629629409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'26'!F76</f>
        <v>166712</v>
      </c>
      <c r="F76" s="123">
        <v>166821</v>
      </c>
      <c r="G76" s="112">
        <f t="shared" si="7"/>
        <v>109</v>
      </c>
      <c r="H76" s="99">
        <f>G76+'26'!H76</f>
        <v>-386</v>
      </c>
      <c r="I76" s="154"/>
      <c r="J76" s="175">
        <f>H76/DAY(B2)</f>
        <v>-14.296296296296296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'26'!F77</f>
        <v>40112</v>
      </c>
      <c r="F77" s="123">
        <v>40160</v>
      </c>
      <c r="G77" s="112">
        <f t="shared" si="7"/>
        <v>48</v>
      </c>
      <c r="H77" s="99">
        <f>G77+'26'!H77</f>
        <v>-156</v>
      </c>
      <c r="I77" s="154"/>
      <c r="J77" s="175">
        <f>H77/DAY(B2)</f>
        <v>-5.7777777777777777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'26'!F78</f>
        <v>9478</v>
      </c>
      <c r="F78" s="123">
        <v>9479</v>
      </c>
      <c r="G78" s="112">
        <f t="shared" si="7"/>
        <v>1</v>
      </c>
      <c r="H78" s="99">
        <f>G78+'26'!H78</f>
        <v>-7</v>
      </c>
      <c r="I78" s="118"/>
      <c r="J78" s="175">
        <f>H78/DAY(B2)</f>
        <v>-0.25925925925925924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'26'!F79</f>
        <v>0</v>
      </c>
      <c r="F79" s="123"/>
      <c r="G79" s="112">
        <f>G15-SUM(G74:G78)</f>
        <v>631</v>
      </c>
      <c r="H79" s="99">
        <f>G79+'26'!H79</f>
        <v>29502.109999999997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'26'!F85</f>
        <v>2012.32</v>
      </c>
      <c r="F85" s="164">
        <v>2036</v>
      </c>
      <c r="G85" s="112">
        <f t="shared" si="8"/>
        <v>23.680000000000064</v>
      </c>
      <c r="H85" s="99">
        <f>G85+'26'!H85</f>
        <v>-60.559999999999945</v>
      </c>
      <c r="I85" s="118">
        <f>G82+G83+G84+G85</f>
        <v>23.680000000000064</v>
      </c>
      <c r="J85" s="175">
        <f>H85/DAY(B2)</f>
        <v>-2.2429629629629608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'26'!F86</f>
        <v>42826.47</v>
      </c>
      <c r="F86" s="164">
        <v>42826.47</v>
      </c>
      <c r="G86" s="112">
        <f t="shared" si="8"/>
        <v>0</v>
      </c>
      <c r="H86" s="99">
        <f>G86+'26'!H86</f>
        <v>-36.529999999998836</v>
      </c>
      <c r="I86" s="118"/>
      <c r="J86" s="175">
        <f>H86/DAY(B2)</f>
        <v>-1.3529629629629198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'26'!F88</f>
        <v>24028</v>
      </c>
      <c r="F88" s="164">
        <v>24039</v>
      </c>
      <c r="G88" s="112">
        <f t="shared" si="8"/>
        <v>11</v>
      </c>
      <c r="H88" s="99">
        <f>G88+'26'!H88</f>
        <v>-8</v>
      </c>
      <c r="I88" s="118">
        <f>G86+G87+G88</f>
        <v>11</v>
      </c>
      <c r="J88" s="175">
        <f>H88/DAY(B2)</f>
        <v>-0.29629629629629628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'26'!F89</f>
        <v>25634</v>
      </c>
      <c r="F89" s="164">
        <v>25634</v>
      </c>
      <c r="G89" s="112">
        <f t="shared" si="8"/>
        <v>0</v>
      </c>
      <c r="H89" s="99">
        <f>G89+'26'!H89</f>
        <v>-29</v>
      </c>
      <c r="I89" s="118"/>
      <c r="J89" s="175">
        <f>H89/DAY(B2)</f>
        <v>-1.0740740740740742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'26'!F90</f>
        <v>71005.539999999994</v>
      </c>
      <c r="F90" s="164">
        <v>71011</v>
      </c>
      <c r="G90" s="112">
        <f t="shared" si="8"/>
        <v>5.4600000000064028</v>
      </c>
      <c r="H90" s="99">
        <v>23</v>
      </c>
      <c r="I90" s="118">
        <f>G89+G90</f>
        <v>5.4600000000064028</v>
      </c>
      <c r="J90" s="175">
        <f>H90/DAY(B2)</f>
        <v>0.85185185185185186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-0.32000000000016371</v>
      </c>
      <c r="I91" s="165"/>
      <c r="J91" s="175">
        <f>H91/DAY(B2)</f>
        <v>-1.1851851851857916E-2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'26'!F92</f>
        <v>5384</v>
      </c>
      <c r="F92" s="122">
        <v>5395</v>
      </c>
      <c r="G92" s="112">
        <f t="shared" si="8"/>
        <v>11</v>
      </c>
      <c r="H92" s="99">
        <f>G92+'26'!H92</f>
        <v>-43</v>
      </c>
      <c r="I92" s="165"/>
      <c r="J92" s="175">
        <f>H92/DAY(B2)</f>
        <v>-1.5925925925925926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6068</v>
      </c>
      <c r="H94" s="99">
        <f>G94+'26'!H94</f>
        <v>1994426</v>
      </c>
      <c r="I94" s="118"/>
      <c r="J94" s="175">
        <f>H94/DAY(B2)</f>
        <v>73867.629629629635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0.2582127659574468</v>
      </c>
      <c r="H95" s="99">
        <f>G95+'26'!H95</f>
        <v>85.330550730471472</v>
      </c>
      <c r="I95" s="167"/>
      <c r="J95" s="175">
        <f>H95/DAY(B2)</f>
        <v>3.1603907677952399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4970</v>
      </c>
      <c r="H96" s="99">
        <f>G96+'26'!H96</f>
        <v>1155419.0000000002</v>
      </c>
      <c r="I96" s="118"/>
      <c r="J96" s="175">
        <f>H96/DAY(B2)</f>
        <v>42793.296296296307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0.21148936170212765</v>
      </c>
      <c r="H97" s="99">
        <f>G97+'26'!H97</f>
        <v>49.409720402812269</v>
      </c>
      <c r="I97" s="167"/>
      <c r="J97" s="175">
        <f>H97/DAY(B2)</f>
        <v>1.8299896445486026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2857</v>
      </c>
      <c r="H98" s="99">
        <f>G98+'26'!H98</f>
        <v>421819</v>
      </c>
      <c r="I98" s="168"/>
      <c r="J98" s="175">
        <f>H98/DAY(B2)</f>
        <v>15622.925925925925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0.12157446808510639</v>
      </c>
      <c r="H99" s="99">
        <f>G99+'26'!H99</f>
        <v>18.163694585715316</v>
      </c>
      <c r="I99" s="168"/>
      <c r="J99" s="175">
        <f>H99/DAY(B2)</f>
        <v>0.67272942910056721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1959</v>
      </c>
      <c r="H100" s="99">
        <f>G100+'26'!H100</f>
        <v>238184</v>
      </c>
      <c r="I100" s="118"/>
      <c r="J100" s="175">
        <f>H100/DAY(B2)</f>
        <v>8821.6296296296296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8.3361702127659573E-2</v>
      </c>
      <c r="H101" s="99">
        <f>G101+'26'!H101</f>
        <v>10.266361083004538</v>
      </c>
      <c r="I101" s="168"/>
      <c r="J101" s="175">
        <f>H101/DAY(B2)</f>
        <v>0.38023559566683474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2178</v>
      </c>
      <c r="H102" s="99">
        <f>G102+'26'!H102</f>
        <v>821291.99999999988</v>
      </c>
      <c r="I102" s="168"/>
      <c r="J102" s="175">
        <f>H102/DAY(B2)</f>
        <v>30418.222222222219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9.2680851063829783E-2</v>
      </c>
      <c r="H103" s="99">
        <f>G103+'26'!H103</f>
        <v>35.092934367610155</v>
      </c>
      <c r="I103" s="118"/>
      <c r="J103" s="175">
        <f>H103/DAY(B2)</f>
        <v>1.2997383099114872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1580</v>
      </c>
      <c r="H104" s="99">
        <f>G104+'26'!H104</f>
        <v>201321</v>
      </c>
      <c r="I104" s="118"/>
      <c r="J104" s="175">
        <f>H104/DAY(B2)</f>
        <v>7456.333333333333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6.7234042553191486E-2</v>
      </c>
      <c r="H105" s="99">
        <f>G105+'26'!H105</f>
        <v>8.6873159425614919</v>
      </c>
      <c r="I105" s="187"/>
      <c r="J105" s="188">
        <f>H105/DAY(B2)</f>
        <v>0.32175244231709227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'26'!F112</f>
        <v>55331</v>
      </c>
      <c r="F112" s="237">
        <v>55401</v>
      </c>
      <c r="G112" s="112">
        <f t="shared" ref="G112:G123" si="9">F112-E112</f>
        <v>70</v>
      </c>
      <c r="H112" s="99">
        <f>G112+'26'!H112</f>
        <v>-280</v>
      </c>
      <c r="I112" s="165"/>
      <c r="J112" s="330">
        <f>H112/DAY(B2)</f>
        <v>-10.37037037037037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'26'!F113</f>
        <v>29930</v>
      </c>
      <c r="F113" s="237">
        <v>30408</v>
      </c>
      <c r="G113" s="112">
        <f t="shared" si="9"/>
        <v>478</v>
      </c>
      <c r="H113" s="99">
        <f>G113+'26'!H113</f>
        <v>-1787</v>
      </c>
      <c r="I113" s="165"/>
      <c r="J113" s="330">
        <f>H113/DAY(B2)</f>
        <v>-66.18518518518519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'26'!F114</f>
        <v>23348</v>
      </c>
      <c r="F114" s="237">
        <v>23479</v>
      </c>
      <c r="G114" s="112">
        <f t="shared" si="9"/>
        <v>131</v>
      </c>
      <c r="H114" s="99">
        <f>G114+'26'!H114</f>
        <v>-1549.1800000000021</v>
      </c>
      <c r="I114" s="165"/>
      <c r="J114" s="330">
        <f>H114/DAY(B2)</f>
        <v>-57.377037037037113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'26'!F115</f>
        <v>8732</v>
      </c>
      <c r="F115" s="237">
        <v>8749</v>
      </c>
      <c r="G115" s="112">
        <f t="shared" si="9"/>
        <v>17</v>
      </c>
      <c r="H115" s="99">
        <f>G115+'26'!H115</f>
        <v>-36</v>
      </c>
      <c r="I115" s="165"/>
      <c r="J115" s="330">
        <f>H115/DAY(B2)</f>
        <v>-1.3333333333333333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'26'!F117</f>
        <v>2485</v>
      </c>
      <c r="F117" s="237">
        <v>2505</v>
      </c>
      <c r="G117" s="112">
        <f t="shared" si="9"/>
        <v>20</v>
      </c>
      <c r="H117" s="99">
        <f>G117+'26'!H117</f>
        <v>-85</v>
      </c>
      <c r="I117" s="165"/>
      <c r="J117" s="330">
        <f>H117/DAY(B2)</f>
        <v>-3.1481481481481484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'26'!F118</f>
        <v>239648</v>
      </c>
      <c r="F118" s="237">
        <v>240064</v>
      </c>
      <c r="G118" s="112">
        <f t="shared" si="9"/>
        <v>416</v>
      </c>
      <c r="H118" s="99">
        <f>G118+'26'!H118</f>
        <v>-1583</v>
      </c>
      <c r="I118" s="165"/>
      <c r="J118" s="330">
        <f>H118/DAY(B2)</f>
        <v>-58.629629629629626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'26'!F119</f>
        <v>243057</v>
      </c>
      <c r="F119" s="237">
        <v>243480</v>
      </c>
      <c r="G119" s="112">
        <f t="shared" si="9"/>
        <v>423</v>
      </c>
      <c r="H119" s="99">
        <f>G119+'26'!H119</f>
        <v>-1646</v>
      </c>
      <c r="I119" s="165"/>
      <c r="J119" s="330">
        <f>H119/DAY(B2)</f>
        <v>-60.962962962962962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'26'!F120</f>
        <v>28021</v>
      </c>
      <c r="F120" s="237">
        <v>28427</v>
      </c>
      <c r="G120" s="112">
        <f t="shared" si="9"/>
        <v>406</v>
      </c>
      <c r="H120" s="99">
        <f>G120+'26'!H120</f>
        <v>-1651</v>
      </c>
      <c r="I120" s="165"/>
      <c r="J120" s="330">
        <f>H120/DAY(B2)</f>
        <v>-61.148148148148145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'26'!F121</f>
        <v>372629</v>
      </c>
      <c r="F121" s="237">
        <v>373420</v>
      </c>
      <c r="G121" s="112">
        <f t="shared" si="9"/>
        <v>791</v>
      </c>
      <c r="H121" s="99">
        <f>G121+'26'!H121</f>
        <v>-3109</v>
      </c>
      <c r="I121" s="165"/>
      <c r="J121" s="330">
        <f>H121/DAY(B2)</f>
        <v>-115.14814814814815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'26'!F122</f>
        <v>118921</v>
      </c>
      <c r="F122" s="237">
        <v>119141</v>
      </c>
      <c r="G122" s="112">
        <f t="shared" si="9"/>
        <v>220</v>
      </c>
      <c r="H122" s="99">
        <f>G122+'26'!H122</f>
        <v>-909</v>
      </c>
      <c r="I122" s="165"/>
      <c r="J122" s="330">
        <f>H122/DAY(B2)</f>
        <v>-33.666666666666664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'26'!F123</f>
        <v>143418</v>
      </c>
      <c r="F123" s="237">
        <v>143766</v>
      </c>
      <c r="G123" s="112">
        <f t="shared" si="9"/>
        <v>348</v>
      </c>
      <c r="H123" s="99">
        <f>G123+'26'!H123</f>
        <v>-1359</v>
      </c>
      <c r="I123" s="165"/>
      <c r="J123" s="330">
        <f>H123/DAY(B2)</f>
        <v>-50.333333333333336</v>
      </c>
    </row>
    <row r="124" spans="1:18" ht="29.25" customHeight="1" x14ac:dyDescent="0.5">
      <c r="A124" s="839"/>
      <c r="B124" s="840"/>
      <c r="C124" s="841"/>
      <c r="D124" s="165"/>
      <c r="E124" s="95">
        <f>'26'!F124</f>
        <v>0</v>
      </c>
      <c r="F124" s="165"/>
      <c r="G124" s="329"/>
      <c r="H124" s="99">
        <f>G124+'26'!H124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3320</v>
      </c>
      <c r="H125" s="156"/>
      <c r="I125" s="329">
        <f>G125-(G39+G53)</f>
        <v>463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G127+'26'!H127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'26'!F128</f>
        <v>36310</v>
      </c>
      <c r="F128" s="155">
        <v>36625</v>
      </c>
      <c r="G128" s="112">
        <f t="shared" ref="G128:G134" si="10">F128-E128</f>
        <v>315</v>
      </c>
      <c r="H128" s="99">
        <f>G128+'26'!H128</f>
        <v>-1379</v>
      </c>
      <c r="I128" s="165"/>
      <c r="J128" s="330">
        <f>H128/DAY(B2)</f>
        <v>-51.074074074074076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'26'!F129</f>
        <v>19235</v>
      </c>
      <c r="F129" s="155">
        <v>19441</v>
      </c>
      <c r="G129" s="112">
        <f t="shared" si="10"/>
        <v>206</v>
      </c>
      <c r="H129" s="99">
        <f>G129+'26'!H129</f>
        <v>-880</v>
      </c>
      <c r="I129" s="165"/>
      <c r="J129" s="330">
        <f>H129/DAY(B2)</f>
        <v>-32.592592592592595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'26'!F130</f>
        <v>14307</v>
      </c>
      <c r="F130" s="155">
        <v>15070</v>
      </c>
      <c r="G130" s="112">
        <f t="shared" si="10"/>
        <v>763</v>
      </c>
      <c r="H130" s="99">
        <f>G130+'26'!H130</f>
        <v>-3312.0000000000018</v>
      </c>
      <c r="I130" s="165"/>
      <c r="J130" s="330">
        <f>H130/DAY(B2)</f>
        <v>-122.66666666666673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'26'!F131</f>
        <v>12700</v>
      </c>
      <c r="F131" s="155">
        <v>12802</v>
      </c>
      <c r="G131" s="112">
        <f t="shared" si="10"/>
        <v>102</v>
      </c>
      <c r="H131" s="99">
        <f>G131+'26'!H131</f>
        <v>-351</v>
      </c>
      <c r="I131" s="165"/>
      <c r="J131" s="330">
        <f>H131/DAY(B2)</f>
        <v>-13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'26'!F132</f>
        <v>38721</v>
      </c>
      <c r="F132" s="155">
        <v>39228</v>
      </c>
      <c r="G132" s="112">
        <f t="shared" si="10"/>
        <v>507</v>
      </c>
      <c r="H132" s="99">
        <f>G132+'26'!H132</f>
        <v>-3408.1200000000026</v>
      </c>
      <c r="I132" s="165"/>
      <c r="J132" s="330">
        <f>H132/DAY(B2)</f>
        <v>-126.22666666666676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'26'!F133</f>
        <v>84445</v>
      </c>
      <c r="F133" s="155">
        <v>85102</v>
      </c>
      <c r="G133" s="112">
        <f t="shared" si="10"/>
        <v>657</v>
      </c>
      <c r="H133" s="99">
        <f>G133+'26'!H133</f>
        <v>-2601</v>
      </c>
      <c r="I133" s="165"/>
      <c r="J133" s="330">
        <f>H133/DAY(B2)</f>
        <v>-96.333333333333329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'26'!F134</f>
        <v>665751</v>
      </c>
      <c r="F134" s="155">
        <v>666384</v>
      </c>
      <c r="G134" s="112">
        <f t="shared" si="10"/>
        <v>633</v>
      </c>
      <c r="H134" s="99">
        <f>G134+'26'!H134</f>
        <v>15250</v>
      </c>
      <c r="I134" s="165"/>
      <c r="J134" s="330">
        <f>H134/DAY(B2)</f>
        <v>564.81481481481478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3183</v>
      </c>
      <c r="H135" s="99">
        <f>G135+'23'!H135</f>
        <v>-41765.71</v>
      </c>
      <c r="I135" s="329">
        <f>G135-(G35+G49)</f>
        <v>-182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'26'!F138</f>
        <v>863642</v>
      </c>
      <c r="F138" s="147">
        <v>863742</v>
      </c>
      <c r="G138" s="112">
        <f t="shared" ref="G138:G152" si="11">F138-E138</f>
        <v>100</v>
      </c>
      <c r="H138" s="99">
        <f>G138+'26'!H138</f>
        <v>-429</v>
      </c>
      <c r="I138" s="118"/>
      <c r="J138" s="330">
        <f>H138/DAY(B2)</f>
        <v>-15.888888888888889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'26'!F139</f>
        <v>886525</v>
      </c>
      <c r="F139" s="148">
        <v>886542</v>
      </c>
      <c r="G139" s="112">
        <f t="shared" si="11"/>
        <v>17</v>
      </c>
      <c r="H139" s="99">
        <f>G139+'26'!H139</f>
        <v>-4</v>
      </c>
      <c r="I139" s="118"/>
      <c r="J139" s="330">
        <f>H139/DAY(B2)</f>
        <v>-0.14814814814814814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'26'!F140</f>
        <v>88882</v>
      </c>
      <c r="F140" s="149">
        <v>88882</v>
      </c>
      <c r="G140" s="112">
        <f t="shared" si="11"/>
        <v>0</v>
      </c>
      <c r="H140" s="99">
        <f>G140+'26'!H140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'26'!F141</f>
        <v>48352</v>
      </c>
      <c r="F141" s="149">
        <v>48555</v>
      </c>
      <c r="G141" s="112">
        <f t="shared" si="11"/>
        <v>203</v>
      </c>
      <c r="H141" s="99">
        <f>G141+'26'!H141</f>
        <v>-751</v>
      </c>
      <c r="I141" s="118"/>
      <c r="J141" s="330">
        <f>H141/DAY(B2)</f>
        <v>-27.814814814814813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'26'!F142</f>
        <v>18631</v>
      </c>
      <c r="F142" s="148">
        <v>18702</v>
      </c>
      <c r="G142" s="112">
        <f t="shared" si="11"/>
        <v>71</v>
      </c>
      <c r="H142" s="99">
        <f>G142+'26'!H142</f>
        <v>-307</v>
      </c>
      <c r="I142" s="140"/>
      <c r="J142" s="330">
        <f>H142/DAY(B2)</f>
        <v>-11.37037037037037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'26'!F143</f>
        <v>2946</v>
      </c>
      <c r="F143" s="149">
        <v>2968</v>
      </c>
      <c r="G143" s="112">
        <f t="shared" si="11"/>
        <v>22</v>
      </c>
      <c r="H143" s="99">
        <f>G143+'26'!H143</f>
        <v>-93</v>
      </c>
      <c r="I143" s="140"/>
      <c r="J143" s="330">
        <f>H143/DAY(B2)</f>
        <v>-3.4444444444444446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'26'!F144</f>
        <v>868486</v>
      </c>
      <c r="F144" s="149">
        <v>868722</v>
      </c>
      <c r="G144" s="112">
        <f t="shared" si="11"/>
        <v>236</v>
      </c>
      <c r="H144" s="99">
        <f>G144+'26'!H144</f>
        <v>-948</v>
      </c>
      <c r="I144" s="140"/>
      <c r="J144" s="330">
        <f>H144/DAY(B2)</f>
        <v>-35.111111111111114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'26'!F145</f>
        <v>4491</v>
      </c>
      <c r="F145" s="149">
        <v>4506</v>
      </c>
      <c r="G145" s="112">
        <f t="shared" si="11"/>
        <v>15</v>
      </c>
      <c r="H145" s="99">
        <f>G145+'26'!H145</f>
        <v>-52</v>
      </c>
      <c r="I145" s="140"/>
      <c r="J145" s="330">
        <f>H145/DAY(B2)</f>
        <v>-1.9259259259259258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'26'!F146</f>
        <v>722504</v>
      </c>
      <c r="F146" s="148">
        <v>722992</v>
      </c>
      <c r="G146" s="112">
        <f t="shared" si="11"/>
        <v>488</v>
      </c>
      <c r="H146" s="99">
        <f>G146+'26'!H146</f>
        <v>-1866</v>
      </c>
      <c r="I146" s="140"/>
      <c r="J146" s="330">
        <f>H146/DAY(B2)</f>
        <v>-69.111111111111114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'26'!F147</f>
        <v>613642</v>
      </c>
      <c r="F147" s="148">
        <v>613648</v>
      </c>
      <c r="G147" s="112">
        <f t="shared" si="11"/>
        <v>6</v>
      </c>
      <c r="H147" s="99">
        <f>G147+'26'!H147</f>
        <v>-1634</v>
      </c>
      <c r="I147" s="140"/>
      <c r="J147" s="330">
        <f>H147/DAY(B2)</f>
        <v>-60.518518518518519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'26'!F148</f>
        <v>681670</v>
      </c>
      <c r="F148" s="150">
        <v>681948</v>
      </c>
      <c r="G148" s="112">
        <f t="shared" si="11"/>
        <v>278</v>
      </c>
      <c r="H148" s="99">
        <f>G148+'26'!H148</f>
        <v>-1085.1199999999953</v>
      </c>
      <c r="I148" s="124"/>
      <c r="J148" s="330">
        <f>H148/DAY(B2)</f>
        <v>-40.189629629629458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'26'!F149</f>
        <v>8034</v>
      </c>
      <c r="F149" s="146">
        <v>8605</v>
      </c>
      <c r="G149" s="112">
        <f t="shared" si="11"/>
        <v>571</v>
      </c>
      <c r="H149" s="99">
        <f>G149+'26'!H149</f>
        <v>185096.00000000003</v>
      </c>
      <c r="I149" s="119"/>
      <c r="J149" s="330">
        <f>H149/DAY(B2)</f>
        <v>6855.4074074074088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'26'!F150</f>
        <v>2930</v>
      </c>
      <c r="F150" s="233">
        <v>3160</v>
      </c>
      <c r="G150" s="112">
        <f t="shared" si="11"/>
        <v>230</v>
      </c>
      <c r="H150" s="99">
        <f>G150+'26'!H150</f>
        <v>7166148</v>
      </c>
      <c r="I150" s="119"/>
      <c r="J150" s="330">
        <f>H150/DAY(B2)</f>
        <v>265412.88888888888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'26'!F151</f>
        <v>77013</v>
      </c>
      <c r="F151" s="233">
        <v>77224</v>
      </c>
      <c r="G151" s="112">
        <f t="shared" si="11"/>
        <v>211</v>
      </c>
      <c r="H151" s="99">
        <f>G151+'26'!H151</f>
        <v>-993</v>
      </c>
      <c r="I151" s="119"/>
      <c r="J151" s="330">
        <f>H151/DAY(B2)</f>
        <v>-36.777777777777779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'26'!F152</f>
        <v>886</v>
      </c>
      <c r="F152" s="233">
        <v>934</v>
      </c>
      <c r="G152" s="112">
        <f t="shared" si="11"/>
        <v>48</v>
      </c>
      <c r="H152" s="99">
        <f>G152+'26'!H152</f>
        <v>-193</v>
      </c>
      <c r="I152" s="119"/>
      <c r="J152" s="330">
        <f>H152/DAY(B2)</f>
        <v>-7.1481481481481479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2496</v>
      </c>
      <c r="H153" s="365"/>
      <c r="I153" s="119">
        <f>G153-(G38+G52)</f>
        <v>537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'26'!F155</f>
        <v>9494</v>
      </c>
      <c r="F155" s="475">
        <v>10144</v>
      </c>
      <c r="G155" s="112">
        <f t="shared" ref="G155:G158" si="12">F155-E155</f>
        <v>650</v>
      </c>
      <c r="H155" s="99">
        <f>G155+'26'!H155</f>
        <v>74289</v>
      </c>
      <c r="I155" s="366"/>
      <c r="J155" s="330">
        <f>H155/DAY(B2)</f>
        <v>2751.4444444444443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'26'!F156</f>
        <v>756</v>
      </c>
      <c r="F156" s="155">
        <v>812</v>
      </c>
      <c r="G156" s="112">
        <f t="shared" si="12"/>
        <v>56</v>
      </c>
      <c r="H156" s="99">
        <f>G156+'26'!H156</f>
        <v>-275.99999999999989</v>
      </c>
      <c r="I156" s="165"/>
      <c r="J156" s="330">
        <f>H156/DAY(B2)</f>
        <v>-10.222222222222218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'26'!F157</f>
        <v>880</v>
      </c>
      <c r="F157" s="155">
        <v>942</v>
      </c>
      <c r="G157" s="112">
        <f t="shared" si="12"/>
        <v>62</v>
      </c>
      <c r="H157" s="99">
        <f>G157+'26'!H157</f>
        <v>942</v>
      </c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'26'!F158</f>
        <v>1.36</v>
      </c>
      <c r="F158" s="155">
        <v>1.43</v>
      </c>
      <c r="G158" s="112">
        <f t="shared" si="12"/>
        <v>6.999999999999984E-2</v>
      </c>
      <c r="H158" s="99">
        <f>G158+'26'!H158</f>
        <v>1.3499999999999999</v>
      </c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471149</v>
      </c>
      <c r="F161" s="235">
        <v>471151</v>
      </c>
      <c r="G161" s="238">
        <f t="shared" ref="G161:G165" si="13">F161-E161</f>
        <v>2</v>
      </c>
      <c r="H161" s="99">
        <f>G161+'26'!H161</f>
        <v>-2.1599999999743886</v>
      </c>
      <c r="I161" s="236"/>
      <c r="J161" s="239">
        <f>H161/DAY(B2)</f>
        <v>-7.9999999999051427E-2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87424</v>
      </c>
      <c r="F162" s="235">
        <v>87454</v>
      </c>
      <c r="G162" s="238">
        <f t="shared" si="13"/>
        <v>30</v>
      </c>
      <c r="H162" s="99">
        <f>G162+'26'!H162</f>
        <v>-116</v>
      </c>
      <c r="I162" s="236"/>
      <c r="J162" s="239">
        <f>H162/DAY(B2)</f>
        <v>-4.2962962962962967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77457</v>
      </c>
      <c r="F163" s="235">
        <v>77551</v>
      </c>
      <c r="G163" s="238">
        <f t="shared" si="13"/>
        <v>94</v>
      </c>
      <c r="H163" s="99">
        <f>G163+'26'!H163</f>
        <v>-274</v>
      </c>
      <c r="I163" s="236"/>
      <c r="J163" s="239">
        <f>H163/DAY(B2)</f>
        <v>-10.148148148148149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4226</v>
      </c>
      <c r="F164" s="235">
        <v>4230</v>
      </c>
      <c r="G164" s="238">
        <f t="shared" si="13"/>
        <v>4</v>
      </c>
      <c r="H164" s="99">
        <f>G164+'26'!H164</f>
        <v>-12</v>
      </c>
      <c r="I164" s="236"/>
      <c r="J164" s="239">
        <f>H164/DAY(B2)</f>
        <v>-0.44444444444444442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29613</v>
      </c>
      <c r="F165" s="235">
        <v>29619</v>
      </c>
      <c r="G165" s="238">
        <f t="shared" si="13"/>
        <v>6</v>
      </c>
      <c r="H165" s="99">
        <f>G165+'26'!H165</f>
        <v>-27</v>
      </c>
      <c r="I165" s="236"/>
      <c r="J165" s="239">
        <f>H165/DAY(B2)</f>
        <v>-1</v>
      </c>
    </row>
    <row r="166" spans="1:10" ht="29.25" x14ac:dyDescent="0.5">
      <c r="A166" s="824"/>
      <c r="B166" s="824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'26'!F174</f>
        <v>38221</v>
      </c>
      <c r="F174" s="157">
        <v>38236</v>
      </c>
      <c r="G174" s="155">
        <f t="shared" ref="G174:G175" si="14">F174-E174</f>
        <v>15</v>
      </c>
      <c r="H174" s="99">
        <f>G174+'26'!H174</f>
        <v>-51</v>
      </c>
      <c r="I174" s="155"/>
      <c r="J174" s="178">
        <f>H174/DAY(B2)</f>
        <v>-1.8888888888888888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'26'!F175</f>
        <v>21463</v>
      </c>
      <c r="F175" s="155">
        <v>21475</v>
      </c>
      <c r="G175" s="155">
        <f t="shared" si="14"/>
        <v>12</v>
      </c>
      <c r="H175" s="99">
        <f>G175+'26'!H175</f>
        <v>-43</v>
      </c>
      <c r="I175" s="155"/>
      <c r="J175" s="178">
        <f>H175/DAY(B2)</f>
        <v>-1.5925925925925926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27</v>
      </c>
      <c r="H176" s="99">
        <f>G176+'26'!H176</f>
        <v>-94</v>
      </c>
      <c r="I176" s="155"/>
      <c r="J176" s="178">
        <f>H176/DAY(B2)</f>
        <v>-3.4814814814814814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'26'!F178</f>
        <v>79276</v>
      </c>
      <c r="F178" s="155">
        <v>79338</v>
      </c>
      <c r="G178" s="155">
        <f>F178-E178</f>
        <v>62</v>
      </c>
      <c r="H178" s="99">
        <f>G178+'26'!H178</f>
        <v>-276</v>
      </c>
      <c r="I178" s="155"/>
      <c r="J178" s="178">
        <f>H178/DAY(B2)</f>
        <v>-10.222222222222221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'26'!F179</f>
        <v>33915</v>
      </c>
      <c r="F179" s="155">
        <v>33915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'26'!F180</f>
        <v>5449</v>
      </c>
      <c r="F180" s="155">
        <v>5457</v>
      </c>
      <c r="G180" s="155">
        <f t="shared" si="15"/>
        <v>8</v>
      </c>
      <c r="H180" s="99">
        <f>G180+'26'!H180</f>
        <v>-20</v>
      </c>
      <c r="I180" s="155"/>
      <c r="J180" s="178">
        <f>H180/DAY(B2)</f>
        <v>-0.7407407407407407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70</v>
      </c>
      <c r="H181" s="99">
        <f>G181+'26'!H181</f>
        <v>-296</v>
      </c>
      <c r="I181" s="155"/>
      <c r="J181" s="178">
        <f>H181/DAY(B2)</f>
        <v>-10.962962962962964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'26'!F183</f>
        <v>14872</v>
      </c>
      <c r="F183" s="157">
        <v>14881</v>
      </c>
      <c r="G183" s="157">
        <f>F183-E183</f>
        <v>9</v>
      </c>
      <c r="H183" s="99">
        <f>G183+'26'!H183</f>
        <v>-66</v>
      </c>
      <c r="I183" s="155"/>
      <c r="J183" s="178">
        <f>H183/DAY(B2)</f>
        <v>-2.4444444444444446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'26'!F184</f>
        <v>10265</v>
      </c>
      <c r="F184" s="157">
        <v>10279</v>
      </c>
      <c r="G184" s="157">
        <f t="shared" ref="G184:G185" si="16">F184-E184</f>
        <v>14</v>
      </c>
      <c r="H184" s="99">
        <f>G184+'26'!H184</f>
        <v>-22</v>
      </c>
      <c r="I184" s="155"/>
      <c r="J184" s="178">
        <f>H184/DAY(B2)</f>
        <v>-0.81481481481481477</v>
      </c>
    </row>
    <row r="185" spans="1:10" ht="25.5" customHeight="1" x14ac:dyDescent="0.5">
      <c r="A185" s="828" t="s">
        <v>216</v>
      </c>
      <c r="B185" s="829"/>
      <c r="C185" s="336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23</v>
      </c>
      <c r="H186" s="99">
        <f>G186+'26'!H186</f>
        <v>-88</v>
      </c>
      <c r="I186" s="157"/>
      <c r="J186" s="178">
        <f>H186/DAY(B2)</f>
        <v>-3.2592592592592591</v>
      </c>
    </row>
    <row r="187" spans="1:10" ht="27.75" x14ac:dyDescent="0.5">
      <c r="A187" s="821" t="s">
        <v>217</v>
      </c>
      <c r="B187" s="822"/>
      <c r="C187" s="335"/>
      <c r="D187" s="228" t="s">
        <v>142</v>
      </c>
      <c r="E187" s="95">
        <f>'26'!F187</f>
        <v>0</v>
      </c>
      <c r="F187" s="159"/>
      <c r="G187" s="464">
        <f>G62+G19</f>
        <v>178</v>
      </c>
      <c r="H187" s="99">
        <f>G187+'26'!H187</f>
        <v>1065</v>
      </c>
      <c r="I187" s="158"/>
      <c r="J187" s="179">
        <f>H187/DAY(B2)</f>
        <v>39.444444444444443</v>
      </c>
    </row>
    <row r="188" spans="1:10" ht="27.75" x14ac:dyDescent="0.5">
      <c r="A188" s="821" t="s">
        <v>218</v>
      </c>
      <c r="B188" s="822"/>
      <c r="C188" s="335"/>
      <c r="D188" s="228" t="s">
        <v>142</v>
      </c>
      <c r="E188" s="95">
        <f>'26'!F188</f>
        <v>0</v>
      </c>
      <c r="F188" s="159"/>
      <c r="G188" s="464">
        <f>G65+G66+G67+G69+G70</f>
        <v>164</v>
      </c>
      <c r="H188" s="99">
        <f>G188+'26'!H188</f>
        <v>2256</v>
      </c>
      <c r="I188" s="158"/>
      <c r="J188" s="179">
        <f>H188/DAY(B2)</f>
        <v>83.555555555555557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'26'!F189</f>
        <v>0</v>
      </c>
      <c r="F189" s="157"/>
      <c r="G189" s="461">
        <f>G181</f>
        <v>70</v>
      </c>
      <c r="H189" s="99">
        <f>G189+'26'!H189</f>
        <v>685</v>
      </c>
      <c r="I189" s="158"/>
      <c r="J189" s="179">
        <f>H189/DAY(B2)</f>
        <v>25.37037037037037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34" zoomScale="55" zoomScaleNormal="80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350</v>
      </c>
      <c r="B2" s="262">
        <v>44528</v>
      </c>
      <c r="C2" s="350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23500</v>
      </c>
      <c r="F7" s="95">
        <f>E7+23500</f>
        <v>47000</v>
      </c>
      <c r="G7" s="112">
        <f>F7-E7+7214</f>
        <v>30714</v>
      </c>
      <c r="H7" s="99">
        <f>G7+'27'!H7</f>
        <v>629131</v>
      </c>
      <c r="I7" s="113">
        <f>'1'!I7</f>
        <v>12000</v>
      </c>
      <c r="J7" s="175">
        <f>H7/DAY(B2)</f>
        <v>22468.964285714286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63065</v>
      </c>
      <c r="F8" s="95">
        <f>E8+23500</f>
        <v>86565</v>
      </c>
      <c r="G8" s="115">
        <f>F8-E8</f>
        <v>23500</v>
      </c>
      <c r="H8" s="99">
        <f>G8+'27'!H8</f>
        <v>625552</v>
      </c>
      <c r="I8" s="116"/>
      <c r="J8" s="175">
        <f>H8/DAY(B2)</f>
        <v>22341.142857142859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23300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263657</v>
      </c>
      <c r="F9" s="605">
        <f>E9+14000</f>
        <v>277657</v>
      </c>
      <c r="G9" s="112">
        <f>F9-E9</f>
        <v>14000</v>
      </c>
      <c r="H9" s="99">
        <f>G9+'27'!H9</f>
        <v>376162</v>
      </c>
      <c r="I9" s="124">
        <f>I7-J7</f>
        <v>-10468.964285714286</v>
      </c>
      <c r="J9" s="175">
        <f>H9/DAY(B2)</f>
        <v>13434.357142857143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538550</v>
      </c>
      <c r="F10" s="355">
        <f>E10+4500</f>
        <v>543050</v>
      </c>
      <c r="G10" s="112">
        <f t="shared" ref="G10:G12" si="0">F10-E10</f>
        <v>4500</v>
      </c>
      <c r="H10" s="99">
        <f>G10+'27'!H10</f>
        <v>145940</v>
      </c>
      <c r="I10" s="282"/>
      <c r="J10" s="175">
        <f>H10/DAY(B2)</f>
        <v>5212.1428571428569</v>
      </c>
      <c r="K10" s="79"/>
      <c r="L10" s="66"/>
      <c r="N10" s="87"/>
      <c r="O10" s="71">
        <f>F7-O8</f>
        <v>23700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7414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G13+'27'!H13</f>
        <v>502636.74999999988</v>
      </c>
      <c r="I13" s="120">
        <f>G7-G13</f>
        <v>12214</v>
      </c>
      <c r="J13" s="175">
        <f>H13/DAY(B2)</f>
        <v>17951.312499999996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'27'!F15</f>
        <v>1873826</v>
      </c>
      <c r="F15" s="123">
        <f>E15+1100</f>
        <v>1874926</v>
      </c>
      <c r="G15" s="112">
        <f>(F15-E15)</f>
        <v>1100</v>
      </c>
      <c r="H15" s="99">
        <f>G15+'27'!H15</f>
        <v>29069</v>
      </c>
      <c r="I15" s="113">
        <f>'1'!I15</f>
        <v>800</v>
      </c>
      <c r="J15" s="175">
        <f>H15/DAY(B2)</f>
        <v>1038.1785714285713</v>
      </c>
      <c r="K15" s="79"/>
      <c r="L15" s="66"/>
      <c r="N15" s="87"/>
      <c r="O15" s="71">
        <f>G8-200</f>
        <v>23300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-238.17857142857133</v>
      </c>
      <c r="J16" s="176"/>
      <c r="K16" s="79"/>
      <c r="L16" s="66"/>
      <c r="N16" s="87"/>
      <c r="O16" s="71"/>
    </row>
    <row r="17" spans="1:16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56" t="s">
        <v>141</v>
      </c>
      <c r="B18" s="857"/>
      <c r="C18" s="858"/>
      <c r="D18" s="151" t="s">
        <v>142</v>
      </c>
      <c r="E18" s="95">
        <f>'27'!F18</f>
        <v>231</v>
      </c>
      <c r="F18" s="122">
        <f>E18+12</f>
        <v>243</v>
      </c>
      <c r="G18" s="119">
        <f>F18*10</f>
        <v>2430</v>
      </c>
      <c r="H18" s="99">
        <f>G18+'27'!H18</f>
        <v>26870</v>
      </c>
      <c r="I18" s="113">
        <f>'1'!I18</f>
        <v>65</v>
      </c>
      <c r="J18" s="175">
        <f>H18/DAY(B2)</f>
        <v>959.64285714285711</v>
      </c>
      <c r="K18" s="79"/>
      <c r="L18" s="66"/>
      <c r="N18" s="87"/>
      <c r="O18" s="71"/>
    </row>
    <row r="19" spans="1:16" ht="27.75" x14ac:dyDescent="0.5">
      <c r="A19" s="856" t="s">
        <v>69</v>
      </c>
      <c r="B19" s="857"/>
      <c r="C19" s="858"/>
      <c r="D19" s="151" t="s">
        <v>142</v>
      </c>
      <c r="E19" s="95">
        <f>'27'!F19</f>
        <v>153685</v>
      </c>
      <c r="F19" s="122">
        <f>E19+55</f>
        <v>153740</v>
      </c>
      <c r="G19" s="112">
        <f t="shared" ref="G19" si="1">F19-E19</f>
        <v>55</v>
      </c>
      <c r="H19" s="99">
        <f>G19+'27'!H19</f>
        <v>1515</v>
      </c>
      <c r="I19" s="337"/>
      <c r="J19" s="175">
        <f>H19/DAY(B2)</f>
        <v>54.107142857142854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2485</v>
      </c>
      <c r="H20" s="99">
        <f>G20+'27'!H20</f>
        <v>28385</v>
      </c>
      <c r="I20" s="338">
        <f>I18-J20</f>
        <v>-948.75</v>
      </c>
      <c r="J20" s="175">
        <f>H20/DAY(B2)</f>
        <v>1013.75</v>
      </c>
      <c r="K20" s="79"/>
      <c r="L20" s="66"/>
      <c r="N20" s="87"/>
      <c r="O20" s="71"/>
    </row>
    <row r="21" spans="1:16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7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7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G27+'27'!H27</f>
        <v>5629968</v>
      </c>
      <c r="I27" s="138"/>
      <c r="J27" s="175">
        <f>H27/DAY(B2)</f>
        <v>201070.28571428571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G28+'27'!H28</f>
        <v>1511588</v>
      </c>
      <c r="I28" s="140"/>
      <c r="J28" s="175">
        <f>H28/DAY(B2)</f>
        <v>53985.285714285717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G30+'27'!H30</f>
        <v>221190</v>
      </c>
      <c r="I30" s="140"/>
      <c r="J30" s="175">
        <f>H30/DAY(B2)</f>
        <v>7899.6428571428569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2430</v>
      </c>
      <c r="F31" s="136">
        <v>80</v>
      </c>
      <c r="G31" s="137">
        <f>E31*F31</f>
        <v>194400</v>
      </c>
      <c r="H31" s="99">
        <f>G31+'27'!H31</f>
        <v>2149600</v>
      </c>
      <c r="I31" s="140"/>
      <c r="J31" s="175">
        <f>H31/DAY(B2)</f>
        <v>76771.428571428565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471130</v>
      </c>
      <c r="H32" s="99">
        <f>G32+'27'!H32</f>
        <v>9512346</v>
      </c>
      <c r="I32" s="144"/>
      <c r="J32" s="175">
        <f>H32/DAY(B2)</f>
        <v>339726.64285714284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145179</v>
      </c>
      <c r="F35" s="145">
        <v>147015.26999999999</v>
      </c>
      <c r="G35" s="112">
        <f t="shared" ref="G35:G46" si="3">F35-E35</f>
        <v>1836.2699999999895</v>
      </c>
      <c r="H35" s="99">
        <f>G35+'27'!H35</f>
        <v>162215.26999999999</v>
      </c>
      <c r="I35" s="95"/>
      <c r="J35" s="175">
        <f>H35/DAY(B2)</f>
        <v>5793.4024999999992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18238</v>
      </c>
      <c r="F36" s="145">
        <v>19004.939999999999</v>
      </c>
      <c r="G36" s="112">
        <f t="shared" si="3"/>
        <v>766.93999999999869</v>
      </c>
      <c r="H36" s="99">
        <f>G36+'27'!H36</f>
        <v>87207.94</v>
      </c>
      <c r="I36" s="95"/>
      <c r="J36" s="175">
        <f>H36/DAY(B2)</f>
        <v>3114.5692857142858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189109</v>
      </c>
      <c r="F37" s="145">
        <v>190645.23</v>
      </c>
      <c r="G37" s="112">
        <f t="shared" si="3"/>
        <v>1536.2300000000105</v>
      </c>
      <c r="H37" s="99">
        <f>G37+'27'!H37</f>
        <v>202857.23</v>
      </c>
      <c r="I37" s="95"/>
      <c r="J37" s="175">
        <f>H37/DAY(B2)</f>
        <v>7244.9010714285714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224984</v>
      </c>
      <c r="F38" s="108">
        <v>226951.49</v>
      </c>
      <c r="G38" s="112">
        <f t="shared" si="3"/>
        <v>1967.4899999999907</v>
      </c>
      <c r="H38" s="99">
        <f>G38+'27'!H38</f>
        <v>240151.49</v>
      </c>
      <c r="I38" s="95"/>
      <c r="J38" s="175">
        <f>H38/DAY(B2)</f>
        <v>8576.8389285714275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400137</v>
      </c>
      <c r="F39" s="145">
        <v>402877.43</v>
      </c>
      <c r="G39" s="112">
        <f t="shared" si="3"/>
        <v>2740.429999999993</v>
      </c>
      <c r="H39" s="99">
        <f>G39+'27'!H39</f>
        <v>424559.43</v>
      </c>
      <c r="I39" s="95"/>
      <c r="J39" s="175">
        <f>H39/DAY(B2)</f>
        <v>15162.836785714286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4084</v>
      </c>
      <c r="F40" s="145">
        <v>5066.7700000000004</v>
      </c>
      <c r="G40" s="112">
        <f t="shared" si="3"/>
        <v>982.77000000000044</v>
      </c>
      <c r="H40" s="99">
        <f>G40+'27'!H40</f>
        <v>-3.0799999999999272</v>
      </c>
      <c r="I40" s="95"/>
      <c r="J40" s="175">
        <f>H40/DAY(B2)</f>
        <v>-0.10999999999999741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599900</v>
      </c>
      <c r="I41" s="95"/>
      <c r="J41" s="175">
        <f>H41/DAY(B2)</f>
        <v>21425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63114</v>
      </c>
      <c r="F42" s="145">
        <v>67675.429999999993</v>
      </c>
      <c r="G42" s="112">
        <f t="shared" si="3"/>
        <v>4561.429999999993</v>
      </c>
      <c r="H42" s="99">
        <f>G42+'27'!H42</f>
        <v>351526.43</v>
      </c>
      <c r="I42" s="95"/>
      <c r="J42" s="175">
        <f>H42/DAY(B2)</f>
        <v>12554.515357142856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37050</v>
      </c>
      <c r="F43" s="145">
        <v>39532.07</v>
      </c>
      <c r="G43" s="112">
        <f t="shared" si="3"/>
        <v>2482.0699999999997</v>
      </c>
      <c r="H43" s="99">
        <f>G43+'27'!H43</f>
        <v>1556952.0699999998</v>
      </c>
      <c r="I43" s="95"/>
      <c r="J43" s="175">
        <f>H43/DAY(B2)</f>
        <v>55605.431071428568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16873.629999999976</v>
      </c>
      <c r="H47" s="99">
        <f>G47+'27'!H47</f>
        <v>3625366.78</v>
      </c>
      <c r="I47" s="95"/>
      <c r="J47" s="175">
        <f>H47/DAY(B2)</f>
        <v>129477.38499999999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266456</v>
      </c>
      <c r="F49" s="145">
        <v>267940.40999999997</v>
      </c>
      <c r="G49" s="112">
        <f t="shared" ref="G49:G58" si="4">F49-E49</f>
        <v>1484.4099999999744</v>
      </c>
      <c r="H49" s="99">
        <f>G49+'27'!H49</f>
        <v>281061.41000000003</v>
      </c>
      <c r="I49" s="95"/>
      <c r="J49" s="175">
        <f>H49/DAY(B2)</f>
        <v>10037.907500000001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20426</v>
      </c>
      <c r="F50" s="145">
        <v>21574.2</v>
      </c>
      <c r="G50" s="112">
        <f t="shared" si="4"/>
        <v>1148.2000000000007</v>
      </c>
      <c r="H50" s="99">
        <f>G50+'27'!H50</f>
        <v>735999.20000000007</v>
      </c>
      <c r="I50" s="95"/>
      <c r="J50" s="175">
        <f>H50/DAY(B2)</f>
        <v>26285.685714285715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3166</v>
      </c>
      <c r="F54" s="145">
        <v>3170.4</v>
      </c>
      <c r="G54" s="112">
        <f t="shared" si="4"/>
        <v>4.4000000000000909</v>
      </c>
      <c r="H54" s="99">
        <f>G54+'27'!H54</f>
        <v>4937.4799999999996</v>
      </c>
      <c r="I54" s="95"/>
      <c r="J54" s="175">
        <f>H54/DAY(B2)</f>
        <v>176.33857142857141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-3511</v>
      </c>
      <c r="I55" s="95"/>
      <c r="J55" s="175">
        <f>H55/DAY(B2)</f>
        <v>-125.39285714285714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212065</v>
      </c>
      <c r="I56" s="95"/>
      <c r="J56" s="175">
        <f>H56/DAY(B2)</f>
        <v>7573.75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91484</v>
      </c>
      <c r="F58" s="145">
        <v>91702.32</v>
      </c>
      <c r="G58" s="112">
        <f t="shared" si="4"/>
        <v>218.32000000000698</v>
      </c>
      <c r="H58" s="99">
        <f>G58+'27'!H58</f>
        <v>92042.950000000012</v>
      </c>
      <c r="I58" s="95"/>
      <c r="J58" s="175">
        <f>H58/DAY(B2)</f>
        <v>3287.2482142857148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2855.3299999999822</v>
      </c>
      <c r="H59" s="99">
        <f>G59+'27'!H59</f>
        <v>1322595.0400000003</v>
      </c>
      <c r="I59" s="95">
        <f>G7-G60</f>
        <v>10985.040000000041</v>
      </c>
      <c r="J59" s="175">
        <f>H59/DAY(B2)</f>
        <v>47235.537142857153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19728.959999999959</v>
      </c>
      <c r="H60" s="99">
        <f>G60+'27'!H60</f>
        <v>4947961.8200000012</v>
      </c>
      <c r="I60" s="95">
        <f>G13-G60</f>
        <v>-1228.9599999999591</v>
      </c>
      <c r="J60" s="175">
        <f>H60/DAY(B2)</f>
        <v>176712.92214285719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'27'!F62</f>
        <v>266818</v>
      </c>
      <c r="F62" s="122">
        <v>266956</v>
      </c>
      <c r="G62" s="112">
        <f t="shared" ref="G62:G63" si="5">F62-E62</f>
        <v>138</v>
      </c>
      <c r="H62" s="99">
        <f>G62+'27'!H62</f>
        <v>-257</v>
      </c>
      <c r="I62" s="118"/>
      <c r="J62" s="175">
        <f>H62/DAY(B2)</f>
        <v>-9.1785714285714288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'27'!F63</f>
        <v>212062</v>
      </c>
      <c r="F63" s="122">
        <v>212166.1</v>
      </c>
      <c r="G63" s="112">
        <f t="shared" si="5"/>
        <v>104.10000000000582</v>
      </c>
      <c r="H63" s="99">
        <f>G63+'27'!H63</f>
        <v>-258.89999999999418</v>
      </c>
      <c r="I63" s="118"/>
      <c r="J63" s="175">
        <f>H63/DAY(B2)</f>
        <v>-9.2464285714283641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'27'!F64</f>
        <v>0</v>
      </c>
      <c r="F64" s="122"/>
      <c r="G64" s="112">
        <f>G62+G63</f>
        <v>242.10000000000582</v>
      </c>
      <c r="H64" s="99">
        <f>G64+'27'!H64</f>
        <v>-515.89999999999418</v>
      </c>
      <c r="I64" s="118"/>
      <c r="J64" s="175">
        <f>H64/DAY(B2)</f>
        <v>-18.424999999999791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'27'!F65</f>
        <v>432179</v>
      </c>
      <c r="F65" s="122">
        <v>432313</v>
      </c>
      <c r="G65" s="112">
        <f t="shared" ref="G65:G70" si="6">F65-E65</f>
        <v>134</v>
      </c>
      <c r="H65" s="99">
        <f>G65+'27'!H65</f>
        <v>-301</v>
      </c>
      <c r="I65" s="118"/>
      <c r="J65" s="175">
        <f>H65/DAY(B2)</f>
        <v>-10.75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'27'!F66</f>
        <v>107141</v>
      </c>
      <c r="F66" s="122">
        <v>107157</v>
      </c>
      <c r="G66" s="112">
        <f t="shared" si="6"/>
        <v>16</v>
      </c>
      <c r="H66" s="99">
        <f>G66+'27'!H66</f>
        <v>-57</v>
      </c>
      <c r="I66" s="118"/>
      <c r="J66" s="175">
        <f>H66/DAY(B2)</f>
        <v>-2.0357142857142856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'27'!F67</f>
        <v>103808</v>
      </c>
      <c r="F67" s="122">
        <v>103834</v>
      </c>
      <c r="G67" s="112">
        <f t="shared" si="6"/>
        <v>26</v>
      </c>
      <c r="H67" s="99">
        <f>G67+'27'!H67</f>
        <v>-94</v>
      </c>
      <c r="I67" s="118"/>
      <c r="J67" s="175">
        <f>H67/DAY(B2)</f>
        <v>-3.3571428571428572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'27'!F68</f>
        <v>156480</v>
      </c>
      <c r="F68" s="122">
        <v>156520</v>
      </c>
      <c r="G68" s="112">
        <f t="shared" si="6"/>
        <v>40</v>
      </c>
      <c r="H68" s="99">
        <f>G68+'27'!H68</f>
        <v>-100</v>
      </c>
      <c r="I68" s="118"/>
      <c r="J68" s="175">
        <f>H68/DAY(B2)</f>
        <v>-3.5714285714285716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'27'!F69</f>
        <v>10159</v>
      </c>
      <c r="F69" s="122">
        <v>10176</v>
      </c>
      <c r="G69" s="112">
        <f t="shared" si="6"/>
        <v>17</v>
      </c>
      <c r="H69" s="99">
        <f>G69+'27'!H69</f>
        <v>-38</v>
      </c>
      <c r="I69" s="118"/>
      <c r="J69" s="175">
        <f>H69/DAY(B2)</f>
        <v>-1.3571428571428572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'27'!F70</f>
        <v>7837</v>
      </c>
      <c r="F70" s="122">
        <v>7843</v>
      </c>
      <c r="G70" s="112">
        <f t="shared" si="6"/>
        <v>6</v>
      </c>
      <c r="H70" s="99">
        <f>G70+'27'!H70</f>
        <v>-19</v>
      </c>
      <c r="I70" s="118"/>
      <c r="J70" s="175">
        <f>H70/DAY(B2)</f>
        <v>-0.6785714285714286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239</v>
      </c>
      <c r="H71" s="99">
        <f>G71+'27'!H71</f>
        <v>-609</v>
      </c>
      <c r="I71" s="154"/>
      <c r="J71" s="175">
        <f>H71/DAY(B2)</f>
        <v>-21.75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'27'!F74</f>
        <v>890804</v>
      </c>
      <c r="F74" s="117">
        <v>891129.92099999997</v>
      </c>
      <c r="G74" s="112">
        <f t="shared" ref="G74:G78" si="7">F74-E74</f>
        <v>325.92099999997299</v>
      </c>
      <c r="H74" s="99">
        <f>G74+'27'!H74</f>
        <v>-902.07900000002701</v>
      </c>
      <c r="I74" s="154"/>
      <c r="J74" s="175">
        <f>H74/DAY(B2)</f>
        <v>-32.217107142858104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243.88999999999942</v>
      </c>
      <c r="I75" s="154"/>
      <c r="J75" s="175">
        <f>H75/DAY(B2)</f>
        <v>8.7103571428571218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'27'!F76</f>
        <v>166821</v>
      </c>
      <c r="F76" s="123">
        <v>166906.94</v>
      </c>
      <c r="G76" s="112">
        <f t="shared" si="7"/>
        <v>85.940000000002328</v>
      </c>
      <c r="H76" s="99">
        <f>G76+'27'!H76</f>
        <v>-300.05999999999767</v>
      </c>
      <c r="I76" s="154"/>
      <c r="J76" s="175">
        <f>H76/DAY(B2)</f>
        <v>-10.716428571428489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'27'!F77</f>
        <v>40160</v>
      </c>
      <c r="F77" s="123">
        <v>40190</v>
      </c>
      <c r="G77" s="112">
        <f t="shared" si="7"/>
        <v>30</v>
      </c>
      <c r="H77" s="99">
        <f>G77+'27'!H77</f>
        <v>-126</v>
      </c>
      <c r="I77" s="154"/>
      <c r="J77" s="175">
        <f>H77/DAY(B2)</f>
        <v>-4.5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'27'!F78</f>
        <v>9479</v>
      </c>
      <c r="F78" s="123">
        <v>9479.9</v>
      </c>
      <c r="G78" s="112">
        <f t="shared" si="7"/>
        <v>0.8999999999996362</v>
      </c>
      <c r="H78" s="99">
        <f>G78+'27'!H78</f>
        <v>-6.1000000000003638</v>
      </c>
      <c r="I78" s="118"/>
      <c r="J78" s="175">
        <f>H78/DAY(B2)</f>
        <v>-0.21785714285715585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'27'!F79</f>
        <v>0</v>
      </c>
      <c r="F79" s="123"/>
      <c r="G79" s="112">
        <f>G15-SUM(G74:G78)</f>
        <v>657.23900000002504</v>
      </c>
      <c r="H79" s="99">
        <f>G79+'27'!H79</f>
        <v>30159.349000000024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'27'!F84</f>
        <v>41675.4</v>
      </c>
      <c r="F84" s="164">
        <v>41675.25</v>
      </c>
      <c r="G84" s="112">
        <f t="shared" si="8"/>
        <v>-0.15000000000145519</v>
      </c>
      <c r="H84" s="99">
        <f>G84+'27'!H84</f>
        <v>0.25</v>
      </c>
      <c r="I84" s="118"/>
      <c r="J84" s="175">
        <f>H84/DAY(B2)</f>
        <v>8.9285714285714281E-3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492">
        <f>'27'!F85</f>
        <v>2036</v>
      </c>
      <c r="F85" s="164">
        <v>2060.0700000000002</v>
      </c>
      <c r="G85" s="236">
        <f t="shared" si="8"/>
        <v>24.070000000000164</v>
      </c>
      <c r="H85" s="99">
        <f>G85+'27'!H85</f>
        <v>-36.489999999999782</v>
      </c>
      <c r="I85" s="118">
        <f>G82+G83+G84+G85</f>
        <v>23.919999999998709</v>
      </c>
      <c r="J85" s="175">
        <f>H85/DAY(B2)</f>
        <v>-1.3032142857142779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'27'!F86</f>
        <v>42826.47</v>
      </c>
      <c r="F86" s="164">
        <v>42826</v>
      </c>
      <c r="G86" s="112">
        <f t="shared" si="8"/>
        <v>-0.47000000000116415</v>
      </c>
      <c r="H86" s="99">
        <f>G86+'27'!H86</f>
        <v>-37</v>
      </c>
      <c r="I86" s="118"/>
      <c r="J86" s="175">
        <f>H86/DAY(B2)</f>
        <v>-1.3214285714285714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'27'!F88</f>
        <v>24039</v>
      </c>
      <c r="F88" s="164">
        <v>24040.87</v>
      </c>
      <c r="G88" s="112">
        <f t="shared" si="8"/>
        <v>1.8699999999989814</v>
      </c>
      <c r="H88" s="99">
        <f>G88+'27'!H88</f>
        <v>-6.1300000000010186</v>
      </c>
      <c r="I88" s="118">
        <f>G86+G87+G88</f>
        <v>1.3999999999978172</v>
      </c>
      <c r="J88" s="175">
        <f>H88/DAY(B2)</f>
        <v>-0.2189285714286078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'27'!F89</f>
        <v>25634</v>
      </c>
      <c r="F89" s="164">
        <v>25641.94</v>
      </c>
      <c r="G89" s="112">
        <f t="shared" si="8"/>
        <v>7.9399999999986903</v>
      </c>
      <c r="H89" s="99">
        <f>G89+'27'!H89</f>
        <v>-21.06000000000131</v>
      </c>
      <c r="I89" s="118"/>
      <c r="J89" s="175">
        <f>H89/DAY(B2)</f>
        <v>-0.75214285714290396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'27'!F90</f>
        <v>71011</v>
      </c>
      <c r="F90" s="164">
        <v>71016.929999999993</v>
      </c>
      <c r="G90" s="112">
        <f t="shared" si="8"/>
        <v>5.9299999999930151</v>
      </c>
      <c r="H90" s="99">
        <f>G90+'27'!H90</f>
        <v>28.929999999993015</v>
      </c>
      <c r="I90" s="118">
        <f>G89+G90</f>
        <v>13.869999999991705</v>
      </c>
      <c r="J90" s="175">
        <f>H90/DAY(B2)</f>
        <v>1.0332142857140363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'27'!F92</f>
        <v>5395</v>
      </c>
      <c r="F92" s="122">
        <v>5406.68</v>
      </c>
      <c r="G92" s="112">
        <f t="shared" si="8"/>
        <v>11.680000000000291</v>
      </c>
      <c r="H92" s="99">
        <f>G92+'27'!H92</f>
        <v>-31.319999999999709</v>
      </c>
      <c r="I92" s="165"/>
      <c r="J92" s="175">
        <f>H92/DAY(B2)</f>
        <v>-1.1185714285714181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5802.7499999999636</v>
      </c>
      <c r="H94" s="99">
        <f>G94+'27'!H94</f>
        <v>2000228.75</v>
      </c>
      <c r="I94" s="118"/>
      <c r="J94" s="175">
        <f>H94/DAY(B2)</f>
        <v>71436.741071428565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0.18892850166047936</v>
      </c>
      <c r="H95" s="99">
        <f>G95+'27'!H95</f>
        <v>85.519479232131957</v>
      </c>
      <c r="I95" s="167"/>
      <c r="J95" s="175">
        <f>H95/DAY(B2)</f>
        <v>3.0542671154332841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4561.429999999993</v>
      </c>
      <c r="H96" s="99">
        <f>G96+'27'!H96</f>
        <v>1159980.4300000002</v>
      </c>
      <c r="I96" s="118"/>
      <c r="J96" s="175">
        <f>H96/DAY(B2)</f>
        <v>41427.872500000005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0.14851305593540381</v>
      </c>
      <c r="H97" s="99">
        <f>G97+'27'!H97</f>
        <v>49.558233458747672</v>
      </c>
      <c r="I97" s="167"/>
      <c r="J97" s="175">
        <f>H97/DAY(B2)</f>
        <v>1.7699369092409882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2740.429999999993</v>
      </c>
      <c r="H98" s="99">
        <f>G98+'27'!H98</f>
        <v>424559.43</v>
      </c>
      <c r="I98" s="168"/>
      <c r="J98" s="175">
        <f>H98/DAY(B2)</f>
        <v>15162.836785714286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8.9224132317509697E-2</v>
      </c>
      <c r="H99" s="99">
        <f>G99+'27'!H99</f>
        <v>18.252918718032827</v>
      </c>
      <c r="I99" s="168"/>
      <c r="J99" s="175">
        <f>H99/DAY(B2)</f>
        <v>0.65188995421545815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1967.4899999999907</v>
      </c>
      <c r="H100" s="99">
        <f>G100+'27'!H100</f>
        <v>240151.49</v>
      </c>
      <c r="I100" s="118"/>
      <c r="J100" s="175">
        <f>H100/DAY(B2)</f>
        <v>8576.8389285714275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6.4058409845672681E-2</v>
      </c>
      <c r="H101" s="99">
        <f>G101+'27'!H101</f>
        <v>10.330419492850211</v>
      </c>
      <c r="I101" s="168"/>
      <c r="J101" s="175">
        <f>H101/DAY(B2)</f>
        <v>0.36894355331607898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1915.1399999999994</v>
      </c>
      <c r="H102" s="99">
        <f>G102+'27'!H102</f>
        <v>823207.1399999999</v>
      </c>
      <c r="I102" s="168"/>
      <c r="J102" s="175">
        <f>H102/DAY(B2)</f>
        <v>29400.254999999997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6.2353975385817523E-2</v>
      </c>
      <c r="H103" s="99">
        <f>G103+'27'!H103</f>
        <v>35.155288342995973</v>
      </c>
      <c r="I103" s="118"/>
      <c r="J103" s="175">
        <f>H103/DAY(B2)</f>
        <v>1.2555460122498563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1536.2300000000105</v>
      </c>
      <c r="H104" s="99">
        <f>G104+'27'!H104</f>
        <v>202857.23</v>
      </c>
      <c r="I104" s="118"/>
      <c r="J104" s="175">
        <f>H104/DAY(B2)</f>
        <v>7244.9010714285714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5.0017255974474525E-2</v>
      </c>
      <c r="H105" s="99">
        <f>G105+'27'!H105</f>
        <v>8.7373331985359659</v>
      </c>
      <c r="I105" s="187"/>
      <c r="J105" s="188">
        <f>H105/DAY(B2)</f>
        <v>0.31204761423342736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'27'!F112</f>
        <v>55401</v>
      </c>
      <c r="F112" s="237">
        <v>55471.73</v>
      </c>
      <c r="G112" s="112">
        <f t="shared" ref="G112:G123" si="9">F112-E112</f>
        <v>70.730000000003201</v>
      </c>
      <c r="H112" s="99">
        <f>G112+'27'!H112</f>
        <v>-209.2699999999968</v>
      </c>
      <c r="I112" s="165"/>
      <c r="J112" s="330">
        <f>H112/DAY(B2)</f>
        <v>-7.4739285714284573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'27'!F113</f>
        <v>30408</v>
      </c>
      <c r="F113" s="237">
        <v>30853.22</v>
      </c>
      <c r="G113" s="112">
        <f t="shared" si="9"/>
        <v>445.22000000000116</v>
      </c>
      <c r="H113" s="99">
        <f>G113+'27'!H113</f>
        <v>-1341.7799999999988</v>
      </c>
      <c r="I113" s="165"/>
      <c r="J113" s="330">
        <f>H113/DAY(B2)</f>
        <v>-47.920714285714247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'27'!F114</f>
        <v>23479</v>
      </c>
      <c r="F114" s="237">
        <v>24047.77</v>
      </c>
      <c r="G114" s="112">
        <f t="shared" si="9"/>
        <v>568.77000000000044</v>
      </c>
      <c r="H114" s="99">
        <f>G114+'27'!H114</f>
        <v>-980.41000000000167</v>
      </c>
      <c r="I114" s="165"/>
      <c r="J114" s="330">
        <f>H114/DAY(B2)</f>
        <v>-35.014642857142917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'27'!F115</f>
        <v>8749</v>
      </c>
      <c r="F115" s="237">
        <v>8758.1299999999992</v>
      </c>
      <c r="G115" s="112">
        <f t="shared" si="9"/>
        <v>9.1299999999991996</v>
      </c>
      <c r="H115" s="99">
        <f>G115+'27'!H115</f>
        <v>-26.8700000000008</v>
      </c>
      <c r="I115" s="165"/>
      <c r="J115" s="330">
        <f>H115/DAY(B2)</f>
        <v>-0.95964285714288577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'27'!F117</f>
        <v>2505</v>
      </c>
      <c r="F117" s="237">
        <v>2526.06</v>
      </c>
      <c r="G117" s="112">
        <f t="shared" si="9"/>
        <v>21.059999999999945</v>
      </c>
      <c r="H117" s="99">
        <f>G117+'27'!H117</f>
        <v>-63.940000000000055</v>
      </c>
      <c r="I117" s="165"/>
      <c r="J117" s="330">
        <f>H117/DAY(B2)</f>
        <v>-2.2835714285714306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'27'!F118</f>
        <v>240064</v>
      </c>
      <c r="F118" s="237">
        <v>240490.67</v>
      </c>
      <c r="G118" s="112">
        <f t="shared" si="9"/>
        <v>426.67000000001281</v>
      </c>
      <c r="H118" s="99">
        <f>G118+'27'!H118</f>
        <v>-1156.3299999999872</v>
      </c>
      <c r="I118" s="165"/>
      <c r="J118" s="330">
        <f>H118/DAY(B2)</f>
        <v>-41.297499999999545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'27'!F119</f>
        <v>243480</v>
      </c>
      <c r="F119" s="237">
        <v>243904.25</v>
      </c>
      <c r="G119" s="112">
        <f t="shared" si="9"/>
        <v>424.25</v>
      </c>
      <c r="H119" s="99">
        <f>G119+'27'!H119</f>
        <v>-1221.75</v>
      </c>
      <c r="I119" s="165"/>
      <c r="J119" s="330">
        <f>H119/DAY(B2)</f>
        <v>-43.633928571428569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'27'!F120</f>
        <v>28427</v>
      </c>
      <c r="F120" s="237">
        <v>28841.64</v>
      </c>
      <c r="G120" s="112">
        <f t="shared" si="9"/>
        <v>414.63999999999942</v>
      </c>
      <c r="H120" s="99">
        <f>G120+'27'!H120</f>
        <v>-1236.3600000000006</v>
      </c>
      <c r="I120" s="165"/>
      <c r="J120" s="330">
        <f>H120/DAY(B2)</f>
        <v>-44.155714285714303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'27'!F121</f>
        <v>373420</v>
      </c>
      <c r="F121" s="237">
        <v>374219.141</v>
      </c>
      <c r="G121" s="112">
        <f t="shared" si="9"/>
        <v>799.14100000000326</v>
      </c>
      <c r="H121" s="99">
        <f>G121+'27'!H121</f>
        <v>-2309.8589999999967</v>
      </c>
      <c r="I121" s="165"/>
      <c r="J121" s="330">
        <f>H121/DAY(B2)</f>
        <v>-82.494964285714175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'27'!F122</f>
        <v>119141</v>
      </c>
      <c r="F122" s="237">
        <v>119369.52</v>
      </c>
      <c r="G122" s="112">
        <f t="shared" si="9"/>
        <v>228.52000000000407</v>
      </c>
      <c r="H122" s="99">
        <f>G122+'27'!H122</f>
        <v>-680.47999999999593</v>
      </c>
      <c r="I122" s="165"/>
      <c r="J122" s="330">
        <f>H122/DAY(B2)</f>
        <v>-24.302857142856997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'27'!F123</f>
        <v>143766</v>
      </c>
      <c r="F123" s="237">
        <v>144113.63</v>
      </c>
      <c r="G123" s="112">
        <f t="shared" si="9"/>
        <v>347.63000000000466</v>
      </c>
      <c r="H123" s="99">
        <f>G123+'27'!H123</f>
        <v>-1011.3699999999953</v>
      </c>
      <c r="I123" s="165"/>
      <c r="J123" s="330">
        <f>H123/DAY(B2)</f>
        <v>-36.120357142856975</v>
      </c>
    </row>
    <row r="124" spans="1:18" ht="29.25" customHeight="1" x14ac:dyDescent="0.5">
      <c r="A124" s="839"/>
      <c r="B124" s="840"/>
      <c r="C124" s="841"/>
      <c r="D124" s="165"/>
      <c r="E124" s="95">
        <f>'27'!F124</f>
        <v>0</v>
      </c>
      <c r="F124" s="165"/>
      <c r="G124" s="329"/>
      <c r="H124" s="99">
        <f>G124+'27'!H124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3755.7610000000282</v>
      </c>
      <c r="H125" s="156"/>
      <c r="I125" s="329">
        <f>G125-(G39+G53)</f>
        <v>1015.3310000000351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G127+'27'!H127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'27'!F128</f>
        <v>36625</v>
      </c>
      <c r="F128" s="165">
        <v>36930.68</v>
      </c>
      <c r="G128" s="112">
        <f t="shared" ref="G128:G134" si="10">F128-E128</f>
        <v>305.68000000000029</v>
      </c>
      <c r="H128" s="99">
        <f>G128+'27'!H128</f>
        <v>-1073.3199999999997</v>
      </c>
      <c r="I128" s="165"/>
      <c r="J128" s="330">
        <f>H128/DAY(B2)</f>
        <v>-38.332857142857129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'27'!F129</f>
        <v>19441</v>
      </c>
      <c r="F129" s="165">
        <v>19701.93</v>
      </c>
      <c r="G129" s="112">
        <f t="shared" si="10"/>
        <v>260.93000000000029</v>
      </c>
      <c r="H129" s="99">
        <f>G129+'27'!H129</f>
        <v>-619.06999999999971</v>
      </c>
      <c r="I129" s="165"/>
      <c r="J129" s="330">
        <f>H129/DAY(B2)</f>
        <v>-22.109642857142848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'27'!F130</f>
        <v>15070</v>
      </c>
      <c r="F130" s="165">
        <v>15841.03</v>
      </c>
      <c r="G130" s="112">
        <f t="shared" si="10"/>
        <v>771.03000000000065</v>
      </c>
      <c r="H130" s="99">
        <f>G130+'27'!H130</f>
        <v>-2540.9700000000012</v>
      </c>
      <c r="I130" s="165"/>
      <c r="J130" s="330">
        <f>H130/DAY(B2)</f>
        <v>-90.748928571428607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'27'!F131</f>
        <v>12802</v>
      </c>
      <c r="F131" s="165">
        <v>12900.78</v>
      </c>
      <c r="G131" s="112">
        <f t="shared" si="10"/>
        <v>98.780000000000655</v>
      </c>
      <c r="H131" s="99">
        <f>G131+'27'!H131</f>
        <v>-252.21999999999935</v>
      </c>
      <c r="I131" s="165"/>
      <c r="J131" s="330">
        <f>H131/DAY(B2)</f>
        <v>-9.0078571428571195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'27'!F132</f>
        <v>39228</v>
      </c>
      <c r="F132" s="165">
        <v>39678.32</v>
      </c>
      <c r="G132" s="112">
        <f t="shared" si="10"/>
        <v>450.31999999999971</v>
      </c>
      <c r="H132" s="99">
        <f>G132+'27'!H132</f>
        <v>-2957.8000000000029</v>
      </c>
      <c r="I132" s="165"/>
      <c r="J132" s="330">
        <f>H132/DAY(B2)</f>
        <v>-105.63571428571439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'27'!F133</f>
        <v>85102</v>
      </c>
      <c r="F133" s="165">
        <v>85760.93</v>
      </c>
      <c r="G133" s="112">
        <f t="shared" si="10"/>
        <v>658.92999999999302</v>
      </c>
      <c r="H133" s="99">
        <f>G133+'27'!H133</f>
        <v>-1942.070000000007</v>
      </c>
      <c r="I133" s="165"/>
      <c r="J133" s="330">
        <f>H133/DAY(B2)</f>
        <v>-69.359642857143101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'27'!F134</f>
        <v>666384</v>
      </c>
      <c r="F134" s="158">
        <v>666995</v>
      </c>
      <c r="G134" s="112">
        <f t="shared" si="10"/>
        <v>611</v>
      </c>
      <c r="H134" s="99">
        <f>G134+'27'!H134</f>
        <v>15861</v>
      </c>
      <c r="I134" s="165"/>
      <c r="J134" s="330">
        <f>H134/DAY(B2)</f>
        <v>566.46428571428567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3156.6699999999946</v>
      </c>
      <c r="H135" s="99">
        <f>G135+'23'!H135</f>
        <v>-41792.040000000008</v>
      </c>
      <c r="I135" s="329">
        <f>G135-(G35+G49)</f>
        <v>-164.0099999999693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'27'!F138</f>
        <v>863742</v>
      </c>
      <c r="F138" s="147">
        <v>863869</v>
      </c>
      <c r="G138" s="112">
        <f t="shared" ref="G138:G152" si="11">F138-E138</f>
        <v>127</v>
      </c>
      <c r="H138" s="99">
        <f>G138+'27'!H138</f>
        <v>-302</v>
      </c>
      <c r="I138" s="118"/>
      <c r="J138" s="330">
        <f>H138/DAY(B2)</f>
        <v>-10.785714285714286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'27'!F139</f>
        <v>886542</v>
      </c>
      <c r="F139" s="148">
        <v>886544</v>
      </c>
      <c r="G139" s="112">
        <f t="shared" si="11"/>
        <v>2</v>
      </c>
      <c r="H139" s="99">
        <f>G139+'27'!H139</f>
        <v>-2</v>
      </c>
      <c r="I139" s="118"/>
      <c r="J139" s="330">
        <f>H139/DAY(B2)</f>
        <v>-7.1428571428571425E-2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'27'!F140</f>
        <v>88882</v>
      </c>
      <c r="F140" s="149">
        <v>88882</v>
      </c>
      <c r="G140" s="112">
        <f t="shared" si="11"/>
        <v>0</v>
      </c>
      <c r="H140" s="99">
        <f>G140+'27'!H140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'27'!F141</f>
        <v>48555</v>
      </c>
      <c r="F141" s="149">
        <v>48738.38</v>
      </c>
      <c r="G141" s="112">
        <f t="shared" si="11"/>
        <v>183.37999999999738</v>
      </c>
      <c r="H141" s="99">
        <f>G141+'27'!H141</f>
        <v>-567.62000000000262</v>
      </c>
      <c r="I141" s="118"/>
      <c r="J141" s="330">
        <f>H141/DAY(B2)</f>
        <v>-20.272142857142949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'27'!F142</f>
        <v>18702</v>
      </c>
      <c r="F142" s="148">
        <v>18783.34</v>
      </c>
      <c r="G142" s="112">
        <f t="shared" si="11"/>
        <v>81.340000000000146</v>
      </c>
      <c r="H142" s="99">
        <f>G142+'27'!H142</f>
        <v>-225.65999999999985</v>
      </c>
      <c r="I142" s="140"/>
      <c r="J142" s="330">
        <f>H142/DAY(B2)</f>
        <v>-8.0592857142857088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'27'!F143</f>
        <v>2968</v>
      </c>
      <c r="F143" s="149">
        <v>2992.89</v>
      </c>
      <c r="G143" s="112">
        <f t="shared" si="11"/>
        <v>24.889999999999873</v>
      </c>
      <c r="H143" s="99">
        <f>G143+'27'!H143</f>
        <v>-68.110000000000127</v>
      </c>
      <c r="I143" s="140"/>
      <c r="J143" s="330">
        <f>H143/DAY(B2)</f>
        <v>-2.4325000000000045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'27'!F144</f>
        <v>868722</v>
      </c>
      <c r="F144" s="149">
        <v>868966</v>
      </c>
      <c r="G144" s="112">
        <f t="shared" si="11"/>
        <v>244</v>
      </c>
      <c r="H144" s="99">
        <f>G144+'27'!H144</f>
        <v>-704</v>
      </c>
      <c r="I144" s="140"/>
      <c r="J144" s="330">
        <f>H144/DAY(B2)</f>
        <v>-25.142857142857142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'27'!F145</f>
        <v>4506</v>
      </c>
      <c r="F145" s="149">
        <v>4518.78</v>
      </c>
      <c r="G145" s="112">
        <f t="shared" si="11"/>
        <v>12.779999999999745</v>
      </c>
      <c r="H145" s="99">
        <f>G145+'27'!H145</f>
        <v>-39.220000000000255</v>
      </c>
      <c r="I145" s="140"/>
      <c r="J145" s="330">
        <f>H145/DAY(B2)</f>
        <v>-1.4007142857142949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'27'!F146</f>
        <v>722992</v>
      </c>
      <c r="F146" s="148">
        <v>723472</v>
      </c>
      <c r="G146" s="112">
        <f t="shared" si="11"/>
        <v>480</v>
      </c>
      <c r="H146" s="99">
        <f>G146+'27'!H146</f>
        <v>-1386</v>
      </c>
      <c r="I146" s="140"/>
      <c r="J146" s="330">
        <f>H146/DAY(B2)</f>
        <v>-49.5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'27'!F147</f>
        <v>613648</v>
      </c>
      <c r="F147" s="148">
        <v>614078.76</v>
      </c>
      <c r="G147" s="112">
        <f t="shared" si="11"/>
        <v>430.76000000000931</v>
      </c>
      <c r="H147" s="99">
        <f>G147+'27'!H147</f>
        <v>-1203.2399999999907</v>
      </c>
      <c r="I147" s="140"/>
      <c r="J147" s="330">
        <f>H147/DAY(B2)</f>
        <v>-42.97285714285681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'27'!F148</f>
        <v>681948</v>
      </c>
      <c r="F148" s="150">
        <v>682204.08</v>
      </c>
      <c r="G148" s="112">
        <f t="shared" si="11"/>
        <v>256.07999999995809</v>
      </c>
      <c r="H148" s="99">
        <f>G148+'27'!H148</f>
        <v>-829.04000000003725</v>
      </c>
      <c r="I148" s="124"/>
      <c r="J148" s="330">
        <f>H148/DAY(B2)</f>
        <v>-29.608571428572759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'27'!F149</f>
        <v>8605</v>
      </c>
      <c r="F149" s="146">
        <v>9193.01</v>
      </c>
      <c r="G149" s="112">
        <f t="shared" si="11"/>
        <v>588.01000000000022</v>
      </c>
      <c r="H149" s="99">
        <f>G149+'27'!H149</f>
        <v>185684.01000000004</v>
      </c>
      <c r="I149" s="119"/>
      <c r="J149" s="330">
        <f>H149/DAY(B2)</f>
        <v>6631.5717857142872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'27'!F150</f>
        <v>3160</v>
      </c>
      <c r="F150" s="233">
        <v>3385.75</v>
      </c>
      <c r="G150" s="112">
        <f t="shared" si="11"/>
        <v>225.75</v>
      </c>
      <c r="H150" s="99">
        <f>G150+'27'!H150</f>
        <v>7166373.75</v>
      </c>
      <c r="I150" s="119"/>
      <c r="J150" s="330">
        <f>H150/DAY(B2)</f>
        <v>255941.91964285713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'27'!F151</f>
        <v>77224</v>
      </c>
      <c r="F151" s="233">
        <v>77480</v>
      </c>
      <c r="G151" s="112">
        <f t="shared" si="11"/>
        <v>256</v>
      </c>
      <c r="H151" s="99">
        <f>G151+'27'!H151</f>
        <v>-737</v>
      </c>
      <c r="I151" s="119"/>
      <c r="J151" s="330">
        <f>H151/DAY(B2)</f>
        <v>-26.321428571428573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'27'!F152</f>
        <v>934</v>
      </c>
      <c r="F152" s="233">
        <v>983.48</v>
      </c>
      <c r="G152" s="112">
        <f t="shared" si="11"/>
        <v>49.480000000000018</v>
      </c>
      <c r="H152" s="99">
        <f>G152+'27'!H152</f>
        <v>-143.51999999999998</v>
      </c>
      <c r="I152" s="119"/>
      <c r="J152" s="330">
        <f>H152/DAY(B2)</f>
        <v>-5.1257142857142854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2961.4699999999648</v>
      </c>
      <c r="H153" s="365"/>
      <c r="I153" s="119">
        <f>G153-(G38+G52)</f>
        <v>993.9799999999741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646">
        <f>'27'!F155</f>
        <v>10144</v>
      </c>
      <c r="F155" s="647">
        <v>10784</v>
      </c>
      <c r="G155" s="112">
        <f t="shared" ref="G155:G158" si="12">F155-E155</f>
        <v>640</v>
      </c>
      <c r="H155" s="99">
        <f>G155+'27'!H155</f>
        <v>74929</v>
      </c>
      <c r="I155" s="366"/>
      <c r="J155" s="330">
        <f>H155/DAY(B2)</f>
        <v>2676.0357142857142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'27'!F156</f>
        <v>812</v>
      </c>
      <c r="F156" s="165">
        <v>872</v>
      </c>
      <c r="G156" s="112">
        <f t="shared" si="12"/>
        <v>60</v>
      </c>
      <c r="H156" s="99">
        <f>G156+'27'!H156</f>
        <v>-215.99999999999989</v>
      </c>
      <c r="I156" s="165"/>
      <c r="J156" s="330">
        <f>H156/DAY(B2)</f>
        <v>-7.71428571428571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492">
        <v>0</v>
      </c>
      <c r="F157" s="158">
        <v>0</v>
      </c>
      <c r="G157" s="112">
        <f t="shared" si="12"/>
        <v>0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'27'!F158</f>
        <v>1.43</v>
      </c>
      <c r="F158" s="165">
        <v>1.46</v>
      </c>
      <c r="G158" s="112">
        <f t="shared" si="12"/>
        <v>3.0000000000000027E-2</v>
      </c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471151</v>
      </c>
      <c r="F161" s="235">
        <v>471152</v>
      </c>
      <c r="G161" s="238">
        <f t="shared" ref="G161:G165" si="13">F161-E161</f>
        <v>1</v>
      </c>
      <c r="H161" s="99">
        <f>G161+'27'!H161</f>
        <v>-1.1599999999743886</v>
      </c>
      <c r="I161" s="236"/>
      <c r="J161" s="239">
        <f>H161/DAY(B2)</f>
        <v>-4.1428571427656734E-2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87454</v>
      </c>
      <c r="F162" s="235">
        <v>87481.2</v>
      </c>
      <c r="G162" s="238">
        <f t="shared" si="13"/>
        <v>27.19999999999709</v>
      </c>
      <c r="H162" s="99">
        <f>G162+'27'!H162</f>
        <v>-88.80000000000291</v>
      </c>
      <c r="I162" s="236"/>
      <c r="J162" s="239">
        <f>H162/DAY(B2)</f>
        <v>-3.1714285714286752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77551</v>
      </c>
      <c r="F163" s="235">
        <v>77645.399999999994</v>
      </c>
      <c r="G163" s="238">
        <f t="shared" si="13"/>
        <v>94.399999999994179</v>
      </c>
      <c r="H163" s="99">
        <f>G163+'27'!H163</f>
        <v>-179.60000000000582</v>
      </c>
      <c r="I163" s="236"/>
      <c r="J163" s="239">
        <f>H163/DAY(B2)</f>
        <v>-6.4142857142859224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4230</v>
      </c>
      <c r="F164" s="235">
        <v>4235.5</v>
      </c>
      <c r="G164" s="238">
        <f t="shared" si="13"/>
        <v>5.5</v>
      </c>
      <c r="H164" s="99">
        <f>G164+'27'!H164</f>
        <v>-6.5</v>
      </c>
      <c r="I164" s="236"/>
      <c r="J164" s="239">
        <f>H164/DAY(B2)</f>
        <v>-0.23214285714285715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29619</v>
      </c>
      <c r="F165" s="235">
        <v>29629.22</v>
      </c>
      <c r="G165" s="238">
        <f t="shared" si="13"/>
        <v>10.220000000001164</v>
      </c>
      <c r="H165" s="99">
        <f>G165+'27'!H165</f>
        <v>-16.779999999998836</v>
      </c>
      <c r="I165" s="236"/>
      <c r="J165" s="239">
        <f>H165/DAY(B2)</f>
        <v>-0.59928571428567268</v>
      </c>
    </row>
    <row r="166" spans="1:10" ht="29.25" x14ac:dyDescent="0.5">
      <c r="A166" s="824"/>
      <c r="B166" s="824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'27'!F174</f>
        <v>38236</v>
      </c>
      <c r="F174" s="157">
        <v>38252</v>
      </c>
      <c r="G174" s="155">
        <f t="shared" ref="G174:G175" si="14">F174-E174</f>
        <v>16</v>
      </c>
      <c r="H174" s="99">
        <f>G174+'27'!H174</f>
        <v>-35</v>
      </c>
      <c r="I174" s="155"/>
      <c r="J174" s="178">
        <f>H174/DAY(B2)</f>
        <v>-1.25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'27'!F175</f>
        <v>21475</v>
      </c>
      <c r="F175" s="155">
        <v>21486</v>
      </c>
      <c r="G175" s="155">
        <f t="shared" si="14"/>
        <v>11</v>
      </c>
      <c r="H175" s="99">
        <f>G175+'27'!H175</f>
        <v>-32</v>
      </c>
      <c r="I175" s="155"/>
      <c r="J175" s="178">
        <f>H175/DAY(B2)</f>
        <v>-1.1428571428571428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27</v>
      </c>
      <c r="H176" s="99">
        <f>G176+'27'!H176</f>
        <v>-67</v>
      </c>
      <c r="I176" s="155"/>
      <c r="J176" s="178">
        <f>H176/DAY(B2)</f>
        <v>-2.3928571428571428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'27'!F178</f>
        <v>79338</v>
      </c>
      <c r="F178" s="155">
        <v>79402</v>
      </c>
      <c r="G178" s="155">
        <f>F178-E178</f>
        <v>64</v>
      </c>
      <c r="H178" s="99">
        <f>G178+'27'!H178</f>
        <v>-212</v>
      </c>
      <c r="I178" s="155"/>
      <c r="J178" s="178">
        <f>H178/DAY(B2)</f>
        <v>-7.5714285714285712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'27'!F179</f>
        <v>33915</v>
      </c>
      <c r="F179" s="155">
        <v>33915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'27'!F180</f>
        <v>5457</v>
      </c>
      <c r="F180" s="155">
        <v>5463</v>
      </c>
      <c r="G180" s="155">
        <f t="shared" si="15"/>
        <v>6</v>
      </c>
      <c r="H180" s="99">
        <f>G180+'27'!H180</f>
        <v>-14</v>
      </c>
      <c r="I180" s="155"/>
      <c r="J180" s="178">
        <f>H180/DAY(B2)</f>
        <v>-0.5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70</v>
      </c>
      <c r="H181" s="99">
        <f>G181+'27'!H181</f>
        <v>-226</v>
      </c>
      <c r="I181" s="155"/>
      <c r="J181" s="178">
        <f>H181/DAY(B2)</f>
        <v>-8.0714285714285712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'27'!F183</f>
        <v>14881</v>
      </c>
      <c r="F183" s="157">
        <v>14901</v>
      </c>
      <c r="G183" s="157">
        <f>F183-E183</f>
        <v>20</v>
      </c>
      <c r="H183" s="99">
        <f>G183+'27'!H183</f>
        <v>-46</v>
      </c>
      <c r="I183" s="155"/>
      <c r="J183" s="178">
        <f>H183/DAY(B2)</f>
        <v>-1.6428571428571428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'27'!F184</f>
        <v>10279</v>
      </c>
      <c r="F184" s="157">
        <v>10282</v>
      </c>
      <c r="G184" s="157">
        <f t="shared" ref="G184:G185" si="16">F184-E184</f>
        <v>3</v>
      </c>
      <c r="H184" s="99">
        <f>G184+'27'!H184</f>
        <v>-19</v>
      </c>
      <c r="I184" s="155"/>
      <c r="J184" s="178">
        <f>H184/DAY(B2)</f>
        <v>-0.6785714285714286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23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>
        <f>'27'!F187</f>
        <v>0</v>
      </c>
      <c r="F187" s="159"/>
      <c r="G187" s="464">
        <f>G62+G19</f>
        <v>193</v>
      </c>
      <c r="H187" s="99">
        <f>G187+'27'!H187</f>
        <v>1258</v>
      </c>
      <c r="I187" s="158"/>
      <c r="J187" s="179">
        <f>H187/DAY(B2)</f>
        <v>44.928571428571431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'27'!F188</f>
        <v>0</v>
      </c>
      <c r="F188" s="159"/>
      <c r="G188" s="464">
        <f>G65+G66+G67+G69+G70</f>
        <v>199</v>
      </c>
      <c r="H188" s="99">
        <f>G188+'27'!H188</f>
        <v>2455</v>
      </c>
      <c r="I188" s="158"/>
      <c r="J188" s="179">
        <f>H188/DAY(B2)</f>
        <v>87.678571428571431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'27'!F189</f>
        <v>0</v>
      </c>
      <c r="F189" s="157"/>
      <c r="G189" s="461">
        <f>G181</f>
        <v>70</v>
      </c>
      <c r="H189" s="99">
        <f>G189+'27'!H189</f>
        <v>755</v>
      </c>
      <c r="I189" s="158"/>
      <c r="J189" s="179">
        <f>H189/DAY(B2)</f>
        <v>26.964285714285715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25" zoomScale="55" zoomScaleNormal="78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350</v>
      </c>
      <c r="B2" s="262">
        <v>44529</v>
      </c>
      <c r="C2" s="350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47000</v>
      </c>
      <c r="F7" s="95">
        <f>E7+23500</f>
        <v>70500</v>
      </c>
      <c r="G7" s="112">
        <f>F7-E7</f>
        <v>23500</v>
      </c>
      <c r="H7" s="99">
        <f>G7+'28'!H7</f>
        <v>652631</v>
      </c>
      <c r="I7" s="113">
        <f>'1'!I7</f>
        <v>12000</v>
      </c>
      <c r="J7" s="175">
        <f>H7/DAY(B2)</f>
        <v>22504.517241379312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86565</v>
      </c>
      <c r="F8" s="95">
        <f>E8+23500</f>
        <v>110065</v>
      </c>
      <c r="G8" s="115">
        <f>F8-E8</f>
        <v>23500</v>
      </c>
      <c r="H8" s="99">
        <f>G8+'28'!H8</f>
        <v>649052</v>
      </c>
      <c r="I8" s="116"/>
      <c r="J8" s="175">
        <f>H8/DAY(B2)</f>
        <v>22381.103448275862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277657</v>
      </c>
      <c r="F9" s="605">
        <f>E9+14000</f>
        <v>291657</v>
      </c>
      <c r="G9" s="112">
        <f>F9-E9</f>
        <v>14000</v>
      </c>
      <c r="H9" s="99">
        <f>G9+'28'!H9</f>
        <v>390162</v>
      </c>
      <c r="I9" s="124">
        <f>I7-J7</f>
        <v>-10504.517241379312</v>
      </c>
      <c r="J9" s="175">
        <f>H9/DAY(B2)</f>
        <v>13453.862068965518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543050</v>
      </c>
      <c r="F10" s="355">
        <f>E10+4500</f>
        <v>547550</v>
      </c>
      <c r="G10" s="112">
        <f t="shared" ref="G10:G12" si="0">F10-E10</f>
        <v>4500</v>
      </c>
      <c r="H10" s="99">
        <f>G10+'28'!H10</f>
        <v>150440</v>
      </c>
      <c r="I10" s="282"/>
      <c r="J10" s="175">
        <f>H10/DAY(B2)</f>
        <v>5187.5862068965516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G13+'28'!H13</f>
        <v>521136.74999999988</v>
      </c>
      <c r="I13" s="120">
        <f>G7-G13</f>
        <v>5000</v>
      </c>
      <c r="J13" s="175">
        <f>H13/DAY(B2)</f>
        <v>17970.232758620685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7" t="s">
        <v>138</v>
      </c>
      <c r="B15" s="205"/>
      <c r="C15" s="205"/>
      <c r="D15" s="151" t="s">
        <v>139</v>
      </c>
      <c r="E15" s="95">
        <f>'28'!F15</f>
        <v>1874926</v>
      </c>
      <c r="F15" s="123">
        <f>E15+1100</f>
        <v>1876026</v>
      </c>
      <c r="G15" s="112">
        <f>(F15-E15)</f>
        <v>1100</v>
      </c>
      <c r="H15" s="99">
        <f>G15+'28'!H15</f>
        <v>30169</v>
      </c>
      <c r="I15" s="113">
        <f>'1'!I15</f>
        <v>800</v>
      </c>
      <c r="J15" s="175">
        <f>H15/DAY(B2)</f>
        <v>1040.3103448275863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-240.31034482758628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'28'!F18</f>
        <v>243</v>
      </c>
      <c r="F18" s="122">
        <f>E18+12</f>
        <v>255</v>
      </c>
      <c r="G18" s="119">
        <f>F18*10</f>
        <v>2550</v>
      </c>
      <c r="H18" s="99">
        <f>G18+'28'!H18</f>
        <v>29420</v>
      </c>
      <c r="I18" s="113">
        <f>'1'!I18</f>
        <v>65</v>
      </c>
      <c r="J18" s="175">
        <f>H18/DAY(B2)</f>
        <v>1014.4827586206897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'28'!F19</f>
        <v>153740</v>
      </c>
      <c r="F19" s="122">
        <f>E19+55</f>
        <v>153795</v>
      </c>
      <c r="G19" s="112">
        <f t="shared" ref="G19" si="1">F19-E19</f>
        <v>55</v>
      </c>
      <c r="H19" s="99">
        <f>G19+'28'!H19</f>
        <v>1570</v>
      </c>
      <c r="I19" s="337"/>
      <c r="J19" s="175">
        <f>H19/DAY(B2)</f>
        <v>54.137931034482762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2605</v>
      </c>
      <c r="H20" s="99">
        <f>G20+'28'!H20</f>
        <v>30990</v>
      </c>
      <c r="I20" s="338">
        <f>I18-J20</f>
        <v>-1003.6206896551723</v>
      </c>
      <c r="J20" s="175">
        <f>H20/DAY(B2)</f>
        <v>1068.6206896551723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G27+'28'!H27</f>
        <v>5841468</v>
      </c>
      <c r="I27" s="138"/>
      <c r="J27" s="175">
        <f>H27/DAY(B2)</f>
        <v>201429.93103448275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1568788</v>
      </c>
      <c r="I28" s="140"/>
      <c r="J28" s="175">
        <f>H28/DAY(B2)</f>
        <v>54096.137931034486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G30+'28'!H30</f>
        <v>229220</v>
      </c>
      <c r="I30" s="140"/>
      <c r="J30" s="175">
        <f>H30/DAY(B2)</f>
        <v>7904.1379310344828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2550</v>
      </c>
      <c r="F31" s="136">
        <v>80</v>
      </c>
      <c r="G31" s="137">
        <f>E31*F31</f>
        <v>204000</v>
      </c>
      <c r="H31" s="99">
        <f>G31+'28'!H31</f>
        <v>2353600</v>
      </c>
      <c r="I31" s="140"/>
      <c r="J31" s="175">
        <f>H31/DAY(B2)</f>
        <v>81158.620689655174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480730</v>
      </c>
      <c r="H32" s="99">
        <f>G32+'28'!H32</f>
        <v>9993076</v>
      </c>
      <c r="I32" s="144"/>
      <c r="J32" s="175">
        <f>H32/DAY(B2)</f>
        <v>344588.8275862069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147015.26999999999</v>
      </c>
      <c r="F35" s="145">
        <v>148886.99</v>
      </c>
      <c r="G35" s="112">
        <f t="shared" ref="G35:G46" si="3">F35-E35</f>
        <v>1871.7200000000012</v>
      </c>
      <c r="H35" s="99">
        <f>G35+'28'!H35</f>
        <v>164086.99</v>
      </c>
      <c r="I35" s="95"/>
      <c r="J35" s="175">
        <f>H35/DAY(B2)</f>
        <v>5658.1720689655167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19004.939999999999</v>
      </c>
      <c r="F36" s="145">
        <v>19822.169999999998</v>
      </c>
      <c r="G36" s="112">
        <f t="shared" si="3"/>
        <v>817.22999999999956</v>
      </c>
      <c r="H36" s="99">
        <f>G36+'28'!H36</f>
        <v>88025.17</v>
      </c>
      <c r="I36" s="95"/>
      <c r="J36" s="175">
        <f>H36/DAY(B2)</f>
        <v>3035.3506896551726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190645.23</v>
      </c>
      <c r="F37" s="145">
        <v>192189.71</v>
      </c>
      <c r="G37" s="112">
        <f t="shared" si="3"/>
        <v>1544.4799999999814</v>
      </c>
      <c r="H37" s="99">
        <f>G37+'28'!H37</f>
        <v>204401.71</v>
      </c>
      <c r="I37" s="95"/>
      <c r="J37" s="175">
        <f>H37/DAY(B2)</f>
        <v>7048.3348275862063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226951.49</v>
      </c>
      <c r="F38" s="108">
        <v>228822.07</v>
      </c>
      <c r="G38" s="112">
        <f t="shared" si="3"/>
        <v>1870.5800000000163</v>
      </c>
      <c r="H38" s="99">
        <f>G38+'28'!H38</f>
        <v>242022.07</v>
      </c>
      <c r="I38" s="95"/>
      <c r="J38" s="175">
        <f>H38/DAY(B2)</f>
        <v>8345.5886206896557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402877.43</v>
      </c>
      <c r="F39" s="145">
        <v>405604.75</v>
      </c>
      <c r="G39" s="112">
        <f t="shared" si="3"/>
        <v>2727.320000000007</v>
      </c>
      <c r="H39" s="99">
        <f>G39+'28'!H39</f>
        <v>427286.75</v>
      </c>
      <c r="I39" s="95"/>
      <c r="J39" s="175">
        <f>H39/DAY(B2)</f>
        <v>14734.025862068966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5066.7700000000004</v>
      </c>
      <c r="F40" s="145">
        <v>5448.67</v>
      </c>
      <c r="G40" s="112">
        <f t="shared" si="3"/>
        <v>381.89999999999964</v>
      </c>
      <c r="H40" s="99">
        <f>G40+'28'!H40</f>
        <v>378.81999999999971</v>
      </c>
      <c r="I40" s="95"/>
      <c r="J40" s="175">
        <f>H40/DAY(B2)</f>
        <v>13.062758620689646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599900</v>
      </c>
      <c r="I41" s="95"/>
      <c r="J41" s="175">
        <f>H41/DAY(B2)</f>
        <v>20686.206896551725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67675.429999999993</v>
      </c>
      <c r="F42" s="145">
        <v>71900.37</v>
      </c>
      <c r="G42" s="112">
        <f t="shared" si="3"/>
        <v>4224.9400000000023</v>
      </c>
      <c r="H42" s="99">
        <f>G42+'28'!H42</f>
        <v>355751.37</v>
      </c>
      <c r="I42" s="95"/>
      <c r="J42" s="175">
        <f>H42/DAY(B2)</f>
        <v>12267.288620689655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39532.07</v>
      </c>
      <c r="F43" s="145">
        <v>41991.99</v>
      </c>
      <c r="G43" s="112">
        <f t="shared" si="3"/>
        <v>2459.9199999999983</v>
      </c>
      <c r="H43" s="99">
        <f>G43+'28'!H43</f>
        <v>1559411.9899999998</v>
      </c>
      <c r="I43" s="95"/>
      <c r="J43" s="175">
        <f>H43/DAY(B2)</f>
        <v>53772.827241379302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15898.090000000006</v>
      </c>
      <c r="H47" s="99">
        <f>G47+'28'!H47</f>
        <v>3641264.8699999996</v>
      </c>
      <c r="I47" s="95"/>
      <c r="J47" s="175">
        <f>H47/DAY(B2)</f>
        <v>125560.85758620688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267940.40999999997</v>
      </c>
      <c r="F49" s="145">
        <v>269374.25</v>
      </c>
      <c r="G49" s="112">
        <f t="shared" ref="G49:G58" si="4">F49-E49</f>
        <v>1433.8400000000256</v>
      </c>
      <c r="H49" s="99">
        <f>G49+'28'!H49</f>
        <v>282495.25000000006</v>
      </c>
      <c r="I49" s="95"/>
      <c r="J49" s="175">
        <f>H49/DAY(B2)</f>
        <v>9741.2155172413804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21574.2</v>
      </c>
      <c r="F50" s="145">
        <v>22524.6</v>
      </c>
      <c r="G50" s="112">
        <f t="shared" si="4"/>
        <v>950.39999999999782</v>
      </c>
      <c r="H50" s="99">
        <f>G50+'28'!H50</f>
        <v>736949.60000000009</v>
      </c>
      <c r="I50" s="95"/>
      <c r="J50" s="175">
        <f>H50/DAY(B2)</f>
        <v>25412.055172413795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3170.4</v>
      </c>
      <c r="F54" s="145">
        <v>3174.76</v>
      </c>
      <c r="G54" s="112">
        <f t="shared" si="4"/>
        <v>4.3600000000001273</v>
      </c>
      <c r="H54" s="99">
        <f>G54+'28'!H54</f>
        <v>4941.84</v>
      </c>
      <c r="I54" s="95"/>
      <c r="J54" s="175">
        <f>H54/DAY(B2)</f>
        <v>170.40827586206896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-3511</v>
      </c>
      <c r="I55" s="95"/>
      <c r="J55" s="175">
        <f>H55/DAY(B2)</f>
        <v>-121.06896551724138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212065</v>
      </c>
      <c r="I56" s="95"/>
      <c r="J56" s="175">
        <f>H56/DAY(B2)</f>
        <v>7312.5862068965516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91702.32</v>
      </c>
      <c r="F58" s="145">
        <v>91883.6</v>
      </c>
      <c r="G58" s="112">
        <f t="shared" si="4"/>
        <v>181.27999999999884</v>
      </c>
      <c r="H58" s="99">
        <f>G58+'28'!H58</f>
        <v>92224.23000000001</v>
      </c>
      <c r="I58" s="95"/>
      <c r="J58" s="175">
        <f>H58/DAY(B2)</f>
        <v>3180.1458620689659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2569.8800000000224</v>
      </c>
      <c r="H59" s="99">
        <f>G59+'28'!H59</f>
        <v>1325164.9200000004</v>
      </c>
      <c r="I59" s="95">
        <f>G7-G60</f>
        <v>5032.0299999999734</v>
      </c>
      <c r="J59" s="175">
        <f>H59/DAY(B2)</f>
        <v>45695.342068965532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18467.970000000027</v>
      </c>
      <c r="H60" s="99">
        <f>G60+'28'!H60</f>
        <v>4966429.790000001</v>
      </c>
      <c r="I60" s="95">
        <f>G13-G60</f>
        <v>32.02999999997337</v>
      </c>
      <c r="J60" s="175">
        <f>H60/DAY(B2)</f>
        <v>171256.19965517244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'28'!F62</f>
        <v>266956</v>
      </c>
      <c r="F62" s="122">
        <v>267087</v>
      </c>
      <c r="G62" s="112">
        <f t="shared" ref="G62:G63" si="5">F62-E62</f>
        <v>131</v>
      </c>
      <c r="H62" s="99">
        <f>G62+'28'!H62</f>
        <v>-126</v>
      </c>
      <c r="I62" s="118"/>
      <c r="J62" s="175">
        <f>H62/DAY(B2)</f>
        <v>-4.3448275862068968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'28'!F63</f>
        <v>212166.1</v>
      </c>
      <c r="F63" s="122">
        <v>212242</v>
      </c>
      <c r="G63" s="112">
        <f t="shared" si="5"/>
        <v>75.899999999994179</v>
      </c>
      <c r="H63" s="99">
        <f>G63+'28'!H63</f>
        <v>-183</v>
      </c>
      <c r="I63" s="118"/>
      <c r="J63" s="175">
        <f>H63/DAY(B2)</f>
        <v>-6.3103448275862073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'28'!F64</f>
        <v>0</v>
      </c>
      <c r="F64" s="122"/>
      <c r="G64" s="112">
        <f>G62+G63</f>
        <v>206.89999999999418</v>
      </c>
      <c r="H64" s="99">
        <f>G64+'28'!H64</f>
        <v>-309</v>
      </c>
      <c r="I64" s="118"/>
      <c r="J64" s="175">
        <f>H64/DAY(B2)</f>
        <v>-10.655172413793103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'28'!F65</f>
        <v>432313</v>
      </c>
      <c r="F65" s="122">
        <v>432417</v>
      </c>
      <c r="G65" s="112">
        <f t="shared" ref="G65:G70" si="6">F65-E65</f>
        <v>104</v>
      </c>
      <c r="H65" s="99">
        <f>G65+'28'!H65</f>
        <v>-197</v>
      </c>
      <c r="I65" s="118"/>
      <c r="J65" s="175">
        <f>H65/DAY(B2)</f>
        <v>-6.7931034482758621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'28'!F66</f>
        <v>107157</v>
      </c>
      <c r="F66" s="122">
        <v>107177</v>
      </c>
      <c r="G66" s="112">
        <f t="shared" si="6"/>
        <v>20</v>
      </c>
      <c r="H66" s="99">
        <f>G66+'28'!H66</f>
        <v>-37</v>
      </c>
      <c r="I66" s="118"/>
      <c r="J66" s="175">
        <f>H66/DAY(B2)</f>
        <v>-1.2758620689655173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'28'!F67</f>
        <v>103834</v>
      </c>
      <c r="F67" s="122">
        <v>103862</v>
      </c>
      <c r="G67" s="112">
        <f t="shared" si="6"/>
        <v>28</v>
      </c>
      <c r="H67" s="99">
        <f>G67+'28'!H67</f>
        <v>-66</v>
      </c>
      <c r="I67" s="118"/>
      <c r="J67" s="175">
        <f>H67/DAY(B2)</f>
        <v>-2.2758620689655173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'28'!F68</f>
        <v>156520</v>
      </c>
      <c r="F68" s="122">
        <v>156560</v>
      </c>
      <c r="G68" s="112">
        <f t="shared" si="6"/>
        <v>40</v>
      </c>
      <c r="H68" s="99">
        <f>G68+'28'!H68</f>
        <v>-60</v>
      </c>
      <c r="I68" s="118"/>
      <c r="J68" s="175">
        <f>H68/DAY(B2)</f>
        <v>-2.0689655172413794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'28'!F69</f>
        <v>10176</v>
      </c>
      <c r="F69" s="122">
        <v>10194</v>
      </c>
      <c r="G69" s="112">
        <f t="shared" si="6"/>
        <v>18</v>
      </c>
      <c r="H69" s="99">
        <f>G69+'28'!H69</f>
        <v>-20</v>
      </c>
      <c r="I69" s="118"/>
      <c r="J69" s="175">
        <f>H69/DAY(B2)</f>
        <v>-0.68965517241379315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'28'!F70</f>
        <v>7843</v>
      </c>
      <c r="F70" s="122">
        <v>7849</v>
      </c>
      <c r="G70" s="112">
        <f t="shared" si="6"/>
        <v>6</v>
      </c>
      <c r="H70" s="99">
        <f>G70+'28'!H70</f>
        <v>-13</v>
      </c>
      <c r="I70" s="118"/>
      <c r="J70" s="175">
        <f>H70/DAY(B2)</f>
        <v>-0.44827586206896552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95">
        <f>'28'!F71</f>
        <v>0</v>
      </c>
      <c r="F71" s="152"/>
      <c r="G71" s="153">
        <f>SUM(G65:G70)</f>
        <v>216</v>
      </c>
      <c r="H71" s="99">
        <f>G71+'28'!H71</f>
        <v>-393</v>
      </c>
      <c r="I71" s="154"/>
      <c r="J71" s="175">
        <f>H71/DAY(B2)</f>
        <v>-13.551724137931034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'28'!F74</f>
        <v>891129.92099999997</v>
      </c>
      <c r="F74" s="117">
        <v>891456.32</v>
      </c>
      <c r="G74" s="112">
        <f t="shared" ref="G74:G78" si="7">F74-E74</f>
        <v>326.39899999997579</v>
      </c>
      <c r="H74" s="99">
        <f>G74+'28'!H74</f>
        <v>-575.68000000005122</v>
      </c>
      <c r="I74" s="154"/>
      <c r="J74" s="175">
        <f>H74/DAY(B2)</f>
        <v>-19.851034482760387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243.88999999999942</v>
      </c>
      <c r="I75" s="154"/>
      <c r="J75" s="175">
        <f>H75/DAY(B2)</f>
        <v>8.4099999999999806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'28'!F76</f>
        <v>166906.94</v>
      </c>
      <c r="F76" s="123">
        <v>167000.53</v>
      </c>
      <c r="G76" s="112">
        <f t="shared" si="7"/>
        <v>93.589999999996508</v>
      </c>
      <c r="H76" s="99">
        <f>G76+'28'!H76</f>
        <v>-206.47000000000116</v>
      </c>
      <c r="I76" s="154"/>
      <c r="J76" s="175">
        <f>H76/DAY(B2)</f>
        <v>-7.1196551724138333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'28'!F77</f>
        <v>40190</v>
      </c>
      <c r="F77" s="123">
        <v>40226</v>
      </c>
      <c r="G77" s="112">
        <f t="shared" si="7"/>
        <v>36</v>
      </c>
      <c r="H77" s="99">
        <f>G77+'28'!H77</f>
        <v>-90</v>
      </c>
      <c r="I77" s="154"/>
      <c r="J77" s="175">
        <f>H77/DAY(B2)</f>
        <v>-3.103448275862069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'28'!F78</f>
        <v>9479.9</v>
      </c>
      <c r="F78" s="123">
        <v>9481.2000000000007</v>
      </c>
      <c r="G78" s="112">
        <f t="shared" si="7"/>
        <v>1.3000000000010914</v>
      </c>
      <c r="H78" s="99">
        <f>G78+'28'!H78</f>
        <v>-4.7999999999992724</v>
      </c>
      <c r="I78" s="118"/>
      <c r="J78" s="175">
        <f>H78/DAY(B2)</f>
        <v>-0.16551724137928525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'28'!F79</f>
        <v>0</v>
      </c>
      <c r="F79" s="117"/>
      <c r="G79" s="112">
        <f>G15-SUM(G74:G78)</f>
        <v>642.71100000002662</v>
      </c>
      <c r="H79" s="99">
        <f>G79+'28'!H79</f>
        <v>30802.060000000049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'28'!F84</f>
        <v>41675.25</v>
      </c>
      <c r="F84" s="164">
        <v>41675.26</v>
      </c>
      <c r="G84" s="112">
        <f t="shared" si="8"/>
        <v>1.0000000002037268E-2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'28'!F85</f>
        <v>2060.0700000000002</v>
      </c>
      <c r="F85" s="164">
        <v>2083.59</v>
      </c>
      <c r="G85" s="112">
        <f t="shared" si="8"/>
        <v>23.519999999999982</v>
      </c>
      <c r="H85" s="99">
        <f>G85+'28'!H85</f>
        <v>-12.9699999999998</v>
      </c>
      <c r="I85" s="118">
        <f>G82+G83+G84+G85</f>
        <v>23.530000000002019</v>
      </c>
      <c r="J85" s="175">
        <f>H85/DAY(B2)</f>
        <v>-0.44724137931033792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'28'!F86</f>
        <v>42826</v>
      </c>
      <c r="F86" s="164">
        <v>42826.07</v>
      </c>
      <c r="G86" s="112">
        <f t="shared" si="8"/>
        <v>6.9999999999708962E-2</v>
      </c>
      <c r="H86" s="99">
        <f>G86+'28'!H86</f>
        <v>-36.930000000000291</v>
      </c>
      <c r="I86" s="118"/>
      <c r="J86" s="175">
        <f>H86/DAY(B2)</f>
        <v>-1.2734482758620791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'28'!F88</f>
        <v>24040.87</v>
      </c>
      <c r="F88" s="164">
        <v>24041.06</v>
      </c>
      <c r="G88" s="112">
        <f t="shared" si="8"/>
        <v>0.19000000000232831</v>
      </c>
      <c r="H88" s="99">
        <f>G88+'28'!H88</f>
        <v>-5.9399999999986903</v>
      </c>
      <c r="I88" s="118">
        <f>G86+G87+G88</f>
        <v>0.26000000000203727</v>
      </c>
      <c r="J88" s="175">
        <f>H88/DAY(B2)</f>
        <v>-0.2048275862068514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'28'!F89</f>
        <v>25641.94</v>
      </c>
      <c r="F89" s="164">
        <v>25651.26</v>
      </c>
      <c r="G89" s="112">
        <f t="shared" si="8"/>
        <v>9.319999999999709</v>
      </c>
      <c r="H89" s="99">
        <f>G89+'28'!H89</f>
        <v>-11.740000000001601</v>
      </c>
      <c r="I89" s="118"/>
      <c r="J89" s="175">
        <f>H89/DAY(B2)</f>
        <v>-0.40482758620695175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'28'!F90</f>
        <v>71016.929999999993</v>
      </c>
      <c r="F90" s="164">
        <v>71022.03</v>
      </c>
      <c r="G90" s="112">
        <f t="shared" si="8"/>
        <v>5.1000000000058208</v>
      </c>
      <c r="H90" s="99">
        <f>G90+'28'!H90</f>
        <v>34.029999999998836</v>
      </c>
      <c r="I90" s="118">
        <f>G89+G90</f>
        <v>14.42000000000553</v>
      </c>
      <c r="J90" s="175">
        <f>H90/DAY(B2)</f>
        <v>1.1734482758620288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-0.32000000000016371</v>
      </c>
      <c r="I91" s="165"/>
      <c r="J91" s="175">
        <f>H91/DAY(B2)</f>
        <v>-1.1034482758626335E-2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'28'!F92</f>
        <v>5406.68</v>
      </c>
      <c r="F92" s="122">
        <v>5418.13</v>
      </c>
      <c r="G92" s="112">
        <f t="shared" si="8"/>
        <v>11.449999999999818</v>
      </c>
      <c r="H92" s="99">
        <f>G92+'28'!H92</f>
        <v>-19.869999999999891</v>
      </c>
      <c r="I92" s="165"/>
      <c r="J92" s="175">
        <f>H92/DAY(B2)</f>
        <v>-0.68517241379309968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5765.480000000025</v>
      </c>
      <c r="H94" s="99">
        <f>G94+'28'!H94</f>
        <v>2005994.23</v>
      </c>
      <c r="I94" s="118"/>
      <c r="J94" s="175">
        <f>H94/DAY(B2)</f>
        <v>69172.214827586213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0.24533957446808616</v>
      </c>
      <c r="H95" s="99">
        <f>G95+'28'!H95</f>
        <v>85.764818806600047</v>
      </c>
      <c r="I95" s="167"/>
      <c r="J95" s="175">
        <f>H95/DAY(B2)</f>
        <v>2.9574075450551742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4224.9400000000023</v>
      </c>
      <c r="H96" s="99">
        <f>G96+'28'!H96</f>
        <v>1164205.3700000001</v>
      </c>
      <c r="I96" s="118"/>
      <c r="J96" s="175">
        <f>H96/DAY(B2)</f>
        <v>40145.012758620695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0.17978468085106392</v>
      </c>
      <c r="H97" s="99">
        <f>G97+'28'!H97</f>
        <v>49.738018139598736</v>
      </c>
      <c r="I97" s="167"/>
      <c r="J97" s="175">
        <f>H97/DAY(B2)</f>
        <v>1.7151040737792669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2727.320000000007</v>
      </c>
      <c r="H98" s="99">
        <f>G98+'28'!H98</f>
        <v>427286.75</v>
      </c>
      <c r="I98" s="168"/>
      <c r="J98" s="175">
        <f>H98/DAY(B2)</f>
        <v>14734.025862068966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0.11605617021276625</v>
      </c>
      <c r="H99" s="99">
        <f>G99+'28'!H99</f>
        <v>18.368974888245592</v>
      </c>
      <c r="I99" s="168"/>
      <c r="J99" s="175">
        <f>H99/DAY(B2)</f>
        <v>0.63341292718088249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1870.5800000000163</v>
      </c>
      <c r="H100" s="99">
        <f>G100+'28'!H100</f>
        <v>242022.07</v>
      </c>
      <c r="I100" s="118"/>
      <c r="J100" s="175">
        <f>H100/DAY(B2)</f>
        <v>8345.5886206896557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7.9599148936170913E-2</v>
      </c>
      <c r="H101" s="99">
        <f>G101+'28'!H101</f>
        <v>10.410018641786381</v>
      </c>
      <c r="I101" s="168"/>
      <c r="J101" s="175">
        <f>H101/DAY(B2)</f>
        <v>0.35896616006159937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1767.6299999999974</v>
      </c>
      <c r="H102" s="99">
        <f>G102+'28'!H102</f>
        <v>824974.7699999999</v>
      </c>
      <c r="I102" s="168"/>
      <c r="J102" s="175">
        <f>H102/DAY(B2)</f>
        <v>28447.405862068961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7.5218297872340315E-2</v>
      </c>
      <c r="H103" s="99">
        <f>G103+'28'!H103</f>
        <v>35.230506640868313</v>
      </c>
      <c r="I103" s="118"/>
      <c r="J103" s="175">
        <f>H103/DAY(B2)</f>
        <v>1.214845056581666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1544.4799999999814</v>
      </c>
      <c r="H104" s="99">
        <f>G104+'28'!H104</f>
        <v>204401.71</v>
      </c>
      <c r="I104" s="118"/>
      <c r="J104" s="175">
        <f>H104/DAY(B2)</f>
        <v>7048.3348275862063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6.5722553191488564E-2</v>
      </c>
      <c r="H105" s="99">
        <f>G105+'28'!H105</f>
        <v>8.8030557517274541</v>
      </c>
      <c r="I105" s="187"/>
      <c r="J105" s="188">
        <f>H105/DAY(B2)</f>
        <v>0.30355364661129153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'28'!F112</f>
        <v>55471.73</v>
      </c>
      <c r="F112" s="237">
        <v>53273.53</v>
      </c>
      <c r="G112" s="112">
        <v>5541.25</v>
      </c>
      <c r="H112" s="99">
        <f>G112+'28'!H112</f>
        <v>5331.9800000000032</v>
      </c>
      <c r="I112" s="165"/>
      <c r="J112" s="330">
        <f>H112/DAY(B2)</f>
        <v>183.86137931034494</v>
      </c>
    </row>
    <row r="113" spans="1:18" ht="27.75" x14ac:dyDescent="0.5">
      <c r="A113" s="835" t="s">
        <v>253</v>
      </c>
      <c r="B113" s="836"/>
      <c r="C113" s="837"/>
      <c r="D113" s="146" t="s">
        <v>183</v>
      </c>
      <c r="E113" s="95">
        <f>'28'!F113</f>
        <v>30853.22</v>
      </c>
      <c r="F113" s="237">
        <v>31290.99</v>
      </c>
      <c r="G113" s="112">
        <f t="shared" ref="G113:G123" si="9">F113-E113</f>
        <v>437.77000000000044</v>
      </c>
      <c r="H113" s="99">
        <f>G113+'28'!H113</f>
        <v>-904.0099999999984</v>
      </c>
      <c r="I113" s="165"/>
      <c r="J113" s="330">
        <f>H113/DAY(B2)</f>
        <v>-31.172758620689599</v>
      </c>
    </row>
    <row r="114" spans="1:18" ht="27.75" x14ac:dyDescent="0.5">
      <c r="A114" s="835" t="s">
        <v>254</v>
      </c>
      <c r="B114" s="836"/>
      <c r="C114" s="837"/>
      <c r="D114" s="146" t="s">
        <v>183</v>
      </c>
      <c r="E114" s="95">
        <f>'28'!F114</f>
        <v>24047.77</v>
      </c>
      <c r="F114" s="237">
        <v>24321.7</v>
      </c>
      <c r="G114" s="112">
        <f t="shared" si="9"/>
        <v>273.93000000000029</v>
      </c>
      <c r="H114" s="99">
        <f>G114+'28'!H114</f>
        <v>-706.48000000000138</v>
      </c>
      <c r="I114" s="165"/>
      <c r="J114" s="330">
        <f>H114/DAY(B2)</f>
        <v>-24.361379310344876</v>
      </c>
    </row>
    <row r="115" spans="1:18" ht="27.75" x14ac:dyDescent="0.5">
      <c r="A115" s="835" t="s">
        <v>255</v>
      </c>
      <c r="B115" s="836"/>
      <c r="C115" s="837"/>
      <c r="D115" s="146" t="s">
        <v>183</v>
      </c>
      <c r="E115" s="95">
        <f>'28'!F115</f>
        <v>8758.1299999999992</v>
      </c>
      <c r="F115" s="237">
        <v>8765.64</v>
      </c>
      <c r="G115" s="112">
        <f t="shared" si="9"/>
        <v>7.5100000000002183</v>
      </c>
      <c r="H115" s="99">
        <f>G115+'28'!H115</f>
        <v>-19.360000000000582</v>
      </c>
      <c r="I115" s="165"/>
      <c r="J115" s="330">
        <f>H115/DAY(B2)</f>
        <v>-0.66758620689657178</v>
      </c>
    </row>
    <row r="116" spans="1:18" ht="27.75" x14ac:dyDescent="0.5">
      <c r="A116" s="842" t="s">
        <v>96</v>
      </c>
      <c r="B116" s="843"/>
      <c r="C116" s="844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x14ac:dyDescent="0.5">
      <c r="A117" s="842" t="s">
        <v>184</v>
      </c>
      <c r="B117" s="843"/>
      <c r="C117" s="844"/>
      <c r="D117" s="146" t="s">
        <v>183</v>
      </c>
      <c r="E117" s="95">
        <f>'28'!F117</f>
        <v>2526.06</v>
      </c>
      <c r="F117" s="237">
        <v>2547.0100000000002</v>
      </c>
      <c r="G117" s="112">
        <f t="shared" si="9"/>
        <v>20.950000000000273</v>
      </c>
      <c r="H117" s="99">
        <f>G117+'28'!H117</f>
        <v>-42.989999999999782</v>
      </c>
      <c r="I117" s="165"/>
      <c r="J117" s="330">
        <f>H117/DAY(B2)</f>
        <v>-1.4824137931034407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'28'!F118</f>
        <v>240490.67</v>
      </c>
      <c r="F118" s="237">
        <v>240930.71</v>
      </c>
      <c r="G118" s="112">
        <f t="shared" si="9"/>
        <v>440.03999999997905</v>
      </c>
      <c r="H118" s="99">
        <f>G118+'28'!H118</f>
        <v>-716.29000000000815</v>
      </c>
      <c r="I118" s="165"/>
      <c r="J118" s="330">
        <f>H118/DAY(B2)</f>
        <v>-24.699655172414076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'28'!F119</f>
        <v>243904.25</v>
      </c>
      <c r="F119" s="237">
        <v>244293.29</v>
      </c>
      <c r="G119" s="112">
        <f t="shared" si="9"/>
        <v>389.04000000000815</v>
      </c>
      <c r="H119" s="99">
        <f>G119+'28'!H119</f>
        <v>-832.70999999999185</v>
      </c>
      <c r="I119" s="165"/>
      <c r="J119" s="330">
        <f>H119/DAY(B2)</f>
        <v>-28.714137931034202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'28'!F120</f>
        <v>28841.64</v>
      </c>
      <c r="F120" s="237">
        <v>29243.51</v>
      </c>
      <c r="G120" s="112">
        <f t="shared" si="9"/>
        <v>401.86999999999898</v>
      </c>
      <c r="H120" s="99">
        <f>G120+'28'!H120</f>
        <v>-834.4900000000016</v>
      </c>
      <c r="I120" s="165"/>
      <c r="J120" s="330">
        <f>H120/DAY(B2)</f>
        <v>-28.775517241379365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'28'!F121</f>
        <v>374219.141</v>
      </c>
      <c r="F121" s="237">
        <v>374958.61</v>
      </c>
      <c r="G121" s="112">
        <f t="shared" si="9"/>
        <v>739.46899999998277</v>
      </c>
      <c r="H121" s="99">
        <f>G121+'28'!H121</f>
        <v>-1570.390000000014</v>
      </c>
      <c r="I121" s="165"/>
      <c r="J121" s="330">
        <f>H121/DAY(B2)</f>
        <v>-54.151379310345312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'28'!F122</f>
        <v>119369.52</v>
      </c>
      <c r="F122" s="237">
        <v>119588.07</v>
      </c>
      <c r="G122" s="112">
        <f t="shared" si="9"/>
        <v>218.55000000000291</v>
      </c>
      <c r="H122" s="99">
        <f>G122+'28'!H122</f>
        <v>-461.92999999999302</v>
      </c>
      <c r="I122" s="165"/>
      <c r="J122" s="330">
        <f>H122/DAY(B2)</f>
        <v>-15.928620689654931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'28'!F123</f>
        <v>144113.63</v>
      </c>
      <c r="F123" s="237">
        <v>144462.63</v>
      </c>
      <c r="G123" s="112">
        <f t="shared" si="9"/>
        <v>349</v>
      </c>
      <c r="H123" s="99">
        <f>G123+'28'!H123</f>
        <v>-662.36999999999534</v>
      </c>
      <c r="I123" s="165"/>
      <c r="J123" s="330">
        <f>H123/DAY(B2)</f>
        <v>-22.840344827586048</v>
      </c>
    </row>
    <row r="124" spans="1:18" ht="27.75" x14ac:dyDescent="0.5">
      <c r="A124" s="839"/>
      <c r="B124" s="840"/>
      <c r="C124" s="841"/>
      <c r="D124" s="165"/>
      <c r="E124" s="95">
        <f>'28'!F124</f>
        <v>0</v>
      </c>
      <c r="F124" s="165"/>
      <c r="G124" s="329"/>
      <c r="H124" s="99">
        <f>G124+'28'!H124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8819.3789999999735</v>
      </c>
      <c r="H125" s="156"/>
      <c r="I125" s="329">
        <f>G125-(G39+G53)</f>
        <v>6092.0589999999665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G127+'28'!H127</f>
        <v>0</v>
      </c>
      <c r="I127" s="165"/>
      <c r="J127" s="330">
        <f>H127/DAY(B2)</f>
        <v>0</v>
      </c>
    </row>
    <row r="128" spans="1:18" ht="27.75" x14ac:dyDescent="0.5">
      <c r="A128" s="835" t="s">
        <v>318</v>
      </c>
      <c r="B128" s="836"/>
      <c r="C128" s="837"/>
      <c r="D128" s="151" t="s">
        <v>183</v>
      </c>
      <c r="E128" s="95">
        <f>'28'!F128</f>
        <v>36930.68</v>
      </c>
      <c r="F128" s="165">
        <v>37254.01</v>
      </c>
      <c r="G128" s="112">
        <f t="shared" ref="G128:G134" si="10">F128-E128</f>
        <v>323.33000000000175</v>
      </c>
      <c r="H128" s="99">
        <f>G128+'28'!H128</f>
        <v>-749.98999999999796</v>
      </c>
      <c r="I128" s="165"/>
      <c r="J128" s="330">
        <f>H128/DAY(B2)</f>
        <v>-25.861724137930963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'28'!F129</f>
        <v>19701.93</v>
      </c>
      <c r="F129" s="165">
        <v>19911.98</v>
      </c>
      <c r="G129" s="112">
        <f t="shared" si="10"/>
        <v>210.04999999999927</v>
      </c>
      <c r="H129" s="99">
        <f>G129+'28'!H129</f>
        <v>-409.02000000000044</v>
      </c>
      <c r="I129" s="165"/>
      <c r="J129" s="330">
        <f>H129/DAY(B2)</f>
        <v>-14.104137931034497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'28'!F130</f>
        <v>15841.03</v>
      </c>
      <c r="F130" s="165">
        <v>16637.02</v>
      </c>
      <c r="G130" s="112">
        <f t="shared" si="10"/>
        <v>795.98999999999978</v>
      </c>
      <c r="H130" s="99">
        <f>G130+'28'!H130</f>
        <v>-1744.9800000000014</v>
      </c>
      <c r="I130" s="165"/>
      <c r="J130" s="330">
        <f>H130/DAY(B2)</f>
        <v>-60.171724137931079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'28'!F131</f>
        <v>12900.78</v>
      </c>
      <c r="F131" s="165">
        <v>13006.7</v>
      </c>
      <c r="G131" s="112">
        <f t="shared" si="10"/>
        <v>105.92000000000007</v>
      </c>
      <c r="H131" s="99">
        <f>G131+'28'!H131</f>
        <v>-146.29999999999927</v>
      </c>
      <c r="I131" s="165"/>
      <c r="J131" s="330">
        <f>H131/DAY(B2)</f>
        <v>-5.0448275862068712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'28'!F132</f>
        <v>39678.32</v>
      </c>
      <c r="F132" s="165">
        <v>40127.279999999999</v>
      </c>
      <c r="G132" s="112">
        <f t="shared" si="10"/>
        <v>448.95999999999913</v>
      </c>
      <c r="H132" s="99">
        <f>G132+'28'!H132</f>
        <v>-2508.8400000000038</v>
      </c>
      <c r="I132" s="165"/>
      <c r="J132" s="330">
        <f>H132/DAY(B2)</f>
        <v>-86.511724137931168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'28'!F133</f>
        <v>85760.93</v>
      </c>
      <c r="F133" s="165">
        <v>86468.29</v>
      </c>
      <c r="G133" s="112">
        <f t="shared" si="10"/>
        <v>707.36000000000058</v>
      </c>
      <c r="H133" s="99">
        <f>G133+'28'!H133</f>
        <v>-1234.7100000000064</v>
      </c>
      <c r="I133" s="165"/>
      <c r="J133" s="330">
        <f>H133/DAY(B2)</f>
        <v>-42.576206896551945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'28'!F134</f>
        <v>666995</v>
      </c>
      <c r="F134" s="165">
        <v>667634</v>
      </c>
      <c r="G134" s="112">
        <f t="shared" si="10"/>
        <v>639</v>
      </c>
      <c r="H134" s="99">
        <f>G134+'28'!H134</f>
        <v>16500</v>
      </c>
      <c r="I134" s="165"/>
      <c r="J134" s="330">
        <f>H134/DAY(B2)</f>
        <v>568.9655172413793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SUM(G127:G134)</f>
        <v>3230.6100000000006</v>
      </c>
      <c r="H135" s="99">
        <f>G135+'23'!H135</f>
        <v>-41718.1</v>
      </c>
      <c r="I135" s="329">
        <f>G135-(G35+G49)</f>
        <v>-74.950000000026193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'28'!F138</f>
        <v>863869</v>
      </c>
      <c r="F138" s="147">
        <v>863973</v>
      </c>
      <c r="G138" s="112">
        <f t="shared" ref="G138:G152" si="11">F138-E138</f>
        <v>104</v>
      </c>
      <c r="H138" s="99">
        <f>G138+'28'!H138</f>
        <v>-198</v>
      </c>
      <c r="I138" s="118"/>
      <c r="J138" s="330">
        <f>H138/DAY(B2)</f>
        <v>-6.8275862068965516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'28'!F139</f>
        <v>886544</v>
      </c>
      <c r="F139" s="148">
        <v>886545</v>
      </c>
      <c r="G139" s="112">
        <f t="shared" si="11"/>
        <v>1</v>
      </c>
      <c r="H139" s="99">
        <f>G139+'28'!H139</f>
        <v>-1</v>
      </c>
      <c r="I139" s="118"/>
      <c r="J139" s="330">
        <f>H139/DAY(B2)</f>
        <v>-3.4482758620689655E-2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'28'!F140</f>
        <v>88882</v>
      </c>
      <c r="F140" s="149">
        <v>88882</v>
      </c>
      <c r="G140" s="112">
        <f t="shared" si="11"/>
        <v>0</v>
      </c>
      <c r="H140" s="99">
        <f>G140+'28'!H140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'28'!F141</f>
        <v>48738.38</v>
      </c>
      <c r="F141" s="149">
        <v>48918.58</v>
      </c>
      <c r="G141" s="112">
        <f t="shared" si="11"/>
        <v>180.20000000000437</v>
      </c>
      <c r="H141" s="99">
        <f>G141+'28'!H141</f>
        <v>-387.41999999999825</v>
      </c>
      <c r="I141" s="118"/>
      <c r="J141" s="330">
        <f>H141/DAY(B2)</f>
        <v>-13.359310344827525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'28'!F142</f>
        <v>18783.34</v>
      </c>
      <c r="F142" s="148">
        <v>18855.740000000002</v>
      </c>
      <c r="G142" s="112">
        <f t="shared" si="11"/>
        <v>72.400000000001455</v>
      </c>
      <c r="H142" s="99">
        <f>G142+'28'!H142</f>
        <v>-153.2599999999984</v>
      </c>
      <c r="I142" s="140"/>
      <c r="J142" s="330">
        <f>H142/DAY(B2)</f>
        <v>-5.2848275862068412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'28'!F143</f>
        <v>2992.89</v>
      </c>
      <c r="F143" s="149">
        <v>3016.9</v>
      </c>
      <c r="G143" s="112">
        <f t="shared" si="11"/>
        <v>24.010000000000218</v>
      </c>
      <c r="H143" s="99">
        <f>G143+'28'!H143</f>
        <v>-44.099999999999909</v>
      </c>
      <c r="I143" s="140"/>
      <c r="J143" s="330">
        <f>H143/DAY(B2)</f>
        <v>-1.5206896551724107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'28'!F144</f>
        <v>868966</v>
      </c>
      <c r="F144" s="149">
        <v>869213</v>
      </c>
      <c r="G144" s="112">
        <f t="shared" si="11"/>
        <v>247</v>
      </c>
      <c r="H144" s="99">
        <f>G144+'28'!H144</f>
        <v>-457</v>
      </c>
      <c r="I144" s="140"/>
      <c r="J144" s="330">
        <f>H144/DAY(B2)</f>
        <v>-15.758620689655173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'28'!F145</f>
        <v>4518.78</v>
      </c>
      <c r="F145" s="149">
        <v>4530</v>
      </c>
      <c r="G145" s="112">
        <f t="shared" si="11"/>
        <v>11.220000000000255</v>
      </c>
      <c r="H145" s="99">
        <f>G145+'28'!H145</f>
        <v>-28</v>
      </c>
      <c r="I145" s="140"/>
      <c r="J145" s="330">
        <f>H145/DAY(B2)</f>
        <v>-0.96551724137931039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'28'!F146</f>
        <v>723472</v>
      </c>
      <c r="F146" s="148">
        <v>723915</v>
      </c>
      <c r="G146" s="112">
        <f t="shared" si="11"/>
        <v>443</v>
      </c>
      <c r="H146" s="99">
        <f>G146+'28'!H146</f>
        <v>-943</v>
      </c>
      <c r="I146" s="140"/>
      <c r="J146" s="330">
        <f>H146/DAY(B2)</f>
        <v>-32.517241379310342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'28'!F147</f>
        <v>614078.76</v>
      </c>
      <c r="F147" s="148">
        <v>614450.28</v>
      </c>
      <c r="G147" s="112">
        <f t="shared" si="11"/>
        <v>371.52000000001863</v>
      </c>
      <c r="H147" s="99">
        <f>G147+'28'!H147</f>
        <v>-831.71999999997206</v>
      </c>
      <c r="I147" s="140"/>
      <c r="J147" s="330">
        <f>H147/DAY(B2)</f>
        <v>-28.679999999999037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'28'!F148</f>
        <v>682204.08</v>
      </c>
      <c r="F148" s="150">
        <v>682450.96</v>
      </c>
      <c r="G148" s="112">
        <f t="shared" si="11"/>
        <v>246.88000000000466</v>
      </c>
      <c r="H148" s="99">
        <f>G148+'28'!H148</f>
        <v>-582.1600000000326</v>
      </c>
      <c r="I148" s="124"/>
      <c r="J148" s="330">
        <f>H148/DAY(B2)</f>
        <v>-20.074482758621812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'28'!F149</f>
        <v>9193.01</v>
      </c>
      <c r="F149" s="146">
        <v>9770.5</v>
      </c>
      <c r="G149" s="112">
        <f t="shared" si="11"/>
        <v>577.48999999999978</v>
      </c>
      <c r="H149" s="99">
        <f>G149+'28'!H149</f>
        <v>186261.50000000003</v>
      </c>
      <c r="I149" s="119"/>
      <c r="J149" s="330">
        <f>H149/DAY(B2)</f>
        <v>6422.810344827587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'28'!F150</f>
        <v>3385.75</v>
      </c>
      <c r="F150" s="233">
        <v>3603.3</v>
      </c>
      <c r="G150" s="112">
        <f t="shared" si="11"/>
        <v>217.55000000000018</v>
      </c>
      <c r="H150" s="99">
        <f>G150+'28'!H150</f>
        <v>7166591.2999999998</v>
      </c>
      <c r="I150" s="119"/>
      <c r="J150" s="330">
        <f>H150/DAY(B2)</f>
        <v>247123.83793103448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'28'!F151</f>
        <v>77480</v>
      </c>
      <c r="F151" s="233">
        <v>77703</v>
      </c>
      <c r="G151" s="112">
        <f t="shared" si="11"/>
        <v>223</v>
      </c>
      <c r="H151" s="99">
        <f>G151+'28'!H151</f>
        <v>-514</v>
      </c>
      <c r="I151" s="119"/>
      <c r="J151" s="330">
        <f>H151/DAY(B2)</f>
        <v>-17.724137931034484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'28'!F152</f>
        <v>983.48</v>
      </c>
      <c r="F152" s="233">
        <v>1030</v>
      </c>
      <c r="G152" s="112">
        <f t="shared" si="11"/>
        <v>46.519999999999982</v>
      </c>
      <c r="H152" s="99">
        <f>G152+'28'!H152</f>
        <v>-97</v>
      </c>
      <c r="I152" s="119"/>
      <c r="J152" s="330">
        <f>H152/DAY(B2)</f>
        <v>-3.3448275862068964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2765.7900000000295</v>
      </c>
      <c r="H153" s="365"/>
      <c r="I153" s="119">
        <f>G153-(G38+G52)</f>
        <v>895.21000000001322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'28'!F155</f>
        <v>10784</v>
      </c>
      <c r="F155" s="366">
        <v>11473</v>
      </c>
      <c r="G155" s="112">
        <f t="shared" ref="G155:G158" si="12">F155-E155</f>
        <v>689</v>
      </c>
      <c r="H155" s="99">
        <f>G155+'28'!H155</f>
        <v>75618</v>
      </c>
      <c r="I155" s="366"/>
      <c r="J155" s="330">
        <f>H155/DAY(B2)</f>
        <v>2607.5172413793102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'28'!F156</f>
        <v>872</v>
      </c>
      <c r="F156" s="165">
        <f>872+61</f>
        <v>933</v>
      </c>
      <c r="G156" s="112">
        <f t="shared" si="12"/>
        <v>61</v>
      </c>
      <c r="H156" s="99">
        <f>G156+'28'!H156</f>
        <v>-154.99999999999989</v>
      </c>
      <c r="I156" s="165"/>
      <c r="J156" s="330">
        <f>H156/DAY(B2)</f>
        <v>-5.3448275862068924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'28'!F157</f>
        <v>0</v>
      </c>
      <c r="F157" s="165">
        <v>0</v>
      </c>
      <c r="G157" s="112">
        <f t="shared" si="12"/>
        <v>0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'28'!F158</f>
        <v>1.46</v>
      </c>
      <c r="F158" s="165">
        <v>1.5</v>
      </c>
      <c r="G158" s="112">
        <f t="shared" si="12"/>
        <v>4.0000000000000036E-2</v>
      </c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471152</v>
      </c>
      <c r="F161" s="235">
        <v>471152.04</v>
      </c>
      <c r="G161" s="238">
        <f t="shared" ref="G161:G165" si="13">F161-E161</f>
        <v>3.9999999979045242E-2</v>
      </c>
      <c r="H161" s="99">
        <f>G161+'28'!H161</f>
        <v>-1.1199999999953434</v>
      </c>
      <c r="I161" s="236"/>
      <c r="J161" s="239">
        <f>H161/DAY(B2)</f>
        <v>-3.8620689655011843E-2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87481.2</v>
      </c>
      <c r="F162" s="235">
        <v>87511.6</v>
      </c>
      <c r="G162" s="238">
        <f t="shared" si="13"/>
        <v>30.400000000008731</v>
      </c>
      <c r="H162" s="99">
        <f>G162+'28'!H162</f>
        <v>-58.399999999994179</v>
      </c>
      <c r="I162" s="236"/>
      <c r="J162" s="239">
        <f>H162/DAY(B2)</f>
        <v>-2.0137931034480752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77645.399999999994</v>
      </c>
      <c r="F163" s="235">
        <v>77753.8</v>
      </c>
      <c r="G163" s="238">
        <f t="shared" si="13"/>
        <v>108.40000000000873</v>
      </c>
      <c r="H163" s="99">
        <f>G163+'28'!H163</f>
        <v>-71.19999999999709</v>
      </c>
      <c r="I163" s="236"/>
      <c r="J163" s="239">
        <f>H163/DAY(B2)</f>
        <v>-2.4551724137930031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4235.5</v>
      </c>
      <c r="F164" s="235">
        <v>4241.2</v>
      </c>
      <c r="G164" s="238">
        <f t="shared" si="13"/>
        <v>5.6999999999998181</v>
      </c>
      <c r="H164" s="99">
        <f>G164+'28'!H164</f>
        <v>-0.8000000000001819</v>
      </c>
      <c r="I164" s="236"/>
      <c r="J164" s="239">
        <f>H164/DAY(B2)</f>
        <v>-2.7586206896557997E-2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29629.22</v>
      </c>
      <c r="F165" s="235">
        <v>29635.200000000001</v>
      </c>
      <c r="G165" s="238">
        <f t="shared" si="13"/>
        <v>5.9799999999995634</v>
      </c>
      <c r="H165" s="99">
        <f>G165+'28'!H165</f>
        <v>-10.799999999999272</v>
      </c>
      <c r="I165" s="236"/>
      <c r="J165" s="239">
        <f>H165/DAY(B2)</f>
        <v>-0.37241379310342321</v>
      </c>
    </row>
    <row r="166" spans="1:10" ht="29.25" x14ac:dyDescent="0.5">
      <c r="A166" s="824"/>
      <c r="B166" s="824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'28'!F174</f>
        <v>38252</v>
      </c>
      <c r="F174" s="157">
        <v>38262</v>
      </c>
      <c r="G174" s="155">
        <f t="shared" ref="G174:G175" si="14">F174-E174</f>
        <v>10</v>
      </c>
      <c r="H174" s="99">
        <f>G174+'28'!H174</f>
        <v>-25</v>
      </c>
      <c r="I174" s="155"/>
      <c r="J174" s="178">
        <f>H174/DAY(B2)</f>
        <v>-0.86206896551724133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'28'!F175</f>
        <v>21486</v>
      </c>
      <c r="F175" s="155">
        <v>21498</v>
      </c>
      <c r="G175" s="155">
        <f t="shared" si="14"/>
        <v>12</v>
      </c>
      <c r="H175" s="99">
        <f>G175+'28'!H175</f>
        <v>-20</v>
      </c>
      <c r="I175" s="155"/>
      <c r="J175" s="178">
        <f>H175/DAY(B2)</f>
        <v>-0.68965517241379315</v>
      </c>
    </row>
    <row r="176" spans="1:10" ht="27.75" x14ac:dyDescent="0.5">
      <c r="A176" s="819" t="s">
        <v>196</v>
      </c>
      <c r="B176" s="820"/>
      <c r="C176" s="487"/>
      <c r="D176" s="228"/>
      <c r="E176" s="95"/>
      <c r="F176" s="155"/>
      <c r="G176" s="155">
        <f>SUM(G173:G175)</f>
        <v>22</v>
      </c>
      <c r="H176" s="99">
        <f>G176+'28'!H176</f>
        <v>-45</v>
      </c>
      <c r="I176" s="155"/>
      <c r="J176" s="178">
        <f>H176/DAY(B2)</f>
        <v>-1.5517241379310345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'28'!F178</f>
        <v>79402</v>
      </c>
      <c r="F178" s="155">
        <v>79497</v>
      </c>
      <c r="G178" s="155">
        <f>F178-E178</f>
        <v>95</v>
      </c>
      <c r="H178" s="99">
        <f>G178+'28'!H178</f>
        <v>-117</v>
      </c>
      <c r="I178" s="155"/>
      <c r="J178" s="178">
        <f>H178/DAY(B2)</f>
        <v>-4.0344827586206895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'28'!F179</f>
        <v>33915</v>
      </c>
      <c r="F179" s="155">
        <v>33915</v>
      </c>
      <c r="G179" s="155">
        <f t="shared" ref="G179:G180" si="15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'28'!F180</f>
        <v>5463</v>
      </c>
      <c r="F180" s="155">
        <v>5471</v>
      </c>
      <c r="G180" s="155">
        <f t="shared" si="15"/>
        <v>8</v>
      </c>
      <c r="H180" s="99">
        <f>G180+'28'!H180</f>
        <v>-6</v>
      </c>
      <c r="I180" s="155"/>
      <c r="J180" s="178">
        <f>H180/DAY(B2)</f>
        <v>-0.20689655172413793</v>
      </c>
    </row>
    <row r="181" spans="1:10" ht="27.75" x14ac:dyDescent="0.5">
      <c r="A181" s="830" t="s">
        <v>108</v>
      </c>
      <c r="B181" s="831"/>
      <c r="C181" s="487"/>
      <c r="D181" s="228"/>
      <c r="E181" s="95"/>
      <c r="F181" s="155"/>
      <c r="G181" s="155">
        <f>SUM(G178:G180)</f>
        <v>103</v>
      </c>
      <c r="H181" s="99">
        <f>G181+'28'!H181</f>
        <v>-123</v>
      </c>
      <c r="I181" s="155"/>
      <c r="J181" s="178">
        <f>H181/DAY(B2)</f>
        <v>-4.2413793103448274</v>
      </c>
    </row>
    <row r="182" spans="1:10" ht="27.75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'28'!F183</f>
        <v>14901</v>
      </c>
      <c r="F183" s="157">
        <v>14923</v>
      </c>
      <c r="G183" s="157">
        <f>F183-E183</f>
        <v>22</v>
      </c>
      <c r="H183" s="99">
        <f>G183+'28'!H183</f>
        <v>-24</v>
      </c>
      <c r="I183" s="155"/>
      <c r="J183" s="178">
        <f>H183/DAY(B2)</f>
        <v>-0.82758620689655171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'28'!F184</f>
        <v>10282</v>
      </c>
      <c r="F184" s="157">
        <v>10289</v>
      </c>
      <c r="G184" s="157">
        <f t="shared" ref="G184:G185" si="16">F184-E184</f>
        <v>7</v>
      </c>
      <c r="H184" s="99">
        <f>G184+'28'!H184</f>
        <v>-12</v>
      </c>
      <c r="I184" s="155"/>
      <c r="J184" s="178">
        <f>H184/DAY(B2)</f>
        <v>-0.41379310344827586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'28'!F185</f>
        <v>0</v>
      </c>
      <c r="F185" s="157"/>
      <c r="G185" s="157">
        <f t="shared" si="16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9"/>
      <c r="E186" s="95"/>
      <c r="F186" s="157"/>
      <c r="G186" s="157">
        <f>SUM(G183:G185)</f>
        <v>29</v>
      </c>
      <c r="H186" s="99">
        <f>G186+'28'!H186</f>
        <v>-36</v>
      </c>
      <c r="I186" s="157"/>
      <c r="J186" s="178">
        <f>H186/DAY(B2)</f>
        <v>-1.2413793103448276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>
        <f>'28'!F187</f>
        <v>0</v>
      </c>
      <c r="F187" s="159"/>
      <c r="G187" s="600">
        <f>G62+G19</f>
        <v>186</v>
      </c>
      <c r="H187" s="99">
        <f>G187+'28'!H187</f>
        <v>1444</v>
      </c>
      <c r="I187" s="158"/>
      <c r="J187" s="179">
        <f>H187/DAY(B2)</f>
        <v>49.793103448275865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'28'!F188</f>
        <v>0</v>
      </c>
      <c r="F188" s="159"/>
      <c r="G188" s="600">
        <f>G65+G66+G67+G69+G70</f>
        <v>176</v>
      </c>
      <c r="H188" s="99">
        <f>G188+'28'!H188</f>
        <v>2631</v>
      </c>
      <c r="I188" s="158"/>
      <c r="J188" s="179">
        <f>H188/DAY(B2)</f>
        <v>90.724137931034477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'28'!F189</f>
        <v>0</v>
      </c>
      <c r="F189" s="157"/>
      <c r="G189" s="503">
        <f>G181</f>
        <v>103</v>
      </c>
      <c r="H189" s="99">
        <f>G189+'28'!H189</f>
        <v>858</v>
      </c>
      <c r="I189" s="158"/>
      <c r="J189" s="179">
        <f>H189/DAY(B2)</f>
        <v>29.586206896551722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18" sqref="F18: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 x14ac:dyDescent="0.5">
      <c r="A2" s="191" t="s">
        <v>357</v>
      </c>
      <c r="B2" s="262">
        <v>44560</v>
      </c>
      <c r="C2" s="350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50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70500</v>
      </c>
      <c r="F7" s="95">
        <f>E7+23500</f>
        <v>94000</v>
      </c>
      <c r="G7" s="112">
        <f>F7-E7</f>
        <v>23500</v>
      </c>
      <c r="H7" s="99">
        <f>G7+'29'!H7</f>
        <v>676131</v>
      </c>
      <c r="I7" s="113">
        <f>'1'!I7</f>
        <v>12000</v>
      </c>
      <c r="J7" s="175">
        <f>H7/DAY(B2)</f>
        <v>22537.7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110065</v>
      </c>
      <c r="F8" s="95">
        <f>E8+23500</f>
        <v>133565</v>
      </c>
      <c r="G8" s="112">
        <f>F8-E8</f>
        <v>23500</v>
      </c>
      <c r="H8" s="99">
        <f>G8+'29'!H8</f>
        <v>672552</v>
      </c>
      <c r="I8" s="116"/>
      <c r="J8" s="175">
        <f>H8/DAY(B2)</f>
        <v>22418.400000000001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291657</v>
      </c>
      <c r="F9" s="605">
        <f>E9+14000</f>
        <v>305657</v>
      </c>
      <c r="G9" s="359">
        <f>F9-E9</f>
        <v>14000</v>
      </c>
      <c r="H9" s="99">
        <f>G9+'29'!H9</f>
        <v>404162</v>
      </c>
      <c r="I9" s="124">
        <f>I7-J7</f>
        <v>-10537.7</v>
      </c>
      <c r="J9" s="175">
        <f>H9/DAY(B2)</f>
        <v>13472.066666666668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547550</v>
      </c>
      <c r="F10" s="355">
        <f>E10+4500</f>
        <v>552050</v>
      </c>
      <c r="G10" s="112">
        <f t="shared" ref="G10:G12" si="0">F10-E10</f>
        <v>4500</v>
      </c>
      <c r="H10" s="99">
        <f>G10+'29'!H10</f>
        <v>154940</v>
      </c>
      <c r="I10" s="282"/>
      <c r="J10" s="175">
        <f>H10/DAY(B2)</f>
        <v>5164.666666666667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G13+'29'!H13</f>
        <v>539636.74999999988</v>
      </c>
      <c r="I13" s="120">
        <f>G7-G13</f>
        <v>5000</v>
      </c>
      <c r="J13" s="175">
        <f>H13/DAY(B2)</f>
        <v>17987.891666666663</v>
      </c>
      <c r="K13" s="79"/>
      <c r="L13" s="66"/>
      <c r="N13" s="87"/>
      <c r="O13" s="71"/>
    </row>
    <row r="14" spans="1:15" ht="30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7" t="s">
        <v>138</v>
      </c>
      <c r="B15" s="205"/>
      <c r="C15" s="205"/>
      <c r="D15" s="151" t="s">
        <v>139</v>
      </c>
      <c r="E15" s="95">
        <f>'29'!F15</f>
        <v>1876026</v>
      </c>
      <c r="F15" s="123">
        <f>E15+1100</f>
        <v>1877126</v>
      </c>
      <c r="G15" s="112">
        <f>(F15-E15)</f>
        <v>1100</v>
      </c>
      <c r="H15" s="99">
        <f>G15+'29'!H15</f>
        <v>31269</v>
      </c>
      <c r="I15" s="113">
        <f>'1'!I15</f>
        <v>800</v>
      </c>
      <c r="J15" s="175">
        <f>H15/DAY(B2)</f>
        <v>1042.3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-242.29999999999995</v>
      </c>
      <c r="J16" s="176"/>
      <c r="K16" s="79"/>
      <c r="L16" s="66"/>
      <c r="N16" s="87"/>
      <c r="O16" s="71"/>
    </row>
    <row r="17" spans="1:15" ht="30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6" t="s">
        <v>141</v>
      </c>
      <c r="B18" s="857"/>
      <c r="C18" s="858"/>
      <c r="D18" s="151" t="s">
        <v>142</v>
      </c>
      <c r="E18" s="95">
        <f>'29'!F18</f>
        <v>255</v>
      </c>
      <c r="F18" s="122">
        <f>E18+12</f>
        <v>267</v>
      </c>
      <c r="G18" s="119">
        <f>F18*10</f>
        <v>2670</v>
      </c>
      <c r="H18" s="99">
        <f>G18+'29'!H18</f>
        <v>32090</v>
      </c>
      <c r="I18" s="113">
        <f>'1'!I18</f>
        <v>65</v>
      </c>
      <c r="J18" s="175">
        <f>H18/DAY(B2)</f>
        <v>1069.6666666666667</v>
      </c>
      <c r="K18" s="79"/>
      <c r="L18" s="66"/>
      <c r="N18" s="87"/>
      <c r="O18" s="71"/>
    </row>
    <row r="19" spans="1:15" ht="30.75" customHeight="1" x14ac:dyDescent="0.5">
      <c r="A19" s="856" t="s">
        <v>69</v>
      </c>
      <c r="B19" s="857"/>
      <c r="C19" s="858"/>
      <c r="D19" s="151" t="s">
        <v>142</v>
      </c>
      <c r="E19" s="95">
        <f>'29'!F19</f>
        <v>153795</v>
      </c>
      <c r="F19" s="122">
        <f>E19+55</f>
        <v>153850</v>
      </c>
      <c r="G19" s="112">
        <f t="shared" ref="G19" si="1">F19-E19</f>
        <v>55</v>
      </c>
      <c r="H19" s="99">
        <f>G19+'29'!H19</f>
        <v>1625</v>
      </c>
      <c r="I19" s="337"/>
      <c r="J19" s="175">
        <f>H19/DAY(B2)</f>
        <v>54.166666666666664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2725</v>
      </c>
      <c r="H20" s="99">
        <f>G20+'29'!H20</f>
        <v>33715</v>
      </c>
      <c r="I20" s="338">
        <f>I18-J20</f>
        <v>-1058.8333333333333</v>
      </c>
      <c r="J20" s="175">
        <f>H20/DAY(B2)</f>
        <v>1123.8333333333333</v>
      </c>
      <c r="K20" s="79"/>
      <c r="L20" s="66"/>
      <c r="N20" s="87"/>
      <c r="O20" s="71"/>
    </row>
    <row r="21" spans="1:15" ht="30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7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7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G27+'29'!H27</f>
        <v>6052968</v>
      </c>
      <c r="I27" s="138"/>
      <c r="J27" s="175">
        <f>H27/DAY(B2)</f>
        <v>201765.6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1625988</v>
      </c>
      <c r="I28" s="140"/>
      <c r="J28" s="175">
        <f>H28/DAY(B2)</f>
        <v>54199.6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G30+'29'!H30</f>
        <v>237250</v>
      </c>
      <c r="I30" s="140"/>
      <c r="J30" s="175">
        <f>H30/DAY(B2)</f>
        <v>7908.333333333333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2670</v>
      </c>
      <c r="F31" s="136">
        <v>80</v>
      </c>
      <c r="G31" s="137">
        <f>E31*F31</f>
        <v>213600</v>
      </c>
      <c r="H31" s="99">
        <f>G31+'29'!H31</f>
        <v>2567200</v>
      </c>
      <c r="I31" s="140"/>
      <c r="J31" s="175">
        <f>H31/DAY(B2)</f>
        <v>85573.333333333328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490330</v>
      </c>
      <c r="H32" s="99">
        <f>G32+'29'!H32</f>
        <v>10483406</v>
      </c>
      <c r="I32" s="144"/>
      <c r="J32" s="175">
        <f>H32/DAY(B2)</f>
        <v>349446.86666666664</v>
      </c>
      <c r="K32" s="63"/>
      <c r="L32" s="89"/>
      <c r="N32" s="87"/>
      <c r="O32" s="71"/>
    </row>
    <row r="33" spans="1:15" ht="30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148886.99</v>
      </c>
      <c r="F35" s="145">
        <v>150949</v>
      </c>
      <c r="G35" s="112">
        <f t="shared" ref="G35:G46" si="3">F35-E35</f>
        <v>2062.0100000000093</v>
      </c>
      <c r="H35" s="99">
        <f>G35+'29'!H35</f>
        <v>166149</v>
      </c>
      <c r="I35" s="95"/>
      <c r="J35" s="175">
        <f>H35/DAY(B2)</f>
        <v>5538.3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19822.169999999998</v>
      </c>
      <c r="F36" s="145">
        <v>20670</v>
      </c>
      <c r="G36" s="112">
        <f t="shared" si="3"/>
        <v>847.83000000000175</v>
      </c>
      <c r="H36" s="99">
        <f>G36+'29'!H36</f>
        <v>88873</v>
      </c>
      <c r="I36" s="95"/>
      <c r="J36" s="175">
        <f>H36/DAY(B2)</f>
        <v>2962.4333333333334</v>
      </c>
      <c r="K36" s="79"/>
      <c r="L36" s="66"/>
      <c r="N36" s="87"/>
      <c r="O36" s="346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192189.71</v>
      </c>
      <c r="F37" s="145">
        <v>193788</v>
      </c>
      <c r="G37" s="112">
        <f t="shared" si="3"/>
        <v>1598.2900000000081</v>
      </c>
      <c r="H37" s="99">
        <f>G37+'29'!H37</f>
        <v>206000</v>
      </c>
      <c r="I37" s="95"/>
      <c r="J37" s="175">
        <f>H37/DAY(B2)</f>
        <v>6866.666666666667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228822.07</v>
      </c>
      <c r="F38" s="108">
        <v>230731</v>
      </c>
      <c r="G38" s="112">
        <f t="shared" si="3"/>
        <v>1908.929999999993</v>
      </c>
      <c r="H38" s="99">
        <f>G38+'29'!H38</f>
        <v>243931</v>
      </c>
      <c r="I38" s="95"/>
      <c r="J38" s="175">
        <f>H38/DAY(B2)</f>
        <v>8131.0333333333338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405604.75</v>
      </c>
      <c r="F39" s="145">
        <v>408317</v>
      </c>
      <c r="G39" s="112">
        <f t="shared" si="3"/>
        <v>2712.25</v>
      </c>
      <c r="H39" s="99">
        <f>G39+'29'!H39</f>
        <v>429999</v>
      </c>
      <c r="I39" s="95"/>
      <c r="J39" s="175">
        <f>H39/DAY(B2)</f>
        <v>14333.3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5448.67</v>
      </c>
      <c r="F40" s="145">
        <v>5609</v>
      </c>
      <c r="G40" s="112">
        <f t="shared" si="3"/>
        <v>160.32999999999993</v>
      </c>
      <c r="H40" s="99">
        <f>G40+'29'!H40</f>
        <v>539.14999999999964</v>
      </c>
      <c r="I40" s="95"/>
      <c r="J40" s="175">
        <f>H40/DAY(B2)</f>
        <v>17.971666666666653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599900</v>
      </c>
      <c r="I41" s="95"/>
      <c r="J41" s="175">
        <f>H41/DAY(B2)</f>
        <v>19996.666666666668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71900.37</v>
      </c>
      <c r="F42" s="145">
        <v>73809</v>
      </c>
      <c r="G42" s="112">
        <f t="shared" si="3"/>
        <v>1908.6300000000047</v>
      </c>
      <c r="H42" s="99">
        <f>G42+'29'!H42</f>
        <v>357660</v>
      </c>
      <c r="I42" s="95"/>
      <c r="J42" s="175">
        <f>H42/DAY(B2)</f>
        <v>11922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41991.99</v>
      </c>
      <c r="F43" s="145">
        <v>44654</v>
      </c>
      <c r="G43" s="112">
        <f t="shared" si="3"/>
        <v>2662.010000000002</v>
      </c>
      <c r="H43" s="99">
        <f>G43+'29'!H43</f>
        <v>1562073.9999999998</v>
      </c>
      <c r="I43" s="95"/>
      <c r="J43" s="175">
        <f>H43/DAY(B2)</f>
        <v>52069.133333333324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13860.280000000019</v>
      </c>
      <c r="H47" s="99">
        <f>G47+'29'!H47</f>
        <v>3655125.1499999994</v>
      </c>
      <c r="I47" s="95"/>
      <c r="J47" s="175">
        <f>H47/DAY(B2)</f>
        <v>121837.50499999998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269374.25</v>
      </c>
      <c r="F49" s="145">
        <v>270808</v>
      </c>
      <c r="G49" s="112">
        <f t="shared" ref="G49:G58" si="4">F49-E49</f>
        <v>1433.75</v>
      </c>
      <c r="H49" s="99">
        <f>G49+'29'!H49</f>
        <v>283929.00000000006</v>
      </c>
      <c r="I49" s="95"/>
      <c r="J49" s="175">
        <f>H49/DAY(B2)</f>
        <v>9464.3000000000011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22524.6</v>
      </c>
      <c r="F50" s="145">
        <v>23571</v>
      </c>
      <c r="G50" s="112">
        <f t="shared" si="4"/>
        <v>1046.4000000000015</v>
      </c>
      <c r="H50" s="99">
        <f>G50+'29'!H50</f>
        <v>737996.00000000012</v>
      </c>
      <c r="I50" s="95"/>
      <c r="J50" s="175">
        <f>H50/DAY(B2)</f>
        <v>24599.866666666672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3174.76</v>
      </c>
      <c r="F54" s="145">
        <v>3179</v>
      </c>
      <c r="G54" s="112">
        <f t="shared" si="4"/>
        <v>4.2399999999997817</v>
      </c>
      <c r="H54" s="99">
        <f>G54+'29'!H54</f>
        <v>4946.08</v>
      </c>
      <c r="I54" s="95"/>
      <c r="J54" s="175">
        <f>H54/DAY(B2)</f>
        <v>164.86933333333334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378">
        <v>2254</v>
      </c>
      <c r="G55" s="112">
        <f t="shared" si="4"/>
        <v>2254</v>
      </c>
      <c r="H55" s="99">
        <f>G55+'29'!H55</f>
        <v>-1257</v>
      </c>
      <c r="I55" s="95"/>
      <c r="J55" s="175">
        <f>H55/DAY(B2)</f>
        <v>-41.9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212065</v>
      </c>
      <c r="I56" s="95"/>
      <c r="J56" s="175">
        <f>H56/DAY(B2)</f>
        <v>7068.833333333333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91883.6</v>
      </c>
      <c r="F58" s="145">
        <v>92071</v>
      </c>
      <c r="G58" s="112">
        <f t="shared" si="4"/>
        <v>187.39999999999418</v>
      </c>
      <c r="H58" s="99">
        <f>G58+'29'!H58</f>
        <v>92411.63</v>
      </c>
      <c r="I58" s="95"/>
      <c r="J58" s="175">
        <f>H58/DAY(B2)</f>
        <v>3080.387666666667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4925.7899999999954</v>
      </c>
      <c r="H59" s="99">
        <f>G59+'29'!H59</f>
        <v>1330090.7100000004</v>
      </c>
      <c r="I59" s="95">
        <f>G7-G60</f>
        <v>4713.9299999999857</v>
      </c>
      <c r="J59" s="175">
        <f>H59/DAY(B2)</f>
        <v>44336.357000000011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18786.070000000014</v>
      </c>
      <c r="H60" s="99">
        <f>G60+'29'!H60</f>
        <v>4985215.8600000013</v>
      </c>
      <c r="I60" s="95">
        <f>G13-G60</f>
        <v>-286.07000000001426</v>
      </c>
      <c r="J60" s="175">
        <f>H60/DAY(B2)</f>
        <v>166173.86200000005</v>
      </c>
      <c r="K60" s="79"/>
      <c r="L60" s="66"/>
      <c r="N60" s="87"/>
      <c r="O60" s="71"/>
    </row>
    <row r="61" spans="1:15" s="68" customFormat="1" ht="30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0.75" customHeight="1" x14ac:dyDescent="0.5">
      <c r="A62" s="856" t="s">
        <v>198</v>
      </c>
      <c r="B62" s="857"/>
      <c r="C62" s="858"/>
      <c r="D62" s="151" t="s">
        <v>142</v>
      </c>
      <c r="E62" s="95">
        <f>'29'!F62</f>
        <v>267087</v>
      </c>
      <c r="F62" s="122">
        <v>267207</v>
      </c>
      <c r="G62" s="112">
        <f t="shared" ref="G62:G63" si="5">F62-E62</f>
        <v>120</v>
      </c>
      <c r="H62" s="99">
        <f>G62+'29'!H62</f>
        <v>-6</v>
      </c>
      <c r="I62" s="118"/>
      <c r="J62" s="175">
        <f>H62/DAY(B2)</f>
        <v>-0.2</v>
      </c>
      <c r="K62" s="80"/>
      <c r="L62" s="66"/>
      <c r="N62" s="87"/>
      <c r="O62" s="71"/>
    </row>
    <row r="63" spans="1:15" ht="30.75" customHeight="1" x14ac:dyDescent="0.5">
      <c r="A63" s="856" t="s">
        <v>199</v>
      </c>
      <c r="B63" s="857"/>
      <c r="C63" s="858"/>
      <c r="D63" s="151" t="s">
        <v>142</v>
      </c>
      <c r="E63" s="95">
        <f>'29'!F63</f>
        <v>212242</v>
      </c>
      <c r="F63" s="122">
        <v>212339</v>
      </c>
      <c r="G63" s="112">
        <f t="shared" si="5"/>
        <v>97</v>
      </c>
      <c r="H63" s="99">
        <f>G63+'29'!H63</f>
        <v>-86</v>
      </c>
      <c r="I63" s="118"/>
      <c r="J63" s="175">
        <f>H63/DAY(B2)</f>
        <v>-2.8666666666666667</v>
      </c>
      <c r="K63" s="69"/>
      <c r="L63" s="66"/>
      <c r="N63" s="87"/>
      <c r="O63" s="71"/>
    </row>
    <row r="64" spans="1:15" ht="30.75" customHeight="1" x14ac:dyDescent="0.5">
      <c r="A64" s="865" t="s">
        <v>200</v>
      </c>
      <c r="B64" s="866"/>
      <c r="C64" s="867"/>
      <c r="D64" s="151"/>
      <c r="E64" s="95">
        <f>'29'!F64</f>
        <v>0</v>
      </c>
      <c r="F64" s="122"/>
      <c r="G64" s="112">
        <f>G62+G63</f>
        <v>217</v>
      </c>
      <c r="H64" s="99">
        <f>G64+'29'!H64</f>
        <v>-92</v>
      </c>
      <c r="I64" s="118"/>
      <c r="J64" s="175">
        <f>H64/DAY(B2)</f>
        <v>-3.0666666666666669</v>
      </c>
      <c r="K64" s="69"/>
      <c r="L64" s="66"/>
      <c r="N64" s="87"/>
      <c r="O64" s="71"/>
    </row>
    <row r="65" spans="1:15" ht="30.75" customHeight="1" x14ac:dyDescent="0.5">
      <c r="A65" s="856" t="s">
        <v>201</v>
      </c>
      <c r="B65" s="857"/>
      <c r="C65" s="858"/>
      <c r="D65" s="151" t="s">
        <v>142</v>
      </c>
      <c r="E65" s="95">
        <f>'29'!F65</f>
        <v>432417</v>
      </c>
      <c r="F65" s="122">
        <v>432520</v>
      </c>
      <c r="G65" s="112">
        <f t="shared" ref="G65:G70" si="6">F65-E65</f>
        <v>103</v>
      </c>
      <c r="H65" s="99">
        <f>G65+'29'!H65</f>
        <v>-94</v>
      </c>
      <c r="I65" s="118"/>
      <c r="J65" s="175">
        <f>H65/DAY(B2)</f>
        <v>-3.1333333333333333</v>
      </c>
      <c r="K65" s="69"/>
      <c r="L65" s="66"/>
      <c r="N65" s="87"/>
      <c r="O65" s="71"/>
    </row>
    <row r="66" spans="1:15" ht="30.75" customHeight="1" x14ac:dyDescent="0.5">
      <c r="A66" s="347" t="s">
        <v>202</v>
      </c>
      <c r="B66" s="348"/>
      <c r="C66" s="348"/>
      <c r="D66" s="151" t="s">
        <v>142</v>
      </c>
      <c r="E66" s="95">
        <f>'29'!F66</f>
        <v>107177</v>
      </c>
      <c r="F66" s="122">
        <v>107195</v>
      </c>
      <c r="G66" s="112">
        <f t="shared" si="6"/>
        <v>18</v>
      </c>
      <c r="H66" s="99">
        <f>G66+'29'!H66</f>
        <v>-19</v>
      </c>
      <c r="I66" s="118"/>
      <c r="J66" s="175">
        <f>H66/DAY(B2)</f>
        <v>-0.6333333333333333</v>
      </c>
      <c r="K66" s="78"/>
      <c r="L66" s="66"/>
      <c r="N66" s="87"/>
      <c r="O66" s="71"/>
    </row>
    <row r="67" spans="1:15" ht="30.75" customHeight="1" x14ac:dyDescent="0.5">
      <c r="A67" s="347" t="s">
        <v>203</v>
      </c>
      <c r="B67" s="348"/>
      <c r="C67" s="348"/>
      <c r="D67" s="151" t="s">
        <v>142</v>
      </c>
      <c r="E67" s="95">
        <f>'29'!F67</f>
        <v>103862</v>
      </c>
      <c r="F67" s="490">
        <v>103897</v>
      </c>
      <c r="G67" s="112">
        <f t="shared" si="6"/>
        <v>35</v>
      </c>
      <c r="H67" s="99">
        <f>G67+'29'!H67</f>
        <v>-31</v>
      </c>
      <c r="I67" s="118"/>
      <c r="J67" s="175">
        <f>H67/DAY(B2)</f>
        <v>-1.0333333333333334</v>
      </c>
      <c r="K67" s="81"/>
      <c r="L67" s="66"/>
      <c r="N67" s="87"/>
      <c r="O67" s="71"/>
    </row>
    <row r="68" spans="1:15" ht="30.75" customHeight="1" x14ac:dyDescent="0.5">
      <c r="A68" s="347" t="s">
        <v>204</v>
      </c>
      <c r="B68" s="348"/>
      <c r="C68" s="348"/>
      <c r="D68" s="151" t="s">
        <v>142</v>
      </c>
      <c r="E68" s="95">
        <f>'29'!F68</f>
        <v>156560</v>
      </c>
      <c r="F68" s="122">
        <v>156596</v>
      </c>
      <c r="G68" s="112">
        <f t="shared" si="6"/>
        <v>36</v>
      </c>
      <c r="H68" s="99">
        <f>G68+'29'!H68</f>
        <v>-24</v>
      </c>
      <c r="I68" s="118"/>
      <c r="J68" s="175">
        <f>H68/DAY(B2)</f>
        <v>-0.8</v>
      </c>
      <c r="K68" s="69"/>
      <c r="L68" s="66"/>
      <c r="N68" s="87"/>
      <c r="O68" s="71"/>
    </row>
    <row r="69" spans="1:15" ht="30.75" customHeight="1" x14ac:dyDescent="0.5">
      <c r="A69" s="347" t="s">
        <v>205</v>
      </c>
      <c r="B69" s="348"/>
      <c r="C69" s="348"/>
      <c r="D69" s="151" t="s">
        <v>142</v>
      </c>
      <c r="E69" s="95">
        <f>'29'!F69</f>
        <v>10194</v>
      </c>
      <c r="F69" s="122">
        <v>10206</v>
      </c>
      <c r="G69" s="112">
        <f t="shared" si="6"/>
        <v>12</v>
      </c>
      <c r="H69" s="99">
        <f>G69+'29'!H69</f>
        <v>-8</v>
      </c>
      <c r="I69" s="118"/>
      <c r="J69" s="175">
        <f>H69/DAY(B2)</f>
        <v>-0.26666666666666666</v>
      </c>
      <c r="K69" s="69"/>
      <c r="L69" s="66"/>
      <c r="N69" s="87"/>
      <c r="O69" s="71"/>
    </row>
    <row r="70" spans="1:15" ht="30.75" customHeight="1" x14ac:dyDescent="0.5">
      <c r="A70" s="347" t="s">
        <v>206</v>
      </c>
      <c r="B70" s="348"/>
      <c r="C70" s="348"/>
      <c r="D70" s="151" t="s">
        <v>142</v>
      </c>
      <c r="E70" s="95">
        <f>'29'!F70</f>
        <v>7849</v>
      </c>
      <c r="F70" s="490">
        <v>7855</v>
      </c>
      <c r="G70" s="112">
        <f t="shared" si="6"/>
        <v>6</v>
      </c>
      <c r="H70" s="99">
        <f>G70+'29'!H70</f>
        <v>-7</v>
      </c>
      <c r="I70" s="118"/>
      <c r="J70" s="175">
        <f>H70/DAY(B2)</f>
        <v>-0.23333333333333334</v>
      </c>
      <c r="K70" s="69"/>
      <c r="L70" s="66"/>
      <c r="N70" s="87"/>
      <c r="O70" s="71"/>
    </row>
    <row r="71" spans="1:15" ht="30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210</v>
      </c>
      <c r="H71" s="99">
        <f>G71+'29'!H71</f>
        <v>-183</v>
      </c>
      <c r="I71" s="154"/>
      <c r="J71" s="175">
        <f>H71/DAY(B2)</f>
        <v>-6.1</v>
      </c>
      <c r="K71" s="69"/>
      <c r="L71" s="66"/>
      <c r="N71" s="87"/>
      <c r="O71" s="71"/>
    </row>
    <row r="72" spans="1:15" s="88" customFormat="1" ht="30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0.75" customHeight="1" x14ac:dyDescent="0.5">
      <c r="A74" s="856" t="s">
        <v>220</v>
      </c>
      <c r="B74" s="857"/>
      <c r="C74" s="858"/>
      <c r="D74" s="151" t="s">
        <v>139</v>
      </c>
      <c r="E74" s="95">
        <f>'29'!F74</f>
        <v>891456.32</v>
      </c>
      <c r="F74" s="123">
        <v>891763</v>
      </c>
      <c r="G74" s="112">
        <f t="shared" ref="G74:G78" si="7">F74-E74</f>
        <v>306.68000000005122</v>
      </c>
      <c r="H74" s="99">
        <f>G74+'29'!H74</f>
        <v>-269</v>
      </c>
      <c r="I74" s="154"/>
      <c r="J74" s="175">
        <f>H74/DAY(B2)</f>
        <v>-8.9666666666666668</v>
      </c>
      <c r="K74" s="69"/>
      <c r="L74" s="66"/>
      <c r="N74" s="87"/>
      <c r="O74" s="71"/>
    </row>
    <row r="75" spans="1:15" ht="30.75" customHeight="1" x14ac:dyDescent="0.5">
      <c r="A75" s="856" t="s">
        <v>221</v>
      </c>
      <c r="B75" s="857"/>
      <c r="C75" s="858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243.88999999999942</v>
      </c>
      <c r="I75" s="154"/>
      <c r="J75" s="175">
        <f>H75/DAY(B2)</f>
        <v>8.1296666666666475</v>
      </c>
      <c r="K75" s="69"/>
      <c r="L75" s="66"/>
      <c r="N75" s="87"/>
      <c r="O75" s="71"/>
    </row>
    <row r="76" spans="1:15" ht="30.75" customHeight="1" x14ac:dyDescent="0.5">
      <c r="A76" s="853" t="s">
        <v>222</v>
      </c>
      <c r="B76" s="854"/>
      <c r="C76" s="855"/>
      <c r="D76" s="151" t="s">
        <v>139</v>
      </c>
      <c r="E76" s="95">
        <f>'29'!F76</f>
        <v>167000.53</v>
      </c>
      <c r="F76" s="123">
        <v>167093</v>
      </c>
      <c r="G76" s="112">
        <f t="shared" si="7"/>
        <v>92.470000000001164</v>
      </c>
      <c r="H76" s="99">
        <f>G76+'29'!H76</f>
        <v>-114</v>
      </c>
      <c r="I76" s="154"/>
      <c r="J76" s="175">
        <f>H76/DAY(B2)</f>
        <v>-3.8</v>
      </c>
      <c r="K76" s="69"/>
      <c r="L76" s="66"/>
      <c r="N76" s="87"/>
      <c r="O76" s="71"/>
    </row>
    <row r="77" spans="1:15" ht="30.75" customHeight="1" x14ac:dyDescent="0.5">
      <c r="A77" s="853" t="s">
        <v>223</v>
      </c>
      <c r="B77" s="854"/>
      <c r="C77" s="855"/>
      <c r="D77" s="151" t="s">
        <v>139</v>
      </c>
      <c r="E77" s="95">
        <f>'29'!F77</f>
        <v>40226</v>
      </c>
      <c r="F77" s="123">
        <v>40267</v>
      </c>
      <c r="G77" s="112">
        <f t="shared" si="7"/>
        <v>41</v>
      </c>
      <c r="H77" s="99">
        <f>G77+'29'!H77</f>
        <v>-49</v>
      </c>
      <c r="I77" s="154"/>
      <c r="J77" s="175">
        <f>H77/DAY(B2)</f>
        <v>-1.6333333333333333</v>
      </c>
      <c r="K77" s="69"/>
      <c r="L77" s="66"/>
      <c r="N77" s="87"/>
      <c r="O77" s="71"/>
    </row>
    <row r="78" spans="1:15" ht="30.75" customHeight="1" x14ac:dyDescent="0.5">
      <c r="A78" s="853" t="s">
        <v>224</v>
      </c>
      <c r="B78" s="854"/>
      <c r="C78" s="855"/>
      <c r="D78" s="151" t="s">
        <v>139</v>
      </c>
      <c r="E78" s="95">
        <f>'29'!F78</f>
        <v>9481.2000000000007</v>
      </c>
      <c r="F78" s="123">
        <v>9482</v>
      </c>
      <c r="G78" s="112">
        <f t="shared" si="7"/>
        <v>0.7999999999992724</v>
      </c>
      <c r="H78" s="99">
        <f>G78+'29'!H78</f>
        <v>-4</v>
      </c>
      <c r="I78" s="118"/>
      <c r="J78" s="175">
        <f>H78/DAY(B2)</f>
        <v>-0.13333333333333333</v>
      </c>
      <c r="K78" s="69"/>
      <c r="L78" s="66"/>
      <c r="N78" s="87"/>
      <c r="O78" s="71"/>
    </row>
    <row r="79" spans="1:15" s="57" customFormat="1" ht="30.75" customHeight="1" x14ac:dyDescent="0.5">
      <c r="A79" s="853" t="s">
        <v>225</v>
      </c>
      <c r="B79" s="854"/>
      <c r="C79" s="855"/>
      <c r="D79" s="151"/>
      <c r="E79" s="95">
        <f>'29'!F79</f>
        <v>0</v>
      </c>
      <c r="F79" s="117"/>
      <c r="G79" s="112">
        <f>G15-SUM(G74:G78)</f>
        <v>659.04999999994834</v>
      </c>
      <c r="H79" s="99">
        <f>G79+'29'!H79</f>
        <v>31461.109999999997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7" t="s">
        <v>227</v>
      </c>
      <c r="B82" s="348"/>
      <c r="C82" s="348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7" t="s">
        <v>229</v>
      </c>
      <c r="B83" s="348"/>
      <c r="C83" s="348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7" t="s">
        <v>230</v>
      </c>
      <c r="B84" s="348"/>
      <c r="C84" s="348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7" t="s">
        <v>231</v>
      </c>
      <c r="B85" s="348"/>
      <c r="C85" s="348"/>
      <c r="D85" s="151" t="s">
        <v>228</v>
      </c>
      <c r="E85" s="95">
        <f>'29'!F85</f>
        <v>2083.59</v>
      </c>
      <c r="F85" s="164">
        <v>2096.56</v>
      </c>
      <c r="G85" s="112">
        <f t="shared" si="8"/>
        <v>12.9699999999998</v>
      </c>
      <c r="H85" s="99">
        <f>G85+'29'!H85</f>
        <v>0</v>
      </c>
      <c r="I85" s="118">
        <f>G82+G83+G84+G85</f>
        <v>12.9699999999998</v>
      </c>
      <c r="J85" s="175">
        <f>H85/DAY(B2)</f>
        <v>0</v>
      </c>
      <c r="O85" s="71"/>
    </row>
    <row r="86" spans="1:15" ht="30.75" customHeight="1" x14ac:dyDescent="0.5">
      <c r="A86" s="347" t="s">
        <v>232</v>
      </c>
      <c r="B86" s="348"/>
      <c r="C86" s="348"/>
      <c r="D86" s="151" t="s">
        <v>228</v>
      </c>
      <c r="E86" s="95">
        <f>'29'!F86</f>
        <v>42826.07</v>
      </c>
      <c r="F86" s="164">
        <v>42839</v>
      </c>
      <c r="G86" s="112">
        <f t="shared" si="8"/>
        <v>12.930000000000291</v>
      </c>
      <c r="H86" s="99">
        <f>G86+'29'!H86</f>
        <v>-24</v>
      </c>
      <c r="I86" s="118"/>
      <c r="J86" s="175">
        <f>H86/DAY(B2)</f>
        <v>-0.8</v>
      </c>
      <c r="O86" s="71"/>
    </row>
    <row r="87" spans="1:15" ht="30.75" customHeight="1" x14ac:dyDescent="0.5">
      <c r="A87" s="347" t="s">
        <v>233</v>
      </c>
      <c r="B87" s="348"/>
      <c r="C87" s="348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7" t="s">
        <v>234</v>
      </c>
      <c r="B88" s="348"/>
      <c r="C88" s="348"/>
      <c r="D88" s="151" t="s">
        <v>228</v>
      </c>
      <c r="E88" s="95">
        <f>'29'!F88</f>
        <v>24041.06</v>
      </c>
      <c r="F88" s="164">
        <v>24041</v>
      </c>
      <c r="G88" s="112">
        <f t="shared" si="8"/>
        <v>-6.0000000001309672E-2</v>
      </c>
      <c r="H88" s="99">
        <f>G88+'29'!H88</f>
        <v>-6</v>
      </c>
      <c r="I88" s="118">
        <f>G86+G87+G88</f>
        <v>12.869999999998981</v>
      </c>
      <c r="J88" s="175">
        <f>H88/DAY(B2)</f>
        <v>-0.2</v>
      </c>
      <c r="O88" s="71"/>
    </row>
    <row r="89" spans="1:15" ht="30.75" customHeight="1" x14ac:dyDescent="0.5">
      <c r="A89" s="347" t="s">
        <v>235</v>
      </c>
      <c r="B89" s="348"/>
      <c r="C89" s="348"/>
      <c r="D89" s="151" t="s">
        <v>228</v>
      </c>
      <c r="E89" s="95">
        <f>'29'!F89</f>
        <v>25651.26</v>
      </c>
      <c r="F89" s="164">
        <v>25661</v>
      </c>
      <c r="G89" s="112">
        <f t="shared" si="8"/>
        <v>9.7400000000016007</v>
      </c>
      <c r="H89" s="99">
        <f>G89+'29'!H89</f>
        <v>-2</v>
      </c>
      <c r="I89" s="118"/>
      <c r="J89" s="175">
        <f>H89/DAY(B2)</f>
        <v>-6.6666666666666666E-2</v>
      </c>
      <c r="O89" s="71"/>
    </row>
    <row r="90" spans="1:15" ht="30.75" customHeight="1" x14ac:dyDescent="0.5">
      <c r="A90" s="347" t="s">
        <v>236</v>
      </c>
      <c r="B90" s="348"/>
      <c r="C90" s="348"/>
      <c r="D90" s="151" t="s">
        <v>228</v>
      </c>
      <c r="E90" s="95">
        <f>'29'!F90</f>
        <v>71022.03</v>
      </c>
      <c r="F90" s="164">
        <v>71027</v>
      </c>
      <c r="G90" s="112">
        <f t="shared" si="8"/>
        <v>4.9700000000011642</v>
      </c>
      <c r="H90" s="99">
        <f>G90+'29'!H90</f>
        <v>39</v>
      </c>
      <c r="I90" s="118">
        <f>G89+G90</f>
        <v>14.710000000002765</v>
      </c>
      <c r="J90" s="175">
        <f>H90/DAY(B2)</f>
        <v>1.3</v>
      </c>
      <c r="O90" s="71"/>
    </row>
    <row r="91" spans="1:15" ht="30.75" customHeight="1" x14ac:dyDescent="0.5">
      <c r="A91" s="347" t="s">
        <v>237</v>
      </c>
      <c r="B91" s="348"/>
      <c r="C91" s="348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-0.32000000000016371</v>
      </c>
      <c r="I91" s="165"/>
      <c r="J91" s="175">
        <f>H91/DAY(B2)</f>
        <v>-1.0666666666672124E-2</v>
      </c>
      <c r="O91" s="71"/>
    </row>
    <row r="92" spans="1:15" ht="30.75" customHeight="1" x14ac:dyDescent="0.5">
      <c r="A92" s="347" t="s">
        <v>238</v>
      </c>
      <c r="B92" s="348"/>
      <c r="C92" s="348"/>
      <c r="D92" s="151" t="s">
        <v>228</v>
      </c>
      <c r="E92" s="95">
        <f>'29'!F92</f>
        <v>5418.13</v>
      </c>
      <c r="F92" s="122">
        <v>5429</v>
      </c>
      <c r="G92" s="112">
        <f t="shared" si="8"/>
        <v>10.869999999999891</v>
      </c>
      <c r="H92" s="99">
        <f>G92+'29'!H92</f>
        <v>-9</v>
      </c>
      <c r="I92" s="165"/>
      <c r="J92" s="175">
        <f>H92/DAY(B2)</f>
        <v>-0.3</v>
      </c>
      <c r="O92" s="71"/>
    </row>
    <row r="93" spans="1:15" ht="30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6157.7700000000114</v>
      </c>
      <c r="H94" s="99">
        <f>G94+'29'!H94</f>
        <v>2012152</v>
      </c>
      <c r="I94" s="118"/>
      <c r="J94" s="175">
        <f>H94/DAY(B2)</f>
        <v>67071.733333333337</v>
      </c>
      <c r="K94" s="69"/>
      <c r="L94" s="66"/>
      <c r="O94" s="71"/>
    </row>
    <row r="95" spans="1:15" ht="30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0.26203276595744729</v>
      </c>
      <c r="H95" s="99">
        <f>G95+'29'!H95</f>
        <v>86.02685157255749</v>
      </c>
      <c r="I95" s="167"/>
      <c r="J95" s="175">
        <f>H95/DAY(B2)</f>
        <v>2.8675617190852498</v>
      </c>
      <c r="K95" s="69"/>
      <c r="L95" s="66"/>
      <c r="O95" s="71"/>
    </row>
    <row r="96" spans="1:15" ht="30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4162.6300000000047</v>
      </c>
      <c r="H96" s="99">
        <f>G96+'29'!H96</f>
        <v>1168368</v>
      </c>
      <c r="I96" s="118"/>
      <c r="J96" s="175">
        <f>H96/DAY(B2)</f>
        <v>38945.599999999999</v>
      </c>
      <c r="K96" s="69"/>
      <c r="L96" s="66"/>
      <c r="O96" s="71"/>
    </row>
    <row r="97" spans="1:15" ht="30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0.17713319148936191</v>
      </c>
      <c r="H97" s="99">
        <f>G97+'29'!H97</f>
        <v>49.915151331088097</v>
      </c>
      <c r="I97" s="167"/>
      <c r="J97" s="175">
        <f>H97/DAY(B2)</f>
        <v>1.6638383777029366</v>
      </c>
      <c r="K97" s="69"/>
      <c r="L97" s="66"/>
      <c r="O97" s="71"/>
    </row>
    <row r="98" spans="1:15" ht="30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2712.25</v>
      </c>
      <c r="H98" s="99">
        <f>G98+'29'!H98</f>
        <v>429999</v>
      </c>
      <c r="I98" s="168"/>
      <c r="J98" s="175">
        <f>H98/DAY(B2)</f>
        <v>14333.3</v>
      </c>
      <c r="K98" s="69"/>
      <c r="L98" s="66"/>
      <c r="O98" s="71"/>
    </row>
    <row r="99" spans="1:15" ht="30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0.11541489361702127</v>
      </c>
      <c r="H99" s="99">
        <f>G99+'29'!H99</f>
        <v>18.484389781862614</v>
      </c>
      <c r="I99" s="168"/>
      <c r="J99" s="175">
        <f>H99/DAY(B2)</f>
        <v>0.61614632606208708</v>
      </c>
      <c r="O99" s="71"/>
    </row>
    <row r="100" spans="1:15" ht="30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1908.929999999993</v>
      </c>
      <c r="H100" s="99">
        <f>G100+'29'!H100</f>
        <v>243931</v>
      </c>
      <c r="I100" s="118"/>
      <c r="J100" s="175">
        <f>H100/DAY(B2)</f>
        <v>8131.0333333333338</v>
      </c>
      <c r="K100" s="70"/>
      <c r="O100" s="71"/>
    </row>
    <row r="101" spans="1:15" ht="30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8.123106382978694E-2</v>
      </c>
      <c r="H101" s="99">
        <f>G101+'29'!H101</f>
        <v>10.491249705616168</v>
      </c>
      <c r="I101" s="168"/>
      <c r="J101" s="175">
        <f>H101/DAY(B2)</f>
        <v>0.34970832352053893</v>
      </c>
      <c r="O101" s="71"/>
    </row>
    <row r="102" spans="1:15" ht="30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1894.2300000000032</v>
      </c>
      <c r="H102" s="99">
        <f>G102+'29'!H102</f>
        <v>826868.99999999988</v>
      </c>
      <c r="I102" s="168"/>
      <c r="J102" s="175">
        <f>H102/DAY(B2)</f>
        <v>27562.299999999996</v>
      </c>
      <c r="O102" s="71"/>
    </row>
    <row r="103" spans="1:15" ht="30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8.0605531914893752E-2</v>
      </c>
      <c r="H103" s="99">
        <f>G103+'29'!H103</f>
        <v>35.311112172783204</v>
      </c>
      <c r="I103" s="118"/>
      <c r="J103" s="175">
        <f>H103/DAY(B2)</f>
        <v>1.1770370724261068</v>
      </c>
      <c r="O103" s="71"/>
    </row>
    <row r="104" spans="1:15" ht="30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1598.2900000000081</v>
      </c>
      <c r="H104" s="99">
        <f>G104+'29'!H104</f>
        <v>206000</v>
      </c>
      <c r="I104" s="118"/>
      <c r="J104" s="175">
        <f>H104/DAY(B2)</f>
        <v>6866.666666666667</v>
      </c>
      <c r="O104" s="71"/>
    </row>
    <row r="105" spans="1:15" ht="30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6.8012340425532267E-2</v>
      </c>
      <c r="H105" s="99">
        <f>G105+'29'!H105</f>
        <v>8.8710680921529868</v>
      </c>
      <c r="I105" s="187"/>
      <c r="J105" s="188">
        <f>H105/DAY(B2)</f>
        <v>0.29570226973843289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30.75" customHeight="1" x14ac:dyDescent="0.5">
      <c r="A109" s="873"/>
      <c r="B109" s="873"/>
    </row>
    <row r="110" spans="1:15" ht="30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30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30.75" customHeight="1" x14ac:dyDescent="0.5">
      <c r="A112" s="835" t="s">
        <v>252</v>
      </c>
      <c r="B112" s="836"/>
      <c r="C112" s="837"/>
      <c r="D112" s="146" t="s">
        <v>183</v>
      </c>
      <c r="E112" s="95">
        <f>'29'!F112</f>
        <v>53273.53</v>
      </c>
      <c r="F112" s="237">
        <v>55612</v>
      </c>
      <c r="G112" s="112">
        <f t="shared" ref="G112:G123" si="9">F112-E112</f>
        <v>2338.4700000000012</v>
      </c>
      <c r="H112" s="99">
        <f>G112+'29'!H112</f>
        <v>7670.4500000000044</v>
      </c>
      <c r="I112" s="165"/>
      <c r="J112" s="330">
        <f>H112/DAY(B2)</f>
        <v>255.68166666666681</v>
      </c>
    </row>
    <row r="113" spans="1:18" ht="30.75" customHeight="1" x14ac:dyDescent="0.5">
      <c r="A113" s="835" t="s">
        <v>253</v>
      </c>
      <c r="B113" s="836"/>
      <c r="C113" s="837"/>
      <c r="D113" s="146" t="s">
        <v>183</v>
      </c>
      <c r="E113" s="95">
        <f>'29'!F113</f>
        <v>31290.99</v>
      </c>
      <c r="F113" s="237">
        <v>31737</v>
      </c>
      <c r="G113" s="112">
        <f t="shared" si="9"/>
        <v>446.0099999999984</v>
      </c>
      <c r="H113" s="99">
        <f>G113+'29'!H113</f>
        <v>-458</v>
      </c>
      <c r="I113" s="165"/>
      <c r="J113" s="330">
        <f>H113/DAY(B2)</f>
        <v>-15.266666666666667</v>
      </c>
    </row>
    <row r="114" spans="1:18" ht="30.75" customHeight="1" x14ac:dyDescent="0.5">
      <c r="A114" s="835" t="s">
        <v>254</v>
      </c>
      <c r="B114" s="836"/>
      <c r="C114" s="837"/>
      <c r="D114" s="146" t="s">
        <v>183</v>
      </c>
      <c r="E114" s="95">
        <f>'29'!F114</f>
        <v>24321.7</v>
      </c>
      <c r="F114" s="237">
        <v>24596</v>
      </c>
      <c r="G114" s="112">
        <f t="shared" si="9"/>
        <v>274.29999999999927</v>
      </c>
      <c r="H114" s="99">
        <f>G114+'29'!H114</f>
        <v>-432.18000000000211</v>
      </c>
      <c r="I114" s="165"/>
      <c r="J114" s="330">
        <f>H114/DAY(B2)</f>
        <v>-14.40600000000007</v>
      </c>
    </row>
    <row r="115" spans="1:18" ht="30.75" customHeight="1" x14ac:dyDescent="0.5">
      <c r="A115" s="835" t="s">
        <v>255</v>
      </c>
      <c r="B115" s="836"/>
      <c r="C115" s="837"/>
      <c r="D115" s="146" t="s">
        <v>183</v>
      </c>
      <c r="E115" s="95">
        <f>'29'!F115</f>
        <v>8765.64</v>
      </c>
      <c r="F115" s="237">
        <v>8774</v>
      </c>
      <c r="G115" s="112">
        <f t="shared" si="9"/>
        <v>8.3600000000005821</v>
      </c>
      <c r="H115" s="99">
        <f>G115+'29'!H115</f>
        <v>-11</v>
      </c>
      <c r="I115" s="165"/>
      <c r="J115" s="330">
        <f>H115/DAY(B2)</f>
        <v>-0.36666666666666664</v>
      </c>
    </row>
    <row r="116" spans="1:18" ht="30.75" customHeight="1" x14ac:dyDescent="0.5">
      <c r="A116" s="842" t="s">
        <v>96</v>
      </c>
      <c r="B116" s="843"/>
      <c r="C116" s="844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30.75" customHeight="1" x14ac:dyDescent="0.5">
      <c r="A117" s="842" t="s">
        <v>184</v>
      </c>
      <c r="B117" s="843"/>
      <c r="C117" s="844"/>
      <c r="D117" s="146" t="s">
        <v>183</v>
      </c>
      <c r="E117" s="95">
        <f>'29'!F117</f>
        <v>2547.0100000000002</v>
      </c>
      <c r="F117" s="237">
        <v>2569</v>
      </c>
      <c r="G117" s="112">
        <f t="shared" si="9"/>
        <v>21.989999999999782</v>
      </c>
      <c r="H117" s="99">
        <f>G117+'29'!H117</f>
        <v>-21</v>
      </c>
      <c r="I117" s="165"/>
      <c r="J117" s="330">
        <f>H117/DAY(B2)</f>
        <v>-0.7</v>
      </c>
      <c r="Q117" s="835" t="s">
        <v>312</v>
      </c>
      <c r="R117" s="837"/>
    </row>
    <row r="118" spans="1:18" ht="30.75" customHeight="1" x14ac:dyDescent="0.5">
      <c r="A118" s="834" t="s">
        <v>97</v>
      </c>
      <c r="B118" s="834"/>
      <c r="C118" s="834"/>
      <c r="D118" s="151" t="s">
        <v>183</v>
      </c>
      <c r="E118" s="95">
        <f>'29'!F118</f>
        <v>240930.71</v>
      </c>
      <c r="F118" s="237">
        <v>241294</v>
      </c>
      <c r="G118" s="112">
        <f t="shared" si="9"/>
        <v>363.29000000000815</v>
      </c>
      <c r="H118" s="99">
        <f>G118+'29'!H118</f>
        <v>-353</v>
      </c>
      <c r="I118" s="165"/>
      <c r="J118" s="330">
        <f>H118/DAY(B2)</f>
        <v>-11.766666666666667</v>
      </c>
      <c r="Q118" s="835" t="s">
        <v>311</v>
      </c>
      <c r="R118" s="837"/>
    </row>
    <row r="119" spans="1:18" ht="30.75" customHeight="1" x14ac:dyDescent="0.5">
      <c r="A119" s="834" t="s">
        <v>98</v>
      </c>
      <c r="B119" s="834"/>
      <c r="C119" s="834"/>
      <c r="D119" s="151" t="s">
        <v>183</v>
      </c>
      <c r="E119" s="95">
        <f>'29'!F119</f>
        <v>244293.29</v>
      </c>
      <c r="F119" s="237">
        <v>244702</v>
      </c>
      <c r="G119" s="112">
        <f t="shared" si="9"/>
        <v>408.70999999999185</v>
      </c>
      <c r="H119" s="99">
        <f>G119+'29'!H119</f>
        <v>-424</v>
      </c>
      <c r="I119" s="165"/>
      <c r="J119" s="330">
        <f>H119/DAY(B2)</f>
        <v>-14.133333333333333</v>
      </c>
    </row>
    <row r="120" spans="1:18" ht="30.75" customHeight="1" x14ac:dyDescent="0.5">
      <c r="A120" s="834" t="s">
        <v>99</v>
      </c>
      <c r="B120" s="834"/>
      <c r="C120" s="834"/>
      <c r="D120" s="151" t="s">
        <v>183</v>
      </c>
      <c r="E120" s="95">
        <f>'29'!F120</f>
        <v>29243.51</v>
      </c>
      <c r="F120" s="237">
        <v>29665</v>
      </c>
      <c r="G120" s="112">
        <f t="shared" si="9"/>
        <v>421.4900000000016</v>
      </c>
      <c r="H120" s="99">
        <f>G120+'29'!H120</f>
        <v>-413</v>
      </c>
      <c r="I120" s="165"/>
      <c r="J120" s="330">
        <f>H120/DAY(B2)</f>
        <v>-13.766666666666667</v>
      </c>
    </row>
    <row r="121" spans="1:18" ht="30.75" customHeight="1" x14ac:dyDescent="0.5">
      <c r="A121" s="834" t="s">
        <v>100</v>
      </c>
      <c r="B121" s="834"/>
      <c r="C121" s="834"/>
      <c r="D121" s="151" t="s">
        <v>183</v>
      </c>
      <c r="E121" s="95">
        <f>'29'!F121</f>
        <v>374958.61</v>
      </c>
      <c r="F121" s="237">
        <v>375730</v>
      </c>
      <c r="G121" s="112">
        <f t="shared" si="9"/>
        <v>771.39000000001397</v>
      </c>
      <c r="H121" s="99">
        <f>G121+'29'!H121</f>
        <v>-799</v>
      </c>
      <c r="I121" s="165"/>
      <c r="J121" s="330">
        <f>H121/DAY(B2)</f>
        <v>-26.633333333333333</v>
      </c>
    </row>
    <row r="122" spans="1:18" ht="30.75" customHeight="1" x14ac:dyDescent="0.5">
      <c r="A122" s="834" t="s">
        <v>101</v>
      </c>
      <c r="B122" s="834"/>
      <c r="C122" s="834"/>
      <c r="D122" s="151" t="s">
        <v>183</v>
      </c>
      <c r="E122" s="95">
        <f>'29'!F122</f>
        <v>119588.07</v>
      </c>
      <c r="F122" s="237">
        <v>119804</v>
      </c>
      <c r="G122" s="112">
        <f t="shared" si="9"/>
        <v>215.92999999999302</v>
      </c>
      <c r="H122" s="99">
        <f>G122+'29'!H122</f>
        <v>-246</v>
      </c>
      <c r="I122" s="165"/>
      <c r="J122" s="330">
        <f>H122/DAY(B2)</f>
        <v>-8.1999999999999993</v>
      </c>
    </row>
    <row r="123" spans="1:18" ht="30.75" customHeight="1" x14ac:dyDescent="0.5">
      <c r="A123" s="834" t="s">
        <v>102</v>
      </c>
      <c r="B123" s="834"/>
      <c r="C123" s="834"/>
      <c r="D123" s="151" t="s">
        <v>183</v>
      </c>
      <c r="E123" s="95">
        <f>'29'!F123</f>
        <v>144462.63</v>
      </c>
      <c r="F123" s="237">
        <v>144787</v>
      </c>
      <c r="G123" s="112">
        <f t="shared" si="9"/>
        <v>324.36999999999534</v>
      </c>
      <c r="H123" s="99">
        <f>G123+'29'!H123</f>
        <v>-338</v>
      </c>
      <c r="I123" s="165"/>
      <c r="J123" s="330">
        <f>H123/DAY(B2)</f>
        <v>-11.266666666666667</v>
      </c>
    </row>
    <row r="124" spans="1:18" ht="30.75" customHeight="1" x14ac:dyDescent="0.5">
      <c r="A124" s="839"/>
      <c r="B124" s="840"/>
      <c r="C124" s="841"/>
      <c r="D124" s="165"/>
      <c r="E124" s="95">
        <f>'29'!F124</f>
        <v>0</v>
      </c>
      <c r="F124" s="165"/>
      <c r="G124" s="329"/>
      <c r="H124" s="99">
        <f>G124+'29'!H124</f>
        <v>0</v>
      </c>
      <c r="I124" s="165"/>
      <c r="J124" s="329"/>
    </row>
    <row r="125" spans="1:18" ht="30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5594.3100000000031</v>
      </c>
      <c r="H125" s="156"/>
      <c r="I125" s="329">
        <f>G125-(G39+G53)</f>
        <v>2882.0600000000031</v>
      </c>
      <c r="J125" s="329"/>
    </row>
    <row r="126" spans="1:18" ht="30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30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G127+'29'!H127</f>
        <v>0</v>
      </c>
      <c r="I127" s="165"/>
      <c r="J127" s="330">
        <f>H127/DAY(B2)</f>
        <v>0</v>
      </c>
    </row>
    <row r="128" spans="1:18" ht="30.75" customHeight="1" x14ac:dyDescent="0.5">
      <c r="A128" s="835" t="s">
        <v>318</v>
      </c>
      <c r="B128" s="836"/>
      <c r="C128" s="837"/>
      <c r="D128" s="151" t="s">
        <v>183</v>
      </c>
      <c r="E128" s="95">
        <f>'29'!F128</f>
        <v>37254.01</v>
      </c>
      <c r="F128" s="165">
        <v>37627</v>
      </c>
      <c r="G128" s="112">
        <f t="shared" ref="G128:G134" si="10">F128-E128</f>
        <v>372.98999999999796</v>
      </c>
      <c r="H128" s="99">
        <f>G128+'29'!H128</f>
        <v>-377</v>
      </c>
      <c r="I128" s="165"/>
      <c r="J128" s="330">
        <f>H128/DAY(B2)</f>
        <v>-12.566666666666666</v>
      </c>
    </row>
    <row r="129" spans="1:15" ht="30.75" customHeight="1" x14ac:dyDescent="0.5">
      <c r="A129" s="331" t="s">
        <v>319</v>
      </c>
      <c r="B129" s="332"/>
      <c r="C129" s="333"/>
      <c r="D129" s="151" t="s">
        <v>183</v>
      </c>
      <c r="E129" s="95">
        <f>'29'!F129</f>
        <v>19911.98</v>
      </c>
      <c r="F129" s="165">
        <v>20114</v>
      </c>
      <c r="G129" s="112">
        <f t="shared" si="10"/>
        <v>202.02000000000044</v>
      </c>
      <c r="H129" s="99">
        <f>G129+'29'!H129</f>
        <v>-207</v>
      </c>
      <c r="I129" s="165"/>
      <c r="J129" s="330">
        <f>H129/DAY(B2)</f>
        <v>-6.9</v>
      </c>
      <c r="N129" s="240"/>
      <c r="O129" s="241"/>
    </row>
    <row r="130" spans="1:15" ht="30.75" customHeight="1" x14ac:dyDescent="0.5">
      <c r="A130" s="331" t="s">
        <v>320</v>
      </c>
      <c r="B130" s="332"/>
      <c r="C130" s="333"/>
      <c r="D130" s="151" t="s">
        <v>183</v>
      </c>
      <c r="E130" s="95">
        <f>'29'!F130</f>
        <v>16637.02</v>
      </c>
      <c r="F130" s="165">
        <v>17602</v>
      </c>
      <c r="G130" s="112">
        <f t="shared" si="10"/>
        <v>964.97999999999956</v>
      </c>
      <c r="H130" s="99">
        <f>G130+'29'!H130</f>
        <v>-780.00000000000182</v>
      </c>
      <c r="I130" s="165"/>
      <c r="J130" s="330">
        <f>H130/DAY(B2)</f>
        <v>-26.00000000000006</v>
      </c>
      <c r="N130" s="240"/>
      <c r="O130" s="241"/>
    </row>
    <row r="131" spans="1:15" ht="30.75" customHeight="1" x14ac:dyDescent="0.5">
      <c r="A131" s="835" t="s">
        <v>321</v>
      </c>
      <c r="B131" s="836"/>
      <c r="C131" s="837"/>
      <c r="D131" s="151" t="s">
        <v>183</v>
      </c>
      <c r="E131" s="95">
        <f>'29'!F131</f>
        <v>13006.7</v>
      </c>
      <c r="F131" s="165">
        <v>13076</v>
      </c>
      <c r="G131" s="112">
        <f t="shared" si="10"/>
        <v>69.299999999999272</v>
      </c>
      <c r="H131" s="99">
        <f>G131+'29'!H131</f>
        <v>-77</v>
      </c>
      <c r="I131" s="165"/>
      <c r="J131" s="330">
        <f>H131/DAY(B2)</f>
        <v>-2.5666666666666669</v>
      </c>
      <c r="N131" s="240"/>
      <c r="O131" s="241"/>
    </row>
    <row r="132" spans="1:15" ht="30.75" customHeight="1" x14ac:dyDescent="0.5">
      <c r="A132" s="835" t="s">
        <v>322</v>
      </c>
      <c r="B132" s="836"/>
      <c r="C132" s="837"/>
      <c r="D132" s="151" t="s">
        <v>183</v>
      </c>
      <c r="E132" s="95">
        <f>'29'!F132</f>
        <v>40127.279999999999</v>
      </c>
      <c r="F132" s="165">
        <v>40577</v>
      </c>
      <c r="G132" s="112">
        <f t="shared" si="10"/>
        <v>449.72000000000116</v>
      </c>
      <c r="H132" s="99">
        <f>G132+'29'!H132</f>
        <v>-2059.1200000000026</v>
      </c>
      <c r="I132" s="165"/>
      <c r="J132" s="330">
        <f>H132/DAY(B2)</f>
        <v>-68.637333333333416</v>
      </c>
    </row>
    <row r="133" spans="1:15" ht="30.75" customHeight="1" x14ac:dyDescent="0.5">
      <c r="A133" s="835" t="s">
        <v>362</v>
      </c>
      <c r="B133" s="836"/>
      <c r="C133" s="837"/>
      <c r="D133" s="151" t="s">
        <v>183</v>
      </c>
      <c r="E133" s="95">
        <f>'29'!F133</f>
        <v>86468.29</v>
      </c>
      <c r="F133" s="165">
        <v>87056</v>
      </c>
      <c r="G133" s="112">
        <f t="shared" si="10"/>
        <v>587.7100000000064</v>
      </c>
      <c r="H133" s="99">
        <f>G133+'29'!H133</f>
        <v>-647</v>
      </c>
      <c r="I133" s="165"/>
      <c r="J133" s="330">
        <f>H133/DAY(B2)</f>
        <v>-21.566666666666666</v>
      </c>
    </row>
    <row r="134" spans="1:15" ht="30.75" customHeight="1" x14ac:dyDescent="0.5">
      <c r="A134" s="835" t="s">
        <v>340</v>
      </c>
      <c r="B134" s="836"/>
      <c r="C134" s="837"/>
      <c r="D134" s="151" t="s">
        <v>183</v>
      </c>
      <c r="E134" s="95">
        <f>'29'!F134</f>
        <v>667634</v>
      </c>
      <c r="F134" s="601">
        <v>668262</v>
      </c>
      <c r="G134" s="112">
        <f t="shared" si="10"/>
        <v>628</v>
      </c>
      <c r="H134" s="99">
        <f>G134+'29'!H134</f>
        <v>17128</v>
      </c>
      <c r="I134" s="165"/>
      <c r="J134" s="330">
        <f>H134/DAY(B2)</f>
        <v>570.93333333333328</v>
      </c>
    </row>
    <row r="135" spans="1:15" ht="30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3274.7200000000048</v>
      </c>
      <c r="H135" s="99">
        <f>G135+'23'!H135</f>
        <v>-41673.989999999991</v>
      </c>
      <c r="I135" s="329">
        <f>G135-(G35+G49)</f>
        <v>-221.04000000000451</v>
      </c>
      <c r="J135" s="330"/>
    </row>
    <row r="136" spans="1:15" ht="30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30.75" customHeight="1" x14ac:dyDescent="0.5">
      <c r="A138" s="834" t="s">
        <v>185</v>
      </c>
      <c r="B138" s="834"/>
      <c r="C138" s="834"/>
      <c r="D138" s="151" t="s">
        <v>183</v>
      </c>
      <c r="E138" s="95">
        <f>'29'!F138</f>
        <v>863973</v>
      </c>
      <c r="F138" s="147">
        <v>864069</v>
      </c>
      <c r="G138" s="112">
        <f t="shared" ref="G138:G152" si="11">F138-E138</f>
        <v>96</v>
      </c>
      <c r="H138" s="99">
        <f>G138+'29'!H138</f>
        <v>-102</v>
      </c>
      <c r="I138" s="118"/>
      <c r="J138" s="330">
        <f>H138/DAY(B2)</f>
        <v>-3.4</v>
      </c>
    </row>
    <row r="139" spans="1:15" ht="30.75" customHeight="1" x14ac:dyDescent="0.5">
      <c r="A139" s="834" t="s">
        <v>186</v>
      </c>
      <c r="B139" s="834"/>
      <c r="C139" s="834"/>
      <c r="D139" s="151" t="s">
        <v>183</v>
      </c>
      <c r="E139" s="95">
        <f>'29'!F139</f>
        <v>886545</v>
      </c>
      <c r="F139" s="148">
        <v>886546</v>
      </c>
      <c r="G139" s="112">
        <f t="shared" si="11"/>
        <v>1</v>
      </c>
      <c r="H139" s="99">
        <f>G139+'29'!H139</f>
        <v>0</v>
      </c>
      <c r="I139" s="118"/>
      <c r="J139" s="330">
        <f>H139/DAY(B2)</f>
        <v>0</v>
      </c>
    </row>
    <row r="140" spans="1:15" ht="30.75" customHeight="1" x14ac:dyDescent="0.5">
      <c r="A140" s="834" t="s">
        <v>187</v>
      </c>
      <c r="B140" s="834"/>
      <c r="C140" s="834"/>
      <c r="D140" s="151" t="s">
        <v>183</v>
      </c>
      <c r="E140" s="95">
        <f>'29'!F140</f>
        <v>88882</v>
      </c>
      <c r="F140" s="149">
        <v>88882</v>
      </c>
      <c r="G140" s="112">
        <f t="shared" si="11"/>
        <v>0</v>
      </c>
      <c r="H140" s="99">
        <f>G140+'29'!H140</f>
        <v>0</v>
      </c>
      <c r="I140" s="118"/>
      <c r="J140" s="330">
        <f>H140/DAY(B2)</f>
        <v>0</v>
      </c>
    </row>
    <row r="141" spans="1:15" ht="30.75" customHeight="1" x14ac:dyDescent="0.5">
      <c r="A141" s="815" t="s">
        <v>188</v>
      </c>
      <c r="B141" s="815"/>
      <c r="C141" s="815"/>
      <c r="D141" s="151" t="s">
        <v>183</v>
      </c>
      <c r="E141" s="95">
        <f>'29'!F141</f>
        <v>48918.58</v>
      </c>
      <c r="F141" s="149">
        <v>49098</v>
      </c>
      <c r="G141" s="112">
        <f t="shared" si="11"/>
        <v>179.41999999999825</v>
      </c>
      <c r="H141" s="99">
        <f>G141+'29'!H141</f>
        <v>-208</v>
      </c>
      <c r="I141" s="118"/>
      <c r="J141" s="330">
        <f>H141/DAY(B2)</f>
        <v>-6.9333333333333336</v>
      </c>
    </row>
    <row r="142" spans="1:15" ht="30.75" customHeight="1" x14ac:dyDescent="0.5">
      <c r="A142" s="815" t="s">
        <v>189</v>
      </c>
      <c r="B142" s="815"/>
      <c r="C142" s="815"/>
      <c r="D142" s="151" t="s">
        <v>183</v>
      </c>
      <c r="E142" s="95">
        <f>'29'!F142</f>
        <v>18855.740000000002</v>
      </c>
      <c r="F142" s="148">
        <v>18931</v>
      </c>
      <c r="G142" s="112">
        <f t="shared" si="11"/>
        <v>75.259999999998399</v>
      </c>
      <c r="H142" s="99">
        <f>G142+'29'!H142</f>
        <v>-78</v>
      </c>
      <c r="I142" s="140"/>
      <c r="J142" s="330">
        <f>H142/DAY(B2)</f>
        <v>-2.6</v>
      </c>
    </row>
    <row r="143" spans="1:15" ht="30.75" customHeight="1" x14ac:dyDescent="0.5">
      <c r="A143" s="834" t="s">
        <v>91</v>
      </c>
      <c r="B143" s="834"/>
      <c r="C143" s="834"/>
      <c r="D143" s="151" t="s">
        <v>183</v>
      </c>
      <c r="E143" s="95">
        <f>'29'!F143</f>
        <v>3016.9</v>
      </c>
      <c r="F143" s="149">
        <v>3040</v>
      </c>
      <c r="G143" s="112">
        <f t="shared" si="11"/>
        <v>23.099999999999909</v>
      </c>
      <c r="H143" s="99">
        <f>G143+'29'!H143</f>
        <v>-21</v>
      </c>
      <c r="I143" s="140"/>
      <c r="J143" s="330">
        <f>H143/DAY(B2)</f>
        <v>-0.7</v>
      </c>
    </row>
    <row r="144" spans="1:15" ht="30.75" customHeight="1" x14ac:dyDescent="0.5">
      <c r="A144" s="815" t="s">
        <v>90</v>
      </c>
      <c r="B144" s="815"/>
      <c r="C144" s="815"/>
      <c r="D144" s="151" t="s">
        <v>183</v>
      </c>
      <c r="E144" s="95">
        <f>'29'!F144</f>
        <v>869213</v>
      </c>
      <c r="F144" s="149">
        <v>869441</v>
      </c>
      <c r="G144" s="112">
        <f t="shared" si="11"/>
        <v>228</v>
      </c>
      <c r="H144" s="99">
        <f>G144+'29'!H144</f>
        <v>-229</v>
      </c>
      <c r="I144" s="140"/>
      <c r="J144" s="330">
        <f>H144/DAY(B2)</f>
        <v>-7.6333333333333337</v>
      </c>
    </row>
    <row r="145" spans="1:10" ht="30.75" customHeight="1" x14ac:dyDescent="0.5">
      <c r="A145" s="834" t="s">
        <v>190</v>
      </c>
      <c r="B145" s="834"/>
      <c r="C145" s="834"/>
      <c r="D145" s="152" t="s">
        <v>183</v>
      </c>
      <c r="E145" s="95">
        <f>'29'!F145</f>
        <v>4530</v>
      </c>
      <c r="F145" s="149">
        <v>4544</v>
      </c>
      <c r="G145" s="112">
        <f t="shared" si="11"/>
        <v>14</v>
      </c>
      <c r="H145" s="99">
        <f>G145+'29'!H145</f>
        <v>-14</v>
      </c>
      <c r="I145" s="140"/>
      <c r="J145" s="330">
        <f>H145/DAY(B2)</f>
        <v>-0.46666666666666667</v>
      </c>
    </row>
    <row r="146" spans="1:10" ht="30.75" customHeight="1" x14ac:dyDescent="0.5">
      <c r="A146" s="869" t="s">
        <v>191</v>
      </c>
      <c r="B146" s="854"/>
      <c r="C146" s="855"/>
      <c r="D146" s="152" t="s">
        <v>183</v>
      </c>
      <c r="E146" s="95">
        <f>'29'!F146</f>
        <v>723915</v>
      </c>
      <c r="F146" s="148">
        <v>724396</v>
      </c>
      <c r="G146" s="112">
        <f t="shared" si="11"/>
        <v>481</v>
      </c>
      <c r="H146" s="99">
        <f>G146+'29'!H146</f>
        <v>-462</v>
      </c>
      <c r="I146" s="140"/>
      <c r="J146" s="330">
        <f>H146/DAY(B2)</f>
        <v>-15.4</v>
      </c>
    </row>
    <row r="147" spans="1:10" ht="30.75" customHeight="1" x14ac:dyDescent="0.5">
      <c r="A147" s="815" t="s">
        <v>192</v>
      </c>
      <c r="B147" s="815"/>
      <c r="C147" s="815"/>
      <c r="D147" s="152" t="s">
        <v>183</v>
      </c>
      <c r="E147" s="95">
        <f>'29'!F147</f>
        <v>614450.28</v>
      </c>
      <c r="F147" s="148">
        <v>614855</v>
      </c>
      <c r="G147" s="112">
        <f t="shared" si="11"/>
        <v>404.71999999997206</v>
      </c>
      <c r="H147" s="99">
        <f>G147+'29'!H147</f>
        <v>-427</v>
      </c>
      <c r="I147" s="140"/>
      <c r="J147" s="330">
        <f>H147/DAY(B2)</f>
        <v>-14.233333333333333</v>
      </c>
    </row>
    <row r="148" spans="1:10" ht="30.75" customHeight="1" x14ac:dyDescent="0.5">
      <c r="A148" s="816" t="s">
        <v>193</v>
      </c>
      <c r="B148" s="817"/>
      <c r="C148" s="818"/>
      <c r="D148" s="123" t="s">
        <v>130</v>
      </c>
      <c r="E148" s="95">
        <f>'29'!F148</f>
        <v>682450.96</v>
      </c>
      <c r="F148" s="150">
        <v>682733</v>
      </c>
      <c r="G148" s="112">
        <f t="shared" si="11"/>
        <v>282.04000000003725</v>
      </c>
      <c r="H148" s="99">
        <f>G148+'29'!H148</f>
        <v>-300.11999999999534</v>
      </c>
      <c r="I148" s="124"/>
      <c r="J148" s="330">
        <f>H148/DAY(B2)</f>
        <v>-10.003999999999845</v>
      </c>
    </row>
    <row r="149" spans="1:10" ht="30.75" customHeight="1" x14ac:dyDescent="0.5">
      <c r="A149" s="816" t="s">
        <v>336</v>
      </c>
      <c r="B149" s="817"/>
      <c r="C149" s="818"/>
      <c r="D149" s="227" t="s">
        <v>130</v>
      </c>
      <c r="E149" s="95">
        <f>'29'!F149</f>
        <v>9770.5</v>
      </c>
      <c r="F149" s="146">
        <v>10367</v>
      </c>
      <c r="G149" s="112">
        <f t="shared" si="11"/>
        <v>596.5</v>
      </c>
      <c r="H149" s="99">
        <f>G149+'29'!H149</f>
        <v>186858.00000000003</v>
      </c>
      <c r="I149" s="119"/>
      <c r="J149" s="330">
        <f>H149/DAY(B2)</f>
        <v>6228.6000000000013</v>
      </c>
    </row>
    <row r="150" spans="1:10" ht="30.75" customHeight="1" x14ac:dyDescent="0.5">
      <c r="A150" s="816" t="s">
        <v>337</v>
      </c>
      <c r="B150" s="817"/>
      <c r="C150" s="818"/>
      <c r="D150" s="117" t="s">
        <v>130</v>
      </c>
      <c r="E150" s="95">
        <f>'29'!F150</f>
        <v>3603.3</v>
      </c>
      <c r="F150" s="233">
        <v>3832</v>
      </c>
      <c r="G150" s="112">
        <f t="shared" si="11"/>
        <v>228.69999999999982</v>
      </c>
      <c r="H150" s="99">
        <f>G150+'29'!H150</f>
        <v>7166820</v>
      </c>
      <c r="I150" s="119"/>
      <c r="J150" s="330">
        <f>H150/DAY(B2)</f>
        <v>238894</v>
      </c>
    </row>
    <row r="151" spans="1:10" ht="30.75" customHeight="1" x14ac:dyDescent="0.5">
      <c r="A151" s="816" t="s">
        <v>338</v>
      </c>
      <c r="B151" s="817"/>
      <c r="C151" s="818"/>
      <c r="D151" s="117" t="s">
        <v>130</v>
      </c>
      <c r="E151" s="95">
        <f>'29'!F151</f>
        <v>77703</v>
      </c>
      <c r="F151" s="233">
        <v>77944</v>
      </c>
      <c r="G151" s="112">
        <f t="shared" si="11"/>
        <v>241</v>
      </c>
      <c r="H151" s="99">
        <f>G151+'29'!H151</f>
        <v>-273</v>
      </c>
      <c r="I151" s="119"/>
      <c r="J151" s="330">
        <f>H151/DAY(B2)</f>
        <v>-9.1</v>
      </c>
    </row>
    <row r="152" spans="1:10" ht="30.75" customHeight="1" x14ac:dyDescent="0.5">
      <c r="A152" s="816" t="s">
        <v>339</v>
      </c>
      <c r="B152" s="817"/>
      <c r="C152" s="818"/>
      <c r="D152" s="117" t="s">
        <v>130</v>
      </c>
      <c r="E152" s="95">
        <f>'29'!F152</f>
        <v>1030</v>
      </c>
      <c r="F152" s="233">
        <v>1077</v>
      </c>
      <c r="G152" s="112">
        <f t="shared" si="11"/>
        <v>47</v>
      </c>
      <c r="H152" s="99">
        <f>G152+'29'!H152</f>
        <v>-50</v>
      </c>
      <c r="I152" s="119"/>
      <c r="J152" s="330">
        <f>H152/DAY(B2)</f>
        <v>-1.6666666666666667</v>
      </c>
    </row>
    <row r="153" spans="1:10" ht="30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2897.7400000000057</v>
      </c>
      <c r="H153" s="365"/>
      <c r="I153" s="119">
        <f>G153-(G38+G52)</f>
        <v>988.81000000001268</v>
      </c>
      <c r="J153" s="368"/>
    </row>
    <row r="154" spans="1:10" ht="30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0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'29'!F155</f>
        <v>11473</v>
      </c>
      <c r="F155" s="366">
        <v>12107</v>
      </c>
      <c r="G155" s="112">
        <f t="shared" ref="G155:G156" si="12">F155-E155</f>
        <v>634</v>
      </c>
      <c r="H155" s="99">
        <f>G155+'29'!H155</f>
        <v>76252</v>
      </c>
      <c r="I155" s="366"/>
      <c r="J155" s="330">
        <f>H155/DAY(B2)</f>
        <v>2541.7333333333331</v>
      </c>
    </row>
    <row r="156" spans="1:10" ht="30.75" customHeight="1" x14ac:dyDescent="0.5">
      <c r="A156" s="815" t="s">
        <v>347</v>
      </c>
      <c r="B156" s="815"/>
      <c r="C156" s="815"/>
      <c r="D156" s="117" t="s">
        <v>130</v>
      </c>
      <c r="E156" s="95">
        <f>'29'!F156</f>
        <v>933</v>
      </c>
      <c r="F156" s="165">
        <v>979</v>
      </c>
      <c r="G156" s="112">
        <f t="shared" si="12"/>
        <v>46</v>
      </c>
      <c r="H156" s="99">
        <f>G156+'29'!H156</f>
        <v>-108.99999999999989</v>
      </c>
      <c r="I156" s="165"/>
      <c r="J156" s="330">
        <f>H156/DAY(B2)</f>
        <v>-3.6333333333333298</v>
      </c>
    </row>
    <row r="157" spans="1:10" ht="30.75" customHeight="1" x14ac:dyDescent="0.5">
      <c r="A157" s="816" t="s">
        <v>364</v>
      </c>
      <c r="B157" s="817"/>
      <c r="C157" s="818"/>
      <c r="D157" s="117" t="s">
        <v>130</v>
      </c>
      <c r="E157" s="95"/>
      <c r="F157" s="165">
        <v>1169</v>
      </c>
      <c r="G157" s="112"/>
      <c r="H157" s="99"/>
      <c r="I157" s="165"/>
      <c r="J157" s="330"/>
    </row>
    <row r="158" spans="1:10" ht="30.75" customHeight="1" x14ac:dyDescent="0.5">
      <c r="A158" s="816" t="s">
        <v>365</v>
      </c>
      <c r="B158" s="817"/>
      <c r="C158" s="818"/>
      <c r="D158" s="117" t="s">
        <v>130</v>
      </c>
      <c r="E158" s="95"/>
      <c r="F158" s="165">
        <v>7.76</v>
      </c>
      <c r="G158" s="112"/>
      <c r="H158" s="99"/>
      <c r="I158" s="165"/>
      <c r="J158" s="330"/>
    </row>
    <row r="159" spans="1:10" ht="30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0.75" customHeight="1" x14ac:dyDescent="0.55000000000000004">
      <c r="A160" s="823"/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471152.04</v>
      </c>
      <c r="F161" s="235">
        <v>471153</v>
      </c>
      <c r="G161" s="238">
        <f t="shared" ref="G161:G165" si="13">F161-E161</f>
        <v>0.96000000002095476</v>
      </c>
      <c r="H161" s="99">
        <f>G161+'29'!H161</f>
        <v>-0.15999999997438863</v>
      </c>
      <c r="I161" s="236"/>
      <c r="J161" s="239">
        <f>H161/DAY(B2)</f>
        <v>-5.3333333324796211E-3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87511.6</v>
      </c>
      <c r="F162" s="235">
        <v>87545</v>
      </c>
      <c r="G162" s="238">
        <f t="shared" si="13"/>
        <v>33.399999999994179</v>
      </c>
      <c r="H162" s="99">
        <f>G162+'29'!H162</f>
        <v>-25</v>
      </c>
      <c r="I162" s="236"/>
      <c r="J162" s="239">
        <f>H162/DAY(B2)</f>
        <v>-0.83333333333333337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77753.8</v>
      </c>
      <c r="F163" s="235">
        <v>77791</v>
      </c>
      <c r="G163" s="238">
        <f t="shared" si="13"/>
        <v>37.19999999999709</v>
      </c>
      <c r="H163" s="99">
        <f>G163+'29'!H163</f>
        <v>-34</v>
      </c>
      <c r="I163" s="236"/>
      <c r="J163" s="239">
        <f>H163/DAY(B2)</f>
        <v>-1.1333333333333333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4241.2</v>
      </c>
      <c r="F164" s="235">
        <v>4242</v>
      </c>
      <c r="G164" s="238">
        <f t="shared" si="13"/>
        <v>0.8000000000001819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29635.200000000001</v>
      </c>
      <c r="F165" s="235">
        <v>29641</v>
      </c>
      <c r="G165" s="238">
        <f t="shared" si="13"/>
        <v>5.7999999999992724</v>
      </c>
      <c r="H165" s="99">
        <f>G165+'29'!H165</f>
        <v>-5</v>
      </c>
      <c r="I165" s="236"/>
      <c r="J165" s="239">
        <f>H165/DAY(B2)</f>
        <v>-0.16666666666666666</v>
      </c>
    </row>
    <row r="166" spans="1:10" ht="30.75" customHeight="1" x14ac:dyDescent="0.5">
      <c r="A166" s="824"/>
      <c r="B166" s="824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24"/>
      <c r="B167" s="824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24"/>
      <c r="B168" s="824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30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28" t="s">
        <v>209</v>
      </c>
      <c r="B173" s="829"/>
      <c r="C173" s="335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28" t="s">
        <v>75</v>
      </c>
      <c r="B174" s="829"/>
      <c r="C174" s="335"/>
      <c r="D174" s="228" t="s">
        <v>142</v>
      </c>
      <c r="E174" s="95">
        <f>'29'!F174</f>
        <v>38262</v>
      </c>
      <c r="F174" s="157">
        <v>38279</v>
      </c>
      <c r="G174" s="155">
        <f t="shared" ref="G174:G175" si="14">F174-E174</f>
        <v>17</v>
      </c>
      <c r="H174" s="99">
        <f>G174+'29'!H174</f>
        <v>-8</v>
      </c>
      <c r="I174" s="155"/>
      <c r="J174" s="178">
        <f>H174/DAY(B2)</f>
        <v>-0.26666666666666666</v>
      </c>
    </row>
    <row r="175" spans="1:10" ht="30.75" customHeight="1" x14ac:dyDescent="0.5">
      <c r="A175" s="828" t="s">
        <v>76</v>
      </c>
      <c r="B175" s="868"/>
      <c r="C175" s="829"/>
      <c r="D175" s="228" t="s">
        <v>142</v>
      </c>
      <c r="E175" s="95">
        <f>'29'!F175</f>
        <v>21498</v>
      </c>
      <c r="F175" s="155">
        <v>21510</v>
      </c>
      <c r="G175" s="155">
        <f t="shared" si="14"/>
        <v>12</v>
      </c>
      <c r="H175" s="99">
        <f>G175+'29'!H175</f>
        <v>-8</v>
      </c>
      <c r="I175" s="155"/>
      <c r="J175" s="178">
        <f>H175/DAY(B2)</f>
        <v>-0.26666666666666666</v>
      </c>
    </row>
    <row r="176" spans="1:10" ht="30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29</v>
      </c>
      <c r="H176" s="99">
        <f>G176+'29'!H176</f>
        <v>-16</v>
      </c>
      <c r="I176" s="155"/>
      <c r="J176" s="178">
        <f>H176/DAY(B2)</f>
        <v>-0.53333333333333333</v>
      </c>
    </row>
    <row r="177" spans="1:10" ht="30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28" t="s">
        <v>210</v>
      </c>
      <c r="B178" s="829"/>
      <c r="C178" s="335"/>
      <c r="D178" s="228" t="s">
        <v>142</v>
      </c>
      <c r="E178" s="95">
        <f>'29'!F178</f>
        <v>79497</v>
      </c>
      <c r="F178" s="155">
        <v>79569</v>
      </c>
      <c r="G178" s="155">
        <f>F178-E178</f>
        <v>72</v>
      </c>
      <c r="H178" s="99">
        <f>G178+'29'!H178</f>
        <v>-45</v>
      </c>
      <c r="I178" s="155"/>
      <c r="J178" s="178">
        <f>H178/DAY(B2)</f>
        <v>-1.5</v>
      </c>
    </row>
    <row r="179" spans="1:10" ht="30.75" customHeight="1" x14ac:dyDescent="0.5">
      <c r="A179" s="828" t="s">
        <v>211</v>
      </c>
      <c r="B179" s="829"/>
      <c r="C179" s="335"/>
      <c r="D179" s="228" t="s">
        <v>142</v>
      </c>
      <c r="E179" s="95">
        <f>'29'!F179</f>
        <v>33915</v>
      </c>
      <c r="F179" s="155">
        <v>33915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828" t="s">
        <v>212</v>
      </c>
      <c r="B180" s="829"/>
      <c r="C180" s="335"/>
      <c r="D180" s="228" t="s">
        <v>142</v>
      </c>
      <c r="E180" s="95">
        <f>'29'!F180</f>
        <v>5471</v>
      </c>
      <c r="F180" s="155">
        <v>5471</v>
      </c>
      <c r="G180" s="155">
        <f t="shared" si="15"/>
        <v>0</v>
      </c>
      <c r="H180" s="99">
        <f>G180+'29'!H180</f>
        <v>-6</v>
      </c>
      <c r="I180" s="155"/>
      <c r="J180" s="178">
        <f>H180/DAY(B2)</f>
        <v>-0.2</v>
      </c>
    </row>
    <row r="181" spans="1:10" ht="30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72</v>
      </c>
      <c r="H181" s="99">
        <f>G181+'29'!H181</f>
        <v>-51</v>
      </c>
      <c r="I181" s="155"/>
      <c r="J181" s="178">
        <f>H181/DAY(B2)</f>
        <v>-1.7</v>
      </c>
    </row>
    <row r="182" spans="1:10" ht="30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28" t="s">
        <v>214</v>
      </c>
      <c r="B183" s="829"/>
      <c r="C183" s="336"/>
      <c r="D183" s="228" t="s">
        <v>142</v>
      </c>
      <c r="E183" s="95">
        <f>'29'!F183</f>
        <v>14923</v>
      </c>
      <c r="F183" s="157">
        <v>14938</v>
      </c>
      <c r="G183" s="157">
        <f>F183-E183</f>
        <v>15</v>
      </c>
      <c r="H183" s="99">
        <f>G183+'29'!H183</f>
        <v>-9</v>
      </c>
      <c r="I183" s="155"/>
      <c r="J183" s="178">
        <f>H183/DAY(B2)</f>
        <v>-0.3</v>
      </c>
    </row>
    <row r="184" spans="1:10" ht="30.75" customHeight="1" x14ac:dyDescent="0.5">
      <c r="A184" s="828" t="s">
        <v>215</v>
      </c>
      <c r="B184" s="829"/>
      <c r="C184" s="336"/>
      <c r="D184" s="228" t="s">
        <v>142</v>
      </c>
      <c r="E184" s="95">
        <f>'29'!F184</f>
        <v>10289</v>
      </c>
      <c r="F184" s="157">
        <v>10295</v>
      </c>
      <c r="G184" s="157">
        <f t="shared" ref="G184:G185" si="16">F184-E184</f>
        <v>6</v>
      </c>
      <c r="H184" s="99">
        <f>G184+'29'!H184</f>
        <v>-6</v>
      </c>
      <c r="I184" s="155"/>
      <c r="J184" s="178">
        <f>H184/DAY(B2)</f>
        <v>-0.2</v>
      </c>
    </row>
    <row r="185" spans="1:10" ht="30.75" customHeight="1" x14ac:dyDescent="0.5">
      <c r="A185" s="828" t="s">
        <v>216</v>
      </c>
      <c r="B185" s="829"/>
      <c r="C185" s="336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21</v>
      </c>
      <c r="H186" s="99">
        <f>G186+'29'!H186</f>
        <v>-15</v>
      </c>
      <c r="I186" s="157"/>
      <c r="J186" s="178">
        <f>H186/DAY(B2)</f>
        <v>-0.5</v>
      </c>
    </row>
    <row r="187" spans="1:10" ht="30.75" customHeight="1" x14ac:dyDescent="0.5">
      <c r="A187" s="821" t="s">
        <v>217</v>
      </c>
      <c r="B187" s="822"/>
      <c r="C187" s="335"/>
      <c r="D187" s="228" t="s">
        <v>142</v>
      </c>
      <c r="E187" s="95"/>
      <c r="F187" s="159"/>
      <c r="G187" s="464">
        <f>G62+G19</f>
        <v>175</v>
      </c>
      <c r="H187" s="99">
        <f>G187+'29'!H187</f>
        <v>1619</v>
      </c>
      <c r="I187" s="158"/>
      <c r="J187" s="179">
        <f>H187/DAY(B2)</f>
        <v>53.966666666666669</v>
      </c>
    </row>
    <row r="188" spans="1:10" ht="30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174</v>
      </c>
      <c r="H188" s="99">
        <f>G188+'29'!H188</f>
        <v>2805</v>
      </c>
      <c r="I188" s="158"/>
      <c r="J188" s="179">
        <f>H188/DAY(B2)</f>
        <v>93.5</v>
      </c>
    </row>
    <row r="189" spans="1:10" ht="30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72</v>
      </c>
      <c r="H189" s="99">
        <f>G189+'29'!H189</f>
        <v>930</v>
      </c>
      <c r="I189" s="158"/>
      <c r="J189" s="179">
        <f>H189/DAY(B2)</f>
        <v>31</v>
      </c>
    </row>
    <row r="190" spans="1:10" ht="30.75" customHeight="1" x14ac:dyDescent="0.5">
      <c r="A190" s="742" t="s">
        <v>360</v>
      </c>
      <c r="B190" s="743"/>
      <c r="C190" s="485"/>
      <c r="D190" s="482"/>
      <c r="E190" s="482">
        <v>52942.203000000001</v>
      </c>
      <c r="F190" s="482">
        <v>52948.703000000001</v>
      </c>
      <c r="G190" s="482">
        <f>F190-E190</f>
        <v>6.5</v>
      </c>
      <c r="H190" s="483"/>
      <c r="I190" s="482"/>
      <c r="J190" s="484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40" zoomScaleNormal="75" zoomScaleSheetLayoutView="4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44561</v>
      </c>
      <c r="C2" s="350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24" t="s">
        <v>129</v>
      </c>
      <c r="B7" s="925"/>
      <c r="C7" s="926"/>
      <c r="D7" s="151" t="s">
        <v>130</v>
      </c>
      <c r="E7" s="95">
        <f>'30'!F7</f>
        <v>94000</v>
      </c>
      <c r="F7" s="95">
        <f>E7+23500</f>
        <v>117500</v>
      </c>
      <c r="G7" s="112">
        <f>F7-E7</f>
        <v>23500</v>
      </c>
      <c r="H7" s="99">
        <f>G7+'30'!H7</f>
        <v>699631</v>
      </c>
      <c r="I7" s="113">
        <f>'1'!I7</f>
        <v>12000</v>
      </c>
      <c r="J7" s="175">
        <f>H7/DAY(B2)</f>
        <v>22568.741935483871</v>
      </c>
      <c r="K7" s="172">
        <v>1375467</v>
      </c>
      <c r="L7" s="66"/>
      <c r="N7" s="87">
        <f>F7-'3'!E7</f>
        <v>-16556.899999999994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133565</v>
      </c>
      <c r="F8" s="95">
        <f>E8+23500</f>
        <v>157065</v>
      </c>
      <c r="G8" s="115">
        <f>F8-E8</f>
        <v>23500</v>
      </c>
      <c r="H8" s="99">
        <f>G8+'30'!H8</f>
        <v>696052</v>
      </c>
      <c r="I8" s="116"/>
      <c r="J8" s="175">
        <f>H8/DAY(B2)</f>
        <v>22453.290322580644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27" t="s">
        <v>132</v>
      </c>
      <c r="B9" s="928"/>
      <c r="C9" s="929"/>
      <c r="D9" s="151" t="s">
        <v>130</v>
      </c>
      <c r="E9" s="95">
        <f>'30'!F9</f>
        <v>305657</v>
      </c>
      <c r="F9" s="605">
        <f>E9+14000</f>
        <v>319657</v>
      </c>
      <c r="G9" s="112">
        <f>F9-E9</f>
        <v>14000</v>
      </c>
      <c r="H9" s="99">
        <f>G9+'30'!H9</f>
        <v>418162</v>
      </c>
      <c r="I9" s="124">
        <f>I7-J7</f>
        <v>-10568.741935483871</v>
      </c>
      <c r="J9" s="175">
        <f>H9/DAY(B2)</f>
        <v>13489.096774193549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24" t="s">
        <v>133</v>
      </c>
      <c r="B10" s="925"/>
      <c r="C10" s="926"/>
      <c r="D10" s="151" t="s">
        <v>130</v>
      </c>
      <c r="E10" s="95">
        <f>'30'!F10</f>
        <v>552050</v>
      </c>
      <c r="F10" s="355">
        <f>E10+4500</f>
        <v>556550</v>
      </c>
      <c r="G10" s="112">
        <f t="shared" ref="G10:G12" si="0">F10-E10</f>
        <v>4500</v>
      </c>
      <c r="H10" s="99">
        <f>G10+'30'!H10</f>
        <v>159440</v>
      </c>
      <c r="I10" s="282"/>
      <c r="J10" s="175">
        <f>H10/DAY(B2)</f>
        <v>5143.2258064516127</v>
      </c>
      <c r="K10" s="79"/>
      <c r="L10" s="66"/>
      <c r="N10" s="87"/>
      <c r="O10" s="71"/>
    </row>
    <row r="11" spans="1:15" ht="21.95" customHeight="1" x14ac:dyDescent="0.4">
      <c r="A11" s="924" t="s">
        <v>134</v>
      </c>
      <c r="B11" s="925"/>
      <c r="C11" s="926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24" t="s">
        <v>135</v>
      </c>
      <c r="B12" s="925"/>
      <c r="C12" s="926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G13+'30'!H13</f>
        <v>558136.74999999988</v>
      </c>
      <c r="I13" s="120">
        <f>G7-G13</f>
        <v>5000</v>
      </c>
      <c r="J13" s="175">
        <f>H13/DAY(B2)</f>
        <v>18004.411290322576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56" t="s">
        <v>138</v>
      </c>
      <c r="B15" s="857"/>
      <c r="C15" s="858"/>
      <c r="D15" s="151" t="s">
        <v>139</v>
      </c>
      <c r="E15" s="95">
        <f>'30'!F15</f>
        <v>1877126</v>
      </c>
      <c r="F15" s="123">
        <f>E15+1100</f>
        <v>1878226</v>
      </c>
      <c r="G15" s="112">
        <f>(F15-E15)</f>
        <v>1100</v>
      </c>
      <c r="H15" s="99">
        <f>G15+'30'!H15</f>
        <v>32369</v>
      </c>
      <c r="I15" s="113">
        <f>'1'!I15</f>
        <v>800</v>
      </c>
      <c r="J15" s="175">
        <f>H15/DAY(B2)</f>
        <v>1044.1612903225807</v>
      </c>
      <c r="K15" s="79"/>
      <c r="L15" s="66"/>
      <c r="N15" s="87"/>
      <c r="O15" s="71"/>
    </row>
    <row r="16" spans="1:15" ht="21.95" customHeight="1" x14ac:dyDescent="0.4">
      <c r="A16" s="921"/>
      <c r="B16" s="922"/>
      <c r="C16" s="923"/>
      <c r="D16" s="152"/>
      <c r="E16" s="123"/>
      <c r="F16" s="123"/>
      <c r="G16" s="112"/>
      <c r="H16" s="124"/>
      <c r="I16" s="120">
        <f>I15-J15</f>
        <v>-244.16129032258073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'30'!F18</f>
        <v>267</v>
      </c>
      <c r="F18" s="122">
        <f>E18+12</f>
        <v>279</v>
      </c>
      <c r="G18" s="119">
        <f>F18*10</f>
        <v>2790</v>
      </c>
      <c r="H18" s="99">
        <f>G18+'30'!H18</f>
        <v>34880</v>
      </c>
      <c r="I18" s="113">
        <f>'1'!I18</f>
        <v>65</v>
      </c>
      <c r="J18" s="175">
        <f>H18/DAY(B2)</f>
        <v>1125.1612903225807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'30'!F19</f>
        <v>153850</v>
      </c>
      <c r="F19" s="122">
        <f>E19+55</f>
        <v>153905</v>
      </c>
      <c r="G19" s="112">
        <f t="shared" ref="G19" si="1">F19-E19</f>
        <v>55</v>
      </c>
      <c r="H19" s="99">
        <f>G19+'30'!H19</f>
        <v>1680</v>
      </c>
      <c r="I19" s="337"/>
      <c r="J19" s="175">
        <f>H19/DAY(B2)</f>
        <v>54.193548387096776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2845</v>
      </c>
      <c r="H20" s="99">
        <f>G20+'30'!H20</f>
        <v>36560</v>
      </c>
      <c r="I20" s="338">
        <f>I18-J20</f>
        <v>-1114.3548387096773</v>
      </c>
      <c r="J20" s="175">
        <f>H20/DAY(B2)</f>
        <v>1179.3548387096773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G27+'30'!H27</f>
        <v>6264468</v>
      </c>
      <c r="I27" s="138"/>
      <c r="J27" s="175">
        <f>H27/DAY(B2)</f>
        <v>202079.61290322582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1683188</v>
      </c>
      <c r="I28" s="140"/>
      <c r="J28" s="175">
        <f>H28/DAY(B2)</f>
        <v>54296.387096774197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G30+'30'!H30</f>
        <v>245280</v>
      </c>
      <c r="I30" s="140"/>
      <c r="J30" s="175">
        <f>H30/DAY(B2)</f>
        <v>7912.2580645161288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2790</v>
      </c>
      <c r="F31" s="136">
        <v>80</v>
      </c>
      <c r="G31" s="137">
        <f>E31*F31</f>
        <v>223200</v>
      </c>
      <c r="H31" s="99">
        <f>G31+'30'!H31</f>
        <v>2790400</v>
      </c>
      <c r="I31" s="140"/>
      <c r="J31" s="175">
        <f>H31/DAY(B2)</f>
        <v>90012.903225806454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499930</v>
      </c>
      <c r="H32" s="99">
        <f>G32+'30'!H32</f>
        <v>10983336</v>
      </c>
      <c r="I32" s="144"/>
      <c r="J32" s="175">
        <f>H32/DAY(B2)</f>
        <v>354301.16129032261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150949</v>
      </c>
      <c r="F35" s="145">
        <v>152842</v>
      </c>
      <c r="G35" s="112">
        <f t="shared" ref="G35:G46" si="3">F35-E35</f>
        <v>1893</v>
      </c>
      <c r="H35" s="99">
        <f>G35+'30'!H35</f>
        <v>168042</v>
      </c>
      <c r="I35" s="95"/>
      <c r="J35" s="175">
        <f>H35/DAY(B2)</f>
        <v>5420.7096774193551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20670</v>
      </c>
      <c r="F36" s="145">
        <v>21527</v>
      </c>
      <c r="G36" s="112">
        <f t="shared" si="3"/>
        <v>857</v>
      </c>
      <c r="H36" s="99">
        <f>G36+'30'!H36</f>
        <v>89730</v>
      </c>
      <c r="I36" s="95"/>
      <c r="J36" s="175">
        <f>H36/DAY(B2)</f>
        <v>2894.516129032258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193788</v>
      </c>
      <c r="F37" s="145">
        <v>195393</v>
      </c>
      <c r="G37" s="112">
        <f t="shared" si="3"/>
        <v>1605</v>
      </c>
      <c r="H37" s="99">
        <f>G37+'30'!H37</f>
        <v>207605</v>
      </c>
      <c r="I37" s="95"/>
      <c r="J37" s="175">
        <f>H37/DAY(B2)</f>
        <v>6696.9354838709678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230731</v>
      </c>
      <c r="F38" s="108">
        <v>232482</v>
      </c>
      <c r="G38" s="112">
        <f t="shared" si="3"/>
        <v>1751</v>
      </c>
      <c r="H38" s="99">
        <f>G38+'30'!H38</f>
        <v>245682</v>
      </c>
      <c r="I38" s="95"/>
      <c r="J38" s="175">
        <f>H38/DAY(B2)</f>
        <v>7925.2258064516127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408317</v>
      </c>
      <c r="F39" s="145">
        <v>411079</v>
      </c>
      <c r="G39" s="112">
        <f t="shared" si="3"/>
        <v>2762</v>
      </c>
      <c r="H39" s="99">
        <f>G39+'30'!H39</f>
        <v>432761</v>
      </c>
      <c r="I39" s="95"/>
      <c r="J39" s="175">
        <f>H39/DAY(B2)</f>
        <v>13960.032258064517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5609</v>
      </c>
      <c r="F40" s="145">
        <v>5610</v>
      </c>
      <c r="G40" s="112">
        <f t="shared" si="3"/>
        <v>1</v>
      </c>
      <c r="H40" s="99">
        <f>G40+'30'!H40</f>
        <v>540.14999999999964</v>
      </c>
      <c r="I40" s="95"/>
      <c r="J40" s="175">
        <f>H40/DAY(B2)</f>
        <v>17.424193548387084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599900</v>
      </c>
      <c r="I41" s="95"/>
      <c r="J41" s="175">
        <f>H41/DAY(B2)</f>
        <v>19351.612903225807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73809</v>
      </c>
      <c r="F42" s="145">
        <v>73809</v>
      </c>
      <c r="G42" s="112">
        <f t="shared" si="3"/>
        <v>0</v>
      </c>
      <c r="H42" s="99">
        <f>G42+'30'!H42</f>
        <v>357660</v>
      </c>
      <c r="I42" s="95"/>
      <c r="J42" s="175">
        <f>H42/DAY(B2)</f>
        <v>11537.41935483871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44654</v>
      </c>
      <c r="F43" s="145">
        <v>47261</v>
      </c>
      <c r="G43" s="112">
        <f t="shared" si="3"/>
        <v>2607</v>
      </c>
      <c r="H43" s="99">
        <f>G43+'30'!H43</f>
        <v>1564680.9999999998</v>
      </c>
      <c r="I43" s="95"/>
      <c r="J43" s="175">
        <f>H43/DAY(B2)</f>
        <v>50473.580645161281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11476</v>
      </c>
      <c r="H47" s="99">
        <f>G47+'30'!H47</f>
        <v>3666601.1499999994</v>
      </c>
      <c r="I47" s="95"/>
      <c r="J47" s="175">
        <f>H47/DAY(B2)</f>
        <v>118277.45645161289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270808</v>
      </c>
      <c r="F49" s="145">
        <v>272240</v>
      </c>
      <c r="G49" s="112">
        <f t="shared" ref="G49:G58" si="4">F49-E49</f>
        <v>1432</v>
      </c>
      <c r="H49" s="99">
        <f>G49+'30'!H49</f>
        <v>285361.00000000006</v>
      </c>
      <c r="I49" s="95"/>
      <c r="J49" s="175">
        <f>H49/DAY(B2)</f>
        <v>9205.1935483870984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23571</v>
      </c>
      <c r="F50" s="145">
        <v>24650</v>
      </c>
      <c r="G50" s="112">
        <f t="shared" si="4"/>
        <v>1079</v>
      </c>
      <c r="H50" s="99">
        <f>G50+'30'!H50</f>
        <v>739075.00000000012</v>
      </c>
      <c r="I50" s="95"/>
      <c r="J50" s="175">
        <f>H50/DAY(B2)</f>
        <v>23841.129032258068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3179</v>
      </c>
      <c r="F54" s="145">
        <v>3183</v>
      </c>
      <c r="G54" s="112">
        <f t="shared" si="4"/>
        <v>4</v>
      </c>
      <c r="H54" s="99">
        <f>G54+'30'!H54</f>
        <v>4950.08</v>
      </c>
      <c r="I54" s="95"/>
      <c r="J54" s="175">
        <f>H54/DAY(B2)</f>
        <v>159.68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v>0</v>
      </c>
      <c r="F55" s="145">
        <v>3511</v>
      </c>
      <c r="G55" s="112">
        <f t="shared" si="4"/>
        <v>3511</v>
      </c>
      <c r="H55" s="99">
        <f>G55+'30'!H55</f>
        <v>2254</v>
      </c>
      <c r="I55" s="95"/>
      <c r="J55" s="175">
        <f>H55/DAY(B2)</f>
        <v>72.709677419354833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212065</v>
      </c>
      <c r="I56" s="95"/>
      <c r="J56" s="175">
        <f>H56/DAY(B2)</f>
        <v>6840.8064516129034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92071</v>
      </c>
      <c r="F58" s="145">
        <v>92285</v>
      </c>
      <c r="G58" s="112">
        <f t="shared" si="4"/>
        <v>214</v>
      </c>
      <c r="H58" s="99">
        <f>G58+'30'!H58</f>
        <v>92625.63</v>
      </c>
      <c r="I58" s="95"/>
      <c r="J58" s="175">
        <f>H58/DAY(B2)</f>
        <v>2987.9235483870971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6240</v>
      </c>
      <c r="H59" s="99">
        <f>G59+'30'!H59</f>
        <v>1336330.7100000004</v>
      </c>
      <c r="I59" s="95">
        <f>G7-G60</f>
        <v>5784</v>
      </c>
      <c r="J59" s="175">
        <f>H59/DAY(B2)</f>
        <v>43107.442258064533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17716</v>
      </c>
      <c r="H60" s="99">
        <f>G60+'30'!H60</f>
        <v>5002931.8600000013</v>
      </c>
      <c r="I60" s="95">
        <f>G13-G60</f>
        <v>784</v>
      </c>
      <c r="J60" s="175">
        <f>H60/DAY(B2)</f>
        <v>161384.89870967745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'30'!F62</f>
        <v>267207</v>
      </c>
      <c r="F62" s="122">
        <v>267213</v>
      </c>
      <c r="G62" s="112">
        <f t="shared" ref="G62:G63" si="5">F62-E62</f>
        <v>6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'30'!F63</f>
        <v>212339</v>
      </c>
      <c r="F63" s="122">
        <v>212425</v>
      </c>
      <c r="G63" s="112">
        <f t="shared" si="5"/>
        <v>86</v>
      </c>
      <c r="H63" s="99">
        <f>G63+'30'!H63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'30'!F64</f>
        <v>0</v>
      </c>
      <c r="F64" s="122"/>
      <c r="G64" s="112">
        <f>G62+G63</f>
        <v>92</v>
      </c>
      <c r="H64" s="99">
        <f>G64+'30'!H64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'30'!F65</f>
        <v>432520</v>
      </c>
      <c r="F65" s="122">
        <v>432614</v>
      </c>
      <c r="G65" s="112">
        <f t="shared" ref="G65:G70" si="6">F65-E65</f>
        <v>94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'30'!F66</f>
        <v>107195</v>
      </c>
      <c r="F66" s="122">
        <v>107214</v>
      </c>
      <c r="G66" s="112">
        <f t="shared" si="6"/>
        <v>19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'30'!F67</f>
        <v>103897</v>
      </c>
      <c r="F67" s="122">
        <v>103928</v>
      </c>
      <c r="G67" s="112">
        <f t="shared" si="6"/>
        <v>31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'30'!F68</f>
        <v>156596</v>
      </c>
      <c r="F68" s="122">
        <v>156620</v>
      </c>
      <c r="G68" s="112">
        <f t="shared" si="6"/>
        <v>24</v>
      </c>
      <c r="H68" s="99">
        <f>G68+'30'!H68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'30'!F69</f>
        <v>10206</v>
      </c>
      <c r="F69" s="122">
        <v>10214</v>
      </c>
      <c r="G69" s="112">
        <f t="shared" si="6"/>
        <v>8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'30'!F70</f>
        <v>7855</v>
      </c>
      <c r="F70" s="122">
        <v>7862</v>
      </c>
      <c r="G70" s="112">
        <f t="shared" si="6"/>
        <v>7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95">
        <f>'30'!F71</f>
        <v>0</v>
      </c>
      <c r="F71" s="152"/>
      <c r="G71" s="153">
        <f>SUM(G65:G70)</f>
        <v>183</v>
      </c>
      <c r="H71" s="99">
        <f>G71+'30'!H71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'30'!F74</f>
        <v>891763</v>
      </c>
      <c r="F74" s="123">
        <v>892032</v>
      </c>
      <c r="G74" s="112">
        <f t="shared" ref="G74:G78" si="7">F74-E74</f>
        <v>269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243.88999999999942</v>
      </c>
      <c r="I75" s="154"/>
      <c r="J75" s="175">
        <f>H75/DAY(B2)</f>
        <v>7.8674193548386908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'30'!F76</f>
        <v>167093</v>
      </c>
      <c r="F76" s="123">
        <v>167207</v>
      </c>
      <c r="G76" s="112">
        <f t="shared" si="7"/>
        <v>114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'30'!F77</f>
        <v>40267</v>
      </c>
      <c r="F77" s="496">
        <v>40316</v>
      </c>
      <c r="G77" s="112">
        <f t="shared" si="7"/>
        <v>49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'30'!F78</f>
        <v>9482</v>
      </c>
      <c r="F78" s="123">
        <v>9486</v>
      </c>
      <c r="G78" s="112">
        <f t="shared" si="7"/>
        <v>4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'30'!F79</f>
        <v>0</v>
      </c>
      <c r="F79" s="123"/>
      <c r="G79" s="112">
        <f>G15-SUM(G74:G78)</f>
        <v>664</v>
      </c>
      <c r="H79" s="99">
        <f>G79+'30'!H79</f>
        <v>32125.109999999997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-77</v>
      </c>
      <c r="I82" s="118"/>
      <c r="J82" s="175">
        <f>H82/DAY(B2)</f>
        <v>-2.4838709677419355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'30'!F85</f>
        <v>2096.56</v>
      </c>
      <c r="F85" s="164">
        <v>2096.56</v>
      </c>
      <c r="G85" s="112">
        <f t="shared" si="8"/>
        <v>0</v>
      </c>
      <c r="H85" s="99">
        <f>G85+'30'!H85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'30'!F86</f>
        <v>42839</v>
      </c>
      <c r="F86" s="164">
        <v>42863</v>
      </c>
      <c r="G86" s="112">
        <f t="shared" si="8"/>
        <v>24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'30'!F87</f>
        <v>34598.550000000003</v>
      </c>
      <c r="F87" s="164">
        <v>34598.550000000003</v>
      </c>
      <c r="G87" s="112">
        <f t="shared" si="8"/>
        <v>0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'30'!F88</f>
        <v>24041</v>
      </c>
      <c r="F88" s="164">
        <v>24047</v>
      </c>
      <c r="G88" s="112">
        <f t="shared" si="8"/>
        <v>6</v>
      </c>
      <c r="H88" s="99">
        <f>G88+'30'!H88</f>
        <v>0</v>
      </c>
      <c r="I88" s="118">
        <f>G86+G87+G88</f>
        <v>30</v>
      </c>
      <c r="J88" s="175">
        <f>H88/DAY(B2)</f>
        <v>0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'30'!F89</f>
        <v>25661</v>
      </c>
      <c r="F89" s="164">
        <v>25663</v>
      </c>
      <c r="G89" s="112">
        <f t="shared" si="8"/>
        <v>2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'30'!F90</f>
        <v>71027</v>
      </c>
      <c r="F90" s="164">
        <v>71034</v>
      </c>
      <c r="G90" s="112">
        <f>F90-E90</f>
        <v>7</v>
      </c>
      <c r="H90" s="99">
        <f>G90+'30'!H90</f>
        <v>46</v>
      </c>
      <c r="I90" s="118">
        <f>G89+G90</f>
        <v>9</v>
      </c>
      <c r="J90" s="175">
        <f>H90/DAY(B2)</f>
        <v>1.4838709677419355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'30'!F92</f>
        <v>5429</v>
      </c>
      <c r="F92" s="122">
        <v>5438</v>
      </c>
      <c r="G92" s="112">
        <f t="shared" si="8"/>
        <v>9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5932</v>
      </c>
      <c r="H94" s="99">
        <f>G94+'30'!H94</f>
        <v>2018084</v>
      </c>
      <c r="I94" s="118"/>
      <c r="J94" s="175">
        <f>H94/DAY(B2)</f>
        <v>65099.483870967742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0.25242553191489364</v>
      </c>
      <c r="H95" s="99">
        <f>G95+'30'!H95</f>
        <v>86.279277104472385</v>
      </c>
      <c r="I95" s="167"/>
      <c r="J95" s="175">
        <f>H95/DAY(B2)</f>
        <v>2.7832024872410446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3511</v>
      </c>
      <c r="H96" s="99">
        <f>G96+'30'!H96</f>
        <v>1171879</v>
      </c>
      <c r="I96" s="118"/>
      <c r="J96" s="175">
        <f>H96/DAY(B2)</f>
        <v>37802.548387096773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0.14940425531914894</v>
      </c>
      <c r="H97" s="99">
        <f>G97+'30'!H97</f>
        <v>50.064555586407245</v>
      </c>
      <c r="I97" s="167"/>
      <c r="J97" s="175">
        <f>H97/DAY(B2)</f>
        <v>1.614985664077653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2762</v>
      </c>
      <c r="H98" s="99">
        <f>G98+'30'!H98</f>
        <v>432761</v>
      </c>
      <c r="I98" s="168"/>
      <c r="J98" s="175">
        <f>H98/DAY(B2)</f>
        <v>13960.032258064517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0.11753191489361701</v>
      </c>
      <c r="H99" s="99">
        <f>G99+'30'!H99</f>
        <v>18.601921696756232</v>
      </c>
      <c r="I99" s="168"/>
      <c r="J99" s="175">
        <f>H99/DAY(B2)</f>
        <v>0.60006199021794293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1751</v>
      </c>
      <c r="H100" s="99">
        <f>G100+'30'!H100</f>
        <v>245682</v>
      </c>
      <c r="I100" s="118"/>
      <c r="J100" s="175">
        <f>H100/DAY(B2)</f>
        <v>7925.2258064516127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7.4510638297872342E-2</v>
      </c>
      <c r="H101" s="99">
        <f>G101+'30'!H101</f>
        <v>10.56576034391404</v>
      </c>
      <c r="I101" s="168"/>
      <c r="J101" s="175">
        <f>H101/DAY(B2)</f>
        <v>0.34083097883593677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1936</v>
      </c>
      <c r="H102" s="99">
        <f>G102+'30'!H102</f>
        <v>828804.99999999988</v>
      </c>
      <c r="I102" s="168"/>
      <c r="J102" s="175">
        <f>H102/DAY(B2)</f>
        <v>26735.645161290318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8.2382978723404249E-2</v>
      </c>
      <c r="H103" s="99">
        <f>G103+'30'!H103</f>
        <v>35.393495151506606</v>
      </c>
      <c r="I103" s="118"/>
      <c r="J103" s="175">
        <f>H103/DAY(B2)</f>
        <v>1.1417256500486002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1605</v>
      </c>
      <c r="H104" s="99">
        <f>G104+'30'!H104</f>
        <v>207605</v>
      </c>
      <c r="I104" s="118"/>
      <c r="J104" s="175">
        <f>H104/DAY(B2)</f>
        <v>6696.9354838709678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6.8297872340425531E-2</v>
      </c>
      <c r="H105" s="99">
        <f>G105+'30'!H105</f>
        <v>8.9393659644934118</v>
      </c>
      <c r="I105" s="187"/>
      <c r="J105" s="188">
        <f>H105/DAY(B2)</f>
        <v>0.2883666440159165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'30'!F112</f>
        <v>55612</v>
      </c>
      <c r="F112" s="237">
        <v>55681</v>
      </c>
      <c r="G112" s="112">
        <f t="shared" ref="G112:G123" si="9">F112-E112</f>
        <v>69</v>
      </c>
      <c r="H112" s="99">
        <f>G112+'30'!H112</f>
        <v>7739.4500000000044</v>
      </c>
      <c r="I112" s="165"/>
      <c r="J112" s="330">
        <f>H112/DAY(B2)</f>
        <v>249.65967741935498</v>
      </c>
    </row>
    <row r="113" spans="1:18" ht="27.75" x14ac:dyDescent="0.5">
      <c r="A113" s="835" t="s">
        <v>253</v>
      </c>
      <c r="B113" s="836"/>
      <c r="C113" s="837"/>
      <c r="D113" s="146" t="s">
        <v>183</v>
      </c>
      <c r="E113" s="95">
        <f>'30'!F113</f>
        <v>31737</v>
      </c>
      <c r="F113" s="237">
        <v>32195</v>
      </c>
      <c r="G113" s="112">
        <f t="shared" si="9"/>
        <v>458</v>
      </c>
      <c r="H113" s="99">
        <f>G113+'30'!H113</f>
        <v>0</v>
      </c>
      <c r="I113" s="165"/>
      <c r="J113" s="330">
        <f>H113/DAY(B2)</f>
        <v>0</v>
      </c>
    </row>
    <row r="114" spans="1:18" ht="27.75" x14ac:dyDescent="0.5">
      <c r="A114" s="835" t="s">
        <v>254</v>
      </c>
      <c r="B114" s="836"/>
      <c r="C114" s="837"/>
      <c r="D114" s="146" t="s">
        <v>183</v>
      </c>
      <c r="E114" s="95">
        <f>'30'!F114</f>
        <v>24596</v>
      </c>
      <c r="F114" s="237">
        <v>24871</v>
      </c>
      <c r="G114" s="112">
        <f t="shared" si="9"/>
        <v>275</v>
      </c>
      <c r="H114" s="99">
        <f>G114+'30'!H114</f>
        <v>-157.18000000000211</v>
      </c>
      <c r="I114" s="165"/>
      <c r="J114" s="330">
        <f>H114/DAY(B2)</f>
        <v>-5.0703225806452297</v>
      </c>
    </row>
    <row r="115" spans="1:18" ht="27.75" x14ac:dyDescent="0.5">
      <c r="A115" s="835" t="s">
        <v>255</v>
      </c>
      <c r="B115" s="836"/>
      <c r="C115" s="837"/>
      <c r="D115" s="146" t="s">
        <v>183</v>
      </c>
      <c r="E115" s="95">
        <f>'30'!F115</f>
        <v>8774</v>
      </c>
      <c r="F115" s="237">
        <v>8785</v>
      </c>
      <c r="G115" s="112">
        <f t="shared" si="9"/>
        <v>11</v>
      </c>
      <c r="H115" s="99">
        <f>G115+'30'!H115</f>
        <v>0</v>
      </c>
      <c r="I115" s="165"/>
      <c r="J115" s="330">
        <f>H115/DAY(B2)</f>
        <v>0</v>
      </c>
    </row>
    <row r="116" spans="1:18" ht="27.75" x14ac:dyDescent="0.5">
      <c r="A116" s="842" t="s">
        <v>96</v>
      </c>
      <c r="B116" s="843"/>
      <c r="C116" s="844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30">
        <f>H116/DAY(B2)</f>
        <v>0</v>
      </c>
      <c r="Q116" s="835"/>
      <c r="R116" s="837"/>
    </row>
    <row r="117" spans="1:18" ht="27.75" x14ac:dyDescent="0.5">
      <c r="A117" s="842" t="s">
        <v>184</v>
      </c>
      <c r="B117" s="843"/>
      <c r="C117" s="844"/>
      <c r="D117" s="146" t="s">
        <v>183</v>
      </c>
      <c r="E117" s="95">
        <f>'30'!F117</f>
        <v>2569</v>
      </c>
      <c r="F117" s="237">
        <v>2590</v>
      </c>
      <c r="G117" s="112">
        <f t="shared" si="9"/>
        <v>21</v>
      </c>
      <c r="H117" s="99">
        <f>G117+'30'!H117</f>
        <v>0</v>
      </c>
      <c r="I117" s="165"/>
      <c r="J117" s="330">
        <f>H117/DAY(B2)</f>
        <v>0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'30'!F118</f>
        <v>241294</v>
      </c>
      <c r="F118" s="237">
        <v>241647</v>
      </c>
      <c r="G118" s="112">
        <f t="shared" si="9"/>
        <v>353</v>
      </c>
      <c r="H118" s="99">
        <f>G118+'30'!H118</f>
        <v>0</v>
      </c>
      <c r="I118" s="165"/>
      <c r="J118" s="330">
        <f>H118/DAY(B2)</f>
        <v>0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'30'!F119</f>
        <v>244702</v>
      </c>
      <c r="F119" s="237">
        <v>245126</v>
      </c>
      <c r="G119" s="112">
        <f t="shared" si="9"/>
        <v>424</v>
      </c>
      <c r="H119" s="99">
        <f>G119+'30'!H119</f>
        <v>0</v>
      </c>
      <c r="I119" s="165"/>
      <c r="J119" s="330">
        <f>H119/DAY(B2)</f>
        <v>0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'30'!F120</f>
        <v>29665</v>
      </c>
      <c r="F120" s="237">
        <v>30078</v>
      </c>
      <c r="G120" s="112">
        <f t="shared" si="9"/>
        <v>413</v>
      </c>
      <c r="H120" s="99">
        <f>G120+'30'!H120</f>
        <v>0</v>
      </c>
      <c r="I120" s="165"/>
      <c r="J120" s="330">
        <f>H120/DAY(B2)</f>
        <v>0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'30'!F121</f>
        <v>375730</v>
      </c>
      <c r="F121" s="237">
        <v>376529</v>
      </c>
      <c r="G121" s="112">
        <f t="shared" si="9"/>
        <v>799</v>
      </c>
      <c r="H121" s="99">
        <f>G121+'30'!H121</f>
        <v>0</v>
      </c>
      <c r="I121" s="165"/>
      <c r="J121" s="330">
        <f>H121/DAY(B2)</f>
        <v>0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'30'!F122</f>
        <v>119804</v>
      </c>
      <c r="F122" s="237">
        <v>120050</v>
      </c>
      <c r="G122" s="112">
        <f t="shared" si="9"/>
        <v>246</v>
      </c>
      <c r="H122" s="99">
        <f>G122+'30'!H122</f>
        <v>0</v>
      </c>
      <c r="I122" s="165"/>
      <c r="J122" s="330">
        <f>H122/DAY(B2)</f>
        <v>0</v>
      </c>
    </row>
    <row r="123" spans="1:18" ht="27.75" x14ac:dyDescent="0.5">
      <c r="A123" s="834" t="s">
        <v>348</v>
      </c>
      <c r="B123" s="834"/>
      <c r="C123" s="834"/>
      <c r="D123" s="151" t="s">
        <v>183</v>
      </c>
      <c r="E123" s="95">
        <f>'30'!F123</f>
        <v>144787</v>
      </c>
      <c r="F123" s="237">
        <v>145125</v>
      </c>
      <c r="G123" s="112">
        <f t="shared" si="9"/>
        <v>338</v>
      </c>
      <c r="H123" s="99">
        <f>G123+'30'!H123</f>
        <v>0</v>
      </c>
      <c r="I123" s="165"/>
      <c r="J123" s="330">
        <f>H123/DAY(B2)</f>
        <v>0</v>
      </c>
    </row>
    <row r="124" spans="1:18" ht="27.75" x14ac:dyDescent="0.5">
      <c r="A124" s="839"/>
      <c r="B124" s="840"/>
      <c r="C124" s="841"/>
      <c r="D124" s="165"/>
      <c r="E124" s="95">
        <f>'30'!F124</f>
        <v>0</v>
      </c>
      <c r="F124" s="165"/>
      <c r="G124" s="329"/>
      <c r="H124" s="99">
        <f>G124+'30'!H124</f>
        <v>0</v>
      </c>
      <c r="I124" s="165"/>
      <c r="J124" s="329"/>
    </row>
    <row r="125" spans="1:18" ht="27.75" x14ac:dyDescent="0.5">
      <c r="A125" s="819" t="s">
        <v>196</v>
      </c>
      <c r="B125" s="920"/>
      <c r="C125" s="820"/>
      <c r="D125" s="307"/>
      <c r="E125" s="308"/>
      <c r="F125" s="308"/>
      <c r="G125" s="309">
        <f>SUM(G112:G124)</f>
        <v>3407</v>
      </c>
      <c r="H125" s="156"/>
      <c r="I125" s="329">
        <f>G125-(G39+G53)</f>
        <v>645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G127+'30'!H127</f>
        <v>0</v>
      </c>
      <c r="I127" s="165"/>
      <c r="J127" s="330">
        <f>H127/DAY(B2)</f>
        <v>0</v>
      </c>
    </row>
    <row r="128" spans="1:18" ht="27.75" x14ac:dyDescent="0.5">
      <c r="A128" s="835" t="s">
        <v>318</v>
      </c>
      <c r="B128" s="836"/>
      <c r="C128" s="837"/>
      <c r="D128" s="151" t="s">
        <v>183</v>
      </c>
      <c r="E128" s="95">
        <f>'30'!F128</f>
        <v>37627</v>
      </c>
      <c r="F128" s="165">
        <v>38004</v>
      </c>
      <c r="G128" s="112">
        <f t="shared" ref="G128:G134" si="10">F128-E128</f>
        <v>377</v>
      </c>
      <c r="H128" s="99">
        <f>G128+'30'!H128</f>
        <v>0</v>
      </c>
      <c r="I128" s="165"/>
      <c r="J128" s="330">
        <f>H128/DAY(B2)</f>
        <v>0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'30'!F129</f>
        <v>20114</v>
      </c>
      <c r="F129" s="165">
        <v>20321</v>
      </c>
      <c r="G129" s="112">
        <f t="shared" si="10"/>
        <v>207</v>
      </c>
      <c r="H129" s="99">
        <f>G129+'30'!H129</f>
        <v>0</v>
      </c>
      <c r="I129" s="165"/>
      <c r="J129" s="330">
        <f>H129/DAY(B2)</f>
        <v>0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'30'!F130</f>
        <v>17602</v>
      </c>
      <c r="F130" s="165">
        <v>18382</v>
      </c>
      <c r="G130" s="112">
        <f t="shared" si="10"/>
        <v>780</v>
      </c>
      <c r="H130" s="99">
        <f>G130+'30'!H130</f>
        <v>-1.8189894035458565E-12</v>
      </c>
      <c r="I130" s="165"/>
      <c r="J130" s="330">
        <f>H130/DAY(B2)</f>
        <v>-5.8677077533737304E-14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'30'!F131</f>
        <v>13076</v>
      </c>
      <c r="F131" s="165">
        <v>13153</v>
      </c>
      <c r="G131" s="112">
        <f t="shared" si="10"/>
        <v>77</v>
      </c>
      <c r="H131" s="99">
        <f>G131+'30'!H131</f>
        <v>0</v>
      </c>
      <c r="I131" s="165"/>
      <c r="J131" s="330">
        <f>H131/DAY(B2)</f>
        <v>0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'30'!F132</f>
        <v>40577</v>
      </c>
      <c r="F132" s="165">
        <v>41023</v>
      </c>
      <c r="G132" s="112">
        <f t="shared" si="10"/>
        <v>446</v>
      </c>
      <c r="H132" s="99">
        <f>G132+'30'!H132</f>
        <v>-1613.1200000000026</v>
      </c>
      <c r="I132" s="165"/>
      <c r="J132" s="330">
        <f>H132/DAY(B2)</f>
        <v>-52.036129032258152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'30'!F133</f>
        <v>87056</v>
      </c>
      <c r="F133" s="165">
        <v>87703</v>
      </c>
      <c r="G133" s="112">
        <f t="shared" si="10"/>
        <v>647</v>
      </c>
      <c r="H133" s="99">
        <f>G133+'30'!H133</f>
        <v>0</v>
      </c>
      <c r="I133" s="165"/>
      <c r="J133" s="330">
        <f>H133/DAY(B2)</f>
        <v>0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'30'!F134</f>
        <v>668262</v>
      </c>
      <c r="F134" s="165">
        <v>668880</v>
      </c>
      <c r="G134" s="112">
        <f t="shared" si="10"/>
        <v>618</v>
      </c>
      <c r="H134" s="99">
        <f>G134+'30'!H134</f>
        <v>17746</v>
      </c>
      <c r="I134" s="165"/>
      <c r="J134" s="330">
        <f>H134/DAY(B2)</f>
        <v>572.45161290322585</v>
      </c>
    </row>
    <row r="135" spans="1:15" ht="27.75" x14ac:dyDescent="0.5">
      <c r="A135" s="819" t="s">
        <v>196</v>
      </c>
      <c r="B135" s="920"/>
      <c r="C135" s="820"/>
      <c r="D135" s="151"/>
      <c r="E135" s="95"/>
      <c r="F135" s="165"/>
      <c r="G135" s="112">
        <f>SUM(G128:G134)</f>
        <v>3152</v>
      </c>
      <c r="H135" s="99">
        <f>G135+'23'!H135</f>
        <v>-41796.71</v>
      </c>
      <c r="I135" s="329">
        <f>G135-(G35+G49)</f>
        <v>-173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'30'!F138</f>
        <v>864069</v>
      </c>
      <c r="F138" s="147">
        <v>864171</v>
      </c>
      <c r="G138" s="112">
        <f t="shared" ref="G138:G152" si="11">F138-E138</f>
        <v>102</v>
      </c>
      <c r="H138" s="99">
        <f>G138+'30'!H138</f>
        <v>0</v>
      </c>
      <c r="I138" s="118"/>
      <c r="J138" s="330">
        <f>H138/DAY(B2)</f>
        <v>0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'30'!F139</f>
        <v>886546</v>
      </c>
      <c r="F139" s="148">
        <v>886546</v>
      </c>
      <c r="G139" s="112">
        <f t="shared" si="11"/>
        <v>0</v>
      </c>
      <c r="H139" s="99">
        <f>G139+'30'!H139</f>
        <v>0</v>
      </c>
      <c r="I139" s="118"/>
      <c r="J139" s="330">
        <f>H139/DAY(B2)</f>
        <v>0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'30'!F140</f>
        <v>88882</v>
      </c>
      <c r="F140" s="149">
        <v>88882</v>
      </c>
      <c r="G140" s="112">
        <f t="shared" si="11"/>
        <v>0</v>
      </c>
      <c r="H140" s="99">
        <f>G140+'30'!H140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'30'!F141</f>
        <v>49098</v>
      </c>
      <c r="F141" s="149">
        <v>49306</v>
      </c>
      <c r="G141" s="112">
        <f t="shared" si="11"/>
        <v>208</v>
      </c>
      <c r="H141" s="99">
        <f>G141+'30'!H141</f>
        <v>0</v>
      </c>
      <c r="I141" s="118"/>
      <c r="J141" s="330">
        <f>H141/DAY(B2)</f>
        <v>0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'30'!F142</f>
        <v>18931</v>
      </c>
      <c r="F142" s="148">
        <v>19009</v>
      </c>
      <c r="G142" s="112">
        <f t="shared" si="11"/>
        <v>78</v>
      </c>
      <c r="H142" s="99">
        <f>G142+'30'!H142</f>
        <v>0</v>
      </c>
      <c r="I142" s="140"/>
      <c r="J142" s="330">
        <f>H142/DAY(B2)</f>
        <v>0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'30'!F143</f>
        <v>3040</v>
      </c>
      <c r="F143" s="149">
        <v>3061</v>
      </c>
      <c r="G143" s="112">
        <f t="shared" si="11"/>
        <v>21</v>
      </c>
      <c r="H143" s="99">
        <f>G143+'30'!H143</f>
        <v>0</v>
      </c>
      <c r="I143" s="140"/>
      <c r="J143" s="330">
        <f>H143/DAY(B2)</f>
        <v>0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'30'!F144</f>
        <v>869441</v>
      </c>
      <c r="F144" s="149">
        <v>869670</v>
      </c>
      <c r="G144" s="112">
        <f t="shared" si="11"/>
        <v>229</v>
      </c>
      <c r="H144" s="99">
        <f>G144+'30'!H144</f>
        <v>0</v>
      </c>
      <c r="I144" s="140"/>
      <c r="J144" s="330">
        <f>H144/DAY(B2)</f>
        <v>0</v>
      </c>
    </row>
    <row r="145" spans="1:11" ht="27.75" x14ac:dyDescent="0.5">
      <c r="A145" s="834" t="s">
        <v>190</v>
      </c>
      <c r="B145" s="834"/>
      <c r="C145" s="834"/>
      <c r="D145" s="152" t="s">
        <v>183</v>
      </c>
      <c r="E145" s="95">
        <f>'30'!F145</f>
        <v>4544</v>
      </c>
      <c r="F145" s="149">
        <v>4558</v>
      </c>
      <c r="G145" s="112">
        <f t="shared" si="11"/>
        <v>14</v>
      </c>
      <c r="H145" s="99">
        <f>G145+'30'!H145</f>
        <v>0</v>
      </c>
      <c r="I145" s="140"/>
      <c r="J145" s="330">
        <f>H145/DAY(B2)</f>
        <v>0</v>
      </c>
    </row>
    <row r="146" spans="1:11" ht="27.75" x14ac:dyDescent="0.5">
      <c r="A146" s="869" t="s">
        <v>191</v>
      </c>
      <c r="B146" s="854"/>
      <c r="C146" s="855"/>
      <c r="D146" s="152" t="s">
        <v>183</v>
      </c>
      <c r="E146" s="95">
        <f>'30'!F146</f>
        <v>724396</v>
      </c>
      <c r="F146" s="148">
        <v>724858</v>
      </c>
      <c r="G146" s="112">
        <f t="shared" si="11"/>
        <v>462</v>
      </c>
      <c r="H146" s="99">
        <f>G146+'30'!H146</f>
        <v>0</v>
      </c>
      <c r="I146" s="140"/>
      <c r="J146" s="330">
        <f>H146/DAY(B2)</f>
        <v>0</v>
      </c>
    </row>
    <row r="147" spans="1:11" ht="27.75" x14ac:dyDescent="0.5">
      <c r="A147" s="815" t="s">
        <v>192</v>
      </c>
      <c r="B147" s="815"/>
      <c r="C147" s="815"/>
      <c r="D147" s="152" t="s">
        <v>183</v>
      </c>
      <c r="E147" s="95">
        <f>'30'!F147</f>
        <v>614855</v>
      </c>
      <c r="F147" s="148">
        <v>615282</v>
      </c>
      <c r="G147" s="112">
        <f t="shared" si="11"/>
        <v>427</v>
      </c>
      <c r="H147" s="99">
        <f>G147+'30'!H147</f>
        <v>0</v>
      </c>
      <c r="I147" s="140"/>
      <c r="J147" s="330">
        <f>H147/DAY(B2)</f>
        <v>0</v>
      </c>
    </row>
    <row r="148" spans="1:11" ht="27.75" x14ac:dyDescent="0.5">
      <c r="A148" s="816" t="s">
        <v>193</v>
      </c>
      <c r="B148" s="817"/>
      <c r="C148" s="818"/>
      <c r="D148" s="123" t="s">
        <v>130</v>
      </c>
      <c r="E148" s="95">
        <f>'30'!F148</f>
        <v>682733</v>
      </c>
      <c r="F148" s="150">
        <v>683033.12</v>
      </c>
      <c r="G148" s="112">
        <f t="shared" si="11"/>
        <v>300.11999999999534</v>
      </c>
      <c r="H148" s="99">
        <f>G148+'30'!H148</f>
        <v>0</v>
      </c>
      <c r="I148" s="124"/>
      <c r="J148" s="330">
        <f>H148/DAY(B2)</f>
        <v>0</v>
      </c>
    </row>
    <row r="149" spans="1:11" ht="27.75" x14ac:dyDescent="0.5">
      <c r="A149" s="816" t="s">
        <v>336</v>
      </c>
      <c r="B149" s="817"/>
      <c r="C149" s="818"/>
      <c r="D149" s="227" t="s">
        <v>130</v>
      </c>
      <c r="E149" s="95">
        <f>'30'!F149</f>
        <v>10367</v>
      </c>
      <c r="F149" s="146">
        <v>10749</v>
      </c>
      <c r="G149" s="112">
        <f t="shared" si="11"/>
        <v>382</v>
      </c>
      <c r="H149" s="99">
        <f>G149+'30'!H149</f>
        <v>187240.00000000003</v>
      </c>
      <c r="I149" s="119"/>
      <c r="J149" s="330">
        <f>H149/DAY(B2)</f>
        <v>6040.0000000000009</v>
      </c>
    </row>
    <row r="150" spans="1:11" ht="27.75" x14ac:dyDescent="0.5">
      <c r="A150" s="816" t="s">
        <v>337</v>
      </c>
      <c r="B150" s="817"/>
      <c r="C150" s="818"/>
      <c r="D150" s="117" t="s">
        <v>130</v>
      </c>
      <c r="E150" s="95">
        <f>'30'!F150</f>
        <v>3832</v>
      </c>
      <c r="F150" s="233">
        <v>4052</v>
      </c>
      <c r="G150" s="112">
        <f t="shared" si="11"/>
        <v>220</v>
      </c>
      <c r="H150" s="99">
        <f>G150+'30'!H150</f>
        <v>7167040</v>
      </c>
      <c r="I150" s="119"/>
      <c r="J150" s="330">
        <f>H150/DAY(B2)</f>
        <v>231194.83870967742</v>
      </c>
    </row>
    <row r="151" spans="1:11" ht="27.75" x14ac:dyDescent="0.5">
      <c r="A151" s="816" t="s">
        <v>338</v>
      </c>
      <c r="B151" s="817"/>
      <c r="C151" s="818"/>
      <c r="D151" s="117" t="s">
        <v>130</v>
      </c>
      <c r="E151" s="95">
        <f>'30'!F151</f>
        <v>77944</v>
      </c>
      <c r="F151" s="233">
        <v>78217</v>
      </c>
      <c r="G151" s="112">
        <f t="shared" si="11"/>
        <v>273</v>
      </c>
      <c r="H151" s="99">
        <f>G151+'30'!H151</f>
        <v>0</v>
      </c>
      <c r="I151" s="119"/>
      <c r="J151" s="330">
        <f>H151/DAY(B2)</f>
        <v>0</v>
      </c>
    </row>
    <row r="152" spans="1:11" ht="27.75" x14ac:dyDescent="0.5">
      <c r="A152" s="816" t="s">
        <v>339</v>
      </c>
      <c r="B152" s="817"/>
      <c r="C152" s="818"/>
      <c r="D152" s="117" t="s">
        <v>130</v>
      </c>
      <c r="E152" s="95">
        <f>'30'!F152</f>
        <v>1077</v>
      </c>
      <c r="F152" s="233">
        <v>1127</v>
      </c>
      <c r="G152" s="112">
        <f t="shared" si="11"/>
        <v>50</v>
      </c>
      <c r="H152" s="99">
        <f>G152+'30'!H152</f>
        <v>0</v>
      </c>
      <c r="I152" s="119"/>
      <c r="J152" s="330">
        <f>H152/DAY(B2)</f>
        <v>0</v>
      </c>
    </row>
    <row r="153" spans="1:11" ht="27.75" x14ac:dyDescent="0.5">
      <c r="A153" s="819" t="s">
        <v>196</v>
      </c>
      <c r="B153" s="920"/>
      <c r="C153" s="820"/>
      <c r="D153" s="360"/>
      <c r="E153" s="362"/>
      <c r="F153" s="363"/>
      <c r="G153" s="364">
        <f>SUM(G138:G152)</f>
        <v>2766.1199999999953</v>
      </c>
      <c r="H153" s="365"/>
      <c r="I153" s="119">
        <f>G153-(G38+G52)</f>
        <v>1015.1199999999953</v>
      </c>
      <c r="J153" s="368"/>
    </row>
    <row r="154" spans="1:11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1" ht="31.5" x14ac:dyDescent="0.55000000000000004">
      <c r="A155" s="815" t="s">
        <v>345</v>
      </c>
      <c r="B155" s="815"/>
      <c r="C155" s="815"/>
      <c r="D155" s="117" t="s">
        <v>130</v>
      </c>
      <c r="E155" s="95">
        <f>'30'!F155</f>
        <v>12107</v>
      </c>
      <c r="F155" s="366">
        <v>12792</v>
      </c>
      <c r="G155" s="112">
        <f t="shared" ref="G155:G158" si="12">F155-E155</f>
        <v>685</v>
      </c>
      <c r="H155" s="99">
        <f>G155+'30'!H155</f>
        <v>76937</v>
      </c>
      <c r="I155" s="366"/>
      <c r="J155" s="330">
        <f>H155/DAY(B2)</f>
        <v>2481.8387096774195</v>
      </c>
    </row>
    <row r="156" spans="1:11" ht="27.75" x14ac:dyDescent="0.5">
      <c r="A156" s="815" t="s">
        <v>347</v>
      </c>
      <c r="B156" s="815"/>
      <c r="C156" s="815"/>
      <c r="D156" s="117" t="s">
        <v>130</v>
      </c>
      <c r="E156" s="95">
        <f>'30'!F156</f>
        <v>979</v>
      </c>
      <c r="F156" s="155">
        <v>1034</v>
      </c>
      <c r="G156" s="112">
        <f t="shared" si="12"/>
        <v>55</v>
      </c>
      <c r="H156" s="99">
        <f>G156+'30'!H156</f>
        <v>-53.999999999999886</v>
      </c>
      <c r="I156" s="165"/>
      <c r="J156" s="330">
        <f>H156/DAY(B2)</f>
        <v>-1.741935483870964</v>
      </c>
    </row>
    <row r="157" spans="1:11" ht="27.75" x14ac:dyDescent="0.5">
      <c r="A157" s="816" t="s">
        <v>364</v>
      </c>
      <c r="B157" s="817"/>
      <c r="C157" s="818"/>
      <c r="D157" s="117" t="s">
        <v>130</v>
      </c>
      <c r="E157" s="95">
        <f>'30'!F157</f>
        <v>1169</v>
      </c>
      <c r="F157" s="95">
        <v>1236</v>
      </c>
      <c r="G157" s="112">
        <f t="shared" si="12"/>
        <v>67</v>
      </c>
      <c r="H157" s="99">
        <f>G157+'30'!H157</f>
        <v>67</v>
      </c>
      <c r="I157" s="99"/>
      <c r="J157" s="165"/>
      <c r="K157" s="330"/>
    </row>
    <row r="158" spans="1:11" ht="27.75" x14ac:dyDescent="0.5">
      <c r="A158" s="816" t="s">
        <v>365</v>
      </c>
      <c r="B158" s="817"/>
      <c r="C158" s="818"/>
      <c r="D158" s="117" t="s">
        <v>130</v>
      </c>
      <c r="E158" s="95">
        <f>'30'!F158</f>
        <v>7.76</v>
      </c>
      <c r="F158" s="155">
        <v>7.83</v>
      </c>
      <c r="G158" s="112">
        <f t="shared" si="12"/>
        <v>7.0000000000000284E-2</v>
      </c>
      <c r="H158" s="99">
        <f>G158+'30'!H158</f>
        <v>7.0000000000000284E-2</v>
      </c>
      <c r="I158" s="165"/>
      <c r="J158" s="330"/>
    </row>
    <row r="159" spans="1:11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1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471153</v>
      </c>
      <c r="F161" s="235">
        <v>471163.16</v>
      </c>
      <c r="G161" s="238">
        <f t="shared" ref="G161:G165" si="13">F161-E161</f>
        <v>10.159999999974389</v>
      </c>
      <c r="H161" s="99">
        <f>G161+'30'!H161</f>
        <v>10</v>
      </c>
      <c r="I161" s="236"/>
      <c r="J161" s="239">
        <f>H161/DAY(B2)</f>
        <v>0.32258064516129031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87545</v>
      </c>
      <c r="F162" s="235">
        <v>87570</v>
      </c>
      <c r="G162" s="238">
        <f t="shared" si="13"/>
        <v>25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77791</v>
      </c>
      <c r="F163" s="235">
        <v>77825</v>
      </c>
      <c r="G163" s="238">
        <f t="shared" si="13"/>
        <v>34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4242</v>
      </c>
      <c r="F164" s="235">
        <v>4242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29641</v>
      </c>
      <c r="F165" s="235">
        <v>29646</v>
      </c>
      <c r="G165" s="238">
        <f t="shared" si="13"/>
        <v>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824"/>
      <c r="B166" s="824"/>
      <c r="C166" s="246"/>
      <c r="D166" s="244" t="s">
        <v>180</v>
      </c>
      <c r="E166" s="95">
        <f>'30'!F166</f>
        <v>0</v>
      </c>
      <c r="F166" s="165"/>
      <c r="G166" s="165"/>
      <c r="H166" s="99">
        <f>G166+'30'!H166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'30'!F167</f>
        <v>0</v>
      </c>
      <c r="F167" s="165"/>
      <c r="G167" s="165"/>
      <c r="H167" s="99">
        <f>G167+'30'!H167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'30'!F168</f>
        <v>0</v>
      </c>
      <c r="F168" s="165"/>
      <c r="G168" s="165"/>
      <c r="H168" s="99">
        <f>G168+'30'!H168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'30'!F173</f>
        <v>8126</v>
      </c>
      <c r="F173" s="155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'30'!F174</f>
        <v>38279</v>
      </c>
      <c r="F174" s="157">
        <v>38293</v>
      </c>
      <c r="G174" s="155">
        <f t="shared" ref="G174:G175" si="14">F174-E174</f>
        <v>14</v>
      </c>
      <c r="H174" s="99">
        <f>G174+'30'!H174</f>
        <v>6</v>
      </c>
      <c r="I174" s="155"/>
      <c r="J174" s="178">
        <f>H174/DAY(B2)</f>
        <v>0.19354838709677419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'30'!F175</f>
        <v>21510</v>
      </c>
      <c r="F175" s="155">
        <v>21518</v>
      </c>
      <c r="G175" s="155">
        <f t="shared" si="14"/>
        <v>8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819" t="s">
        <v>196</v>
      </c>
      <c r="B176" s="920"/>
      <c r="C176" s="820"/>
      <c r="D176" s="228" t="s">
        <v>142</v>
      </c>
      <c r="E176" s="95"/>
      <c r="F176" s="155"/>
      <c r="G176" s="155">
        <f>SUM(G173:G175)</f>
        <v>22</v>
      </c>
      <c r="H176" s="99">
        <f>G176+'30'!H176</f>
        <v>6</v>
      </c>
      <c r="I176" s="155"/>
      <c r="J176" s="178">
        <f>H176/DAY(B2)</f>
        <v>0.19354838709677419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'30'!F178</f>
        <v>79569</v>
      </c>
      <c r="F178" s="155">
        <v>79614</v>
      </c>
      <c r="G178" s="155">
        <f>F178-E178</f>
        <v>45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'30'!F179</f>
        <v>33915</v>
      </c>
      <c r="F179" s="155">
        <v>33915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'30'!F180</f>
        <v>5471</v>
      </c>
      <c r="F180" s="155">
        <v>5477</v>
      </c>
      <c r="G180" s="155">
        <f t="shared" si="15"/>
        <v>6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51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'30'!F183</f>
        <v>14938</v>
      </c>
      <c r="F183" s="157">
        <v>14947</v>
      </c>
      <c r="G183" s="157">
        <f>F183-E183</f>
        <v>9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'30'!F184</f>
        <v>10295</v>
      </c>
      <c r="F184" s="157">
        <v>10301</v>
      </c>
      <c r="G184" s="157">
        <f t="shared" ref="G184:G185" si="16">F184-E184</f>
        <v>6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15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>
        <f>'30'!F187</f>
        <v>0</v>
      </c>
      <c r="F187" s="159"/>
      <c r="G187" s="464">
        <f>G62+G19</f>
        <v>61</v>
      </c>
      <c r="H187" s="99">
        <f>G187+'30'!H187</f>
        <v>1680</v>
      </c>
      <c r="I187" s="158"/>
      <c r="J187" s="179">
        <f>H187/DAY(B2)</f>
        <v>54.193548387096776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'30'!F188</f>
        <v>0</v>
      </c>
      <c r="F188" s="159"/>
      <c r="G188" s="464">
        <f>G65+G66+G67+G69+G70</f>
        <v>159</v>
      </c>
      <c r="H188" s="99">
        <f>G188+'30'!H188</f>
        <v>2964</v>
      </c>
      <c r="I188" s="158"/>
      <c r="J188" s="179">
        <f>H188/DAY(B2)</f>
        <v>95.612903225806448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'30'!F189</f>
        <v>0</v>
      </c>
      <c r="F189" s="157"/>
      <c r="G189" s="461">
        <f>G181</f>
        <v>51</v>
      </c>
      <c r="H189" s="99">
        <f>G189+'30'!H189</f>
        <v>981</v>
      </c>
      <c r="I189" s="158"/>
      <c r="J189" s="179">
        <f>H189/DAY(B2)</f>
        <v>31.64516129032258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11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13" t="s">
        <v>6</v>
      </c>
      <c r="F2" s="713"/>
      <c r="G2" s="713"/>
      <c r="H2" s="719" t="s">
        <v>14</v>
      </c>
      <c r="I2" s="719"/>
      <c r="J2" s="719"/>
      <c r="K2" s="264" t="s">
        <v>15</v>
      </c>
      <c r="L2" s="719" t="s">
        <v>16</v>
      </c>
      <c r="M2" s="719"/>
      <c r="N2" s="719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161334</v>
      </c>
      <c r="E4" s="19">
        <f>'1'!G97</f>
        <v>0.12153132002401244</v>
      </c>
      <c r="F4" s="19">
        <f>'1'!F142</f>
        <v>19082</v>
      </c>
      <c r="G4" s="21">
        <f>E4*F4</f>
        <v>2319.0606486982056</v>
      </c>
      <c r="H4" s="19">
        <f>'1'!G68</f>
        <v>14</v>
      </c>
      <c r="I4" s="19">
        <f>'1'!G69</f>
        <v>25</v>
      </c>
      <c r="J4" s="19">
        <f>'1'!G70</f>
        <v>13</v>
      </c>
      <c r="K4" s="23">
        <f>H4+I4</f>
        <v>39</v>
      </c>
      <c r="L4" s="19">
        <f>'1'!G71</f>
        <v>218</v>
      </c>
      <c r="M4" s="19">
        <f>'1'!G72</f>
        <v>0</v>
      </c>
      <c r="N4" s="19">
        <v>0</v>
      </c>
      <c r="O4" s="23">
        <f>L4+M4+N4</f>
        <v>218</v>
      </c>
    </row>
    <row r="5" spans="1:15" x14ac:dyDescent="0.25">
      <c r="A5" s="16">
        <v>2</v>
      </c>
      <c r="B5" s="26">
        <v>2</v>
      </c>
      <c r="C5" s="26"/>
      <c r="D5" s="19">
        <f>'2'!F8</f>
        <v>181227</v>
      </c>
      <c r="E5" s="19">
        <f>'2'!G96</f>
        <v>3100</v>
      </c>
      <c r="F5" s="19">
        <f>'2'!F123</f>
        <v>145818.76999999999</v>
      </c>
      <c r="G5" s="21">
        <f t="shared" ref="G5:G18" si="0">E5*F5</f>
        <v>452038186.99999994</v>
      </c>
      <c r="H5" s="19">
        <f>'2'!G68</f>
        <v>10</v>
      </c>
      <c r="I5" s="19">
        <f>'2'!G69</f>
        <v>11</v>
      </c>
      <c r="J5" s="19">
        <f>'2'!G70</f>
        <v>12</v>
      </c>
      <c r="K5" s="23">
        <f t="shared" ref="K5:K18" si="1">H5+I5</f>
        <v>21</v>
      </c>
      <c r="L5" s="19">
        <f>'2'!G71</f>
        <v>159</v>
      </c>
      <c r="M5" s="19">
        <f>'2'!G72</f>
        <v>0</v>
      </c>
      <c r="N5" s="19">
        <v>0</v>
      </c>
      <c r="O5" s="23">
        <f t="shared" ref="O5:O18" si="2">L5+M5+N5</f>
        <v>159</v>
      </c>
    </row>
    <row r="6" spans="1:15" x14ac:dyDescent="0.25">
      <c r="A6" s="16">
        <v>3</v>
      </c>
      <c r="B6" s="26">
        <v>3</v>
      </c>
      <c r="C6" s="26"/>
      <c r="D6" s="19">
        <f>'4'!F8</f>
        <v>220974.95</v>
      </c>
      <c r="E6" s="19">
        <f>'3'!G96</f>
        <v>3094.6399999999994</v>
      </c>
      <c r="F6" s="19">
        <f>'3'!F123</f>
        <v>146156.89000000001</v>
      </c>
      <c r="G6" s="21">
        <f t="shared" si="0"/>
        <v>452302958.06959999</v>
      </c>
      <c r="H6" s="19">
        <f>'4'!G68</f>
        <v>27</v>
      </c>
      <c r="I6" s="19">
        <f>'4'!G69</f>
        <v>7</v>
      </c>
      <c r="J6" s="19">
        <f>'4'!G70</f>
        <v>6</v>
      </c>
      <c r="K6" s="23">
        <f t="shared" si="1"/>
        <v>34</v>
      </c>
      <c r="L6" s="19">
        <f>'4'!G71</f>
        <v>169</v>
      </c>
      <c r="M6" s="19">
        <f>'4'!G72</f>
        <v>0</v>
      </c>
      <c r="N6" s="19">
        <v>0</v>
      </c>
      <c r="O6" s="23">
        <f t="shared" si="2"/>
        <v>169</v>
      </c>
    </row>
    <row r="7" spans="1:15" x14ac:dyDescent="0.25">
      <c r="A7" s="16">
        <v>4</v>
      </c>
      <c r="B7" s="27">
        <v>4</v>
      </c>
      <c r="C7" s="27"/>
      <c r="D7" s="19">
        <f>'3'!F8</f>
        <v>200756</v>
      </c>
      <c r="E7" s="19">
        <f>'4'!G96</f>
        <v>3146.7900000000009</v>
      </c>
      <c r="F7" s="19">
        <f>'1'!F142</f>
        <v>19082</v>
      </c>
      <c r="G7" s="21">
        <f t="shared" si="0"/>
        <v>60047046.780000016</v>
      </c>
      <c r="H7" s="19">
        <f>'3'!G68</f>
        <v>9</v>
      </c>
      <c r="I7" s="19">
        <f>'3'!G69</f>
        <v>22</v>
      </c>
      <c r="J7" s="19">
        <f>'3'!G70</f>
        <v>7</v>
      </c>
      <c r="K7" s="23">
        <f t="shared" si="1"/>
        <v>31</v>
      </c>
      <c r="L7" s="19">
        <f>'3'!G71</f>
        <v>116</v>
      </c>
      <c r="M7" s="19">
        <f>'3'!G72</f>
        <v>0</v>
      </c>
      <c r="N7" s="19">
        <v>0</v>
      </c>
      <c r="O7" s="23">
        <f t="shared" si="2"/>
        <v>116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19082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262018</v>
      </c>
      <c r="E9" s="19">
        <f>'6'!G96</f>
        <v>3311.0800000000017</v>
      </c>
      <c r="F9" s="19">
        <f>'1'!F142</f>
        <v>19082</v>
      </c>
      <c r="G9" s="21">
        <f t="shared" si="0"/>
        <v>63182028.560000032</v>
      </c>
      <c r="H9" s="19">
        <f>'6'!G68</f>
        <v>47</v>
      </c>
      <c r="I9" s="19">
        <f>'6'!G69</f>
        <v>8</v>
      </c>
      <c r="J9" s="19">
        <f>'6'!G70</f>
        <v>6</v>
      </c>
      <c r="K9" s="23">
        <f t="shared" si="1"/>
        <v>55</v>
      </c>
      <c r="L9" s="19">
        <f>'6'!G71</f>
        <v>166</v>
      </c>
      <c r="M9" s="19">
        <f>'6'!G72</f>
        <v>0</v>
      </c>
      <c r="N9" s="19">
        <v>0</v>
      </c>
      <c r="O9" s="23">
        <f t="shared" si="2"/>
        <v>166</v>
      </c>
    </row>
    <row r="10" spans="1:15" x14ac:dyDescent="0.25">
      <c r="A10" s="16">
        <v>7</v>
      </c>
      <c r="B10" s="26">
        <v>7</v>
      </c>
      <c r="C10" s="27"/>
      <c r="D10" s="19">
        <f>'7'!F8</f>
        <v>282279</v>
      </c>
      <c r="E10" s="19">
        <f>'7'!G96</f>
        <v>3369</v>
      </c>
      <c r="F10" s="19">
        <f>'1'!F142</f>
        <v>19082</v>
      </c>
      <c r="G10" s="21">
        <f t="shared" si="0"/>
        <v>64287258</v>
      </c>
      <c r="H10" s="19">
        <f>'7'!G68</f>
        <v>42</v>
      </c>
      <c r="I10" s="19">
        <f>'7'!G69</f>
        <v>7</v>
      </c>
      <c r="J10" s="19">
        <f>'7'!G70</f>
        <v>9</v>
      </c>
      <c r="K10" s="23">
        <f t="shared" si="1"/>
        <v>49</v>
      </c>
      <c r="L10" s="19">
        <f>'7'!G71</f>
        <v>177</v>
      </c>
      <c r="M10" s="19">
        <f>'7'!G72</f>
        <v>0</v>
      </c>
      <c r="N10" s="19">
        <v>0</v>
      </c>
      <c r="O10" s="23">
        <f t="shared" si="2"/>
        <v>177</v>
      </c>
    </row>
    <row r="11" spans="1:15" x14ac:dyDescent="0.25">
      <c r="A11" s="16">
        <v>8</v>
      </c>
      <c r="B11" s="26">
        <v>8</v>
      </c>
      <c r="C11" s="18"/>
      <c r="D11" s="19">
        <f>'8'!F8</f>
        <v>301926</v>
      </c>
      <c r="E11" s="19">
        <f>'8'!G96</f>
        <v>3190</v>
      </c>
      <c r="F11" s="19">
        <f>'1'!F142</f>
        <v>19082</v>
      </c>
      <c r="G11" s="21">
        <f t="shared" si="0"/>
        <v>60871580</v>
      </c>
      <c r="H11" s="19">
        <f>'8'!G68</f>
        <v>30</v>
      </c>
      <c r="I11" s="19">
        <f>'8'!G69</f>
        <v>6</v>
      </c>
      <c r="J11" s="19">
        <f>'8'!G70</f>
        <v>8</v>
      </c>
      <c r="K11" s="23">
        <f t="shared" si="1"/>
        <v>36</v>
      </c>
      <c r="L11" s="19">
        <f>'8'!G71</f>
        <v>177</v>
      </c>
      <c r="M11" s="19">
        <f>'8'!G72</f>
        <v>0</v>
      </c>
      <c r="N11" s="19">
        <v>0</v>
      </c>
      <c r="O11" s="23">
        <f t="shared" si="2"/>
        <v>177</v>
      </c>
    </row>
    <row r="12" spans="1:15" x14ac:dyDescent="0.25">
      <c r="A12" s="16">
        <v>9</v>
      </c>
      <c r="B12" s="27">
        <v>9</v>
      </c>
      <c r="C12" s="26"/>
      <c r="D12" s="19">
        <f>'9'!F8</f>
        <v>319937</v>
      </c>
      <c r="E12" s="19">
        <f>'9'!G96</f>
        <v>2762.4599999999991</v>
      </c>
      <c r="F12" s="19">
        <f>'1'!F142</f>
        <v>19082</v>
      </c>
      <c r="G12" s="21">
        <f t="shared" si="0"/>
        <v>52713261.719999984</v>
      </c>
      <c r="H12" s="19">
        <f>'9'!G68</f>
        <v>27</v>
      </c>
      <c r="I12" s="19">
        <f>'9'!G69</f>
        <v>7</v>
      </c>
      <c r="J12" s="19">
        <f>'9'!G70</f>
        <v>14</v>
      </c>
      <c r="K12" s="23">
        <f t="shared" si="1"/>
        <v>34</v>
      </c>
      <c r="L12" s="19">
        <f>'9'!G71</f>
        <v>167</v>
      </c>
      <c r="M12" s="19">
        <f>'9'!G72</f>
        <v>0</v>
      </c>
      <c r="N12" s="19">
        <v>0</v>
      </c>
      <c r="O12" s="23">
        <f t="shared" si="2"/>
        <v>167</v>
      </c>
    </row>
    <row r="13" spans="1:15" x14ac:dyDescent="0.25">
      <c r="A13" s="16">
        <v>10</v>
      </c>
      <c r="B13" s="27">
        <v>10</v>
      </c>
      <c r="C13" s="26"/>
      <c r="D13" s="19">
        <f>'10'!F8</f>
        <v>343437</v>
      </c>
      <c r="E13" s="19">
        <f>'10'!G96</f>
        <v>1043261.4</v>
      </c>
      <c r="F13" s="19">
        <f>'1'!F142</f>
        <v>19082</v>
      </c>
      <c r="G13" s="21">
        <f t="shared" si="0"/>
        <v>19907514034.799999</v>
      </c>
      <c r="H13" s="19">
        <f>'10'!G68</f>
        <v>-1014</v>
      </c>
      <c r="I13" s="19">
        <f>'10'!G69</f>
        <v>-349</v>
      </c>
      <c r="J13" s="19">
        <f>'10'!G70</f>
        <v>-295</v>
      </c>
      <c r="K13" s="23">
        <f t="shared" si="1"/>
        <v>-1363</v>
      </c>
      <c r="L13" s="19">
        <f>'10'!G71</f>
        <v>-6008</v>
      </c>
      <c r="M13" s="19">
        <f>'10'!G72</f>
        <v>0</v>
      </c>
      <c r="N13" s="19">
        <v>0</v>
      </c>
      <c r="O13" s="23">
        <f t="shared" si="2"/>
        <v>-6008</v>
      </c>
    </row>
    <row r="14" spans="1:15" x14ac:dyDescent="0.25">
      <c r="A14" s="16">
        <v>11</v>
      </c>
      <c r="B14" s="17">
        <v>11</v>
      </c>
      <c r="C14" s="27"/>
      <c r="D14" s="19">
        <f>'11'!F8</f>
        <v>366937</v>
      </c>
      <c r="E14" s="19">
        <f>'11'!G96</f>
        <v>5467</v>
      </c>
      <c r="F14" s="19">
        <f>'1'!F142</f>
        <v>19082</v>
      </c>
      <c r="G14" s="21">
        <f t="shared" si="0"/>
        <v>104321294</v>
      </c>
      <c r="H14" s="19">
        <f>'11'!G68</f>
        <v>39</v>
      </c>
      <c r="I14" s="19">
        <f>'11'!G69</f>
        <v>8</v>
      </c>
      <c r="J14" s="19">
        <f>'11'!G70</f>
        <v>11</v>
      </c>
      <c r="K14" s="23">
        <f t="shared" si="1"/>
        <v>47</v>
      </c>
      <c r="L14" s="19">
        <f>'11'!G71</f>
        <v>216</v>
      </c>
      <c r="M14" s="19">
        <f>'11'!G72</f>
        <v>0</v>
      </c>
      <c r="N14" s="19">
        <v>0</v>
      </c>
      <c r="O14" s="23">
        <f t="shared" si="2"/>
        <v>216</v>
      </c>
    </row>
    <row r="15" spans="1:15" x14ac:dyDescent="0.25">
      <c r="A15" s="16">
        <v>12</v>
      </c>
      <c r="B15" s="26">
        <v>12</v>
      </c>
      <c r="C15" s="27"/>
      <c r="D15" s="19">
        <f>'12'!F8</f>
        <v>390437</v>
      </c>
      <c r="E15" s="19">
        <f>'12'!G96</f>
        <v>5511</v>
      </c>
      <c r="F15" s="19">
        <f>'1'!F142</f>
        <v>19082</v>
      </c>
      <c r="G15" s="20">
        <f t="shared" si="0"/>
        <v>105160902</v>
      </c>
      <c r="H15" s="19">
        <f>'12'!G68</f>
        <v>44</v>
      </c>
      <c r="I15" s="19">
        <f>'12'!G69</f>
        <v>7</v>
      </c>
      <c r="J15" s="19">
        <f>'12'!G70</f>
        <v>9</v>
      </c>
      <c r="K15" s="23">
        <f t="shared" si="1"/>
        <v>51</v>
      </c>
      <c r="L15" s="19">
        <f>'12'!G71</f>
        <v>219</v>
      </c>
      <c r="M15" s="19">
        <f>'12'!G72</f>
        <v>0</v>
      </c>
      <c r="N15" s="19">
        <v>0</v>
      </c>
      <c r="O15" s="23">
        <f t="shared" si="2"/>
        <v>219</v>
      </c>
    </row>
    <row r="16" spans="1:15" x14ac:dyDescent="0.25">
      <c r="A16" s="16">
        <v>13</v>
      </c>
      <c r="B16" s="26">
        <v>13</v>
      </c>
      <c r="C16" s="26"/>
      <c r="D16" s="19">
        <f>'13'!F8</f>
        <v>413937</v>
      </c>
      <c r="E16" s="19">
        <f>'13'!G96</f>
        <v>5072</v>
      </c>
      <c r="F16" s="19">
        <f>'1'!F142</f>
        <v>19082</v>
      </c>
      <c r="G16" s="20">
        <f t="shared" si="0"/>
        <v>96783904</v>
      </c>
      <c r="H16" s="19">
        <f>'13'!G68</f>
        <v>46</v>
      </c>
      <c r="I16" s="19">
        <f>'13'!G69</f>
        <v>16</v>
      </c>
      <c r="J16" s="19">
        <f>'13'!G70</f>
        <v>14</v>
      </c>
      <c r="K16" s="23">
        <f t="shared" si="1"/>
        <v>62</v>
      </c>
      <c r="L16" s="19">
        <f>'13'!G71</f>
        <v>277</v>
      </c>
      <c r="M16" s="19">
        <f>'13'!G72</f>
        <v>0</v>
      </c>
      <c r="N16" s="19">
        <v>0</v>
      </c>
      <c r="O16" s="23">
        <f t="shared" si="2"/>
        <v>277</v>
      </c>
    </row>
    <row r="17" spans="1:15" x14ac:dyDescent="0.25">
      <c r="A17" s="16">
        <v>14</v>
      </c>
      <c r="B17" s="17">
        <v>14</v>
      </c>
      <c r="C17" s="27"/>
      <c r="D17" s="19">
        <f>'14'!F8</f>
        <v>437437</v>
      </c>
      <c r="E17" s="19">
        <f>'14'!G96</f>
        <v>3919</v>
      </c>
      <c r="F17" s="19">
        <f>'1'!F142</f>
        <v>19082</v>
      </c>
      <c r="G17" s="20">
        <f t="shared" si="0"/>
        <v>74782358</v>
      </c>
      <c r="H17" s="19">
        <f>'14'!G68</f>
        <v>41</v>
      </c>
      <c r="I17" s="19">
        <f>'14'!G69</f>
        <v>8</v>
      </c>
      <c r="J17" s="19">
        <f>'14'!G71</f>
        <v>213</v>
      </c>
      <c r="K17" s="23">
        <f t="shared" si="1"/>
        <v>49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460937</v>
      </c>
      <c r="E18" s="19">
        <f>'15'!G96</f>
        <v>5187</v>
      </c>
      <c r="F18" s="19">
        <f>'1'!F142</f>
        <v>19082</v>
      </c>
      <c r="G18" s="20">
        <f t="shared" si="0"/>
        <v>98978334</v>
      </c>
      <c r="H18" s="19">
        <f>'15'!G68</f>
        <v>38</v>
      </c>
      <c r="I18" s="19">
        <f>'15'!G69</f>
        <v>8</v>
      </c>
      <c r="J18" s="19">
        <f>'15'!G71</f>
        <v>190</v>
      </c>
      <c r="K18" s="23">
        <f t="shared" si="1"/>
        <v>46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303</v>
      </c>
      <c r="B2" s="262">
        <v>44439</v>
      </c>
      <c r="C2" s="326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26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26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94000</v>
      </c>
      <c r="F7" s="95">
        <v>298691</v>
      </c>
      <c r="G7" s="112">
        <f>F7-E7</f>
        <v>204691</v>
      </c>
      <c r="H7" s="99">
        <f>G7+'30'!H7</f>
        <v>880822</v>
      </c>
      <c r="I7" s="113">
        <f>'1'!I7</f>
        <v>12000</v>
      </c>
      <c r="J7" s="175">
        <f>H7/DAY(B2)</f>
        <v>28413.612903225807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133565</v>
      </c>
      <c r="F8" s="114">
        <v>309572</v>
      </c>
      <c r="G8" s="115">
        <f>F8-E8</f>
        <v>176007</v>
      </c>
      <c r="H8" s="99">
        <f>G8+'30'!H8</f>
        <v>848559</v>
      </c>
      <c r="I8" s="116"/>
      <c r="J8" s="175">
        <f>H8/DAY(B2)</f>
        <v>27372.870967741936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423936</v>
      </c>
      <c r="I9" s="124">
        <f>I7-J7</f>
        <v>-16413.612903225807</v>
      </c>
      <c r="J9" s="175">
        <f>H9/DAY(B2)</f>
        <v>13675.354838709678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552050</v>
      </c>
      <c r="F10" s="117">
        <v>2607</v>
      </c>
      <c r="G10" s="112">
        <f t="shared" ref="G10:G12" si="0">F10-E10</f>
        <v>-549443</v>
      </c>
      <c r="H10" s="99">
        <f>G10+'30'!H10</f>
        <v>-394503</v>
      </c>
      <c r="I10" s="282"/>
      <c r="J10" s="175">
        <f>H10/DAY(B2)</f>
        <v>-12725.903225806451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-529669</v>
      </c>
      <c r="H13" s="99">
        <f>G13+'30'!H13</f>
        <v>9967.7499999998836</v>
      </c>
      <c r="I13" s="120">
        <f>G7-G13</f>
        <v>734360</v>
      </c>
      <c r="J13" s="175">
        <f>H13/DAY(B2)</f>
        <v>321.54032258064143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24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32018</v>
      </c>
      <c r="I15" s="113">
        <f>'1'!I15</f>
        <v>800</v>
      </c>
      <c r="J15" s="175">
        <f>H15/DAY(B2)</f>
        <v>1032.8387096774193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-232.83870967741927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'30'!F18</f>
        <v>267</v>
      </c>
      <c r="F18" s="122">
        <v>14</v>
      </c>
      <c r="G18" s="119">
        <f>F18*10</f>
        <v>140</v>
      </c>
      <c r="H18" s="99">
        <f>G18+'30'!H18</f>
        <v>32230</v>
      </c>
      <c r="I18" s="113">
        <f>'1'!I18</f>
        <v>65</v>
      </c>
      <c r="J18" s="175">
        <f>H18/DAY(B2)</f>
        <v>1039.6774193548388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'30'!F19</f>
        <v>153850</v>
      </c>
      <c r="F19" s="122">
        <v>145338</v>
      </c>
      <c r="G19" s="112">
        <f t="shared" ref="G19" si="1">F19-E19</f>
        <v>-8512</v>
      </c>
      <c r="H19" s="99">
        <f>G19+'30'!H19</f>
        <v>-6887</v>
      </c>
      <c r="I19" s="337"/>
      <c r="J19" s="175">
        <f>H19/DAY(B2)</f>
        <v>-222.16129032258064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-8372</v>
      </c>
      <c r="H20" s="99">
        <f>G20+'30'!H20</f>
        <v>25343</v>
      </c>
      <c r="I20" s="338">
        <f>I18-J20</f>
        <v>-752.51612903225805</v>
      </c>
      <c r="J20" s="175">
        <f>H20/DAY(B2)</f>
        <v>817.51612903225805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24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24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176007</v>
      </c>
      <c r="F27" s="136">
        <v>9</v>
      </c>
      <c r="G27" s="137">
        <f>E27*F27</f>
        <v>1584063</v>
      </c>
      <c r="H27" s="99">
        <f>G27+'30'!H27</f>
        <v>7637031</v>
      </c>
      <c r="I27" s="138"/>
      <c r="J27" s="175">
        <f>H27/DAY(B2)</f>
        <v>246355.83870967742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1664936</v>
      </c>
      <c r="I28" s="140"/>
      <c r="J28" s="175">
        <f>H28/DAY(B2)</f>
        <v>53707.612903225803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-8512</v>
      </c>
      <c r="F30" s="136">
        <v>146</v>
      </c>
      <c r="G30" s="137">
        <f>E30*F30</f>
        <v>-1242752</v>
      </c>
      <c r="H30" s="99">
        <f>G30+'30'!H30</f>
        <v>-1005502</v>
      </c>
      <c r="I30" s="140"/>
      <c r="J30" s="175">
        <f>H30/DAY(B2)</f>
        <v>-32435.548387096773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2578400</v>
      </c>
      <c r="I31" s="140"/>
      <c r="J31" s="175">
        <f>H31/DAY(B2)</f>
        <v>83174.193548387091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391459</v>
      </c>
      <c r="H32" s="99">
        <f>G32+'30'!H32</f>
        <v>10874865</v>
      </c>
      <c r="I32" s="144"/>
      <c r="J32" s="175">
        <f>H32/DAY(B2)</f>
        <v>350802.09677419357</v>
      </c>
      <c r="K32" s="63"/>
      <c r="L32" s="89"/>
      <c r="N32" s="87"/>
      <c r="O32" s="71"/>
    </row>
    <row r="33" spans="1:15" ht="34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28"/>
      <c r="C34" s="328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166149</v>
      </c>
      <c r="I35" s="95"/>
      <c r="J35" s="175">
        <f>H35/DAY(B2)</f>
        <v>5359.6451612903229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89541</v>
      </c>
      <c r="I36" s="95"/>
      <c r="J36" s="175">
        <f>H36/DAY(B2)</f>
        <v>2888.4193548387098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207163</v>
      </c>
      <c r="I37" s="95"/>
      <c r="J37" s="175">
        <f>H37/DAY(B2)</f>
        <v>6682.677419354839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245599</v>
      </c>
      <c r="I38" s="95"/>
      <c r="J38" s="175">
        <f>H38/DAY(B2)</f>
        <v>7922.5483870967746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433885</v>
      </c>
      <c r="I39" s="95"/>
      <c r="J39" s="175">
        <f>H39/DAY(B2)</f>
        <v>13996.290322580646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917.14999999999964</v>
      </c>
      <c r="I40" s="95"/>
      <c r="J40" s="175">
        <f>H40/DAY(B2)</f>
        <v>29.585483870967732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599900</v>
      </c>
      <c r="I41" s="95"/>
      <c r="J41" s="175">
        <f>H41/DAY(B2)</f>
        <v>19351.612903225807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362265</v>
      </c>
      <c r="I42" s="95"/>
      <c r="J42" s="175">
        <f>H42/DAY(B2)</f>
        <v>11685.967741935483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1564568.9999999998</v>
      </c>
      <c r="I43" s="95"/>
      <c r="J43" s="175">
        <f>H43/DAY(B2)</f>
        <v>50469.967741935478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3669988.1499999994</v>
      </c>
      <c r="I47" s="95"/>
      <c r="J47" s="175">
        <f>H47/DAY(B2)</f>
        <v>118386.71451612901</v>
      </c>
      <c r="K47" s="79"/>
      <c r="L47" s="66"/>
      <c r="N47" s="87"/>
      <c r="O47" s="71"/>
    </row>
    <row r="48" spans="1:15" ht="29.25" x14ac:dyDescent="0.5">
      <c r="A48" s="214" t="s">
        <v>174</v>
      </c>
      <c r="B48" s="328"/>
      <c r="C48" s="328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270808</v>
      </c>
      <c r="F49" s="145">
        <v>419822</v>
      </c>
      <c r="G49" s="112">
        <f t="shared" ref="G49:G58" si="4">F49-E49</f>
        <v>149014</v>
      </c>
      <c r="H49" s="99">
        <f>G49+'30'!H49</f>
        <v>432943.00000000006</v>
      </c>
      <c r="I49" s="95"/>
      <c r="J49" s="175">
        <f>H49/DAY(B2)</f>
        <v>13965.903225806453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23571</v>
      </c>
      <c r="F50" s="145">
        <v>607298</v>
      </c>
      <c r="G50" s="112">
        <f t="shared" si="4"/>
        <v>583727</v>
      </c>
      <c r="H50" s="99">
        <f>G50+'30'!H50</f>
        <v>1321723</v>
      </c>
      <c r="I50" s="95"/>
      <c r="J50" s="175">
        <f>H50/DAY(B2)</f>
        <v>42636.225806451614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3179</v>
      </c>
      <c r="F54" s="145">
        <v>14967</v>
      </c>
      <c r="G54" s="112">
        <f t="shared" si="4"/>
        <v>11788</v>
      </c>
      <c r="H54" s="99">
        <f>G54+'30'!H54</f>
        <v>16734.080000000002</v>
      </c>
      <c r="I54" s="95"/>
      <c r="J54" s="175">
        <f>H54/DAY(B2)</f>
        <v>539.80903225806458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2254</v>
      </c>
      <c r="F55" s="145">
        <v>306268.99</v>
      </c>
      <c r="G55" s="112">
        <f t="shared" si="4"/>
        <v>304014.99</v>
      </c>
      <c r="H55" s="99">
        <f>G55+'30'!H55</f>
        <v>302757.99</v>
      </c>
      <c r="I55" s="95"/>
      <c r="J55" s="175">
        <f>H55/DAY(B2)</f>
        <v>9766.3867741935483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661019</v>
      </c>
      <c r="G56" s="112">
        <f t="shared" si="4"/>
        <v>652408.46</v>
      </c>
      <c r="H56" s="99">
        <f>G56+'30'!H56</f>
        <v>864473.46</v>
      </c>
      <c r="I56" s="95"/>
      <c r="J56" s="175">
        <f>H56/DAY(B2)</f>
        <v>27886.240645161288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92071</v>
      </c>
      <c r="F58" s="145">
        <v>66014</v>
      </c>
      <c r="G58" s="112">
        <f t="shared" si="4"/>
        <v>-26057</v>
      </c>
      <c r="H58" s="99">
        <f>G58+'30'!H58</f>
        <v>66354.63</v>
      </c>
      <c r="I58" s="95"/>
      <c r="J58" s="175">
        <f>H58/DAY(B2)</f>
        <v>2140.4719354838712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2801084.45</v>
      </c>
      <c r="H59" s="99">
        <f>G59+'30'!H59</f>
        <v>4131175.1600000006</v>
      </c>
      <c r="I59" s="95">
        <f>G7-G60</f>
        <v>-2611256.4500000002</v>
      </c>
      <c r="J59" s="175">
        <f>H59/DAY(B2)</f>
        <v>133263.71483870971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2815947.45</v>
      </c>
      <c r="H60" s="99">
        <f>G60+'30'!H60</f>
        <v>7801163.3100000015</v>
      </c>
      <c r="I60" s="95">
        <f>G13-G60</f>
        <v>-3345616.45</v>
      </c>
      <c r="J60" s="175">
        <f>H60/DAY(B2)</f>
        <v>251650.42935483876</v>
      </c>
      <c r="K60" s="79"/>
      <c r="L60" s="66"/>
      <c r="N60" s="87"/>
      <c r="O60" s="71"/>
    </row>
    <row r="61" spans="1:15" s="68" customFormat="1" ht="29.2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2209811</v>
      </c>
      <c r="I63" s="118"/>
      <c r="J63" s="175">
        <f>H63/DAY(B2)</f>
        <v>71284.225806451606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122"/>
      <c r="F64" s="122"/>
      <c r="G64" s="112">
        <f>G62+G63</f>
        <v>451111</v>
      </c>
      <c r="H64" s="99">
        <f>G64+'30'!H95</f>
        <v>451197.02685157256</v>
      </c>
      <c r="I64" s="118"/>
      <c r="J64" s="175">
        <f>H64/DAY(B2)</f>
        <v>14554.742801663631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1589387</v>
      </c>
      <c r="I65" s="118"/>
      <c r="J65" s="175">
        <f>H65/DAY(B2)</f>
        <v>51270.548387096773</v>
      </c>
      <c r="K65" s="69"/>
      <c r="L65" s="66"/>
      <c r="N65" s="87"/>
      <c r="O65" s="71"/>
    </row>
    <row r="66" spans="1:15" ht="27.75" x14ac:dyDescent="0.5">
      <c r="A66" s="324" t="s">
        <v>202</v>
      </c>
      <c r="B66" s="325"/>
      <c r="C66" s="325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104685.91515133109</v>
      </c>
      <c r="I66" s="118"/>
      <c r="J66" s="175">
        <f>H66/DAY(B2)</f>
        <v>3376.9650048816484</v>
      </c>
      <c r="K66" s="78"/>
      <c r="L66" s="66"/>
      <c r="N66" s="87"/>
      <c r="O66" s="71"/>
    </row>
    <row r="67" spans="1:15" ht="27.75" x14ac:dyDescent="0.5">
      <c r="A67" s="324" t="s">
        <v>203</v>
      </c>
      <c r="B67" s="325"/>
      <c r="C67" s="325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530369</v>
      </c>
      <c r="I67" s="118"/>
      <c r="J67" s="175">
        <f>H67/DAY(B2)</f>
        <v>17108.677419354837</v>
      </c>
      <c r="K67" s="81"/>
      <c r="L67" s="66"/>
      <c r="N67" s="87"/>
      <c r="O67" s="71"/>
    </row>
    <row r="68" spans="1:15" ht="27.75" x14ac:dyDescent="0.5">
      <c r="A68" s="324" t="s">
        <v>204</v>
      </c>
      <c r="B68" s="325"/>
      <c r="C68" s="325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152153.48438978186</v>
      </c>
      <c r="I68" s="118"/>
      <c r="J68" s="175">
        <f>H68/DAY(B2)</f>
        <v>4908.1769157994149</v>
      </c>
      <c r="K68" s="69"/>
      <c r="L68" s="66"/>
      <c r="N68" s="87"/>
      <c r="O68" s="71"/>
    </row>
    <row r="69" spans="1:15" ht="27.75" x14ac:dyDescent="0.5">
      <c r="A69" s="324" t="s">
        <v>205</v>
      </c>
      <c r="B69" s="325"/>
      <c r="C69" s="325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252576</v>
      </c>
      <c r="I69" s="118"/>
      <c r="J69" s="175">
        <f>H69/DAY(B2)</f>
        <v>8147.6129032258068</v>
      </c>
      <c r="K69" s="69"/>
      <c r="L69" s="66"/>
      <c r="N69" s="87"/>
      <c r="O69" s="71"/>
    </row>
    <row r="70" spans="1:15" ht="27.75" x14ac:dyDescent="0.5">
      <c r="A70" s="324" t="s">
        <v>206</v>
      </c>
      <c r="B70" s="325"/>
      <c r="C70" s="325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6383.4912497056166</v>
      </c>
      <c r="I70" s="118"/>
      <c r="J70" s="175">
        <f>H70/DAY(B2)</f>
        <v>205.91907257114892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793178</v>
      </c>
      <c r="H71" s="99">
        <f>G71+'30'!H102</f>
        <v>1620047</v>
      </c>
      <c r="I71" s="154"/>
      <c r="J71" s="175">
        <f>H71/DAY(B2)</f>
        <v>52259.580645161288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23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'30'!F128</f>
        <v>37627</v>
      </c>
      <c r="F78" s="232">
        <v>9180</v>
      </c>
      <c r="G78" s="112">
        <f t="shared" si="7"/>
        <v>-28447</v>
      </c>
      <c r="H78" s="99">
        <f>G78+'30'!H128</f>
        <v>-28824</v>
      </c>
      <c r="I78" s="118"/>
      <c r="J78" s="175">
        <f>H78/DAY(B2)</f>
        <v>-929.80645161290317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117"/>
      <c r="F79" s="117"/>
      <c r="G79" s="112">
        <f>G15-SUM(G74:G78)</f>
        <v>-1089445.3999999999</v>
      </c>
      <c r="H79" s="99">
        <f>G79+'30'!H129</f>
        <v>-1089652.3999999999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24" t="s">
        <v>227</v>
      </c>
      <c r="B82" s="325"/>
      <c r="C82" s="325"/>
      <c r="D82" s="151" t="s">
        <v>228</v>
      </c>
      <c r="E82" s="95">
        <f>'30'!F131</f>
        <v>13076</v>
      </c>
      <c r="F82" s="122"/>
      <c r="G82" s="112">
        <f t="shared" ref="G82:G92" si="8">F82-E82</f>
        <v>-13076</v>
      </c>
      <c r="H82" s="99">
        <f>G82+'30'!H131</f>
        <v>-13153</v>
      </c>
      <c r="I82" s="118"/>
      <c r="J82" s="175">
        <f>H82/DAY(B2)</f>
        <v>-424.29032258064518</v>
      </c>
      <c r="O82" s="71"/>
    </row>
    <row r="83" spans="1:15" ht="27.75" x14ac:dyDescent="0.5">
      <c r="A83" s="324" t="s">
        <v>229</v>
      </c>
      <c r="B83" s="325"/>
      <c r="C83" s="325"/>
      <c r="D83" s="151" t="s">
        <v>228</v>
      </c>
      <c r="E83" s="95">
        <f>'30'!F132</f>
        <v>40577</v>
      </c>
      <c r="F83" s="122"/>
      <c r="G83" s="112">
        <f t="shared" si="8"/>
        <v>-40577</v>
      </c>
      <c r="H83" s="99">
        <f>G83+'30'!H132</f>
        <v>-42636.12</v>
      </c>
      <c r="I83" s="118"/>
      <c r="J83" s="175">
        <f>H83/DAY(B2)</f>
        <v>-1375.3587096774195</v>
      </c>
      <c r="O83" s="71"/>
    </row>
    <row r="84" spans="1:15" ht="27.75" x14ac:dyDescent="0.5">
      <c r="A84" s="324" t="s">
        <v>230</v>
      </c>
      <c r="B84" s="325"/>
      <c r="C84" s="325"/>
      <c r="D84" s="151" t="s">
        <v>228</v>
      </c>
      <c r="E84" s="95">
        <f>'30'!F133</f>
        <v>87056</v>
      </c>
      <c r="F84" s="164">
        <v>40922</v>
      </c>
      <c r="G84" s="112">
        <f t="shared" si="8"/>
        <v>-46134</v>
      </c>
      <c r="H84" s="99">
        <f>G84+'30'!H133</f>
        <v>-46781</v>
      </c>
      <c r="I84" s="118"/>
      <c r="J84" s="175">
        <f>H84/DAY(B2)</f>
        <v>-1509.0645161290322</v>
      </c>
      <c r="O84" s="71"/>
    </row>
    <row r="85" spans="1:15" ht="27.75" x14ac:dyDescent="0.5">
      <c r="A85" s="324" t="s">
        <v>231</v>
      </c>
      <c r="B85" s="325"/>
      <c r="C85" s="325"/>
      <c r="D85" s="151" t="s">
        <v>228</v>
      </c>
      <c r="E85" s="95">
        <f>'30'!F134</f>
        <v>668262</v>
      </c>
      <c r="F85" s="164">
        <v>856</v>
      </c>
      <c r="G85" s="112">
        <f t="shared" si="8"/>
        <v>-667406</v>
      </c>
      <c r="H85" s="99">
        <f>G85+'30'!H134</f>
        <v>-650278</v>
      </c>
      <c r="I85" s="118">
        <f>G82+G83+G84+G85</f>
        <v>-767193</v>
      </c>
      <c r="J85" s="175">
        <f>H85/DAY(B2)</f>
        <v>-20976.709677419356</v>
      </c>
      <c r="O85" s="71"/>
    </row>
    <row r="86" spans="1:15" ht="27.75" x14ac:dyDescent="0.5">
      <c r="A86" s="324" t="s">
        <v>232</v>
      </c>
      <c r="B86" s="325"/>
      <c r="C86" s="325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1148.0100000000093</v>
      </c>
      <c r="I86" s="118"/>
      <c r="J86" s="175">
        <f>H86/DAY(B2)</f>
        <v>37.032580645161588</v>
      </c>
      <c r="O86" s="71"/>
    </row>
    <row r="87" spans="1:15" ht="27.75" x14ac:dyDescent="0.5">
      <c r="A87" s="324" t="s">
        <v>233</v>
      </c>
      <c r="B87" s="325"/>
      <c r="C87" s="325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24" t="s">
        <v>234</v>
      </c>
      <c r="B88" s="325"/>
      <c r="C88" s="325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24" t="s">
        <v>235</v>
      </c>
      <c r="B89" s="325"/>
      <c r="C89" s="325"/>
      <c r="D89" s="151" t="s">
        <v>228</v>
      </c>
      <c r="E89" s="95">
        <f>'30'!F138</f>
        <v>864069</v>
      </c>
      <c r="F89" s="164">
        <v>25132.959999999999</v>
      </c>
      <c r="G89" s="112">
        <f t="shared" si="8"/>
        <v>-838936.04</v>
      </c>
      <c r="H89" s="99">
        <f>G89+'30'!H138</f>
        <v>-839038.04</v>
      </c>
      <c r="I89" s="118"/>
      <c r="J89" s="175">
        <f>H89/DAY(B2)</f>
        <v>-27065.743225806455</v>
      </c>
      <c r="O89" s="71"/>
    </row>
    <row r="90" spans="1:15" ht="27.75" x14ac:dyDescent="0.5">
      <c r="A90" s="324" t="s">
        <v>236</v>
      </c>
      <c r="B90" s="325"/>
      <c r="C90" s="325"/>
      <c r="D90" s="151" t="s">
        <v>228</v>
      </c>
      <c r="E90" s="95">
        <f>'30'!F139</f>
        <v>886546</v>
      </c>
      <c r="F90" s="164">
        <v>70524.55</v>
      </c>
      <c r="G90" s="112">
        <f t="shared" si="8"/>
        <v>-816021.45</v>
      </c>
      <c r="H90" s="99">
        <f>G90+'30'!H139</f>
        <v>-816021.45</v>
      </c>
      <c r="I90" s="118">
        <f>G89+G90</f>
        <v>-1654957.49</v>
      </c>
      <c r="J90" s="175">
        <f>H90/DAY(B2)</f>
        <v>-26323.27258064516</v>
      </c>
      <c r="O90" s="71"/>
    </row>
    <row r="91" spans="1:15" ht="27.75" x14ac:dyDescent="0.5">
      <c r="A91" s="324" t="s">
        <v>237</v>
      </c>
      <c r="B91" s="325"/>
      <c r="C91" s="325"/>
      <c r="D91" s="151" t="s">
        <v>228</v>
      </c>
      <c r="E91" s="95">
        <f>'30'!F140</f>
        <v>88882</v>
      </c>
      <c r="F91" s="122">
        <v>2627.98</v>
      </c>
      <c r="G91" s="112">
        <f t="shared" si="8"/>
        <v>-86254.02</v>
      </c>
      <c r="H91" s="99">
        <f>G91+'30'!H140</f>
        <v>-86254.02</v>
      </c>
      <c r="I91" s="165"/>
      <c r="J91" s="175">
        <f>H91/DAY(B2)</f>
        <v>-2782.387741935484</v>
      </c>
      <c r="O91" s="71"/>
    </row>
    <row r="92" spans="1:15" ht="27.75" x14ac:dyDescent="0.5">
      <c r="A92" s="324" t="s">
        <v>238</v>
      </c>
      <c r="B92" s="325"/>
      <c r="C92" s="325"/>
      <c r="D92" s="151" t="s">
        <v>228</v>
      </c>
      <c r="E92" s="95">
        <f>'30'!F141</f>
        <v>49098</v>
      </c>
      <c r="F92" s="122">
        <v>4754</v>
      </c>
      <c r="G92" s="112">
        <f t="shared" si="8"/>
        <v>-44344</v>
      </c>
      <c r="H92" s="99">
        <f>G92+'30'!H141</f>
        <v>-44552</v>
      </c>
      <c r="I92" s="165"/>
      <c r="J92" s="175">
        <f>H92/DAY(B2)</f>
        <v>-1437.1612903225807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159220</v>
      </c>
      <c r="H94" s="99">
        <f>G94+'30'!H143</f>
        <v>159199</v>
      </c>
      <c r="I94" s="118"/>
      <c r="J94" s="175">
        <f>H94/DAY(B2)</f>
        <v>5135.4516129032254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0.77785540155649247</v>
      </c>
      <c r="H95" s="99">
        <f>G95+'30'!H144</f>
        <v>-228.22214459844352</v>
      </c>
      <c r="I95" s="167"/>
      <c r="J95" s="175">
        <f>H95/DAY(B2)</f>
        <v>-7.3620046644659203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961028.45</v>
      </c>
      <c r="H96" s="99">
        <f>G96+'30'!H145</f>
        <v>961014.45</v>
      </c>
      <c r="I96" s="118"/>
      <c r="J96" s="175">
        <f>H96/DAY(B2)</f>
        <v>31000.466129032258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4.6950205431601777</v>
      </c>
      <c r="H97" s="99">
        <f>G97+'30'!H146</f>
        <v>-457.30497945683982</v>
      </c>
      <c r="I97" s="167"/>
      <c r="J97" s="175">
        <f>H97/DAY(B2)</f>
        <v>-14.751773530865801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438118</v>
      </c>
      <c r="H98" s="99">
        <f>G98+'30'!H147</f>
        <v>437691</v>
      </c>
      <c r="I98" s="168"/>
      <c r="J98" s="175">
        <f>H98/DAY(B2)</f>
        <v>14119.064516129032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2.1403872178063521</v>
      </c>
      <c r="H99" s="99">
        <f>G99+'30'!H148</f>
        <v>-297.97961278218901</v>
      </c>
      <c r="I99" s="168"/>
      <c r="J99" s="175">
        <f>H99/DAY(B2)</f>
        <v>-9.6122455736190009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541274</v>
      </c>
      <c r="H100" s="99">
        <f>G100+'30'!H149</f>
        <v>728132</v>
      </c>
      <c r="I100" s="118"/>
      <c r="J100" s="175">
        <f>H100/DAY(B2)</f>
        <v>23488.129032258064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2.6443468447562424</v>
      </c>
      <c r="H101" s="99">
        <f>G101+'30'!H150</f>
        <v>7166822.6443468444</v>
      </c>
      <c r="I101" s="168"/>
      <c r="J101" s="175">
        <f>H101/DAY(B2)</f>
        <v>231187.82723699498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584395</v>
      </c>
      <c r="H102" s="99">
        <f>G102+'30'!H156</f>
        <v>584286</v>
      </c>
      <c r="I102" s="168"/>
      <c r="J102" s="175">
        <f>H102/DAY(B2)</f>
        <v>18847.935483870966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2.8550107234807589</v>
      </c>
      <c r="H103" s="99">
        <f>G103+'30'!H160</f>
        <v>2.8550107234807589</v>
      </c>
      <c r="I103" s="118"/>
      <c r="J103" s="175">
        <f>H103/DAY(B2)</f>
        <v>9.2097120112282549E-2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145803</v>
      </c>
      <c r="H104" s="99">
        <f>G104+'30'!H161</f>
        <v>145802.84000000003</v>
      </c>
      <c r="I104" s="118"/>
      <c r="J104" s="175">
        <f>H104/DAY(B2)</f>
        <v>4703.3174193548393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0.71230782008002302</v>
      </c>
      <c r="H105" s="99">
        <f>G105+'30'!H162</f>
        <v>-24.287692179919976</v>
      </c>
      <c r="I105" s="187"/>
      <c r="J105" s="188">
        <f>H105/DAY(B2)</f>
        <v>-0.78347394128774117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9.2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9.25" customHeight="1" x14ac:dyDescent="0.5">
      <c r="A112" s="835" t="s">
        <v>252</v>
      </c>
      <c r="B112" s="836"/>
      <c r="C112" s="837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G112+'30'!H169</f>
        <v>38434</v>
      </c>
      <c r="I112" s="165"/>
      <c r="J112" s="330" t="e">
        <f t="shared" ref="J112:J123" si="10">H112/DAY(B31)</f>
        <v>#DIV/0!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G113+'30'!H170</f>
        <v>94790</v>
      </c>
      <c r="I113" s="165"/>
      <c r="J113" s="330" t="e">
        <f t="shared" si="10"/>
        <v>#DIV/0!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G114+'30'!H171</f>
        <v>44933</v>
      </c>
      <c r="I114" s="165"/>
      <c r="J114" s="330" t="e">
        <f t="shared" si="10"/>
        <v>#DIV/0!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G115+'30'!H172</f>
        <v>6560</v>
      </c>
      <c r="I115" s="165"/>
      <c r="J115" s="330" t="e">
        <f t="shared" si="10"/>
        <v>#DIV/0!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G116+'30'!H173</f>
        <v>44933</v>
      </c>
      <c r="I116" s="165"/>
      <c r="J116" s="330" t="e">
        <f t="shared" si="10"/>
        <v>#DIV/0!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G117+'30'!H174</f>
        <v>44925</v>
      </c>
      <c r="I117" s="165"/>
      <c r="J117" s="330" t="e">
        <f t="shared" si="10"/>
        <v>#DIV/0!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G118+'30'!H175</f>
        <v>44925</v>
      </c>
      <c r="I118" s="165"/>
      <c r="J118" s="330" t="e">
        <f t="shared" si="10"/>
        <v>#DIV/0!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G119+'30'!H176</f>
        <v>44917</v>
      </c>
      <c r="I119" s="165"/>
      <c r="J119" s="330" t="e">
        <f t="shared" si="10"/>
        <v>#DIV/0!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G120+'30'!H177</f>
        <v>44933</v>
      </c>
      <c r="I120" s="165"/>
      <c r="J120" s="330" t="e">
        <f t="shared" si="10"/>
        <v>#DIV/0!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G121+'30'!H178</f>
        <v>44888</v>
      </c>
      <c r="I121" s="165"/>
      <c r="J121" s="330" t="e">
        <f t="shared" si="10"/>
        <v>#DIV/0!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G122+'30'!H179</f>
        <v>44933</v>
      </c>
      <c r="I122" s="165"/>
      <c r="J122" s="330" t="e">
        <f t="shared" si="10"/>
        <v>#DIV/0!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G123+'30'!H180</f>
        <v>44927</v>
      </c>
      <c r="I123" s="165"/>
      <c r="J123" s="330" t="e">
        <f t="shared" si="10"/>
        <v>#DIV/0!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24"/>
      <c r="B125" s="824"/>
      <c r="C125" s="245"/>
      <c r="D125" s="307"/>
      <c r="E125" s="308"/>
      <c r="F125" s="308"/>
      <c r="G125" s="309"/>
      <c r="H125" s="156"/>
      <c r="I125" s="165"/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G127+'30'!H184</f>
        <v>-6</v>
      </c>
      <c r="I127" s="165"/>
      <c r="J127" s="330" t="e">
        <f t="shared" ref="J127:J135" si="11">H127/DAY(B46)</f>
        <v>#DIV/0!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'30'!F185</f>
        <v>0</v>
      </c>
      <c r="F128" s="165"/>
      <c r="G128" s="112">
        <f t="shared" ref="G128:G133" si="12">F128-E128</f>
        <v>0</v>
      </c>
      <c r="H128" s="99">
        <f>G128+'30'!H185</f>
        <v>0</v>
      </c>
      <c r="I128" s="165"/>
      <c r="J128" s="330" t="e">
        <f t="shared" si="11"/>
        <v>#DIV/0!</v>
      </c>
    </row>
    <row r="129" spans="1:15" ht="29.25" customHeight="1" x14ac:dyDescent="0.5">
      <c r="A129" s="331" t="s">
        <v>319</v>
      </c>
      <c r="B129" s="332"/>
      <c r="C129" s="333"/>
      <c r="D129" s="151" t="s">
        <v>183</v>
      </c>
      <c r="E129" s="95">
        <f>'30'!F186</f>
        <v>0</v>
      </c>
      <c r="F129" s="165"/>
      <c r="G129" s="112">
        <f t="shared" si="12"/>
        <v>0</v>
      </c>
      <c r="H129" s="99">
        <f>G129+'30'!H186</f>
        <v>-15</v>
      </c>
      <c r="I129" s="165"/>
      <c r="J129" s="330" t="e">
        <f t="shared" si="11"/>
        <v>#DIV/0!</v>
      </c>
      <c r="N129" s="240"/>
      <c r="O129" s="241"/>
    </row>
    <row r="130" spans="1:15" ht="29.25" customHeight="1" x14ac:dyDescent="0.5">
      <c r="A130" s="331" t="s">
        <v>320</v>
      </c>
      <c r="B130" s="332"/>
      <c r="C130" s="333"/>
      <c r="D130" s="151" t="s">
        <v>183</v>
      </c>
      <c r="E130" s="95">
        <f>'30'!F187</f>
        <v>0</v>
      </c>
      <c r="F130" s="165"/>
      <c r="G130" s="112">
        <f t="shared" si="12"/>
        <v>0</v>
      </c>
      <c r="H130" s="99">
        <f>G130+'30'!H187</f>
        <v>1619</v>
      </c>
      <c r="I130" s="165"/>
      <c r="J130" s="330" t="e">
        <f t="shared" si="11"/>
        <v>#DIV/0!</v>
      </c>
      <c r="N130" s="240"/>
      <c r="O130" s="241"/>
    </row>
    <row r="131" spans="1:15" ht="29.25" customHeight="1" x14ac:dyDescent="0.5">
      <c r="A131" s="835" t="s">
        <v>321</v>
      </c>
      <c r="B131" s="836"/>
      <c r="C131" s="837"/>
      <c r="D131" s="151" t="s">
        <v>183</v>
      </c>
      <c r="E131" s="95">
        <f>'30'!F188</f>
        <v>0</v>
      </c>
      <c r="F131" s="165"/>
      <c r="G131" s="112">
        <f t="shared" si="12"/>
        <v>0</v>
      </c>
      <c r="H131" s="99">
        <f>G131+'30'!H188</f>
        <v>2805</v>
      </c>
      <c r="I131" s="165"/>
      <c r="J131" s="330" t="e">
        <f t="shared" si="11"/>
        <v>#DIV/0!</v>
      </c>
      <c r="N131" s="240"/>
      <c r="O131" s="241"/>
    </row>
    <row r="132" spans="1:15" ht="29.25" customHeight="1" x14ac:dyDescent="0.5">
      <c r="A132" s="835" t="s">
        <v>322</v>
      </c>
      <c r="B132" s="836"/>
      <c r="C132" s="837"/>
      <c r="D132" s="151" t="s">
        <v>183</v>
      </c>
      <c r="E132" s="95">
        <f>'30'!F189</f>
        <v>0</v>
      </c>
      <c r="F132" s="165"/>
      <c r="G132" s="112">
        <f t="shared" si="12"/>
        <v>0</v>
      </c>
      <c r="H132" s="99">
        <f>G132+'30'!H189</f>
        <v>930</v>
      </c>
      <c r="I132" s="165"/>
      <c r="J132" s="330" t="e">
        <f t="shared" si="11"/>
        <v>#DIV/0!</v>
      </c>
    </row>
    <row r="133" spans="1:15" ht="29.25" customHeight="1" x14ac:dyDescent="0.5">
      <c r="A133" s="835" t="s">
        <v>323</v>
      </c>
      <c r="B133" s="836"/>
      <c r="C133" s="837"/>
      <c r="D133" s="151" t="s">
        <v>183</v>
      </c>
      <c r="E133" s="95">
        <f>'30'!F190</f>
        <v>52948.703000000001</v>
      </c>
      <c r="F133" s="165"/>
      <c r="G133" s="112">
        <f t="shared" si="12"/>
        <v>-52948.703000000001</v>
      </c>
      <c r="H133" s="99">
        <f>G133+'30'!H190</f>
        <v>-52948.703000000001</v>
      </c>
      <c r="I133" s="165"/>
      <c r="J133" s="330" t="e">
        <f t="shared" si="11"/>
        <v>#DIV/0!</v>
      </c>
    </row>
    <row r="134" spans="1:15" ht="29.25" customHeight="1" x14ac:dyDescent="0.5">
      <c r="A134" s="839"/>
      <c r="B134" s="840"/>
      <c r="C134" s="841"/>
      <c r="D134" s="151"/>
      <c r="E134" s="95"/>
      <c r="F134" s="165"/>
      <c r="G134" s="112"/>
      <c r="H134" s="99">
        <f>G134+'30'!H191</f>
        <v>0</v>
      </c>
      <c r="I134" s="165"/>
      <c r="J134" s="330" t="e">
        <f t="shared" si="11"/>
        <v>#DIV/0!</v>
      </c>
    </row>
    <row r="135" spans="1:15" ht="29.25" customHeight="1" x14ac:dyDescent="0.5">
      <c r="A135" s="839"/>
      <c r="B135" s="840"/>
      <c r="C135" s="841"/>
      <c r="D135" s="151"/>
      <c r="E135" s="95"/>
      <c r="F135" s="165"/>
      <c r="G135" s="112"/>
      <c r="H135" s="99">
        <f>G135+'30'!H192</f>
        <v>0</v>
      </c>
      <c r="I135" s="165"/>
      <c r="J135" s="330" t="e">
        <f t="shared" si="11"/>
        <v>#DIV/0!</v>
      </c>
    </row>
    <row r="136" spans="1:15" ht="35.2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'30'!F195</f>
        <v>0</v>
      </c>
      <c r="F138" s="147">
        <v>857022</v>
      </c>
      <c r="G138" s="112">
        <f t="shared" ref="G138:G150" si="13">F138-E138</f>
        <v>857022</v>
      </c>
      <c r="H138" s="99">
        <f>G138+'30'!H195</f>
        <v>857022</v>
      </c>
      <c r="I138" s="118"/>
      <c r="J138" s="330" t="e">
        <f>H138/DAY(B77)</f>
        <v>#DIV/0!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'30'!F196</f>
        <v>0</v>
      </c>
      <c r="F139" s="148">
        <v>886051</v>
      </c>
      <c r="G139" s="112">
        <f t="shared" si="13"/>
        <v>886051</v>
      </c>
      <c r="H139" s="99">
        <f>G139+'30'!H196</f>
        <v>886051</v>
      </c>
      <c r="I139" s="118"/>
      <c r="J139" s="330" t="e">
        <f>H139/DAY(B77)</f>
        <v>#DIV/0!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'30'!F197</f>
        <v>0</v>
      </c>
      <c r="F140" s="149">
        <v>88776</v>
      </c>
      <c r="G140" s="112">
        <f t="shared" si="13"/>
        <v>88776</v>
      </c>
      <c r="H140" s="99">
        <f>G140+'30'!H197</f>
        <v>88776</v>
      </c>
      <c r="I140" s="118"/>
      <c r="J140" s="330" t="e">
        <f>H140/DAY(B77)</f>
        <v>#DIV/0!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'30'!F198</f>
        <v>0</v>
      </c>
      <c r="F141" s="149">
        <v>26308</v>
      </c>
      <c r="G141" s="112">
        <f t="shared" si="13"/>
        <v>26308</v>
      </c>
      <c r="H141" s="99">
        <f>G141+'30'!H198</f>
        <v>26308</v>
      </c>
      <c r="I141" s="118"/>
      <c r="J141" s="330" t="e">
        <f>H141/DAY(B77)</f>
        <v>#DIV/0!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'30'!F199</f>
        <v>0</v>
      </c>
      <c r="F142" s="148">
        <v>13277</v>
      </c>
      <c r="G142" s="112">
        <f t="shared" si="13"/>
        <v>13277</v>
      </c>
      <c r="H142" s="99">
        <f>G142+'30'!H199</f>
        <v>13277</v>
      </c>
      <c r="I142" s="140"/>
      <c r="J142" s="330" t="e">
        <f>H142/DAY(B77)</f>
        <v>#DIV/0!</v>
      </c>
    </row>
    <row r="143" spans="1:15" ht="27.75" x14ac:dyDescent="0.5">
      <c r="A143" s="834" t="s">
        <v>190</v>
      </c>
      <c r="B143" s="834"/>
      <c r="C143" s="834"/>
      <c r="D143" s="151" t="s">
        <v>183</v>
      </c>
      <c r="E143" s="95">
        <f>'30'!F200</f>
        <v>0</v>
      </c>
      <c r="F143" s="149">
        <v>708289</v>
      </c>
      <c r="G143" s="112">
        <f t="shared" si="13"/>
        <v>708289</v>
      </c>
      <c r="H143" s="99">
        <f>G143+'30'!H200</f>
        <v>708289</v>
      </c>
      <c r="I143" s="140"/>
      <c r="J143" s="330" t="e">
        <f>H143/DAY(B77)</f>
        <v>#DIV/0!</v>
      </c>
    </row>
    <row r="144" spans="1:15" ht="27.75" x14ac:dyDescent="0.5">
      <c r="A144" s="869" t="s">
        <v>191</v>
      </c>
      <c r="B144" s="854"/>
      <c r="C144" s="855"/>
      <c r="D144" s="151" t="s">
        <v>183</v>
      </c>
      <c r="E144" s="95">
        <f>'30'!F201</f>
        <v>0</v>
      </c>
      <c r="F144" s="149">
        <v>682413</v>
      </c>
      <c r="G144" s="112">
        <f t="shared" si="13"/>
        <v>682413</v>
      </c>
      <c r="H144" s="99">
        <f>G144+'30'!H201</f>
        <v>682413</v>
      </c>
      <c r="I144" s="140"/>
      <c r="J144" s="330" t="e">
        <f>H144/DAY(B77)</f>
        <v>#DIV/0!</v>
      </c>
    </row>
    <row r="145" spans="1:10" ht="27.75" x14ac:dyDescent="0.5">
      <c r="A145" s="815" t="s">
        <v>90</v>
      </c>
      <c r="B145" s="815"/>
      <c r="C145" s="815"/>
      <c r="D145" s="152" t="s">
        <v>183</v>
      </c>
      <c r="E145" s="95">
        <f>'30'!F202</f>
        <v>0</v>
      </c>
      <c r="F145" s="149">
        <v>845049</v>
      </c>
      <c r="G145" s="112">
        <f t="shared" si="13"/>
        <v>845049</v>
      </c>
      <c r="H145" s="99">
        <f>G145+'30'!H202</f>
        <v>845049</v>
      </c>
      <c r="I145" s="140"/>
      <c r="J145" s="330" t="e">
        <f>H145/DAY(B77)</f>
        <v>#DIV/0!</v>
      </c>
    </row>
    <row r="146" spans="1:10" ht="27.75" x14ac:dyDescent="0.5">
      <c r="A146" s="815" t="s">
        <v>192</v>
      </c>
      <c r="B146" s="815"/>
      <c r="C146" s="815"/>
      <c r="D146" s="152" t="s">
        <v>183</v>
      </c>
      <c r="E146" s="95">
        <f>'30'!F203</f>
        <v>0</v>
      </c>
      <c r="F146" s="148">
        <v>564298</v>
      </c>
      <c r="G146" s="112">
        <f t="shared" si="13"/>
        <v>564298</v>
      </c>
      <c r="H146" s="99">
        <f>G146+'30'!H203</f>
        <v>564298</v>
      </c>
      <c r="I146" s="140"/>
      <c r="J146" s="330" t="e">
        <f>H146/DAY(B77)</f>
        <v>#DIV/0!</v>
      </c>
    </row>
    <row r="147" spans="1:10" ht="27.75" x14ac:dyDescent="0.5">
      <c r="A147" s="815" t="s">
        <v>193</v>
      </c>
      <c r="B147" s="815"/>
      <c r="C147" s="815"/>
      <c r="D147" s="152" t="s">
        <v>183</v>
      </c>
      <c r="E147" s="95">
        <f>'30'!F204</f>
        <v>0</v>
      </c>
      <c r="F147" s="148">
        <v>654178</v>
      </c>
      <c r="G147" s="112">
        <f t="shared" si="13"/>
        <v>654178</v>
      </c>
      <c r="H147" s="99">
        <f>G147+'30'!H204</f>
        <v>654178</v>
      </c>
      <c r="I147" s="140"/>
      <c r="J147" s="330" t="e">
        <f>H147/DAY(B77)</f>
        <v>#DIV/0!</v>
      </c>
    </row>
    <row r="148" spans="1:10" ht="27.75" x14ac:dyDescent="0.5">
      <c r="A148" s="815" t="s">
        <v>91</v>
      </c>
      <c r="B148" s="815"/>
      <c r="C148" s="815"/>
      <c r="D148" s="123" t="s">
        <v>130</v>
      </c>
      <c r="E148" s="95">
        <f>'30'!F205</f>
        <v>0</v>
      </c>
      <c r="F148" s="150">
        <v>109925</v>
      </c>
      <c r="G148" s="112">
        <f t="shared" si="13"/>
        <v>109925</v>
      </c>
      <c r="H148" s="99">
        <f>G148+'30'!H205</f>
        <v>109925</v>
      </c>
      <c r="I148" s="124"/>
      <c r="J148" s="330" t="e">
        <f>H148/DAY(B77)</f>
        <v>#DIV/0!</v>
      </c>
    </row>
    <row r="149" spans="1:10" ht="27.75" x14ac:dyDescent="0.5">
      <c r="A149" s="815" t="s">
        <v>194</v>
      </c>
      <c r="B149" s="815"/>
      <c r="C149" s="815"/>
      <c r="D149" s="227" t="s">
        <v>130</v>
      </c>
      <c r="E149" s="95">
        <f>'30'!F206</f>
        <v>0</v>
      </c>
      <c r="F149" s="146">
        <v>44323</v>
      </c>
      <c r="G149" s="112">
        <f t="shared" si="13"/>
        <v>44323</v>
      </c>
      <c r="H149" s="99">
        <f>G149+'30'!H206</f>
        <v>44323</v>
      </c>
      <c r="I149" s="119"/>
      <c r="J149" s="330" t="e">
        <f>H149/DAY(B77)</f>
        <v>#DIV/0!</v>
      </c>
    </row>
    <row r="150" spans="1:10" ht="29.25" x14ac:dyDescent="0.5">
      <c r="A150" s="327" t="s">
        <v>195</v>
      </c>
      <c r="B150" s="190"/>
      <c r="C150" s="190"/>
      <c r="D150" s="117" t="s">
        <v>130</v>
      </c>
      <c r="E150" s="95">
        <f>'30'!F207</f>
        <v>0</v>
      </c>
      <c r="F150" s="233">
        <v>570379</v>
      </c>
      <c r="G150" s="112">
        <f t="shared" si="13"/>
        <v>570379</v>
      </c>
      <c r="H150" s="99">
        <f>G150+'30'!H207</f>
        <v>570379</v>
      </c>
      <c r="I150" s="119"/>
      <c r="J150" s="330" t="e">
        <f>H150/DAY(B77)</f>
        <v>#DIV/0!</v>
      </c>
    </row>
    <row r="151" spans="1:10" ht="29.25" x14ac:dyDescent="0.5"/>
    <row r="152" spans="1:10" ht="31.5" x14ac:dyDescent="0.55000000000000004">
      <c r="A152" s="823" t="s">
        <v>326</v>
      </c>
      <c r="B152" s="823"/>
      <c r="C152" s="823"/>
      <c r="D152" s="823"/>
      <c r="E152" s="823"/>
      <c r="F152" s="823"/>
      <c r="G152" s="823"/>
      <c r="H152" s="823"/>
      <c r="I152" s="823"/>
      <c r="J152" s="823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'30'!F210</f>
        <v>0</v>
      </c>
      <c r="F153" s="235">
        <v>463315</v>
      </c>
      <c r="G153" s="238">
        <f t="shared" ref="G153:G157" si="14">F153-E153</f>
        <v>463315</v>
      </c>
      <c r="H153" s="99">
        <f>G153+'30'!H210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'30'!F211</f>
        <v>0</v>
      </c>
      <c r="F154" s="235">
        <v>83899</v>
      </c>
      <c r="G154" s="238">
        <f t="shared" si="14"/>
        <v>83899</v>
      </c>
      <c r="H154" s="99">
        <f>G154+'30'!H211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'30'!F213</f>
        <v>0</v>
      </c>
      <c r="F155" s="235">
        <v>69089</v>
      </c>
      <c r="G155" s="238">
        <f t="shared" si="14"/>
        <v>69089</v>
      </c>
      <c r="H155" s="99">
        <f>G155+'30'!H213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'30'!F214</f>
        <v>0</v>
      </c>
      <c r="F156" s="235">
        <v>3611</v>
      </c>
      <c r="G156" s="238">
        <f t="shared" si="14"/>
        <v>3611</v>
      </c>
      <c r="H156" s="99">
        <f>G156+'30'!H214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'30'!F215</f>
        <v>0</v>
      </c>
      <c r="F157" s="235">
        <v>28746</v>
      </c>
      <c r="G157" s="238">
        <f t="shared" si="14"/>
        <v>28746</v>
      </c>
      <c r="H157" s="99">
        <f>G157+'30'!H215</f>
        <v>28746</v>
      </c>
      <c r="I157" s="236"/>
      <c r="J157" s="239" t="e">
        <f>H157/DAY(B92)</f>
        <v>#DIV/0!</v>
      </c>
    </row>
    <row r="158" spans="1:10" ht="29.25" x14ac:dyDescent="0.5">
      <c r="A158" s="824" t="s">
        <v>328</v>
      </c>
      <c r="B158" s="824"/>
      <c r="C158" s="246"/>
      <c r="D158" s="244" t="s">
        <v>180</v>
      </c>
      <c r="E158" s="165"/>
      <c r="F158" s="165"/>
      <c r="G158" s="165"/>
      <c r="H158" s="156"/>
      <c r="I158" s="165"/>
      <c r="J158" s="329"/>
    </row>
    <row r="159" spans="1:10" ht="29.25" x14ac:dyDescent="0.5">
      <c r="A159" s="824" t="s">
        <v>327</v>
      </c>
      <c r="B159" s="824"/>
      <c r="C159" s="246"/>
      <c r="D159" s="244" t="s">
        <v>180</v>
      </c>
      <c r="E159" s="165"/>
      <c r="F159" s="165"/>
      <c r="G159" s="165"/>
      <c r="H159" s="156"/>
      <c r="I159" s="165"/>
      <c r="J159" s="329"/>
    </row>
    <row r="160" spans="1:10" ht="29.25" x14ac:dyDescent="0.5">
      <c r="A160" s="824" t="s">
        <v>328</v>
      </c>
      <c r="B160" s="824"/>
      <c r="C160" s="246"/>
      <c r="D160" s="244" t="s">
        <v>180</v>
      </c>
      <c r="E160" s="165"/>
      <c r="F160" s="165"/>
      <c r="G160" s="165"/>
      <c r="H160" s="156"/>
      <c r="I160" s="165"/>
      <c r="J160" s="329"/>
    </row>
    <row r="161" spans="1:10" ht="29.25" x14ac:dyDescent="0.5"/>
    <row r="162" spans="1:10" ht="29.25" x14ac:dyDescent="0.5"/>
    <row r="163" spans="1:10" ht="34.5" customHeight="1" x14ac:dyDescent="0.35">
      <c r="A163" s="825" t="s">
        <v>330</v>
      </c>
      <c r="B163" s="826"/>
      <c r="C163" s="826"/>
      <c r="D163" s="826"/>
      <c r="E163" s="826"/>
      <c r="F163" s="826"/>
      <c r="G163" s="826"/>
      <c r="H163" s="826"/>
      <c r="I163" s="826"/>
      <c r="J163" s="827"/>
    </row>
    <row r="164" spans="1:10" ht="27.75" x14ac:dyDescent="0.5">
      <c r="A164" s="832"/>
      <c r="B164" s="833"/>
      <c r="C164" s="334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828" t="s">
        <v>209</v>
      </c>
      <c r="B165" s="829"/>
      <c r="C165" s="335"/>
      <c r="D165" s="228" t="s">
        <v>142</v>
      </c>
      <c r="E165" s="155">
        <f>'30'!F222</f>
        <v>0</v>
      </c>
      <c r="F165" s="155">
        <v>7961</v>
      </c>
      <c r="G165" s="155">
        <f>F165-E165</f>
        <v>7961</v>
      </c>
      <c r="H165" s="99">
        <f>G165+'30'!H222</f>
        <v>7961</v>
      </c>
      <c r="I165" s="155"/>
      <c r="J165" s="178" t="e">
        <f>H165/DAY(B93)</f>
        <v>#DIV/0!</v>
      </c>
    </row>
    <row r="166" spans="1:10" ht="27.75" x14ac:dyDescent="0.5">
      <c r="A166" s="828" t="s">
        <v>75</v>
      </c>
      <c r="B166" s="829"/>
      <c r="C166" s="335"/>
      <c r="D166" s="228" t="s">
        <v>142</v>
      </c>
      <c r="E166" s="155">
        <f>'30'!F223</f>
        <v>0</v>
      </c>
      <c r="F166" s="157">
        <v>36765</v>
      </c>
      <c r="G166" s="155">
        <f t="shared" ref="G166:G167" si="15">F166-E166</f>
        <v>36765</v>
      </c>
      <c r="H166" s="99">
        <f>G166+'30'!H223</f>
        <v>36765</v>
      </c>
      <c r="I166" s="155"/>
      <c r="J166" s="178" t="e">
        <f>H166/DAY(B93)</f>
        <v>#DIV/0!</v>
      </c>
    </row>
    <row r="167" spans="1:10" ht="27.75" x14ac:dyDescent="0.5">
      <c r="A167" s="828" t="s">
        <v>76</v>
      </c>
      <c r="B167" s="868"/>
      <c r="C167" s="829"/>
      <c r="D167" s="228" t="s">
        <v>142</v>
      </c>
      <c r="E167" s="155">
        <f>'30'!F224</f>
        <v>0</v>
      </c>
      <c r="F167" s="155">
        <v>20214</v>
      </c>
      <c r="G167" s="155">
        <f t="shared" si="15"/>
        <v>20214</v>
      </c>
      <c r="H167" s="99">
        <f>G167+'30'!H224</f>
        <v>20214</v>
      </c>
      <c r="I167" s="155"/>
      <c r="J167" s="178" t="e">
        <f>H167/DAY(B93)</f>
        <v>#DIV/0!</v>
      </c>
    </row>
    <row r="168" spans="1:10" ht="27.75" x14ac:dyDescent="0.5">
      <c r="A168" s="828" t="s">
        <v>196</v>
      </c>
      <c r="B168" s="829"/>
      <c r="C168" s="335"/>
      <c r="D168" s="228"/>
      <c r="E168" s="155"/>
      <c r="F168" s="155"/>
      <c r="G168" s="155">
        <f>SUM(G165:G167)</f>
        <v>64940</v>
      </c>
      <c r="H168" s="99">
        <f>G168+'30'!H225</f>
        <v>64940</v>
      </c>
      <c r="I168" s="155"/>
      <c r="J168" s="178" t="e">
        <f>H168/DAY(B93)</f>
        <v>#DIV/0!</v>
      </c>
    </row>
    <row r="169" spans="1:10" ht="27.75" x14ac:dyDescent="0.5">
      <c r="A169" s="828" t="s">
        <v>77</v>
      </c>
      <c r="B169" s="829"/>
      <c r="C169" s="335"/>
      <c r="D169" s="228" t="s">
        <v>142</v>
      </c>
      <c r="E169" s="155"/>
      <c r="F169" s="155"/>
      <c r="G169" s="155"/>
      <c r="H169" s="99">
        <f>G169+'30'!H226</f>
        <v>0</v>
      </c>
      <c r="I169" s="155"/>
      <c r="J169" s="178"/>
    </row>
    <row r="170" spans="1:10" ht="27.75" x14ac:dyDescent="0.5">
      <c r="A170" s="828" t="s">
        <v>210</v>
      </c>
      <c r="B170" s="829"/>
      <c r="C170" s="335"/>
      <c r="D170" s="228" t="s">
        <v>142</v>
      </c>
      <c r="E170" s="155">
        <f>'30'!F227</f>
        <v>0</v>
      </c>
      <c r="F170" s="155">
        <v>69524</v>
      </c>
      <c r="G170" s="155">
        <f>F170-E170</f>
        <v>69524</v>
      </c>
      <c r="H170" s="99">
        <f>G170+'30'!H227</f>
        <v>69524</v>
      </c>
      <c r="I170" s="155"/>
      <c r="J170" s="178" t="e">
        <f>H170/DAY(B93)</f>
        <v>#DIV/0!</v>
      </c>
    </row>
    <row r="171" spans="1:10" ht="27.75" x14ac:dyDescent="0.5">
      <c r="A171" s="828" t="s">
        <v>211</v>
      </c>
      <c r="B171" s="829"/>
      <c r="C171" s="335"/>
      <c r="D171" s="228" t="s">
        <v>142</v>
      </c>
      <c r="E171" s="155">
        <f>'30'!F228</f>
        <v>0</v>
      </c>
      <c r="F171" s="155">
        <v>33886</v>
      </c>
      <c r="G171" s="155">
        <f t="shared" ref="G171:G172" si="16">F171-E171</f>
        <v>33886</v>
      </c>
      <c r="H171" s="99">
        <f>G171+'30'!H228</f>
        <v>33886</v>
      </c>
      <c r="I171" s="155"/>
      <c r="J171" s="178" t="e">
        <f>H171/DAY(B93)</f>
        <v>#DIV/0!</v>
      </c>
    </row>
    <row r="172" spans="1:10" ht="27.75" x14ac:dyDescent="0.5">
      <c r="A172" s="828" t="s">
        <v>212</v>
      </c>
      <c r="B172" s="829"/>
      <c r="C172" s="335"/>
      <c r="D172" s="228" t="s">
        <v>142</v>
      </c>
      <c r="E172" s="155">
        <f>'30'!F229</f>
        <v>0</v>
      </c>
      <c r="F172" s="155">
        <v>4788</v>
      </c>
      <c r="G172" s="155">
        <f t="shared" si="16"/>
        <v>4788</v>
      </c>
      <c r="H172" s="99">
        <f>G172+'30'!H229</f>
        <v>4788</v>
      </c>
      <c r="I172" s="155"/>
      <c r="J172" s="178" t="e">
        <f>H172/DAY(B93)</f>
        <v>#DIV/0!</v>
      </c>
    </row>
    <row r="173" spans="1:10" ht="27.75" x14ac:dyDescent="0.5">
      <c r="A173" s="821" t="s">
        <v>108</v>
      </c>
      <c r="B173" s="822"/>
      <c r="C173" s="335"/>
      <c r="D173" s="228"/>
      <c r="E173" s="155"/>
      <c r="F173" s="155"/>
      <c r="G173" s="155">
        <f>SUM(G170:G172)</f>
        <v>108198</v>
      </c>
      <c r="H173" s="99">
        <f>G173+'30'!H230</f>
        <v>108198</v>
      </c>
      <c r="I173" s="155"/>
      <c r="J173" s="178" t="e">
        <f>H173/DAY(B93)</f>
        <v>#DIV/0!</v>
      </c>
    </row>
    <row r="174" spans="1:10" ht="27.75" x14ac:dyDescent="0.5">
      <c r="A174" s="828" t="s">
        <v>213</v>
      </c>
      <c r="B174" s="829"/>
      <c r="C174" s="335"/>
      <c r="D174" s="228"/>
      <c r="E174" s="155"/>
      <c r="F174" s="155"/>
      <c r="G174" s="155"/>
      <c r="H174" s="99">
        <f>G174+'30'!H231</f>
        <v>0</v>
      </c>
      <c r="I174" s="155"/>
      <c r="J174" s="178" t="e">
        <f>H174/DAY(B93)</f>
        <v>#DIV/0!</v>
      </c>
    </row>
    <row r="175" spans="1:10" ht="27.75" x14ac:dyDescent="0.5">
      <c r="A175" s="828" t="s">
        <v>214</v>
      </c>
      <c r="B175" s="829"/>
      <c r="C175" s="336"/>
      <c r="D175" s="228" t="s">
        <v>142</v>
      </c>
      <c r="E175" s="155">
        <f>'30'!F232</f>
        <v>0</v>
      </c>
      <c r="F175" s="157">
        <v>13038</v>
      </c>
      <c r="G175" s="157">
        <f>F175-E175</f>
        <v>13038</v>
      </c>
      <c r="H175" s="99">
        <f>G175+'30'!H232</f>
        <v>13038</v>
      </c>
      <c r="I175" s="155"/>
      <c r="J175" s="178" t="e">
        <f>H175/DAY(B93)</f>
        <v>#DIV/0!</v>
      </c>
    </row>
    <row r="176" spans="1:10" ht="27.75" x14ac:dyDescent="0.5">
      <c r="A176" s="828" t="s">
        <v>215</v>
      </c>
      <c r="B176" s="829"/>
      <c r="C176" s="336"/>
      <c r="D176" s="228" t="s">
        <v>142</v>
      </c>
      <c r="E176" s="155">
        <f>'30'!F233</f>
        <v>0</v>
      </c>
      <c r="F176" s="157">
        <v>9126</v>
      </c>
      <c r="G176" s="157">
        <f t="shared" ref="G176:G177" si="17">F176-E176</f>
        <v>9126</v>
      </c>
      <c r="H176" s="99">
        <f>G176+'30'!H233</f>
        <v>9126</v>
      </c>
      <c r="I176" s="155"/>
      <c r="J176" s="178" t="e">
        <f>H176/DAY(B93)</f>
        <v>#DIV/0!</v>
      </c>
    </row>
    <row r="177" spans="1:10" ht="27.75" x14ac:dyDescent="0.5">
      <c r="A177" s="828" t="s">
        <v>216</v>
      </c>
      <c r="B177" s="829"/>
      <c r="C177" s="336"/>
      <c r="D177" s="228" t="s">
        <v>142</v>
      </c>
      <c r="E177" s="157"/>
      <c r="F177" s="157"/>
      <c r="G177" s="157">
        <f t="shared" si="17"/>
        <v>0</v>
      </c>
      <c r="H177" s="99">
        <f>G177+'30'!H234</f>
        <v>0</v>
      </c>
      <c r="I177" s="155"/>
      <c r="J177" s="178" t="e">
        <f>H177/DAY(B93)</f>
        <v>#DIV/0!</v>
      </c>
    </row>
    <row r="178" spans="1:10" ht="27.75" x14ac:dyDescent="0.5">
      <c r="A178" s="828" t="s">
        <v>196</v>
      </c>
      <c r="B178" s="829"/>
      <c r="C178" s="336"/>
      <c r="D178" s="229"/>
      <c r="E178" s="157"/>
      <c r="F178" s="157"/>
      <c r="G178" s="157">
        <f>SUM(G175:G177)</f>
        <v>22164</v>
      </c>
      <c r="H178" s="99">
        <f>G178+'30'!H235</f>
        <v>22164</v>
      </c>
      <c r="I178" s="157"/>
      <c r="J178" s="178" t="e">
        <f>H178/DAY(B93)</f>
        <v>#DIV/0!</v>
      </c>
    </row>
    <row r="179" spans="1:10" ht="27.75" x14ac:dyDescent="0.5">
      <c r="A179" s="821" t="s">
        <v>217</v>
      </c>
      <c r="B179" s="822"/>
      <c r="C179" s="335"/>
      <c r="D179" s="230" t="s">
        <v>142</v>
      </c>
      <c r="E179" s="159"/>
      <c r="F179" s="159"/>
      <c r="G179" s="159">
        <f>SUM(G110+G153)</f>
        <v>463315</v>
      </c>
      <c r="H179" s="99">
        <f>G179+'30'!H236</f>
        <v>463315</v>
      </c>
      <c r="I179" s="158"/>
      <c r="J179" s="179" t="e">
        <f>H179/DAY(B93)</f>
        <v>#DIV/0!</v>
      </c>
    </row>
    <row r="180" spans="1:10" ht="27.75" x14ac:dyDescent="0.5">
      <c r="A180" s="821" t="s">
        <v>218</v>
      </c>
      <c r="B180" s="822"/>
      <c r="C180" s="335"/>
      <c r="D180" s="230" t="s">
        <v>142</v>
      </c>
      <c r="E180" s="159"/>
      <c r="F180" s="159"/>
      <c r="G180" s="159">
        <f>SUM(G156,G157,G158,G160,G161)</f>
        <v>32357</v>
      </c>
      <c r="H180" s="99">
        <f>G180+'30'!H237</f>
        <v>32357</v>
      </c>
      <c r="I180" s="158"/>
      <c r="J180" s="179" t="e">
        <f>H180/DAY(B93)</f>
        <v>#DIV/0!</v>
      </c>
    </row>
    <row r="181" spans="1:10" ht="27.75" x14ac:dyDescent="0.5">
      <c r="A181" s="821" t="s">
        <v>219</v>
      </c>
      <c r="B181" s="822"/>
      <c r="C181" s="335"/>
      <c r="D181" s="230" t="s">
        <v>142</v>
      </c>
      <c r="E181" s="157"/>
      <c r="F181" s="157"/>
      <c r="G181" s="157">
        <f>SUM(G173)</f>
        <v>108198</v>
      </c>
      <c r="H181" s="99">
        <f>G181+'30'!H238</f>
        <v>108198</v>
      </c>
      <c r="I181" s="158"/>
      <c r="J181" s="179" t="e">
        <f>H181/DAY(B93)</f>
        <v>#DIV/0!</v>
      </c>
    </row>
    <row r="182" spans="1:10" ht="27.75" x14ac:dyDescent="0.5">
      <c r="A182" s="821"/>
      <c r="B182" s="822"/>
      <c r="C182" s="335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Joe J. El Khoury</cp:lastModifiedBy>
  <cp:revision/>
  <cp:lastPrinted>2021-08-31T02:26:59Z</cp:lastPrinted>
  <dcterms:created xsi:type="dcterms:W3CDTF">2013-11-14T06:06:34Z</dcterms:created>
  <dcterms:modified xsi:type="dcterms:W3CDTF">2022-01-10T09:00:43Z</dcterms:modified>
</cp:coreProperties>
</file>