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<sst xmlns="http://schemas.openxmlformats.org/spreadsheetml/2006/main" count="296" uniqueCount="138">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</sst>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10910.000000000244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11479.999999999753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 t="e">
        <f>Submetering!E23+Submetering!F23+Submetering!G23+Submetering!H23-Submetering!AV23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0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6509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 t="str">
        <f>'FS Desroches Daily'!T24</f>
        <v/>
      </c>
      <c r="N22" s="35" t="str">
        <f>'FS Desroches Daily'!V24</f>
        <v/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 t="str">
        <f>'FS Desroches Daily'!D25</f>
        <v>0</v>
      </c>
      <c r="F23" s="36" t="str">
        <f>'FS Desroches Daily'!F25</f>
        <v>0</v>
      </c>
      <c r="G23" s="35" t="str">
        <f>'FS Desroches Daily'!H25</f>
        <v>0</v>
      </c>
      <c r="H23" s="36" t="str">
        <f>'FS Desroches Daily'!J25</f>
        <v>0</v>
      </c>
      <c r="I23" s="35" t="str">
        <f>'FS Desroches Daily'!L25</f>
        <v>0</v>
      </c>
      <c r="J23" s="36" t="str">
        <f>'FS Desroches Daily'!N25</f>
        <v/>
      </c>
      <c r="K23" s="13" t="str">
        <f>'FS Desroches Daily'!P25</f>
        <v/>
      </c>
      <c r="L23" s="35" t="str">
        <f>'FS Desroches Daily'!R25</f>
        <v/>
      </c>
      <c r="M23" s="35">
        <f>'FS Desroches Daily'!T25</f>
        <v>0</v>
      </c>
      <c r="N23" s="35">
        <f>'FS Desroches Daily'!V25</f>
        <v>0</v>
      </c>
      <c r="O23" s="35" t="str">
        <f>'FS Desroches Daily'!X25</f>
        <v/>
      </c>
      <c r="P23" s="35" t="str">
        <f>'FS Desroches Daily'!Z25</f>
        <v/>
      </c>
      <c r="Q23" s="35" t="str">
        <f>'FS Desroches Daily'!AB25</f>
        <v/>
      </c>
      <c r="R23" s="35" t="str">
        <f>'FS Desroches Daily'!AD25</f>
        <v/>
      </c>
      <c r="S23" s="35" t="str">
        <f>'FS Desroches Daily'!AF25</f>
        <v/>
      </c>
      <c r="T23" s="35" t="str">
        <f>'FS Desroches Daily'!AH25</f>
        <v/>
      </c>
      <c r="U23" s="39" t="str">
        <f>'FS Desroches Daily'!AJ25</f>
        <v/>
      </c>
      <c r="V23" s="39" t="str">
        <f>'FS Desroches Daily'!AL25</f>
        <v/>
      </c>
      <c r="W23" s="39" t="str">
        <f>'FS Desroches Daily'!AN25</f>
        <v/>
      </c>
      <c r="X23" s="39" t="str">
        <f>'FS Desroches Daily'!AP25</f>
        <v/>
      </c>
      <c r="Y23" s="39" t="str">
        <f>'FS Desroches Daily'!AR25</f>
        <v/>
      </c>
      <c r="Z23" s="39" t="str">
        <f>'FS Desroches Daily'!AT25</f>
        <v/>
      </c>
      <c r="AA23" s="39" t="str">
        <f>'FS Desroches Daily'!AT25</f>
        <v/>
      </c>
      <c r="AB23" s="39" t="str">
        <f>'FS Desroches Daily'!AV25</f>
        <v/>
      </c>
      <c r="AC23" s="39" t="str">
        <f>'FS Desroches Daily'!AZ25</f>
        <v/>
      </c>
      <c r="AD23" s="39" t="str">
        <f>'FS Desroches Daily'!BB25</f>
        <v/>
      </c>
      <c r="AE23" s="39" t="str">
        <f>'FS Desroches Daily'!BD25</f>
        <v/>
      </c>
      <c r="AF23" s="35" t="str">
        <f>'FS Desroches Daily'!BF25</f>
        <v/>
      </c>
      <c r="AG23" s="36" t="str">
        <f>'FS Desroches Daily'!BH25</f>
        <v/>
      </c>
      <c r="AH23" s="36" t="str">
        <f>'FS Desroches Daily'!BJ25</f>
        <v/>
      </c>
      <c r="AI23" s="36" t="str">
        <f>'FS Desroches Daily'!BL25</f>
        <v/>
      </c>
      <c r="AJ23" s="36" t="str">
        <f>'FS Desroches Daily'!BN25</f>
        <v/>
      </c>
      <c r="AK23" s="36" t="str">
        <f>'FS Desroches Daily'!BP25</f>
        <v/>
      </c>
      <c r="AL23" s="36" t="str">
        <f>'FS Desroches Daily'!BR25</f>
        <v/>
      </c>
      <c r="AM23" s="36" t="str">
        <f>'FS Desroches Daily'!BT25</f>
        <v/>
      </c>
      <c r="AN23" s="36" t="str">
        <f>'FS Desroches Daily'!BV25</f>
        <v/>
      </c>
      <c r="AO23" s="36" t="str">
        <f>'FS Desroches Daily'!BX25</f>
        <v/>
      </c>
      <c r="AP23" s="36" t="str">
        <f>'FS Desroches Daily'!BZ25</f>
        <v/>
      </c>
      <c r="AQ23" s="35" t="str">
        <f>'FS Desroches Daily'!CB25</f>
        <v/>
      </c>
      <c r="AR23" s="35" t="str">
        <f>'FS Desroches Daily'!CD25</f>
        <v/>
      </c>
      <c r="AS23" s="35" t="str">
        <f>'FS Desroches Daily'!CF25</f>
        <v/>
      </c>
      <c r="AT23" s="35" t="str">
        <f>'FS Desroches Daily'!CH25</f>
        <v/>
      </c>
      <c r="AU23" s="35" t="str">
        <f>'FS Desroches Daily'!CJ25</f>
        <v/>
      </c>
      <c r="AV23" s="35" t="str">
        <f>'FS Desroches Daily'!CL25</f>
        <v/>
      </c>
      <c r="AW23" s="35">
        <f>'FS Desroches Daily'!CM25</f>
        <v>0</v>
      </c>
      <c r="AX23" s="35" t="str">
        <f>IF(LPG!F30-LPG!F29&lt;0,"0",(LPG!F30-LPG!F29)*1.8315)</f>
        <v>0</v>
      </c>
      <c r="AY23" s="35" t="str">
        <f>IF(LPG!H30-LPG!H29&lt;0,"0",(LPG!H30-LPG!H29)*1.8315)</f>
        <v>0</v>
      </c>
      <c r="AZ23" s="35" t="str">
        <f>IF(LPG!J30-LPG!J29&lt;0,"0",(LPG!J30-LPG!J29)*1.8315)</f>
        <v>0</v>
      </c>
      <c r="BA23" s="35" t="str">
        <f>IF(LPG!M30-LPG!M29&lt;0,"0",(LPG!M30-LPG!M29)*1.8315)</f>
        <v>0</v>
      </c>
      <c r="BB23" s="35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40599.999999999964</v>
      </c>
      <c r="F33" s="17">
        <f t="shared" ref="F33:BC33" si="1">SUM(F2:F32)</f>
        <v>65700.000000000102</v>
      </c>
      <c r="G33" s="17">
        <f t="shared" si="1"/>
        <v>65900.000000000087</v>
      </c>
      <c r="H33" s="17">
        <f t="shared" si="1"/>
        <v>29970.000000000029</v>
      </c>
      <c r="I33" s="17">
        <f t="shared" si="1"/>
        <v>50599.999999999971</v>
      </c>
      <c r="J33" s="17">
        <f t="shared" si="1"/>
        <v>32429.999999999949</v>
      </c>
      <c r="K33" s="17">
        <f t="shared" si="1"/>
        <v>387</v>
      </c>
      <c r="L33" s="17">
        <f t="shared" si="1"/>
        <v>154</v>
      </c>
      <c r="M33" s="17">
        <f t="shared" si="1"/>
        <v>21325</v>
      </c>
      <c r="N33" s="17">
        <f t="shared" si="1"/>
        <v>14410</v>
      </c>
      <c r="O33" s="17">
        <f t="shared" si="1"/>
        <v>7300.0000000000127</v>
      </c>
      <c r="P33" s="17">
        <f t="shared" si="1"/>
        <v>57700.000000000102</v>
      </c>
      <c r="Q33" s="17">
        <f t="shared" si="1"/>
        <v>8879.9999999999945</v>
      </c>
      <c r="R33" s="17">
        <f t="shared" si="1"/>
        <v>7689.9999999999964</v>
      </c>
      <c r="S33" s="17">
        <f t="shared" si="1"/>
        <v>13439.999999999998</v>
      </c>
      <c r="T33" s="17">
        <f t="shared" si="1"/>
        <v>39.700000000000045</v>
      </c>
      <c r="U33" s="39">
        <f t="shared" si="1"/>
        <v>8129.9999999999964</v>
      </c>
      <c r="V33" s="39">
        <f t="shared" si="1"/>
        <v>3.7499999999999858</v>
      </c>
      <c r="W33" s="39">
        <f t="shared" si="1"/>
        <v>3.7900000000000063</v>
      </c>
      <c r="X33" s="39">
        <f t="shared" si="1"/>
        <v>3.230000000000004</v>
      </c>
      <c r="Y33" s="39">
        <f t="shared" si="1"/>
        <v>1360.0000000000136</v>
      </c>
      <c r="Z33" s="39">
        <f t="shared" si="1"/>
        <v>1509.9999999999909</v>
      </c>
      <c r="AA33" s="39">
        <f t="shared" si="1"/>
        <v>1509.9999999999909</v>
      </c>
      <c r="AB33" s="39">
        <f t="shared" si="1"/>
        <v>3170.0000000000164</v>
      </c>
      <c r="AC33" s="39">
        <f t="shared" si="1"/>
        <v>2460.0000000000364</v>
      </c>
      <c r="AD33" s="39">
        <f t="shared" si="1"/>
        <v>2750</v>
      </c>
      <c r="AE33" s="39">
        <f t="shared" si="1"/>
        <v>669.99999999998749</v>
      </c>
      <c r="AF33" s="17">
        <f t="shared" si="1"/>
        <v>964</v>
      </c>
      <c r="AG33" s="36">
        <f t="shared" si="1"/>
        <v>580.00000000001251</v>
      </c>
      <c r="AH33" s="36">
        <f t="shared" si="1"/>
        <v>819.99999999999318</v>
      </c>
      <c r="AI33" s="36">
        <f t="shared" si="1"/>
        <v>820.0000000000216</v>
      </c>
      <c r="AJ33" s="36">
        <f t="shared" si="1"/>
        <v>739.99999999998067</v>
      </c>
      <c r="AK33" s="36">
        <f t="shared" si="1"/>
        <v>860.00000000001364</v>
      </c>
      <c r="AL33" s="36">
        <f t="shared" si="1"/>
        <v>797</v>
      </c>
      <c r="AM33" s="36">
        <f t="shared" si="1"/>
        <v>759.99999999999091</v>
      </c>
      <c r="AN33" s="36">
        <f t="shared" si="1"/>
        <v>650</v>
      </c>
      <c r="AO33" s="36">
        <f t="shared" si="1"/>
        <v>789.99999999999204</v>
      </c>
      <c r="AP33" s="36">
        <f t="shared" si="1"/>
        <v>1257</v>
      </c>
      <c r="AQ33" s="17">
        <f t="shared" si="1"/>
        <v>765.90000000000146</v>
      </c>
      <c r="AR33" s="17">
        <f t="shared" si="1"/>
        <v>269.20000000000073</v>
      </c>
      <c r="AS33" s="17">
        <f t="shared" si="1"/>
        <v>184.70000000000073</v>
      </c>
      <c r="AT33" s="17">
        <f t="shared" si="1"/>
        <v>1207.0999999999985</v>
      </c>
      <c r="AU33" s="17">
        <f t="shared" si="1"/>
        <v>6394</v>
      </c>
      <c r="AV33" s="17">
        <f t="shared" si="1"/>
        <v>15029.999999999971</v>
      </c>
      <c r="AW33" s="17">
        <f t="shared" si="1"/>
        <v>1845.3999999999999</v>
      </c>
      <c r="AX33" s="17">
        <f t="shared" si="1"/>
        <v>291.20850000000002</v>
      </c>
      <c r="AY33" s="17">
        <f t="shared" si="1"/>
        <v>71.428499999999971</v>
      </c>
      <c r="AZ33" s="17">
        <f t="shared" si="1"/>
        <v>21.977999999999998</v>
      </c>
      <c r="BA33" s="17">
        <f t="shared" si="1"/>
        <v>80.586000000000013</v>
      </c>
      <c r="BB33" s="17">
        <f t="shared" si="1"/>
        <v>122.71049999999997</v>
      </c>
      <c r="BC33" s="17">
        <f t="shared" si="1"/>
        <v>495</v>
      </c>
    </row>
    <row r="35" spans="5:55" x14ac:dyDescent="0.25">
      <c r="E35" s="42">
        <f>E33/E37</f>
        <v>0.17985452161355173</v>
      </c>
      <c r="G35" s="33">
        <f>G33-M36</f>
        <v>30165.000000000087</v>
      </c>
      <c r="AE35" s="39">
        <f>SUM(U33:AE33)</f>
        <v>21570.770000000033</v>
      </c>
      <c r="AG35" s="36">
        <f>SUM(AG33:AP33)</f>
        <v>8074.0000000000045</v>
      </c>
    </row>
    <row r="36" spans="5:55" x14ac:dyDescent="0.25">
      <c r="G36" s="33">
        <f>G35-633*14</f>
        <v>21303.000000000087</v>
      </c>
      <c r="M36" s="33">
        <f>M33+N33</f>
        <v>35735</v>
      </c>
    </row>
    <row r="37" spans="5:55" x14ac:dyDescent="0.25">
      <c r="E37" s="17">
        <f>E33+F33+G33+H33+J33-633*14</f>
        <v>225738.00000000012</v>
      </c>
      <c r="G37" s="41">
        <f>M36/E37</f>
        <v>0.15830298842020388</v>
      </c>
      <c r="M37" s="39">
        <f>AE35</f>
        <v>21570.770000000033</v>
      </c>
    </row>
    <row r="38" spans="5:55" x14ac:dyDescent="0.25">
      <c r="L38" s="31">
        <f>M38/E37</f>
        <v>3.576712826373938E-2</v>
      </c>
      <c r="M38" s="33">
        <f>AG35</f>
        <v>8074.0000000000045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M25" sqref="CM25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/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286766</v>
      </c>
      <c r="V23" s="78">
        <f t="shared" si="9"/>
        <v>6509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4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/>
      <c r="T24" s="78" t="str">
        <f t="shared" si="8"/>
        <v/>
      </c>
      <c r="U24" s="80"/>
      <c r="V24" s="78" t="str">
        <f t="shared" si="9"/>
        <v/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45">
      <c r="A25" s="76">
        <v>43821</v>
      </c>
      <c r="B25" s="49"/>
      <c r="C25" s="65"/>
      <c r="D25" s="77" t="str">
        <f t="shared" si="2"/>
        <v>0</v>
      </c>
      <c r="E25" s="65"/>
      <c r="F25" s="77" t="str">
        <f t="shared" si="3"/>
        <v>0</v>
      </c>
      <c r="G25" s="65"/>
      <c r="H25" s="77" t="str">
        <f t="shared" si="4"/>
        <v>0</v>
      </c>
      <c r="I25" s="65"/>
      <c r="J25" s="77" t="str">
        <f t="shared" si="5"/>
        <v>0</v>
      </c>
      <c r="K25" s="65"/>
      <c r="L25" s="77" t="str">
        <f t="shared" si="0"/>
        <v>0</v>
      </c>
      <c r="M25" s="65"/>
      <c r="N25" s="78" t="str">
        <f t="shared" si="23"/>
        <v/>
      </c>
      <c r="O25" s="65"/>
      <c r="P25" s="78" t="str">
        <f t="shared" si="6"/>
        <v/>
      </c>
      <c r="Q25" s="65"/>
      <c r="R25" s="78" t="str">
        <f t="shared" si="7"/>
        <v/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 t="str">
        <f t="shared" si="43"/>
        <v/>
      </c>
      <c r="Y25" s="80"/>
      <c r="Z25" s="78" t="str">
        <f t="shared" si="24"/>
        <v/>
      </c>
      <c r="AA25" s="80"/>
      <c r="AB25" s="78" t="str">
        <f t="shared" si="25"/>
        <v/>
      </c>
      <c r="AC25" s="80"/>
      <c r="AD25" s="78" t="str">
        <f t="shared" si="26"/>
        <v/>
      </c>
      <c r="AE25" s="74"/>
      <c r="AF25" s="78" t="str">
        <f t="shared" si="27"/>
        <v/>
      </c>
      <c r="AG25" s="74"/>
      <c r="AH25" s="78" t="str">
        <f t="shared" si="10"/>
        <v/>
      </c>
      <c r="AI25" s="80"/>
      <c r="AJ25" s="78" t="str">
        <f t="shared" si="28"/>
        <v/>
      </c>
      <c r="AK25" s="80"/>
      <c r="AL25" s="78" t="str">
        <f t="shared" si="11"/>
        <v/>
      </c>
      <c r="AM25" s="80"/>
      <c r="AN25" s="78" t="str">
        <f t="shared" si="12"/>
        <v/>
      </c>
      <c r="AO25" s="80"/>
      <c r="AP25" s="78" t="str">
        <f t="shared" si="13"/>
        <v/>
      </c>
      <c r="AQ25" s="80"/>
      <c r="AR25" s="78" t="str">
        <f t="shared" si="29"/>
        <v/>
      </c>
      <c r="AS25" s="80"/>
      <c r="AT25" s="78" t="str">
        <f t="shared" si="30"/>
        <v/>
      </c>
      <c r="AU25" s="80"/>
      <c r="AV25" s="78" t="str">
        <f t="shared" si="31"/>
        <v/>
      </c>
      <c r="AW25" s="80"/>
      <c r="AX25" s="78" t="str">
        <f t="shared" si="32"/>
        <v/>
      </c>
      <c r="AY25" s="80"/>
      <c r="AZ25" s="78" t="str">
        <f t="shared" si="33"/>
        <v/>
      </c>
      <c r="BA25" s="80"/>
      <c r="BB25" s="78" t="str">
        <f t="shared" si="34"/>
        <v/>
      </c>
      <c r="BC25" s="80"/>
      <c r="BD25" s="78" t="str">
        <f t="shared" si="35"/>
        <v/>
      </c>
      <c r="BE25" s="80"/>
      <c r="BF25" s="78" t="str">
        <f t="shared" si="14"/>
        <v/>
      </c>
      <c r="BG25" s="80"/>
      <c r="BH25" s="78" t="str">
        <f t="shared" si="36"/>
        <v/>
      </c>
      <c r="BI25" s="80"/>
      <c r="BJ25" s="78" t="str">
        <f t="shared" si="37"/>
        <v/>
      </c>
      <c r="BK25" s="80"/>
      <c r="BL25" s="78" t="str">
        <f t="shared" si="38"/>
        <v/>
      </c>
      <c r="BM25" s="80"/>
      <c r="BN25" s="78" t="str">
        <f t="shared" si="39"/>
        <v/>
      </c>
      <c r="BO25" s="80"/>
      <c r="BP25" s="78" t="str">
        <f t="shared" si="40"/>
        <v/>
      </c>
      <c r="BQ25" s="80"/>
      <c r="BR25" s="78" t="str">
        <f t="shared" si="15"/>
        <v/>
      </c>
      <c r="BS25" s="80"/>
      <c r="BT25" s="78" t="str">
        <f t="shared" si="41"/>
        <v/>
      </c>
      <c r="BU25" s="80"/>
      <c r="BV25" s="78" t="str">
        <f t="shared" si="16"/>
        <v/>
      </c>
      <c r="BW25" s="80"/>
      <c r="BX25" s="78" t="str">
        <f t="shared" si="42"/>
        <v/>
      </c>
      <c r="BY25" s="80"/>
      <c r="BZ25" s="78" t="str">
        <f t="shared" si="17"/>
        <v/>
      </c>
      <c r="CA25" s="80"/>
      <c r="CB25" s="78" t="str">
        <f t="shared" si="18"/>
        <v/>
      </c>
      <c r="CC25" s="80"/>
      <c r="CD25" s="78" t="str">
        <f t="shared" si="19"/>
        <v/>
      </c>
      <c r="CE25" s="80"/>
      <c r="CF25" s="78" t="str">
        <f t="shared" si="20"/>
        <v/>
      </c>
      <c r="CG25" s="80"/>
      <c r="CH25" s="78" t="str">
        <f t="shared" si="21"/>
        <v/>
      </c>
      <c r="CI25" s="80"/>
      <c r="CJ25" s="78" t="str">
        <f t="shared" si="1"/>
        <v/>
      </c>
      <c r="CK25" s="80"/>
      <c r="CL25" s="77" t="str">
        <f t="shared" si="22"/>
        <v/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387</v>
      </c>
      <c r="R35" s="87">
        <f>SUM(R4:R33)</f>
        <v>154</v>
      </c>
      <c r="AX35" s="78">
        <f t="shared" si="32"/>
        <v>0</v>
      </c>
      <c r="BF35" s="87">
        <f>SUM(BF4:BF33)</f>
        <v>964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R15" sqref="R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95" t="s">
        <v>0</v>
      </c>
      <c r="B4" s="98" t="s">
        <v>54</v>
      </c>
      <c r="C4" s="98" t="s">
        <v>55</v>
      </c>
      <c r="D4" s="101" t="s">
        <v>56</v>
      </c>
      <c r="E4" s="104" t="s">
        <v>57</v>
      </c>
      <c r="F4" s="105"/>
      <c r="G4" s="105"/>
      <c r="H4" s="105"/>
      <c r="I4" s="105"/>
      <c r="J4" s="106"/>
      <c r="K4" s="114" t="s">
        <v>58</v>
      </c>
      <c r="L4" s="115"/>
      <c r="M4" s="116"/>
      <c r="N4" s="107" t="s">
        <v>37</v>
      </c>
      <c r="O4" s="107"/>
      <c r="P4" s="107"/>
      <c r="Q4" s="107"/>
    </row>
    <row r="5" spans="1:17" ht="33.75" customHeight="1" x14ac:dyDescent="0.25">
      <c r="A5" s="96"/>
      <c r="B5" s="99"/>
      <c r="C5" s="99"/>
      <c r="D5" s="102"/>
      <c r="E5" s="104" t="s">
        <v>59</v>
      </c>
      <c r="F5" s="106"/>
      <c r="G5" s="104" t="s">
        <v>60</v>
      </c>
      <c r="H5" s="106"/>
      <c r="I5" s="104" t="s">
        <v>61</v>
      </c>
      <c r="J5" s="106"/>
      <c r="K5" s="108" t="s">
        <v>62</v>
      </c>
      <c r="L5" s="109"/>
      <c r="M5" s="110"/>
      <c r="N5" s="111" t="s">
        <v>63</v>
      </c>
      <c r="O5" s="112"/>
      <c r="P5" s="112"/>
      <c r="Q5" s="113"/>
    </row>
    <row r="6" spans="1:17" x14ac:dyDescent="0.25">
      <c r="A6" s="97"/>
      <c r="B6" s="100"/>
      <c r="C6" s="100"/>
      <c r="D6" s="103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25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2019-12-21T23:47:30Z</dcterms:modified>
</cp:coreProperties>
</file>