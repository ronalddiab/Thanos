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'8'!$A$1:$J$171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G2" i="48"/>
  <c r="E28" i="44"/>
  <c r="E5"/>
  <c r="D5"/>
  <c r="E92" i="9"/>
  <c r="E83"/>
  <c r="H116" i="3"/>
  <c r="H113"/>
  <c r="H108"/>
  <c r="H24"/>
  <c r="H24" i="4" s="1"/>
  <c r="H24" i="5" s="1"/>
  <c r="H23" i="3"/>
  <c r="H23" i="4" s="1"/>
  <c r="H23" i="5" s="1"/>
  <c r="H113" i="4"/>
  <c r="H113" i="5" s="1"/>
  <c r="H108" i="4"/>
  <c r="H108" i="5"/>
  <c r="E77" i="7" l="1"/>
  <c r="E12" i="9"/>
  <c r="E11"/>
  <c r="E12" i="8"/>
  <c r="E11"/>
  <c r="E11" i="7"/>
  <c r="E12"/>
  <c r="E12" i="3"/>
  <c r="E11"/>
  <c r="E23"/>
  <c r="E22"/>
  <c r="C5" i="44"/>
  <c r="B5"/>
  <c r="E161" i="5"/>
  <c r="E162"/>
  <c r="E163"/>
  <c r="E164"/>
  <c r="E165"/>
  <c r="E166"/>
  <c r="E167"/>
  <c r="E168"/>
  <c r="E169"/>
  <c r="E170"/>
  <c r="E171"/>
  <c r="E160"/>
  <c r="E131"/>
  <c r="E132"/>
  <c r="G132" s="1"/>
  <c r="E133"/>
  <c r="E134"/>
  <c r="E135"/>
  <c r="E136"/>
  <c r="E137"/>
  <c r="E138"/>
  <c r="E139"/>
  <c r="E140"/>
  <c r="E130"/>
  <c r="E124"/>
  <c r="E125"/>
  <c r="E126"/>
  <c r="E127"/>
  <c r="E123"/>
  <c r="E107"/>
  <c r="E108"/>
  <c r="E109"/>
  <c r="E110"/>
  <c r="E111"/>
  <c r="E112"/>
  <c r="E113"/>
  <c r="E114"/>
  <c r="E115"/>
  <c r="E105"/>
  <c r="E106"/>
  <c r="E104"/>
  <c r="E93"/>
  <c r="E95"/>
  <c r="E96"/>
  <c r="E97"/>
  <c r="E98"/>
  <c r="E99"/>
  <c r="E100"/>
  <c r="E92"/>
  <c r="E87"/>
  <c r="E88"/>
  <c r="E89"/>
  <c r="E90"/>
  <c r="E86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71" i="3"/>
  <c r="E170"/>
  <c r="E169"/>
  <c r="E168"/>
  <c r="E167"/>
  <c r="E166"/>
  <c r="E165"/>
  <c r="E164"/>
  <c r="E163"/>
  <c r="E162"/>
  <c r="E161"/>
  <c r="E160"/>
  <c r="E171" i="4"/>
  <c r="E170"/>
  <c r="E169"/>
  <c r="E168"/>
  <c r="E167"/>
  <c r="E166"/>
  <c r="E165"/>
  <c r="E164"/>
  <c r="E163"/>
  <c r="E162"/>
  <c r="E161"/>
  <c r="E160"/>
  <c r="E140"/>
  <c r="E139"/>
  <c r="E138"/>
  <c r="E137"/>
  <c r="E136"/>
  <c r="E135"/>
  <c r="E134"/>
  <c r="E133"/>
  <c r="E132"/>
  <c r="E131"/>
  <c r="E130"/>
  <c r="E128"/>
  <c r="E127"/>
  <c r="E125"/>
  <c r="E124"/>
  <c r="E123"/>
  <c r="E117"/>
  <c r="E116"/>
  <c r="E115"/>
  <c r="E114"/>
  <c r="E113"/>
  <c r="E112"/>
  <c r="E111"/>
  <c r="E110"/>
  <c r="E109"/>
  <c r="E108"/>
  <c r="E107"/>
  <c r="E106"/>
  <c r="E105"/>
  <c r="E104"/>
  <c r="E103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1" i="3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4"/>
  <c r="E95"/>
  <c r="E96"/>
  <c r="E97"/>
  <c r="E98"/>
  <c r="E99"/>
  <c r="E100"/>
  <c r="E93"/>
  <c r="E9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0" l="1"/>
  <c r="E12" i="11" s="1"/>
  <c r="E11" i="10"/>
  <c r="E11" i="11" s="1"/>
  <c r="E29" i="5"/>
  <c r="F34" i="1"/>
  <c r="F33"/>
  <c r="E34"/>
  <c r="E33"/>
  <c r="D34"/>
  <c r="D33"/>
  <c r="AS34"/>
  <c r="T34"/>
  <c r="V34" s="1"/>
  <c r="T33"/>
  <c r="V33" s="1"/>
  <c r="AP34"/>
  <c r="Y34"/>
  <c r="X34"/>
  <c r="W34"/>
  <c r="Z34" s="1"/>
  <c r="L34"/>
  <c r="I34"/>
  <c r="AP33"/>
  <c r="Y33"/>
  <c r="X33"/>
  <c r="W33"/>
  <c r="Z33" s="1"/>
  <c r="L33"/>
  <c r="I33"/>
  <c r="E31" i="2"/>
  <c r="E30"/>
  <c r="E29"/>
  <c r="E27"/>
  <c r="E171" l="1"/>
  <c r="E170"/>
  <c r="E169"/>
  <c r="E168"/>
  <c r="E167"/>
  <c r="E166"/>
  <c r="E165"/>
  <c r="E164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F64" i="22"/>
  <c r="F134" i="21"/>
  <c r="E131"/>
  <c r="E132"/>
  <c r="E133"/>
  <c r="E134"/>
  <c r="E135"/>
  <c r="E136"/>
  <c r="E137"/>
  <c r="E138"/>
  <c r="E139"/>
  <c r="E140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70"/>
  <c r="E160"/>
  <c r="F166" i="19"/>
  <c r="E166" i="20" s="1"/>
  <c r="F167" i="19"/>
  <c r="E167" i="20" s="1"/>
  <c r="F168" i="19"/>
  <c r="E168" i="20" s="1"/>
  <c r="F169" i="19"/>
  <c r="F170"/>
  <c r="F171"/>
  <c r="E171" i="20" s="1"/>
  <c r="F165" i="19"/>
  <c r="E165" i="20" s="1"/>
  <c r="E161" i="19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F171" i="5"/>
  <c r="F170"/>
  <c r="F169"/>
  <c r="F168"/>
  <c r="F167"/>
  <c r="F166"/>
  <c r="G166" s="1"/>
  <c r="F165"/>
  <c r="G165" s="1"/>
  <c r="F164"/>
  <c r="G163"/>
  <c r="G162"/>
  <c r="G161"/>
  <c r="G160"/>
  <c r="G140"/>
  <c r="G139"/>
  <c r="G138"/>
  <c r="G137"/>
  <c r="G136"/>
  <c r="G135"/>
  <c r="G134"/>
  <c r="G133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J24"/>
  <c r="J23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1" i="4"/>
  <c r="G171" s="1"/>
  <c r="F170"/>
  <c r="G170"/>
  <c r="F169"/>
  <c r="G169" s="1"/>
  <c r="F168"/>
  <c r="F167"/>
  <c r="G167" s="1"/>
  <c r="G166"/>
  <c r="G165"/>
  <c r="F164"/>
  <c r="G163"/>
  <c r="G162"/>
  <c r="G161"/>
  <c r="G160"/>
  <c r="G140"/>
  <c r="G139"/>
  <c r="G138"/>
  <c r="G137"/>
  <c r="G136"/>
  <c r="G135"/>
  <c r="G134"/>
  <c r="G133"/>
  <c r="G132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G40"/>
  <c r="G39"/>
  <c r="H39" s="1"/>
  <c r="G38"/>
  <c r="G37"/>
  <c r="G36"/>
  <c r="G35"/>
  <c r="E29"/>
  <c r="G29" s="1"/>
  <c r="J24"/>
  <c r="J23"/>
  <c r="G22"/>
  <c r="G19"/>
  <c r="I18"/>
  <c r="G18"/>
  <c r="G15"/>
  <c r="G12"/>
  <c r="G11"/>
  <c r="G10"/>
  <c r="G9"/>
  <c r="G8"/>
  <c r="I7"/>
  <c r="G7"/>
  <c r="F171" i="3"/>
  <c r="F170"/>
  <c r="G170" s="1"/>
  <c r="F169"/>
  <c r="G169"/>
  <c r="F168"/>
  <c r="F167"/>
  <c r="F166"/>
  <c r="F165"/>
  <c r="F164"/>
  <c r="G163"/>
  <c r="G162"/>
  <c r="G161"/>
  <c r="G160"/>
  <c r="G140"/>
  <c r="G139"/>
  <c r="H139" s="1"/>
  <c r="G138"/>
  <c r="G137"/>
  <c r="G136"/>
  <c r="H136" s="1"/>
  <c r="G135"/>
  <c r="G134"/>
  <c r="G133"/>
  <c r="G132"/>
  <c r="H132" s="1"/>
  <c r="G131"/>
  <c r="G130"/>
  <c r="G127"/>
  <c r="G126"/>
  <c r="G125"/>
  <c r="G124"/>
  <c r="G123"/>
  <c r="G116"/>
  <c r="J116" s="1"/>
  <c r="G115"/>
  <c r="G114"/>
  <c r="J113"/>
  <c r="G111"/>
  <c r="G110"/>
  <c r="G109"/>
  <c r="H109" s="1"/>
  <c r="G106"/>
  <c r="G105"/>
  <c r="G104"/>
  <c r="H104" s="1"/>
  <c r="G100"/>
  <c r="G99"/>
  <c r="G98"/>
  <c r="G97"/>
  <c r="G96"/>
  <c r="G95"/>
  <c r="H95" s="1"/>
  <c r="G93"/>
  <c r="G92"/>
  <c r="H92" s="1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H41" s="1"/>
  <c r="G40"/>
  <c r="G39"/>
  <c r="H39" s="1"/>
  <c r="G38"/>
  <c r="H38" s="1"/>
  <c r="G37"/>
  <c r="H37" s="1"/>
  <c r="G36"/>
  <c r="H36" s="1"/>
  <c r="G35"/>
  <c r="H35" s="1"/>
  <c r="E29"/>
  <c r="G29" s="1"/>
  <c r="J24"/>
  <c r="J23"/>
  <c r="G22"/>
  <c r="G19"/>
  <c r="H19" s="1"/>
  <c r="I18"/>
  <c r="G18"/>
  <c r="H18" s="1"/>
  <c r="J18" s="1"/>
  <c r="G15"/>
  <c r="H12"/>
  <c r="J12" s="1"/>
  <c r="G11"/>
  <c r="H11" s="1"/>
  <c r="J11" s="1"/>
  <c r="G10"/>
  <c r="G9"/>
  <c r="H9" s="1"/>
  <c r="G8"/>
  <c r="I7"/>
  <c r="G7"/>
  <c r="F171" i="2"/>
  <c r="G171" s="1"/>
  <c r="F170"/>
  <c r="F169"/>
  <c r="F168"/>
  <c r="F167"/>
  <c r="G167" s="1"/>
  <c r="F166"/>
  <c r="G166" s="1"/>
  <c r="F165"/>
  <c r="G165" s="1"/>
  <c r="G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G104"/>
  <c r="H104" s="1"/>
  <c r="J104" s="1"/>
  <c r="G100"/>
  <c r="H100" s="1"/>
  <c r="J100" s="1"/>
  <c r="G99"/>
  <c r="H99" s="1"/>
  <c r="J99" s="1"/>
  <c r="G98"/>
  <c r="H98" s="1"/>
  <c r="J98" s="1"/>
  <c r="G97"/>
  <c r="G96"/>
  <c r="H96" s="1"/>
  <c r="J96" s="1"/>
  <c r="G95"/>
  <c r="H95" s="1"/>
  <c r="J95" s="1"/>
  <c r="H93"/>
  <c r="J93" s="1"/>
  <c r="G93"/>
  <c r="D8" i="45" s="1"/>
  <c r="AN2" i="49" s="1"/>
  <c r="G92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H83"/>
  <c r="J83" s="1"/>
  <c r="G83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H54"/>
  <c r="J54" s="1"/>
  <c r="G54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H38"/>
  <c r="J38" s="1"/>
  <c r="G38"/>
  <c r="G37"/>
  <c r="H37" s="1"/>
  <c r="J37" s="1"/>
  <c r="G36"/>
  <c r="G35"/>
  <c r="H35" s="1"/>
  <c r="J35" s="1"/>
  <c r="G30"/>
  <c r="H30" s="1"/>
  <c r="J30" s="1"/>
  <c r="G23"/>
  <c r="H23" s="1"/>
  <c r="J23" s="1"/>
  <c r="G22"/>
  <c r="H22" s="1"/>
  <c r="J22" s="1"/>
  <c r="G19"/>
  <c r="G31" s="1"/>
  <c r="H31" s="1"/>
  <c r="J31" s="1"/>
  <c r="G18"/>
  <c r="G15"/>
  <c r="H12"/>
  <c r="J12" s="1"/>
  <c r="G12"/>
  <c r="G11"/>
  <c r="H11" s="1"/>
  <c r="J11" s="1"/>
  <c r="G10"/>
  <c r="H10" s="1"/>
  <c r="J10" s="1"/>
  <c r="G9"/>
  <c r="G8"/>
  <c r="G27" s="1"/>
  <c r="G7"/>
  <c r="H7" s="1"/>
  <c r="J7" s="1"/>
  <c r="J29" i="3" l="1"/>
  <c r="H29"/>
  <c r="J22"/>
  <c r="H22"/>
  <c r="H22" i="4" s="1"/>
  <c r="H22" i="5" s="1"/>
  <c r="J39"/>
  <c r="H39"/>
  <c r="J56" i="3"/>
  <c r="H56"/>
  <c r="J96" i="4"/>
  <c r="H96"/>
  <c r="H96" i="5" s="1"/>
  <c r="J96" s="1"/>
  <c r="J55" i="3"/>
  <c r="H55"/>
  <c r="J106"/>
  <c r="H106"/>
  <c r="J133" i="4"/>
  <c r="H133"/>
  <c r="H133" i="5" s="1"/>
  <c r="H8" i="3"/>
  <c r="C6" i="44"/>
  <c r="E27" i="5"/>
  <c r="G27" s="1"/>
  <c r="C8" i="44"/>
  <c r="H9" i="4"/>
  <c r="H9" i="5" s="1"/>
  <c r="J9" s="1"/>
  <c r="H49"/>
  <c r="H19" i="4"/>
  <c r="H19" i="5" s="1"/>
  <c r="H132" i="4"/>
  <c r="H132" i="5" s="1"/>
  <c r="J132" s="1"/>
  <c r="H10" i="3"/>
  <c r="J10" s="1"/>
  <c r="J86"/>
  <c r="H86"/>
  <c r="H86" i="4" s="1"/>
  <c r="J127" i="5"/>
  <c r="H127"/>
  <c r="H76" i="3"/>
  <c r="J76" s="1"/>
  <c r="J133"/>
  <c r="H133"/>
  <c r="H78" i="4"/>
  <c r="H78" i="5" s="1"/>
  <c r="J78" s="1"/>
  <c r="J106" i="4"/>
  <c r="H106"/>
  <c r="H106" i="5" s="1"/>
  <c r="J106" s="1"/>
  <c r="H44" i="3"/>
  <c r="J44" s="1"/>
  <c r="J65"/>
  <c r="H65"/>
  <c r="H83"/>
  <c r="J83" s="1"/>
  <c r="J105"/>
  <c r="H105"/>
  <c r="H140"/>
  <c r="J140" s="1"/>
  <c r="J56" i="4"/>
  <c r="H56"/>
  <c r="H105"/>
  <c r="H105" i="5" s="1"/>
  <c r="J56"/>
  <c r="H56"/>
  <c r="H43" i="3"/>
  <c r="J43" s="1"/>
  <c r="J53"/>
  <c r="H53"/>
  <c r="H64"/>
  <c r="J64" s="1"/>
  <c r="J74"/>
  <c r="H74"/>
  <c r="H74" i="4" s="1"/>
  <c r="H82" i="3"/>
  <c r="J82" s="1"/>
  <c r="J115"/>
  <c r="H115"/>
  <c r="H131"/>
  <c r="J131" s="1"/>
  <c r="J37" i="4"/>
  <c r="H37"/>
  <c r="H37" i="5" s="1"/>
  <c r="J37" s="1"/>
  <c r="J55" i="4"/>
  <c r="H55"/>
  <c r="H66"/>
  <c r="H66" i="5" s="1"/>
  <c r="J76" i="4"/>
  <c r="H76"/>
  <c r="H76" i="5" s="1"/>
  <c r="J76" s="1"/>
  <c r="J115" i="4"/>
  <c r="H115"/>
  <c r="H115" i="5" s="1"/>
  <c r="H131" i="4"/>
  <c r="H131" i="5" s="1"/>
  <c r="J131" s="1"/>
  <c r="J139" i="4"/>
  <c r="H139"/>
  <c r="H139" i="5" s="1"/>
  <c r="J55"/>
  <c r="H55"/>
  <c r="H38" i="4"/>
  <c r="H93"/>
  <c r="H93" i="5" s="1"/>
  <c r="J93" s="1"/>
  <c r="H92" i="4"/>
  <c r="H92" i="5" s="1"/>
  <c r="H104" i="4"/>
  <c r="J109" i="5"/>
  <c r="H7" i="3"/>
  <c r="J7" s="1"/>
  <c r="B6" i="44"/>
  <c r="H42" i="3"/>
  <c r="J42" s="1"/>
  <c r="J52"/>
  <c r="H52"/>
  <c r="H63"/>
  <c r="J63" s="1"/>
  <c r="J73"/>
  <c r="H73"/>
  <c r="H81"/>
  <c r="J81" s="1"/>
  <c r="J90"/>
  <c r="H90"/>
  <c r="H100"/>
  <c r="J100" s="1"/>
  <c r="J114"/>
  <c r="H114"/>
  <c r="H114" i="4" s="1"/>
  <c r="H130" i="3"/>
  <c r="J130" s="1"/>
  <c r="J138"/>
  <c r="H138"/>
  <c r="H7" i="4"/>
  <c r="H7" i="5" s="1"/>
  <c r="J7" s="1"/>
  <c r="B7" i="44"/>
  <c r="J36" i="4"/>
  <c r="H36"/>
  <c r="J44"/>
  <c r="H44"/>
  <c r="J65"/>
  <c r="H65"/>
  <c r="H65" i="5" s="1"/>
  <c r="J130" i="4"/>
  <c r="H130"/>
  <c r="H130" i="5" s="1"/>
  <c r="J130" s="1"/>
  <c r="J138" i="4"/>
  <c r="H138"/>
  <c r="B8" i="44"/>
  <c r="E31" i="5"/>
  <c r="J44"/>
  <c r="H44"/>
  <c r="H18" i="4"/>
  <c r="H18" i="5" s="1"/>
  <c r="J18" s="1"/>
  <c r="H36"/>
  <c r="J77" i="3"/>
  <c r="H77"/>
  <c r="H77" i="4" s="1"/>
  <c r="J66" i="3"/>
  <c r="H66"/>
  <c r="J54"/>
  <c r="H54"/>
  <c r="H54" i="4" s="1"/>
  <c r="J75" i="3"/>
  <c r="H75"/>
  <c r="H75" i="4" s="1"/>
  <c r="J93" i="3"/>
  <c r="H93"/>
  <c r="H8" i="4"/>
  <c r="J8" s="1"/>
  <c r="I9" s="1"/>
  <c r="C7" i="44"/>
  <c r="J116" i="4"/>
  <c r="H116"/>
  <c r="H116" i="5" s="1"/>
  <c r="J116" s="1"/>
  <c r="J140" i="4"/>
  <c r="H140"/>
  <c r="H15" i="3"/>
  <c r="J15" s="1"/>
  <c r="I16" s="1"/>
  <c r="D6" i="44"/>
  <c r="J51" i="3"/>
  <c r="H51"/>
  <c r="J62"/>
  <c r="H62"/>
  <c r="H62" i="4" s="1"/>
  <c r="J72" i="3"/>
  <c r="H72"/>
  <c r="J80"/>
  <c r="H80"/>
  <c r="J89"/>
  <c r="H89"/>
  <c r="J99"/>
  <c r="H99"/>
  <c r="J127"/>
  <c r="H127"/>
  <c r="J137"/>
  <c r="H137"/>
  <c r="H137" i="4" s="1"/>
  <c r="D7" i="44"/>
  <c r="J35" i="4"/>
  <c r="H35"/>
  <c r="J43"/>
  <c r="H43"/>
  <c r="J53"/>
  <c r="H53"/>
  <c r="H53" i="5" s="1"/>
  <c r="J53" s="1"/>
  <c r="J82" i="4"/>
  <c r="H82"/>
  <c r="H82" i="5" s="1"/>
  <c r="J90" i="4"/>
  <c r="H90"/>
  <c r="J99"/>
  <c r="H99"/>
  <c r="H99" i="5" s="1"/>
  <c r="J99" s="1"/>
  <c r="J127" i="4"/>
  <c r="H127"/>
  <c r="E28" i="5"/>
  <c r="G28" s="1"/>
  <c r="D8" i="44"/>
  <c r="J43" i="5"/>
  <c r="H43"/>
  <c r="J140"/>
  <c r="H140"/>
  <c r="H109" i="4"/>
  <c r="H109" i="5" s="1"/>
  <c r="J22" i="4"/>
  <c r="H38" i="5"/>
  <c r="J38" s="1"/>
  <c r="J69"/>
  <c r="H35"/>
  <c r="J46" i="3"/>
  <c r="H46"/>
  <c r="H46" i="4" s="1"/>
  <c r="J124" i="3"/>
  <c r="H124"/>
  <c r="H124" i="4" s="1"/>
  <c r="J50"/>
  <c r="H50"/>
  <c r="H50" i="5" s="1"/>
  <c r="J50" s="1"/>
  <c r="J123" i="3"/>
  <c r="H123"/>
  <c r="H123" i="4" s="1"/>
  <c r="J50" i="3"/>
  <c r="H50"/>
  <c r="J58"/>
  <c r="H58"/>
  <c r="H58" i="4" s="1"/>
  <c r="J69" i="3"/>
  <c r="H69"/>
  <c r="J79"/>
  <c r="H79"/>
  <c r="H79" i="4" s="1"/>
  <c r="J88" i="3"/>
  <c r="H88"/>
  <c r="J98"/>
  <c r="H98"/>
  <c r="H98" i="4" s="1"/>
  <c r="J111" i="3"/>
  <c r="H111"/>
  <c r="H111" i="4" s="1"/>
  <c r="J126" i="3"/>
  <c r="H126"/>
  <c r="H126" i="4" s="1"/>
  <c r="J12"/>
  <c r="H12"/>
  <c r="J29"/>
  <c r="H29"/>
  <c r="H29" i="5" s="1"/>
  <c r="J29" s="1"/>
  <c r="J42" i="4"/>
  <c r="H42"/>
  <c r="J52"/>
  <c r="H52"/>
  <c r="J73"/>
  <c r="H73"/>
  <c r="H73" i="5" s="1"/>
  <c r="J73" s="1"/>
  <c r="J81" i="4"/>
  <c r="H81"/>
  <c r="H81" i="5" s="1"/>
  <c r="J42"/>
  <c r="H42"/>
  <c r="J52"/>
  <c r="H52"/>
  <c r="J104"/>
  <c r="H104"/>
  <c r="J126" i="4"/>
  <c r="H136"/>
  <c r="H136" i="5" s="1"/>
  <c r="J136" s="1"/>
  <c r="J82"/>
  <c r="J115"/>
  <c r="J139"/>
  <c r="J67" i="3"/>
  <c r="H67"/>
  <c r="H67" i="4" s="1"/>
  <c r="J96" i="3"/>
  <c r="H96"/>
  <c r="H134"/>
  <c r="H134" i="4" s="1"/>
  <c r="J69"/>
  <c r="H69"/>
  <c r="H69" i="5" s="1"/>
  <c r="J88" i="4"/>
  <c r="H88"/>
  <c r="H45" i="3"/>
  <c r="J45" s="1"/>
  <c r="J84"/>
  <c r="H84"/>
  <c r="H84" i="4" s="1"/>
  <c r="J88" i="5"/>
  <c r="H88"/>
  <c r="H126"/>
  <c r="J126" s="1"/>
  <c r="H40" i="3"/>
  <c r="J40" s="1"/>
  <c r="J57"/>
  <c r="H57"/>
  <c r="H57" i="4" s="1"/>
  <c r="J68" i="3"/>
  <c r="H68"/>
  <c r="H68" i="4" s="1"/>
  <c r="H78" i="3"/>
  <c r="J78" s="1"/>
  <c r="H87"/>
  <c r="J87" s="1"/>
  <c r="J97"/>
  <c r="H97"/>
  <c r="H97" i="4" s="1"/>
  <c r="J110" i="3"/>
  <c r="H110"/>
  <c r="H110" i="4" s="1"/>
  <c r="H125" i="3"/>
  <c r="J125" s="1"/>
  <c r="H135"/>
  <c r="J135" s="1"/>
  <c r="J11" i="4"/>
  <c r="H11"/>
  <c r="J41"/>
  <c r="H41"/>
  <c r="H51"/>
  <c r="J51" s="1"/>
  <c r="H80"/>
  <c r="H80" i="5" s="1"/>
  <c r="J80" s="1"/>
  <c r="J89" i="4"/>
  <c r="H89"/>
  <c r="H89" i="5" s="1"/>
  <c r="J89" s="1"/>
  <c r="H125" i="4"/>
  <c r="J125" s="1"/>
  <c r="J41" i="5"/>
  <c r="H41"/>
  <c r="H51"/>
  <c r="J51" s="1"/>
  <c r="H90"/>
  <c r="J90" s="1"/>
  <c r="J138"/>
  <c r="H138"/>
  <c r="H95" i="4"/>
  <c r="H95" i="5" s="1"/>
  <c r="J95" s="1"/>
  <c r="J22"/>
  <c r="J62" i="4"/>
  <c r="H72"/>
  <c r="H72" i="5" s="1"/>
  <c r="J72" s="1"/>
  <c r="J81"/>
  <c r="F118"/>
  <c r="G152"/>
  <c r="G164" i="3"/>
  <c r="G128" i="2"/>
  <c r="H128" s="1"/>
  <c r="J128" s="1"/>
  <c r="E28"/>
  <c r="G28" s="1"/>
  <c r="H28" s="1"/>
  <c r="J28" s="1"/>
  <c r="G94"/>
  <c r="G59"/>
  <c r="H59" s="1"/>
  <c r="J59" s="1"/>
  <c r="H19"/>
  <c r="J19" s="1"/>
  <c r="E27" i="4"/>
  <c r="G27" s="1"/>
  <c r="J93"/>
  <c r="F8" i="45"/>
  <c r="AN4" i="49" s="1"/>
  <c r="G165" i="3"/>
  <c r="G171"/>
  <c r="E8" i="45"/>
  <c r="AN3" i="49" s="1"/>
  <c r="G20" i="5"/>
  <c r="G8" i="45"/>
  <c r="G168" i="2"/>
  <c r="G150"/>
  <c r="G151" s="1"/>
  <c r="H151" s="1"/>
  <c r="J151" s="1"/>
  <c r="G94" i="4"/>
  <c r="J92"/>
  <c r="F118"/>
  <c r="J19"/>
  <c r="E30"/>
  <c r="G30" s="1"/>
  <c r="G148"/>
  <c r="J38"/>
  <c r="G101" i="3"/>
  <c r="J95"/>
  <c r="I138" i="4"/>
  <c r="J136"/>
  <c r="I135"/>
  <c r="J132"/>
  <c r="G13"/>
  <c r="G20"/>
  <c r="G13" i="2"/>
  <c r="I13" s="1"/>
  <c r="G20"/>
  <c r="H20" s="1"/>
  <c r="J20" s="1"/>
  <c r="I20" s="1"/>
  <c r="H36"/>
  <c r="J36" s="1"/>
  <c r="G112"/>
  <c r="H112" s="1"/>
  <c r="J112" s="1"/>
  <c r="I140"/>
  <c r="G170"/>
  <c r="H9"/>
  <c r="J9" s="1"/>
  <c r="H18"/>
  <c r="J18" s="1"/>
  <c r="G20" i="3"/>
  <c r="G166"/>
  <c r="G146" i="5"/>
  <c r="G170"/>
  <c r="G152" i="2"/>
  <c r="G153" s="1"/>
  <c r="H153" s="1"/>
  <c r="J153" s="1"/>
  <c r="G117"/>
  <c r="H117" s="1"/>
  <c r="J117" s="1"/>
  <c r="G164" i="5"/>
  <c r="E31" i="4"/>
  <c r="G31" s="1"/>
  <c r="G94" i="5"/>
  <c r="G24" i="2"/>
  <c r="H24" s="1"/>
  <c r="J24" s="1"/>
  <c r="G142"/>
  <c r="G47"/>
  <c r="H47" s="1"/>
  <c r="J47" s="1"/>
  <c r="H109"/>
  <c r="J109" s="1"/>
  <c r="G148"/>
  <c r="H148" s="1"/>
  <c r="J148" s="1"/>
  <c r="G167" i="3"/>
  <c r="G164" i="4"/>
  <c r="G168"/>
  <c r="J92" i="5"/>
  <c r="G119" i="2"/>
  <c r="H119" s="1"/>
  <c r="J119" s="1"/>
  <c r="G128" i="4"/>
  <c r="G146" i="2"/>
  <c r="H146" s="1"/>
  <c r="J146" s="1"/>
  <c r="H92"/>
  <c r="J92" s="1"/>
  <c r="G118"/>
  <c r="H118" s="1"/>
  <c r="J118" s="1"/>
  <c r="G169"/>
  <c r="G168" i="3"/>
  <c r="G167" i="5"/>
  <c r="G112"/>
  <c r="G85"/>
  <c r="G150"/>
  <c r="G144"/>
  <c r="G117"/>
  <c r="G13"/>
  <c r="G148"/>
  <c r="J49"/>
  <c r="G59"/>
  <c r="F119"/>
  <c r="G119"/>
  <c r="G101"/>
  <c r="G107"/>
  <c r="J105"/>
  <c r="J133"/>
  <c r="I133"/>
  <c r="G168"/>
  <c r="G128"/>
  <c r="G142"/>
  <c r="G47"/>
  <c r="J35"/>
  <c r="G66"/>
  <c r="I136"/>
  <c r="G169"/>
  <c r="J19"/>
  <c r="G31"/>
  <c r="G171"/>
  <c r="N8"/>
  <c r="I139"/>
  <c r="J36"/>
  <c r="G65"/>
  <c r="G30"/>
  <c r="G118"/>
  <c r="G144" i="4"/>
  <c r="H144" s="1"/>
  <c r="J72"/>
  <c r="G85"/>
  <c r="G112"/>
  <c r="H112" s="1"/>
  <c r="J109"/>
  <c r="G59"/>
  <c r="J49"/>
  <c r="F119"/>
  <c r="G119"/>
  <c r="G101"/>
  <c r="J95"/>
  <c r="I13"/>
  <c r="G150"/>
  <c r="G146"/>
  <c r="H146" s="1"/>
  <c r="G117"/>
  <c r="G107"/>
  <c r="J104"/>
  <c r="G149"/>
  <c r="G47"/>
  <c r="G142"/>
  <c r="H142" s="1"/>
  <c r="E28"/>
  <c r="G28" s="1"/>
  <c r="G118"/>
  <c r="I140"/>
  <c r="G152"/>
  <c r="J39"/>
  <c r="J9" i="3"/>
  <c r="G13"/>
  <c r="J35"/>
  <c r="G142"/>
  <c r="H142" s="1"/>
  <c r="G47"/>
  <c r="H47" s="1"/>
  <c r="J136"/>
  <c r="I138"/>
  <c r="J8"/>
  <c r="I9" s="1"/>
  <c r="E27"/>
  <c r="G27" s="1"/>
  <c r="H27" s="1"/>
  <c r="J37"/>
  <c r="G152"/>
  <c r="H152" s="1"/>
  <c r="F118"/>
  <c r="E118" i="4" s="1"/>
  <c r="G118" i="3"/>
  <c r="E30"/>
  <c r="G30" s="1"/>
  <c r="J19"/>
  <c r="J41"/>
  <c r="G144"/>
  <c r="H144" s="1"/>
  <c r="J104"/>
  <c r="G107"/>
  <c r="J109"/>
  <c r="G112"/>
  <c r="H112" s="1"/>
  <c r="G146"/>
  <c r="H146" s="1"/>
  <c r="J39"/>
  <c r="G94"/>
  <c r="J92"/>
  <c r="G59"/>
  <c r="J38"/>
  <c r="G148"/>
  <c r="H148" s="1"/>
  <c r="I133"/>
  <c r="J132"/>
  <c r="I140"/>
  <c r="J139"/>
  <c r="G128"/>
  <c r="E28"/>
  <c r="G28" s="1"/>
  <c r="O16"/>
  <c r="G150"/>
  <c r="H150" s="1"/>
  <c r="J36"/>
  <c r="E31"/>
  <c r="G31" s="1"/>
  <c r="G117"/>
  <c r="G119"/>
  <c r="G85"/>
  <c r="F119"/>
  <c r="J49"/>
  <c r="G60" i="2"/>
  <c r="H60" s="1"/>
  <c r="J60" s="1"/>
  <c r="H27"/>
  <c r="J27" s="1"/>
  <c r="H13"/>
  <c r="J13" s="1"/>
  <c r="G29"/>
  <c r="H29" s="1"/>
  <c r="J29" s="1"/>
  <c r="H142"/>
  <c r="J142" s="1"/>
  <c r="G143"/>
  <c r="H143" s="1"/>
  <c r="J143" s="1"/>
  <c r="H8"/>
  <c r="J8" s="1"/>
  <c r="I9" s="1"/>
  <c r="I138"/>
  <c r="H51"/>
  <c r="J51" s="1"/>
  <c r="G85"/>
  <c r="H85" s="1"/>
  <c r="J85" s="1"/>
  <c r="H97"/>
  <c r="J97" s="1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97" i="5" l="1"/>
  <c r="J97" s="1"/>
  <c r="J97" i="4"/>
  <c r="H79" i="5"/>
  <c r="J79" s="1"/>
  <c r="J79" i="4"/>
  <c r="J86"/>
  <c r="H86" i="5"/>
  <c r="J86" s="1"/>
  <c r="H110"/>
  <c r="J110" s="1"/>
  <c r="J110" i="4"/>
  <c r="H57" i="5"/>
  <c r="J57" s="1"/>
  <c r="J57" i="4"/>
  <c r="H67" i="5"/>
  <c r="J67" s="1"/>
  <c r="J67" i="4"/>
  <c r="H111" i="5"/>
  <c r="J111" s="1"/>
  <c r="J111" i="4"/>
  <c r="J46"/>
  <c r="H46" i="5"/>
  <c r="J46" s="1"/>
  <c r="J54" i="4"/>
  <c r="H54" i="5"/>
  <c r="J54" s="1"/>
  <c r="H74"/>
  <c r="J74" s="1"/>
  <c r="J74" i="4"/>
  <c r="H137" i="5"/>
  <c r="J137" s="1"/>
  <c r="J137" i="4"/>
  <c r="H77" i="5"/>
  <c r="J77" s="1"/>
  <c r="J77" i="4"/>
  <c r="H114" i="5"/>
  <c r="J114" s="1"/>
  <c r="J114" i="4"/>
  <c r="J123"/>
  <c r="H123" i="5"/>
  <c r="J123" s="1"/>
  <c r="H68"/>
  <c r="J68" s="1"/>
  <c r="J68" i="4"/>
  <c r="H84" i="5"/>
  <c r="J84" s="1"/>
  <c r="J84" i="4"/>
  <c r="H134" i="5"/>
  <c r="J134" s="1"/>
  <c r="J134" i="4"/>
  <c r="H98" i="5"/>
  <c r="J98" s="1"/>
  <c r="J98" i="4"/>
  <c r="J58"/>
  <c r="H58" i="5"/>
  <c r="J58" s="1"/>
  <c r="J124" i="4"/>
  <c r="H124" i="5"/>
  <c r="J124" s="1"/>
  <c r="H75"/>
  <c r="J75" s="1"/>
  <c r="J75" i="4"/>
  <c r="I13" i="3"/>
  <c r="H13"/>
  <c r="J101"/>
  <c r="H101"/>
  <c r="J59"/>
  <c r="H59"/>
  <c r="H59" i="4" s="1"/>
  <c r="J101"/>
  <c r="H101"/>
  <c r="J118" i="3"/>
  <c r="H118"/>
  <c r="I13" i="5"/>
  <c r="J146"/>
  <c r="H146"/>
  <c r="H144"/>
  <c r="H87" i="4"/>
  <c r="H112" i="5"/>
  <c r="J112" s="1"/>
  <c r="H64" i="4"/>
  <c r="H15"/>
  <c r="J128" i="3"/>
  <c r="H128"/>
  <c r="J94" i="4"/>
  <c r="H94"/>
  <c r="H94" i="5" s="1"/>
  <c r="J94" s="1"/>
  <c r="J128"/>
  <c r="H128"/>
  <c r="J128" i="4"/>
  <c r="H128"/>
  <c r="H8" i="5"/>
  <c r="J8" s="1"/>
  <c r="I9" s="1"/>
  <c r="H152" i="4"/>
  <c r="J65" i="5"/>
  <c r="H45" i="4"/>
  <c r="J119" i="3"/>
  <c r="H119"/>
  <c r="H119" i="4" s="1"/>
  <c r="J28" i="3"/>
  <c r="H28"/>
  <c r="H28" i="4" s="1"/>
  <c r="J107" i="3"/>
  <c r="H107"/>
  <c r="J118" i="4"/>
  <c r="H118"/>
  <c r="H118" i="5" s="1"/>
  <c r="J118" s="1"/>
  <c r="J107" i="4"/>
  <c r="H107"/>
  <c r="H107" i="5" s="1"/>
  <c r="E8" i="44"/>
  <c r="H40" i="4"/>
  <c r="J117" i="5"/>
  <c r="H135" i="4"/>
  <c r="J9"/>
  <c r="H150"/>
  <c r="J150" s="1"/>
  <c r="J134" i="3"/>
  <c r="H83" i="4"/>
  <c r="H10"/>
  <c r="H30" i="3"/>
  <c r="J30" s="1"/>
  <c r="H101" i="5"/>
  <c r="J101" s="1"/>
  <c r="J18" i="4"/>
  <c r="H13"/>
  <c r="J13" s="1"/>
  <c r="H148"/>
  <c r="J148" s="1"/>
  <c r="H125" i="5"/>
  <c r="J125" s="1"/>
  <c r="J85" i="3"/>
  <c r="H85"/>
  <c r="H85" i="4" s="1"/>
  <c r="H117"/>
  <c r="H117" i="5" s="1"/>
  <c r="E6" i="44"/>
  <c r="H20" i="3"/>
  <c r="J20" s="1"/>
  <c r="I20" s="1"/>
  <c r="J31"/>
  <c r="H31"/>
  <c r="H31" i="4" s="1"/>
  <c r="J117" i="3"/>
  <c r="H117"/>
  <c r="J94"/>
  <c r="H94"/>
  <c r="J20" i="4"/>
  <c r="I20" s="1"/>
  <c r="H20"/>
  <c r="H20" i="5" s="1"/>
  <c r="J20" s="1"/>
  <c r="I20" s="1"/>
  <c r="E7" i="44"/>
  <c r="G153" i="5"/>
  <c r="H152"/>
  <c r="J66"/>
  <c r="H47" i="4"/>
  <c r="H47" i="5" s="1"/>
  <c r="J47" s="1"/>
  <c r="H142"/>
  <c r="J107"/>
  <c r="H150"/>
  <c r="H27" i="4"/>
  <c r="J80"/>
  <c r="H63"/>
  <c r="H100"/>
  <c r="J7"/>
  <c r="J131"/>
  <c r="J66"/>
  <c r="J105"/>
  <c r="J78"/>
  <c r="AN5" i="49"/>
  <c r="J152" i="5"/>
  <c r="G147"/>
  <c r="G172" i="2"/>
  <c r="H150"/>
  <c r="J150" s="1"/>
  <c r="G120"/>
  <c r="H120" s="1"/>
  <c r="J120" s="1"/>
  <c r="F120"/>
  <c r="H152"/>
  <c r="J152" s="1"/>
  <c r="G147"/>
  <c r="H147" s="1"/>
  <c r="J147" s="1"/>
  <c r="G32" i="5"/>
  <c r="J142"/>
  <c r="G143"/>
  <c r="F120"/>
  <c r="G120"/>
  <c r="J144"/>
  <c r="G145"/>
  <c r="G60"/>
  <c r="J150"/>
  <c r="G151"/>
  <c r="G149"/>
  <c r="G151" i="4"/>
  <c r="J146"/>
  <c r="G147"/>
  <c r="J152"/>
  <c r="G153"/>
  <c r="J144"/>
  <c r="G145"/>
  <c r="G32"/>
  <c r="J47"/>
  <c r="G60"/>
  <c r="G143"/>
  <c r="J142"/>
  <c r="J112"/>
  <c r="F120"/>
  <c r="G120"/>
  <c r="J150" i="3"/>
  <c r="G151"/>
  <c r="J146"/>
  <c r="G147"/>
  <c r="J144"/>
  <c r="G145"/>
  <c r="J27"/>
  <c r="G32"/>
  <c r="J13"/>
  <c r="J152"/>
  <c r="G153"/>
  <c r="J142"/>
  <c r="G143"/>
  <c r="G60"/>
  <c r="H60" s="1"/>
  <c r="J47"/>
  <c r="G149"/>
  <c r="J148"/>
  <c r="J112"/>
  <c r="F120"/>
  <c r="G120"/>
  <c r="G145" i="2"/>
  <c r="H145" s="1"/>
  <c r="J145" s="1"/>
  <c r="H144"/>
  <c r="J144" s="1"/>
  <c r="I60"/>
  <c r="I59"/>
  <c r="G32"/>
  <c r="H32" s="1"/>
  <c r="J32" s="1"/>
  <c r="H119" i="5" l="1"/>
  <c r="J119" s="1"/>
  <c r="J119" i="4"/>
  <c r="H28" i="5"/>
  <c r="J28" s="1"/>
  <c r="J28" i="4"/>
  <c r="H85" i="5"/>
  <c r="J85" s="1"/>
  <c r="J85" i="4"/>
  <c r="H31" i="5"/>
  <c r="J31" s="1"/>
  <c r="J31" i="4"/>
  <c r="H59" i="5"/>
  <c r="J59" s="1"/>
  <c r="J59" i="4"/>
  <c r="J145" i="3"/>
  <c r="H145"/>
  <c r="H45" i="5"/>
  <c r="J45" s="1"/>
  <c r="J45" i="4"/>
  <c r="H27" i="5"/>
  <c r="J27" s="1"/>
  <c r="J27" i="4"/>
  <c r="J64"/>
  <c r="H64" i="5"/>
  <c r="J64" s="1"/>
  <c r="J149" i="3"/>
  <c r="H149"/>
  <c r="H149" i="4" s="1"/>
  <c r="J149" s="1"/>
  <c r="H32" i="3"/>
  <c r="J32" s="1"/>
  <c r="J145" i="4"/>
  <c r="H145"/>
  <c r="J149" i="5"/>
  <c r="H149"/>
  <c r="J15" i="4"/>
  <c r="I16" s="1"/>
  <c r="H15" i="5"/>
  <c r="J15" s="1"/>
  <c r="I16" s="1"/>
  <c r="J117" i="4"/>
  <c r="H30"/>
  <c r="H13" i="5"/>
  <c r="J13" s="1"/>
  <c r="J10" i="4"/>
  <c r="H10" i="5"/>
  <c r="J10" s="1"/>
  <c r="J63" i="4"/>
  <c r="H63" i="5"/>
  <c r="J63" s="1"/>
  <c r="J143" i="3"/>
  <c r="H143"/>
  <c r="H143" i="4" s="1"/>
  <c r="J32"/>
  <c r="H32"/>
  <c r="H151" i="3"/>
  <c r="J151" s="1"/>
  <c r="J145" i="5"/>
  <c r="H145"/>
  <c r="H32"/>
  <c r="J32" s="1"/>
  <c r="H100"/>
  <c r="J100" s="1"/>
  <c r="J100" i="4"/>
  <c r="J40"/>
  <c r="H40" i="5"/>
  <c r="J40" s="1"/>
  <c r="J87" i="4"/>
  <c r="H87" i="5"/>
  <c r="J87" s="1"/>
  <c r="H135"/>
  <c r="J135" s="1"/>
  <c r="J135" i="4"/>
  <c r="H151"/>
  <c r="J151" s="1"/>
  <c r="J153" i="3"/>
  <c r="H153"/>
  <c r="H153" i="4" s="1"/>
  <c r="H60"/>
  <c r="J60" s="1"/>
  <c r="H60" i="5"/>
  <c r="H120" i="3"/>
  <c r="J120" s="1"/>
  <c r="J147"/>
  <c r="H147"/>
  <c r="H147" i="4" s="1"/>
  <c r="H83" i="5"/>
  <c r="J83" s="1"/>
  <c r="J83" i="4"/>
  <c r="H148" i="5"/>
  <c r="J148" s="1"/>
  <c r="J60"/>
  <c r="I59"/>
  <c r="I60"/>
  <c r="I60" i="4"/>
  <c r="I59"/>
  <c r="J60" i="3"/>
  <c r="I59"/>
  <c r="I60"/>
  <c r="J147" i="4" l="1"/>
  <c r="H147" i="5"/>
  <c r="J147" s="1"/>
  <c r="H153"/>
  <c r="J153" s="1"/>
  <c r="J153" i="4"/>
  <c r="H143" i="5"/>
  <c r="J143" s="1"/>
  <c r="J143" i="4"/>
  <c r="J30"/>
  <c r="H30" i="5"/>
  <c r="J30" s="1"/>
  <c r="H120" i="4"/>
  <c r="H151" i="5"/>
  <c r="J151" s="1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120" i="5" l="1"/>
  <c r="J120" s="1"/>
  <c r="J120" i="4"/>
  <c r="E92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K2" i="47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0"/>
  <c r="G161"/>
  <c r="G162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4" i="9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AC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AD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AD12" i="44" l="1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89" l="1"/>
  <c r="H89" i="43"/>
  <c r="H89" i="31" s="1"/>
  <c r="J89" s="1"/>
  <c r="J90" i="30"/>
  <c r="H90" i="43"/>
  <c r="J90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C3" i="49" s="1"/>
  <c r="AD7" i="44"/>
  <c r="AC4" i="49" s="1"/>
  <c r="H89" i="29"/>
  <c r="J89" s="1"/>
  <c r="H90" i="31" l="1"/>
  <c r="N90" s="1"/>
  <c r="J89" i="43"/>
  <c r="H89" i="21"/>
  <c r="J89" i="20"/>
  <c r="H90" i="22"/>
  <c r="J90" i="21"/>
  <c r="AD13" i="44"/>
  <c r="AC10" i="49" s="1"/>
  <c r="J90" i="10"/>
  <c r="N89" i="31"/>
  <c r="H89" i="11"/>
  <c r="J89" s="1"/>
  <c r="J89" i="10"/>
  <c r="E7" i="8"/>
  <c r="G7" s="1"/>
  <c r="B11" i="44" s="1"/>
  <c r="E99" i="43"/>
  <c r="E100"/>
  <c r="O59" i="30"/>
  <c r="N88"/>
  <c r="E99"/>
  <c r="E98"/>
  <c r="E100"/>
  <c r="J90" i="31" l="1"/>
  <c r="H90" i="23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AC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H88" i="43" l="1"/>
  <c r="J88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B35" i="44"/>
  <c r="AA32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H86" i="8"/>
  <c r="J86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A2" i="49" s="1"/>
  <c r="AB7" i="44"/>
  <c r="AA4" i="49" s="1"/>
  <c r="AA6" i="44"/>
  <c r="Z3" i="49" s="1"/>
  <c r="AA5" i="44"/>
  <c r="Z2" i="49" s="1"/>
  <c r="AC5" i="44"/>
  <c r="AB2" i="49" s="1"/>
  <c r="AA34" i="4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C11" i="49" s="1"/>
  <c r="AB14" i="44"/>
  <c r="AA11" i="49" s="1"/>
  <c r="AD23" i="44"/>
  <c r="AC20" i="49" s="1"/>
  <c r="AB23" i="44"/>
  <c r="AA20" i="49" s="1"/>
  <c r="H88" i="8"/>
  <c r="J88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AA35" i="44"/>
  <c r="Z32" i="49" s="1"/>
  <c r="H87" i="18"/>
  <c r="J87" s="1"/>
  <c r="AD21" i="44"/>
  <c r="AC18" i="49" s="1"/>
  <c r="AB21" i="44"/>
  <c r="AA18" i="49" s="1"/>
  <c r="H88" i="12"/>
  <c r="J88" s="1"/>
  <c r="AC15" i="44"/>
  <c r="AB12" i="49" s="1"/>
  <c r="AD35" i="44"/>
  <c r="AC3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H87" i="8"/>
  <c r="J87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J86" s="1"/>
  <c r="H86" i="28"/>
  <c r="J86" s="1"/>
  <c r="E40" i="22"/>
  <c r="E8"/>
  <c r="H86" i="43" l="1"/>
  <c r="J86" s="1"/>
  <c r="H87"/>
  <c r="J87" s="1"/>
  <c r="H88" i="20"/>
  <c r="H86"/>
  <c r="H87"/>
  <c r="H90" i="7"/>
  <c r="J90" s="1"/>
  <c r="J90" i="33"/>
  <c r="H86" i="10"/>
  <c r="H87"/>
  <c r="H88"/>
  <c r="H89" i="7"/>
  <c r="J89" s="1"/>
  <c r="J89" i="33"/>
  <c r="H88" i="31"/>
  <c r="N88" s="1"/>
  <c r="E15" i="20"/>
  <c r="E41" i="18"/>
  <c r="E7" i="20"/>
  <c r="E8" i="17"/>
  <c r="E9"/>
  <c r="E116" i="16"/>
  <c r="E8"/>
  <c r="G8" s="1"/>
  <c r="C19" i="44" s="1"/>
  <c r="E8" i="15"/>
  <c r="O8" i="14"/>
  <c r="O7"/>
  <c r="H86" i="31" l="1"/>
  <c r="N86" s="1"/>
  <c r="H87"/>
  <c r="N87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8" i="31"/>
  <c r="E96" i="14"/>
  <c r="E97"/>
  <c r="E98"/>
  <c r="E99"/>
  <c r="E100"/>
  <c r="E8"/>
  <c r="E9"/>
  <c r="E10"/>
  <c r="E133" i="13"/>
  <c r="E136"/>
  <c r="E138"/>
  <c r="E139"/>
  <c r="E140"/>
  <c r="J86" i="31" l="1"/>
  <c r="J87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8" i="12"/>
  <c r="E9"/>
  <c r="G9" s="1"/>
  <c r="E10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AF13" i="44" s="1"/>
  <c r="AE10" i="49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Y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C13" i="44" s="1"/>
  <c r="E10" i="10"/>
  <c r="G10" s="1"/>
  <c r="G11"/>
  <c r="G12"/>
  <c r="E7"/>
  <c r="G7" s="1"/>
  <c r="B13" i="44" s="1"/>
  <c r="E104" i="10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D13" i="44" s="1"/>
  <c r="G9" i="10"/>
  <c r="I7"/>
  <c r="E18"/>
  <c r="G18"/>
  <c r="E19"/>
  <c r="G19" s="1"/>
  <c r="E29"/>
  <c r="G29" s="1"/>
  <c r="E35"/>
  <c r="G35" s="1"/>
  <c r="E49"/>
  <c r="G49" s="1"/>
  <c r="E50"/>
  <c r="G50" s="1"/>
  <c r="E62"/>
  <c r="G62" s="1"/>
  <c r="AE13" i="44" s="1"/>
  <c r="AD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V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D12" i="44" s="1"/>
  <c r="E115" i="7"/>
  <c r="E114"/>
  <c r="E123" i="8"/>
  <c r="E115"/>
  <c r="E114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P9" i="12"/>
  <c r="E30" i="10"/>
  <c r="G30" s="1"/>
  <c r="G76"/>
  <c r="G85" s="1"/>
  <c r="G20"/>
  <c r="E13" i="44" s="1"/>
  <c r="E27" i="10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T10" i="49" l="1"/>
  <c r="BB10"/>
  <c r="AS10"/>
  <c r="BA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C10" i="44" s="1"/>
  <c r="I59" i="10" l="1"/>
  <c r="E107" i="33"/>
  <c r="E108"/>
  <c r="E112"/>
  <c r="E113"/>
  <c r="E100"/>
  <c r="E96" l="1"/>
  <c r="E8"/>
  <c r="G8" s="1"/>
  <c r="C9" i="44" s="1"/>
  <c r="E29" i="43" l="1"/>
  <c r="N27" i="31" l="1"/>
  <c r="A3" i="46"/>
  <c r="G79" i="31"/>
  <c r="G131"/>
  <c r="G132"/>
  <c r="AA34" i="1" s="1"/>
  <c r="G133" i="31"/>
  <c r="AB34" i="1" s="1"/>
  <c r="G135" i="31"/>
  <c r="AD34" i="1" s="1"/>
  <c r="G136" i="31"/>
  <c r="AH34" i="1" s="1"/>
  <c r="AK34" s="1"/>
  <c r="G137" i="31"/>
  <c r="AI34" i="1" s="1"/>
  <c r="G139" i="31"/>
  <c r="AL34" i="1" s="1"/>
  <c r="AO34" s="1"/>
  <c r="G140" i="31"/>
  <c r="AM34" i="1" s="1"/>
  <c r="G130" i="31"/>
  <c r="G125"/>
  <c r="G123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G76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G41" i="31"/>
  <c r="AV34" i="1" s="1"/>
  <c r="G42" i="31"/>
  <c r="AW34" i="1" s="1"/>
  <c r="G43" i="31"/>
  <c r="G45"/>
  <c r="G46"/>
  <c r="G35"/>
  <c r="AQ34" i="1" s="1"/>
  <c r="G22" i="31"/>
  <c r="G19"/>
  <c r="G15"/>
  <c r="G8"/>
  <c r="G10"/>
  <c r="G7"/>
  <c r="B35" i="44" s="1"/>
  <c r="G80" i="31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BN34" s="1"/>
  <c r="G44" i="31"/>
  <c r="AY34" i="1" s="1"/>
  <c r="G40" i="31"/>
  <c r="AU34" i="1" s="1"/>
  <c r="G29" i="31"/>
  <c r="G18"/>
  <c r="I15"/>
  <c r="K9"/>
  <c r="M8"/>
  <c r="I7"/>
  <c r="C35" i="44" l="1"/>
  <c r="G34" i="1"/>
  <c r="H34"/>
  <c r="K34" s="1"/>
  <c r="K35" i="44"/>
  <c r="J32" i="49" s="1"/>
  <c r="AX34" i="1"/>
  <c r="BP34" s="1"/>
  <c r="BQ34" s="1"/>
  <c r="BM34"/>
  <c r="AE34"/>
  <c r="D35" i="44"/>
  <c r="M34" i="1"/>
  <c r="O34" s="1"/>
  <c r="M35" i="44"/>
  <c r="L32" i="49" s="1"/>
  <c r="AZ34" i="1"/>
  <c r="L35" i="44"/>
  <c r="K32" i="49" s="1"/>
  <c r="BI34" i="1"/>
  <c r="AF34"/>
  <c r="AG34" s="1"/>
  <c r="BJ34"/>
  <c r="G35" i="44"/>
  <c r="F32" i="49" s="1"/>
  <c r="AR34" i="1"/>
  <c r="BL34"/>
  <c r="AU35" i="44"/>
  <c r="I35"/>
  <c r="H32" i="49" s="1"/>
  <c r="J35" i="44"/>
  <c r="I32" i="49" s="1"/>
  <c r="H35" i="44"/>
  <c r="G32" i="49" s="1"/>
  <c r="F35" i="44"/>
  <c r="E32" i="49" s="1"/>
  <c r="E28" i="31"/>
  <c r="G28" s="1"/>
  <c r="E31"/>
  <c r="G31" s="1"/>
  <c r="AH14" i="45"/>
  <c r="E27" i="31"/>
  <c r="G27" s="1"/>
  <c r="AV35" i="44"/>
  <c r="AH15" i="45"/>
  <c r="E30" i="31"/>
  <c r="G30" s="1"/>
  <c r="AE35" i="44"/>
  <c r="AD32" i="49" s="1"/>
  <c r="AF35" i="44"/>
  <c r="AE32" i="49" s="1"/>
  <c r="G68" i="31"/>
  <c r="G170"/>
  <c r="G67"/>
  <c r="G66"/>
  <c r="G168"/>
  <c r="G64"/>
  <c r="G166"/>
  <c r="Y35" i="44"/>
  <c r="X32" i="49" s="1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42"/>
  <c r="G146"/>
  <c r="G112"/>
  <c r="G148"/>
  <c r="I138"/>
  <c r="G118"/>
  <c r="E35" i="44" l="1"/>
  <c r="P34" i="1"/>
  <c r="AT32" i="49"/>
  <c r="BB32"/>
  <c r="AS32"/>
  <c r="BA32"/>
  <c r="N28" i="31"/>
  <c r="G172"/>
  <c r="G32"/>
  <c r="G143"/>
  <c r="G145"/>
  <c r="G149"/>
  <c r="G120"/>
  <c r="G60"/>
  <c r="G153"/>
  <c r="G147"/>
  <c r="G151"/>
  <c r="R34" i="1" l="1"/>
  <c r="BO34" s="1"/>
  <c r="S34"/>
  <c r="I59" i="3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9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C18" i="44" s="1"/>
  <c r="G8" i="12"/>
  <c r="C15" i="44" s="1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B16" i="44" s="1"/>
  <c r="C34" l="1"/>
  <c r="H33" i="1"/>
  <c r="K33" s="1"/>
  <c r="G33"/>
  <c r="C33" i="44"/>
  <c r="H32" i="1"/>
  <c r="L15" i="44"/>
  <c r="K12" i="49" s="1"/>
  <c r="J35" i="1"/>
  <c r="P58" i="12"/>
  <c r="Y15" i="44"/>
  <c r="X12" i="49" s="1"/>
  <c r="P50" i="12"/>
  <c r="P8"/>
  <c r="G59"/>
  <c r="P59" s="1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P116" s="1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AZ17" i="49" s="1"/>
  <c r="G110" i="17"/>
  <c r="S22" i="45" s="1"/>
  <c r="G109" i="17"/>
  <c r="S21" i="45" s="1"/>
  <c r="G106" i="17"/>
  <c r="S19" i="45" s="1"/>
  <c r="G105" i="17"/>
  <c r="S18" i="45" s="1"/>
  <c r="G104" i="17"/>
  <c r="S17" i="45" s="1"/>
  <c r="AU17" i="49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S15" i="49" l="1"/>
  <c r="BA15"/>
  <c r="AT17"/>
  <c r="BB17"/>
  <c r="AS19"/>
  <c r="BA19"/>
  <c r="AS16"/>
  <c r="BA16"/>
  <c r="AT26"/>
  <c r="BB26"/>
  <c r="AS12"/>
  <c r="BA12"/>
  <c r="AT18"/>
  <c r="BB18"/>
  <c r="AT14"/>
  <c r="BB14"/>
  <c r="AT24"/>
  <c r="BB24"/>
  <c r="AS24"/>
  <c r="BA24"/>
  <c r="AT16"/>
  <c r="BB16"/>
  <c r="AT25"/>
  <c r="BB25"/>
  <c r="AT19"/>
  <c r="BB19"/>
  <c r="AT15"/>
  <c r="BB15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P115" i="12"/>
  <c r="N15" i="4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AS17" i="49" s="1"/>
  <c r="O15" i="45"/>
  <c r="H114" i="14"/>
  <c r="J114" s="1"/>
  <c r="P14" i="45"/>
  <c r="O14"/>
  <c r="D18"/>
  <c r="AV2" i="49" s="1"/>
  <c r="D23" i="45"/>
  <c r="AZ2" i="49" s="1"/>
  <c r="D21" i="45"/>
  <c r="D17"/>
  <c r="AU2" i="49" s="1"/>
  <c r="D22" i="45"/>
  <c r="D19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P109" i="12"/>
  <c r="N19" i="45"/>
  <c r="AW12" i="49" s="1"/>
  <c r="P106" i="12"/>
  <c r="H114"/>
  <c r="J114" s="1"/>
  <c r="P114"/>
  <c r="N18" i="45"/>
  <c r="AV12" i="49" s="1"/>
  <c r="P105" i="12"/>
  <c r="N23" i="45"/>
  <c r="AZ12" i="49" s="1"/>
  <c r="P111" i="12"/>
  <c r="N17" i="45"/>
  <c r="AU12" i="49" s="1"/>
  <c r="P104" i="12"/>
  <c r="N22" i="45"/>
  <c r="AY12" i="49" s="1"/>
  <c r="P110" i="12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T20" i="49" l="1"/>
  <c r="BB20"/>
  <c r="AS18"/>
  <c r="BA18"/>
  <c r="AT13"/>
  <c r="BB13"/>
  <c r="AT11"/>
  <c r="BB11"/>
  <c r="AS22"/>
  <c r="BA22"/>
  <c r="AS26"/>
  <c r="BA26"/>
  <c r="AS11"/>
  <c r="BA11"/>
  <c r="AS23"/>
  <c r="BA23"/>
  <c r="AT12"/>
  <c r="BB12"/>
  <c r="AS14"/>
  <c r="BA14"/>
  <c r="AS21"/>
  <c r="BA21"/>
  <c r="AT22"/>
  <c r="BB22"/>
  <c r="AT23"/>
  <c r="BB23"/>
  <c r="AS13"/>
  <c r="BA13"/>
  <c r="AS20"/>
  <c r="BA20"/>
  <c r="AS25"/>
  <c r="BA25"/>
  <c r="AT21"/>
  <c r="BB21"/>
  <c r="H114" i="43"/>
  <c r="H114" i="31" s="1"/>
  <c r="AT9" i="4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G120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C14" i="44" s="1"/>
  <c r="G8" i="9"/>
  <c r="C12" i="44" s="1"/>
  <c r="I8" i="20"/>
  <c r="I8" i="19"/>
  <c r="I8" i="18"/>
  <c r="I8" i="17"/>
  <c r="I7" i="16"/>
  <c r="I8"/>
  <c r="I8" i="14"/>
  <c r="I8" i="13"/>
  <c r="J114" i="43" l="1"/>
  <c r="J114" i="20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C11" i="44" s="1"/>
  <c r="H114" i="22" l="1"/>
  <c r="J114" s="1"/>
  <c r="J114" i="21"/>
  <c r="H114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8" l="1"/>
  <c r="C21" i="44"/>
  <c r="N11" i="19"/>
  <c r="C22" i="44"/>
  <c r="H114" i="7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49" i="8" l="1"/>
  <c r="E72" l="1"/>
  <c r="E93" i="7" l="1"/>
  <c r="E7"/>
  <c r="G7" s="1"/>
  <c r="B10" i="44" s="1"/>
  <c r="E7" i="27" l="1"/>
  <c r="G7" s="1"/>
  <c r="B30" i="44" s="1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Z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E24" i="14"/>
  <c r="E23"/>
  <c r="E22"/>
  <c r="L28" i="44" l="1"/>
  <c r="K25" i="49" s="1"/>
  <c r="G172" i="25"/>
  <c r="E35" i="13"/>
  <c r="I7" i="9"/>
  <c r="E92" i="8"/>
  <c r="E93"/>
  <c r="I7"/>
  <c r="E132" i="43" l="1"/>
  <c r="G140" i="25"/>
  <c r="G139"/>
  <c r="G138"/>
  <c r="AX28" i="44" s="1"/>
  <c r="G137" i="25"/>
  <c r="G136"/>
  <c r="AV28" i="44" s="1"/>
  <c r="G135" i="25"/>
  <c r="G134"/>
  <c r="H134" s="1"/>
  <c r="G133"/>
  <c r="G132"/>
  <c r="G131"/>
  <c r="G130"/>
  <c r="G127"/>
  <c r="AS28" i="44" s="1"/>
  <c r="BL25" i="49" s="1"/>
  <c r="G126" i="25"/>
  <c r="AR28" i="44" s="1"/>
  <c r="BK25" i="49" s="1"/>
  <c r="G125" i="25"/>
  <c r="AQ28" i="44" s="1"/>
  <c r="BJ25" i="49" s="1"/>
  <c r="G124" i="25"/>
  <c r="AP28" i="44" s="1"/>
  <c r="BI25" i="49" s="1"/>
  <c r="G123" i="25"/>
  <c r="AO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E31" i="25"/>
  <c r="G31" s="1"/>
  <c r="AA5" i="45"/>
  <c r="AA24" s="1"/>
  <c r="BD25" i="49" s="1"/>
  <c r="H137" i="25"/>
  <c r="J137" s="1"/>
  <c r="AW28" i="44"/>
  <c r="AY28" s="1"/>
  <c r="AA25" i="45"/>
  <c r="BE25" i="49" s="1"/>
  <c r="E30" i="25"/>
  <c r="G30" s="1"/>
  <c r="AA6" i="45"/>
  <c r="G119" i="25"/>
  <c r="G118"/>
  <c r="H135"/>
  <c r="J135" s="1"/>
  <c r="M27" i="1"/>
  <c r="G25" i="47" s="1"/>
  <c r="AN28" i="44"/>
  <c r="BG25" i="49" s="1"/>
  <c r="H138" i="25"/>
  <c r="J138" s="1"/>
  <c r="G128"/>
  <c r="G150"/>
  <c r="G151" s="1"/>
  <c r="I133"/>
  <c r="G47"/>
  <c r="G144"/>
  <c r="G145" s="1"/>
  <c r="G152"/>
  <c r="G153" s="1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T28" i="44" l="1"/>
  <c r="BM25" i="49" s="1"/>
  <c r="G32" i="25"/>
  <c r="G60"/>
  <c r="G143"/>
  <c r="G147"/>
  <c r="G149"/>
  <c r="E123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AQ17" i="49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W35" i="44"/>
  <c r="AX35"/>
  <c r="AP35"/>
  <c r="BI32" i="49" s="1"/>
  <c r="AQ35" i="44"/>
  <c r="BJ32" i="49" s="1"/>
  <c r="AR35" i="44"/>
  <c r="BK32" i="49" s="1"/>
  <c r="AS35" i="44"/>
  <c r="BL32" i="49" s="1"/>
  <c r="AH10" i="45"/>
  <c r="AH11"/>
  <c r="AQ32" i="49" s="1"/>
  <c r="AH13" i="45"/>
  <c r="BC32" i="49" s="1"/>
  <c r="AH9" i="45"/>
  <c r="AH7"/>
  <c r="O35" i="44"/>
  <c r="N32" i="49" s="1"/>
  <c r="R35" i="44"/>
  <c r="Q32" i="49" s="1"/>
  <c r="S35" i="44"/>
  <c r="R32" i="49" s="1"/>
  <c r="T35" i="44"/>
  <c r="S32" i="49" s="1"/>
  <c r="U35" i="44"/>
  <c r="T32" i="49" s="1"/>
  <c r="V35" i="44"/>
  <c r="U32" i="49" s="1"/>
  <c r="W35" i="44"/>
  <c r="V32" i="49" s="1"/>
  <c r="X35" i="44"/>
  <c r="W32" i="49" s="1"/>
  <c r="Z35" i="44"/>
  <c r="Y32" i="49" s="1"/>
  <c r="N35" i="44"/>
  <c r="M32" i="49" s="1"/>
  <c r="AG35" i="44"/>
  <c r="AF32" i="49" s="1"/>
  <c r="AH35" i="44"/>
  <c r="AG32" i="49" s="1"/>
  <c r="AI35" i="44"/>
  <c r="AH32" i="49" s="1"/>
  <c r="AJ35" i="44"/>
  <c r="AI32" i="49" s="1"/>
  <c r="AK35" i="44"/>
  <c r="AJ32" i="49" s="1"/>
  <c r="AL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E137"/>
  <c r="G137" s="1"/>
  <c r="AI33" i="1" s="1"/>
  <c r="E138" i="43"/>
  <c r="G138" s="1"/>
  <c r="AJ33" i="1" s="1"/>
  <c r="E139" i="43"/>
  <c r="G139" s="1"/>
  <c r="E140"/>
  <c r="G140" s="1"/>
  <c r="AM33" i="1" s="1"/>
  <c r="E130" i="43"/>
  <c r="G130" s="1"/>
  <c r="E124"/>
  <c r="G124" s="1"/>
  <c r="AP34" i="44" s="1"/>
  <c r="BI31" i="49" s="1"/>
  <c r="E125" i="43"/>
  <c r="G125" s="1"/>
  <c r="AQ34" i="44" s="1"/>
  <c r="BJ31" i="49" s="1"/>
  <c r="E126" i="43"/>
  <c r="G126" s="1"/>
  <c r="AR34" i="44" s="1"/>
  <c r="BK31" i="49" s="1"/>
  <c r="E127" i="43"/>
  <c r="G127" s="1"/>
  <c r="AS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AR33" i="1" s="1"/>
  <c r="G38" i="43"/>
  <c r="AS33" i="1" s="1"/>
  <c r="G39" i="43"/>
  <c r="AT33" i="1" s="1"/>
  <c r="G40" i="43"/>
  <c r="AU33" i="1" s="1"/>
  <c r="G41" i="43"/>
  <c r="AV33" i="1" s="1"/>
  <c r="G42" i="43"/>
  <c r="AW33" i="1" s="1"/>
  <c r="G43" i="43"/>
  <c r="AX33" i="1" s="1"/>
  <c r="G44" i="43"/>
  <c r="AY33" i="1" s="1"/>
  <c r="G45" i="43"/>
  <c r="G46"/>
  <c r="E35"/>
  <c r="G35" s="1"/>
  <c r="AQ33" i="1" s="1"/>
  <c r="E19" i="43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Y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S23" i="44" s="1"/>
  <c r="BL20" i="49" s="1"/>
  <c r="E126" i="20"/>
  <c r="G126" s="1"/>
  <c r="AR23" i="44" s="1"/>
  <c r="BK20" i="49" s="1"/>
  <c r="E125" i="20"/>
  <c r="G125" s="1"/>
  <c r="AQ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G80" i="11"/>
  <c r="V14" i="44" s="1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P11" i="44" s="1"/>
  <c r="BI8" i="49" s="1"/>
  <c r="G125" i="8"/>
  <c r="AQ11" i="44" s="1"/>
  <c r="BJ8" i="49" s="1"/>
  <c r="G126" i="8"/>
  <c r="AR11" i="44" s="1"/>
  <c r="BK8" i="49" s="1"/>
  <c r="G127" i="8"/>
  <c r="AS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V11" i="44" s="1"/>
  <c r="E137" i="8"/>
  <c r="G137" s="1"/>
  <c r="AW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0" i="23"/>
  <c r="G140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V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V14" i="44" s="1"/>
  <c r="G137" i="11"/>
  <c r="G138"/>
  <c r="G139"/>
  <c r="G140"/>
  <c r="E124"/>
  <c r="G124" s="1"/>
  <c r="AP14" i="44" s="1"/>
  <c r="BI11" i="49" s="1"/>
  <c r="E125" i="11"/>
  <c r="G125" s="1"/>
  <c r="AQ14" i="44" s="1"/>
  <c r="BJ11" i="49" s="1"/>
  <c r="E126" i="11"/>
  <c r="G126" s="1"/>
  <c r="AR14" i="44" s="1"/>
  <c r="BK11" i="49" s="1"/>
  <c r="E127" i="11"/>
  <c r="G127" s="1"/>
  <c r="AS14" i="44" s="1"/>
  <c r="BL11" i="49" s="1"/>
  <c r="G10" i="11"/>
  <c r="G11"/>
  <c r="G12"/>
  <c r="E124" i="9"/>
  <c r="G124" s="1"/>
  <c r="AP12" i="44" s="1"/>
  <c r="BI9" i="49" s="1"/>
  <c r="E125" i="9"/>
  <c r="G125" s="1"/>
  <c r="AQ12" i="44" s="1"/>
  <c r="BJ9" i="49" s="1"/>
  <c r="E126" i="9"/>
  <c r="G126" s="1"/>
  <c r="AR12" i="44" s="1"/>
  <c r="BK9" i="49" s="1"/>
  <c r="E127" i="9"/>
  <c r="G127" s="1"/>
  <c r="AS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V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I33" i="44" s="1"/>
  <c r="H30" i="49" s="1"/>
  <c r="E38" i="30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0" i="29"/>
  <c r="G139"/>
  <c r="G138"/>
  <c r="G137"/>
  <c r="AW32" i="44" s="1"/>
  <c r="G136" i="29"/>
  <c r="AV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S32" i="44" s="1"/>
  <c r="BL29" i="49" s="1"/>
  <c r="G126" i="29"/>
  <c r="AR32" i="44" s="1"/>
  <c r="BK29" i="49" s="1"/>
  <c r="G125" i="29"/>
  <c r="AQ32" i="44" s="1"/>
  <c r="BJ29" i="49" s="1"/>
  <c r="G124" i="29"/>
  <c r="AP32" i="44" s="1"/>
  <c r="BI29" i="49" s="1"/>
  <c r="E123" i="29"/>
  <c r="G123" s="1"/>
  <c r="AO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0" i="28"/>
  <c r="G138"/>
  <c r="G137"/>
  <c r="G136"/>
  <c r="AV31" i="44" s="1"/>
  <c r="G135" i="28"/>
  <c r="G134"/>
  <c r="AC30" i="1" s="1"/>
  <c r="G133" i="28"/>
  <c r="AB30" i="1" s="1"/>
  <c r="G132" i="28"/>
  <c r="AA30" i="1" s="1"/>
  <c r="G131" i="28"/>
  <c r="E130"/>
  <c r="G130" s="1"/>
  <c r="G127"/>
  <c r="AS31" i="44" s="1"/>
  <c r="BL28" i="49" s="1"/>
  <c r="G126" i="28"/>
  <c r="AR31" i="44" s="1"/>
  <c r="BK28" i="49" s="1"/>
  <c r="G125" i="28"/>
  <c r="AQ31" i="44" s="1"/>
  <c r="BJ28" i="49" s="1"/>
  <c r="G124" i="28"/>
  <c r="AP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0" i="27"/>
  <c r="G139"/>
  <c r="G138"/>
  <c r="G137"/>
  <c r="G136"/>
  <c r="AV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S30" i="44" s="1"/>
  <c r="BL27" i="49" s="1"/>
  <c r="E126" i="27"/>
  <c r="G126" s="1"/>
  <c r="AR30" i="44" s="1"/>
  <c r="BK27" i="49" s="1"/>
  <c r="E125" i="27"/>
  <c r="G125" s="1"/>
  <c r="AQ30" i="44" s="1"/>
  <c r="BJ27" i="49" s="1"/>
  <c r="E124" i="27"/>
  <c r="G124" s="1"/>
  <c r="AP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0" i="40"/>
  <c r="G139"/>
  <c r="G138"/>
  <c r="AX29" i="44" s="1"/>
  <c r="G137" i="40"/>
  <c r="AW29" i="44" s="1"/>
  <c r="G136" i="40"/>
  <c r="AV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S29" i="44" s="1"/>
  <c r="BL26" i="49" s="1"/>
  <c r="E126" i="40"/>
  <c r="G126" s="1"/>
  <c r="AR29" i="44" s="1"/>
  <c r="BK26" i="49" s="1"/>
  <c r="E125" i="40"/>
  <c r="G125" s="1"/>
  <c r="AQ29" i="44" s="1"/>
  <c r="BJ26" i="49" s="1"/>
  <c r="E124" i="40"/>
  <c r="G124" s="1"/>
  <c r="AP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V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S27" i="44" s="1"/>
  <c r="BL24" i="49" s="1"/>
  <c r="G126" i="24"/>
  <c r="AR27" i="44" s="1"/>
  <c r="BK24" i="49" s="1"/>
  <c r="G125" i="24"/>
  <c r="AQ27" i="44" s="1"/>
  <c r="BJ24" i="49" s="1"/>
  <c r="G124" i="24"/>
  <c r="AP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0" i="22"/>
  <c r="G140" s="1"/>
  <c r="E139"/>
  <c r="G139" s="1"/>
  <c r="E138"/>
  <c r="G138" s="1"/>
  <c r="AX25" i="44" s="1"/>
  <c r="E137" i="22"/>
  <c r="G137" s="1"/>
  <c r="E136"/>
  <c r="G136" s="1"/>
  <c r="AV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S25" i="44" s="1"/>
  <c r="BL22" i="49" s="1"/>
  <c r="E126" i="22"/>
  <c r="G126" s="1"/>
  <c r="AR25" i="44" s="1"/>
  <c r="BK22" i="49" s="1"/>
  <c r="E125" i="22"/>
  <c r="G125" s="1"/>
  <c r="AQ25" i="44" s="1"/>
  <c r="BJ22" i="49" s="1"/>
  <c r="E124" i="22"/>
  <c r="G124" s="1"/>
  <c r="AP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4" i="22"/>
  <c r="E93"/>
  <c r="G93" s="1"/>
  <c r="X8" i="45" s="1"/>
  <c r="AN22" i="49" s="1"/>
  <c r="E92" i="22"/>
  <c r="G92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0" i="21"/>
  <c r="G139"/>
  <c r="G138"/>
  <c r="AX24" i="44" s="1"/>
  <c r="G137" i="21"/>
  <c r="G136"/>
  <c r="AV24" i="44" s="1"/>
  <c r="G135" i="21"/>
  <c r="AD23" i="1" s="1"/>
  <c r="G134" i="21"/>
  <c r="G133"/>
  <c r="AB23" i="1" s="1"/>
  <c r="G132" i="21"/>
  <c r="G131"/>
  <c r="E130"/>
  <c r="G130" s="1"/>
  <c r="E127"/>
  <c r="G127" s="1"/>
  <c r="AS24" i="44" s="1"/>
  <c r="BL21" i="49" s="1"/>
  <c r="E126" i="21"/>
  <c r="G126" s="1"/>
  <c r="AR24" i="44" s="1"/>
  <c r="BK21" i="49" s="1"/>
  <c r="E125" i="21"/>
  <c r="G125" s="1"/>
  <c r="AQ24" i="44" s="1"/>
  <c r="BJ21" i="49" s="1"/>
  <c r="E124" i="21"/>
  <c r="G124" s="1"/>
  <c r="AP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0" i="20"/>
  <c r="G139"/>
  <c r="G138"/>
  <c r="G137"/>
  <c r="G136"/>
  <c r="AV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P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E140" i="19"/>
  <c r="E139"/>
  <c r="E138"/>
  <c r="E137"/>
  <c r="G137" s="1"/>
  <c r="E136"/>
  <c r="G136" s="1"/>
  <c r="AV22" i="44" s="1"/>
  <c r="E135" i="19"/>
  <c r="E134"/>
  <c r="E133"/>
  <c r="E131"/>
  <c r="G131" s="1"/>
  <c r="E130"/>
  <c r="G130" s="1"/>
  <c r="E127"/>
  <c r="G127" s="1"/>
  <c r="AS22" i="44" s="1"/>
  <c r="BL19" i="49" s="1"/>
  <c r="E126" i="19"/>
  <c r="G126" s="1"/>
  <c r="AR22" i="44" s="1"/>
  <c r="BK19" i="49" s="1"/>
  <c r="E125" i="19"/>
  <c r="G125" s="1"/>
  <c r="AQ22" i="44" s="1"/>
  <c r="BJ19" i="49" s="1"/>
  <c r="E124" i="19"/>
  <c r="G124" s="1"/>
  <c r="AP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E84" i="19"/>
  <c r="G84" s="1"/>
  <c r="E83"/>
  <c r="G83" s="1"/>
  <c r="Z22" i="44" s="1"/>
  <c r="Y19" i="49" s="1"/>
  <c r="E82" i="19"/>
  <c r="G82" s="1"/>
  <c r="X22" i="44" s="1"/>
  <c r="W19" i="49" s="1"/>
  <c r="E81" i="19"/>
  <c r="G81" s="1"/>
  <c r="W22" i="44" s="1"/>
  <c r="V19" i="49" s="1"/>
  <c r="E80" i="19"/>
  <c r="G80" s="1"/>
  <c r="V22" i="44" s="1"/>
  <c r="U19" i="49" s="1"/>
  <c r="E79" i="19"/>
  <c r="G79" s="1"/>
  <c r="U22" i="44" s="1"/>
  <c r="T19" i="49" s="1"/>
  <c r="E78" i="19"/>
  <c r="G78" s="1"/>
  <c r="T22" i="44" s="1"/>
  <c r="S19" i="49" s="1"/>
  <c r="E77" i="19"/>
  <c r="G77" s="1"/>
  <c r="S22" i="44" s="1"/>
  <c r="R19" i="49" s="1"/>
  <c r="E76" i="19"/>
  <c r="G76" s="1"/>
  <c r="R22" i="44" s="1"/>
  <c r="Q19" i="49" s="1"/>
  <c r="E75" i="19"/>
  <c r="G75" s="1"/>
  <c r="Q22" i="44" s="1"/>
  <c r="P19" i="49" s="1"/>
  <c r="E74" i="19"/>
  <c r="G74" s="1"/>
  <c r="P22" i="44" s="1"/>
  <c r="O19" i="49" s="1"/>
  <c r="E73" i="19"/>
  <c r="G73" s="1"/>
  <c r="O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D22" i="44" s="1"/>
  <c r="E10" i="19"/>
  <c r="G10" s="1"/>
  <c r="E9"/>
  <c r="G9" s="1"/>
  <c r="E140" i="18"/>
  <c r="G140" s="1"/>
  <c r="E139"/>
  <c r="E138"/>
  <c r="G138" s="1"/>
  <c r="E137"/>
  <c r="G137" s="1"/>
  <c r="E136"/>
  <c r="G136" s="1"/>
  <c r="AV21" i="44" s="1"/>
  <c r="E135" i="18"/>
  <c r="E134"/>
  <c r="G134" s="1"/>
  <c r="E133"/>
  <c r="E132"/>
  <c r="E131"/>
  <c r="G131" s="1"/>
  <c r="E130"/>
  <c r="G130" s="1"/>
  <c r="E127"/>
  <c r="G127" s="1"/>
  <c r="AS21" i="44" s="1"/>
  <c r="BL18" i="49" s="1"/>
  <c r="E126" i="18"/>
  <c r="G126" s="1"/>
  <c r="AR21" i="44" s="1"/>
  <c r="BK18" i="49" s="1"/>
  <c r="E125" i="18"/>
  <c r="G125" s="1"/>
  <c r="AQ21" i="44" s="1"/>
  <c r="BJ18" i="49" s="1"/>
  <c r="E124" i="18"/>
  <c r="G124" s="1"/>
  <c r="AP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Z21" i="44" s="1"/>
  <c r="Y18" i="49" s="1"/>
  <c r="E82" i="18"/>
  <c r="G82" s="1"/>
  <c r="X21" i="44" s="1"/>
  <c r="W18" i="49" s="1"/>
  <c r="E81" i="18"/>
  <c r="G81" s="1"/>
  <c r="W21" i="44" s="1"/>
  <c r="V18" i="49" s="1"/>
  <c r="E80" i="18"/>
  <c r="G80" s="1"/>
  <c r="V21" i="44" s="1"/>
  <c r="U18" i="49" s="1"/>
  <c r="E79" i="18"/>
  <c r="G79" s="1"/>
  <c r="U21" i="44" s="1"/>
  <c r="T18" i="49" s="1"/>
  <c r="E78" i="18"/>
  <c r="G78" s="1"/>
  <c r="T21" i="44" s="1"/>
  <c r="S18" i="49" s="1"/>
  <c r="E77" i="18"/>
  <c r="G77" s="1"/>
  <c r="S21" i="44" s="1"/>
  <c r="R18" i="49" s="1"/>
  <c r="E76" i="18"/>
  <c r="G76" s="1"/>
  <c r="R21" i="44" s="1"/>
  <c r="Q18" i="49" s="1"/>
  <c r="E75" i="18"/>
  <c r="G75" s="1"/>
  <c r="Q21" i="44" s="1"/>
  <c r="P18" i="49" s="1"/>
  <c r="E74" i="18"/>
  <c r="G74" s="1"/>
  <c r="P21" i="44" s="1"/>
  <c r="O18" i="49" s="1"/>
  <c r="E73" i="18"/>
  <c r="G73" s="1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S20" i="44" s="1"/>
  <c r="BL17" i="49" s="1"/>
  <c r="E126" i="17"/>
  <c r="G126" s="1"/>
  <c r="AR20" i="44" s="1"/>
  <c r="BK17" i="49" s="1"/>
  <c r="E125" i="17"/>
  <c r="G125" s="1"/>
  <c r="AQ20" i="44" s="1"/>
  <c r="BJ17" i="49" s="1"/>
  <c r="E124" i="17"/>
  <c r="G124" s="1"/>
  <c r="AP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E140" i="16"/>
  <c r="G140" s="1"/>
  <c r="E139"/>
  <c r="G139" s="1"/>
  <c r="E138"/>
  <c r="G138" s="1"/>
  <c r="E137"/>
  <c r="G137" s="1"/>
  <c r="E136"/>
  <c r="G136" s="1"/>
  <c r="AV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S19" i="44" s="1"/>
  <c r="BL16" i="49" s="1"/>
  <c r="E126" i="16"/>
  <c r="G126" s="1"/>
  <c r="AR19" i="44" s="1"/>
  <c r="BK16" i="49" s="1"/>
  <c r="G125" i="16"/>
  <c r="AQ19" i="44" s="1"/>
  <c r="BJ16" i="49" s="1"/>
  <c r="E124" i="16"/>
  <c r="G124" s="1"/>
  <c r="AP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0" i="15"/>
  <c r="G140" s="1"/>
  <c r="E139"/>
  <c r="G139" s="1"/>
  <c r="E138"/>
  <c r="G138" s="1"/>
  <c r="E137"/>
  <c r="G137" s="1"/>
  <c r="E136"/>
  <c r="G136" s="1"/>
  <c r="AV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S18" i="44" s="1"/>
  <c r="BL15" i="49" s="1"/>
  <c r="E126" i="15"/>
  <c r="G126" s="1"/>
  <c r="AR18" i="44" s="1"/>
  <c r="BK15" i="49" s="1"/>
  <c r="E125" i="15"/>
  <c r="G125" s="1"/>
  <c r="AQ18" i="44" s="1"/>
  <c r="BJ15" i="49" s="1"/>
  <c r="E124" i="15"/>
  <c r="G124" s="1"/>
  <c r="AP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0" i="14"/>
  <c r="G140" s="1"/>
  <c r="E139"/>
  <c r="G139" s="1"/>
  <c r="E138"/>
  <c r="G138" s="1"/>
  <c r="AX17" i="44" s="1"/>
  <c r="E137" i="14"/>
  <c r="G137" s="1"/>
  <c r="E136"/>
  <c r="G136" s="1"/>
  <c r="AV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S17" i="44" s="1"/>
  <c r="BL14" i="49" s="1"/>
  <c r="E126" i="14"/>
  <c r="G126" s="1"/>
  <c r="AR17" i="44" s="1"/>
  <c r="BK14" i="49" s="1"/>
  <c r="E125" i="14"/>
  <c r="G125" s="1"/>
  <c r="AQ17" i="44" s="1"/>
  <c r="BJ14" i="49" s="1"/>
  <c r="E124" i="14"/>
  <c r="G124" s="1"/>
  <c r="AP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D15" i="44" s="1"/>
  <c r="G10" i="12"/>
  <c r="G7"/>
  <c r="B15" i="44" s="1"/>
  <c r="E130" i="11"/>
  <c r="G130" s="1"/>
  <c r="E123"/>
  <c r="G123" s="1"/>
  <c r="AO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V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2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0" i="7"/>
  <c r="G140" s="1"/>
  <c r="E139"/>
  <c r="G139" s="1"/>
  <c r="E138"/>
  <c r="G138" s="1"/>
  <c r="E137"/>
  <c r="G137" s="1"/>
  <c r="AW10" i="44" s="1"/>
  <c r="E136" i="7"/>
  <c r="G136" s="1"/>
  <c r="AV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S10" i="44" s="1"/>
  <c r="BL7" i="49" s="1"/>
  <c r="E126" i="7"/>
  <c r="G126" s="1"/>
  <c r="AR10" i="44" s="1"/>
  <c r="BK7" i="49" s="1"/>
  <c r="E125" i="7"/>
  <c r="G125" s="1"/>
  <c r="AQ10" i="44" s="1"/>
  <c r="BJ7" i="49" s="1"/>
  <c r="E124" i="7"/>
  <c r="G124" s="1"/>
  <c r="AP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1" i="33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V9" i="44" s="1"/>
  <c r="E137" i="33"/>
  <c r="G137" s="1"/>
  <c r="E138"/>
  <c r="G138" s="1"/>
  <c r="E139"/>
  <c r="G139" s="1"/>
  <c r="E140"/>
  <c r="G140" s="1"/>
  <c r="E130"/>
  <c r="G130" s="1"/>
  <c r="E124"/>
  <c r="G124" s="1"/>
  <c r="AP9" i="44" s="1"/>
  <c r="BI6" i="49" s="1"/>
  <c r="E125" i="33"/>
  <c r="G125" s="1"/>
  <c r="AQ9" i="44" s="1"/>
  <c r="BJ6" i="49" s="1"/>
  <c r="E126" i="33"/>
  <c r="G126" s="1"/>
  <c r="AR9" i="44" s="1"/>
  <c r="BK6" i="49" s="1"/>
  <c r="E127" i="33"/>
  <c r="G127" s="1"/>
  <c r="AS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1" i="33" l="1"/>
  <c r="G13" s="1"/>
  <c r="E11" i="20"/>
  <c r="G11" s="1"/>
  <c r="G13" s="1"/>
  <c r="I13" s="1"/>
  <c r="E11" i="43"/>
  <c r="G11" s="1"/>
  <c r="E11" i="14"/>
  <c r="G11" s="1"/>
  <c r="E11" i="18"/>
  <c r="G11" s="1"/>
  <c r="E11" i="22"/>
  <c r="G11" s="1"/>
  <c r="E11" i="40"/>
  <c r="G11" s="1"/>
  <c r="E11" i="30"/>
  <c r="G11" s="1"/>
  <c r="E11" i="24"/>
  <c r="G11" s="1"/>
  <c r="G13" s="1"/>
  <c r="E11" i="15"/>
  <c r="G11" s="1"/>
  <c r="E11" i="12"/>
  <c r="G11" s="1"/>
  <c r="P11" s="1"/>
  <c r="E11" i="23"/>
  <c r="G11" s="1"/>
  <c r="E11" i="27"/>
  <c r="G11" s="1"/>
  <c r="E11" i="13"/>
  <c r="G11" s="1"/>
  <c r="E11" i="17"/>
  <c r="G11" s="1"/>
  <c r="E11" i="21"/>
  <c r="G11" s="1"/>
  <c r="E11" i="25"/>
  <c r="G11" s="1"/>
  <c r="E11" i="29"/>
  <c r="G11" s="1"/>
  <c r="E11" i="16"/>
  <c r="G11" s="1"/>
  <c r="E11" i="19"/>
  <c r="G11" s="1"/>
  <c r="E11" i="28"/>
  <c r="G11" s="1"/>
  <c r="E11" i="31"/>
  <c r="G11" s="1"/>
  <c r="G12" i="33"/>
  <c r="E12" i="15"/>
  <c r="G12" s="1"/>
  <c r="E12" i="19"/>
  <c r="G12" s="1"/>
  <c r="G13" s="1"/>
  <c r="E12" i="23"/>
  <c r="G12" s="1"/>
  <c r="G13" s="1"/>
  <c r="E12" i="27"/>
  <c r="G12" s="1"/>
  <c r="E12" i="43"/>
  <c r="G12" s="1"/>
  <c r="E12" i="20"/>
  <c r="G12" s="1"/>
  <c r="E12" i="31"/>
  <c r="G12" s="1"/>
  <c r="E12" i="14"/>
  <c r="G12" s="1"/>
  <c r="E12" i="18"/>
  <c r="G12" s="1"/>
  <c r="E12" i="22"/>
  <c r="G12" s="1"/>
  <c r="G13" s="1"/>
  <c r="I13" s="1"/>
  <c r="E12" i="40"/>
  <c r="G12" s="1"/>
  <c r="G13" s="1"/>
  <c r="I13" s="1"/>
  <c r="E12" i="30"/>
  <c r="G12" s="1"/>
  <c r="E12" i="16"/>
  <c r="G12" s="1"/>
  <c r="E12" i="24"/>
  <c r="G12" s="1"/>
  <c r="E12" i="13"/>
  <c r="G12" s="1"/>
  <c r="E12" i="17"/>
  <c r="G12" s="1"/>
  <c r="E12" i="21"/>
  <c r="G12" s="1"/>
  <c r="E12" i="25"/>
  <c r="G12" s="1"/>
  <c r="E12" i="29"/>
  <c r="G12" s="1"/>
  <c r="E12" i="12"/>
  <c r="G12" s="1"/>
  <c r="P12" s="1"/>
  <c r="E12" i="28"/>
  <c r="G12" s="1"/>
  <c r="D34" i="44"/>
  <c r="M33" i="1"/>
  <c r="O33" s="1"/>
  <c r="L34" i="44"/>
  <c r="K31" i="49" s="1"/>
  <c r="BI33" i="1"/>
  <c r="P93" i="12"/>
  <c r="N8" i="45"/>
  <c r="AN12" i="49" s="1"/>
  <c r="G22" i="28"/>
  <c r="E24"/>
  <c r="F34" i="44"/>
  <c r="E31" i="49" s="1"/>
  <c r="BA33" i="1"/>
  <c r="G34" i="44"/>
  <c r="F31" i="49" s="1"/>
  <c r="BB33" i="1"/>
  <c r="AV34" i="44"/>
  <c r="AH33" i="1"/>
  <c r="AK33" s="1"/>
  <c r="BJ33"/>
  <c r="AF33"/>
  <c r="I123" i="28"/>
  <c r="G128"/>
  <c r="M34" i="44"/>
  <c r="L31" i="49" s="1"/>
  <c r="AZ33" i="1"/>
  <c r="H34" i="44"/>
  <c r="G31" i="49" s="1"/>
  <c r="BC33" i="1"/>
  <c r="I34" i="44"/>
  <c r="H31" i="49" s="1"/>
  <c r="BD33" i="1"/>
  <c r="BM33" s="1"/>
  <c r="AU34" i="44"/>
  <c r="AL33" i="1"/>
  <c r="AO33" s="1"/>
  <c r="E28" i="40"/>
  <c r="D29" i="44"/>
  <c r="BL33" i="1"/>
  <c r="K8" i="45"/>
  <c r="AN9" i="49" s="1"/>
  <c r="G93" i="9"/>
  <c r="AM34" i="44"/>
  <c r="AL31" i="49" s="1"/>
  <c r="BK33" i="1"/>
  <c r="BP33" s="1"/>
  <c r="BN33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G33" i="44"/>
  <c r="F30" i="49" s="1"/>
  <c r="R23" i="44"/>
  <c r="Q20" i="49" s="1"/>
  <c r="AB18" i="1"/>
  <c r="I133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O9" i="12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I2" i="49" s="1"/>
  <c r="AU8" i="44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H2" i="49" s="1"/>
  <c r="L5" i="44"/>
  <c r="K2" i="49" s="1"/>
  <c r="AU9" i="44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K34" i="44"/>
  <c r="J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24" i="9"/>
  <c r="G13"/>
  <c r="I13" s="1"/>
  <c r="AF6" i="44"/>
  <c r="AE3" i="49" s="1"/>
  <c r="AE8" i="44"/>
  <c r="AD5" i="49" s="1"/>
  <c r="AI8" i="44"/>
  <c r="AH5" i="49" s="1"/>
  <c r="G68" i="33"/>
  <c r="AK9" i="44" s="1"/>
  <c r="AJ6" i="49" s="1"/>
  <c r="E170" i="33"/>
  <c r="G170" s="1"/>
  <c r="G64"/>
  <c r="AG9" i="44" s="1"/>
  <c r="AF6" i="49" s="1"/>
  <c r="E166" i="33"/>
  <c r="G166" s="1"/>
  <c r="G62" i="7"/>
  <c r="AE10" i="44" s="1"/>
  <c r="AD7" i="49" s="1"/>
  <c r="G164" i="7"/>
  <c r="G66"/>
  <c r="AI10" i="44" s="1"/>
  <c r="AH7" i="49" s="1"/>
  <c r="G168" i="7"/>
  <c r="G136" i="17"/>
  <c r="AV20" i="44" s="1"/>
  <c r="AH7"/>
  <c r="AG4" i="49" s="1"/>
  <c r="E170" i="12"/>
  <c r="G170" s="1"/>
  <c r="E165"/>
  <c r="G165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1" i="33"/>
  <c r="G171" s="1"/>
  <c r="G65"/>
  <c r="AH9" i="44" s="1"/>
  <c r="AG6" i="49" s="1"/>
  <c r="E167" i="33"/>
  <c r="G167" s="1"/>
  <c r="G65" i="7"/>
  <c r="AH10" i="44" s="1"/>
  <c r="AG7" i="49" s="1"/>
  <c r="G167" i="7"/>
  <c r="G69"/>
  <c r="AL10" i="44" s="1"/>
  <c r="AK7" i="49" s="1"/>
  <c r="G171" i="7"/>
  <c r="AE7" i="44"/>
  <c r="AD4" i="49" s="1"/>
  <c r="E166" i="12"/>
  <c r="G166" s="1"/>
  <c r="AH6" i="44"/>
  <c r="AG3" i="49" s="1"/>
  <c r="AK8" i="44"/>
  <c r="AJ5" i="49" s="1"/>
  <c r="AG8" i="44"/>
  <c r="AF5" i="49" s="1"/>
  <c r="G62" i="33"/>
  <c r="AE9" i="44" s="1"/>
  <c r="AD6" i="49" s="1"/>
  <c r="G164" i="33"/>
  <c r="G66"/>
  <c r="AI9" i="44" s="1"/>
  <c r="AH6" i="49" s="1"/>
  <c r="E168" i="33"/>
  <c r="G168" s="1"/>
  <c r="G64" i="7"/>
  <c r="AG10" i="44" s="1"/>
  <c r="AF7" i="49" s="1"/>
  <c r="G166" i="7"/>
  <c r="G68"/>
  <c r="AK10" i="44" s="1"/>
  <c r="AJ7" i="49" s="1"/>
  <c r="G170" i="7"/>
  <c r="AJ7" i="44"/>
  <c r="AI4" i="49" s="1"/>
  <c r="AF7" i="44"/>
  <c r="AE4" i="49" s="1"/>
  <c r="E167" i="12"/>
  <c r="G167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69" i="33"/>
  <c r="G169" s="1"/>
  <c r="G63"/>
  <c r="AF9" i="44" s="1"/>
  <c r="AE6" i="49" s="1"/>
  <c r="E165" i="33"/>
  <c r="G165" s="1"/>
  <c r="G63" i="7"/>
  <c r="AF10" i="44" s="1"/>
  <c r="AE7" i="49" s="1"/>
  <c r="G165" i="7"/>
  <c r="G67"/>
  <c r="AJ10" i="44" s="1"/>
  <c r="AI7" i="49" s="1"/>
  <c r="G169" i="7"/>
  <c r="AK7" i="44"/>
  <c r="AJ4" i="49" s="1"/>
  <c r="AG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AE33" s="1"/>
  <c r="G119" i="40"/>
  <c r="H119" s="1"/>
  <c r="J119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19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5" i="15"/>
  <c r="G165" s="1"/>
  <c r="AM18" i="1"/>
  <c r="AO18" s="1"/>
  <c r="AM19"/>
  <c r="G49" i="18"/>
  <c r="F21" i="44" s="1"/>
  <c r="E18" i="49" s="1"/>
  <c r="K49" i="18"/>
  <c r="G62"/>
  <c r="AE21" i="44" s="1"/>
  <c r="AD18" i="49" s="1"/>
  <c r="E164" i="18"/>
  <c r="G164" s="1"/>
  <c r="T29" i="45"/>
  <c r="G135" i="18"/>
  <c r="AD20" i="1" s="1"/>
  <c r="G139" i="18"/>
  <c r="E166" i="19"/>
  <c r="G166"/>
  <c r="G64"/>
  <c r="AG22" i="44" s="1"/>
  <c r="AF19" i="49" s="1"/>
  <c r="E170" i="19"/>
  <c r="G170"/>
  <c r="G133"/>
  <c r="AB21" i="1" s="1"/>
  <c r="G42" i="20"/>
  <c r="AW22" i="1" s="1"/>
  <c r="G169" i="20"/>
  <c r="BB23" i="1"/>
  <c r="L51" i="21"/>
  <c r="G62"/>
  <c r="AE24" i="44" s="1"/>
  <c r="AD21" i="49" s="1"/>
  <c r="E164" i="21"/>
  <c r="G164" s="1"/>
  <c r="BG25" i="1"/>
  <c r="G63" i="23"/>
  <c r="E165"/>
  <c r="G165" s="1"/>
  <c r="AR26" i="44"/>
  <c r="BK23" i="49" s="1"/>
  <c r="BB24" i="1"/>
  <c r="L51" i="22"/>
  <c r="G63"/>
  <c r="AF25" i="44" s="1"/>
  <c r="AE22" i="49" s="1"/>
  <c r="E165" i="22"/>
  <c r="G165" s="1"/>
  <c r="L165" s="1"/>
  <c r="G63" i="11"/>
  <c r="AF14" i="44" s="1"/>
  <c r="AE11" i="49" s="1"/>
  <c r="G62" i="11"/>
  <c r="AE14" i="44" s="1"/>
  <c r="AD11" i="49" s="1"/>
  <c r="AM17" i="1"/>
  <c r="G42" i="18"/>
  <c r="AW20" i="1" s="1"/>
  <c r="G62" i="19"/>
  <c r="E164"/>
  <c r="G164" s="1"/>
  <c r="E169"/>
  <c r="G169"/>
  <c r="G67"/>
  <c r="AJ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E33" i="44" s="1"/>
  <c r="AD30" i="49" s="1"/>
  <c r="E164" i="30"/>
  <c r="G164" s="1"/>
  <c r="G172" s="1"/>
  <c r="BG24" i="1"/>
  <c r="L56" i="22"/>
  <c r="G62" i="43"/>
  <c r="AE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I22" i="44" s="1"/>
  <c r="AH19" i="49" s="1"/>
  <c r="G168" i="19"/>
  <c r="G135"/>
  <c r="AD21" i="1" s="1"/>
  <c r="G139" i="19"/>
  <c r="G167" i="20"/>
  <c r="G171"/>
  <c r="BH23" i="1"/>
  <c r="L57" i="21"/>
  <c r="BE25" i="1"/>
  <c r="AP26" i="44"/>
  <c r="BI23" i="49" s="1"/>
  <c r="AC25" i="1"/>
  <c r="AM13"/>
  <c r="G63" i="14"/>
  <c r="AF17" i="44" s="1"/>
  <c r="AE14" i="49" s="1"/>
  <c r="E165" i="14"/>
  <c r="G165" s="1"/>
  <c r="G63" i="19"/>
  <c r="AF22" i="44" s="1"/>
  <c r="AE19" i="49" s="1"/>
  <c r="E165" i="19"/>
  <c r="G165" s="1"/>
  <c r="BH24" i="1"/>
  <c r="L57" i="22"/>
  <c r="AW6" i="1"/>
  <c r="G63" i="43"/>
  <c r="AF34" i="44" s="1"/>
  <c r="AE31" i="49" s="1"/>
  <c r="E165" i="43"/>
  <c r="G165" s="1"/>
  <c r="G128" i="33"/>
  <c r="G62" i="13"/>
  <c r="AE16" i="44" s="1"/>
  <c r="AD13" i="49" s="1"/>
  <c r="E164" i="13"/>
  <c r="G164" s="1"/>
  <c r="G62" i="14"/>
  <c r="AE17" i="44" s="1"/>
  <c r="AD14" i="49" s="1"/>
  <c r="E164" i="14"/>
  <c r="G164" s="1"/>
  <c r="G63" i="18"/>
  <c r="AF21" i="44" s="1"/>
  <c r="AE18" i="49" s="1"/>
  <c r="E165" i="18"/>
  <c r="G165" s="1"/>
  <c r="G132"/>
  <c r="AA20" i="1" s="1"/>
  <c r="E167" i="19"/>
  <c r="G65"/>
  <c r="AH22" i="44" s="1"/>
  <c r="AG19" i="49" s="1"/>
  <c r="G167" i="19"/>
  <c r="G134"/>
  <c r="AC21" i="1" s="1"/>
  <c r="G138" i="19"/>
  <c r="AX22" i="44" s="1"/>
  <c r="G166" i="20"/>
  <c r="G170"/>
  <c r="BG23" i="1"/>
  <c r="L56" i="21"/>
  <c r="G63"/>
  <c r="AF24" i="44" s="1"/>
  <c r="AE21" i="49" s="1"/>
  <c r="E165" i="21"/>
  <c r="G165" s="1"/>
  <c r="L165" s="1"/>
  <c r="G62" i="22"/>
  <c r="AE25" i="44" s="1"/>
  <c r="AD22" i="49" s="1"/>
  <c r="E164" i="22"/>
  <c r="G164" s="1"/>
  <c r="L164" s="1"/>
  <c r="BH25" i="1"/>
  <c r="AS26" i="44"/>
  <c r="BL23" i="49" s="1"/>
  <c r="P136" i="12"/>
  <c r="AV15" i="44"/>
  <c r="G63" i="13"/>
  <c r="AF16" i="44" s="1"/>
  <c r="AE13" i="49" s="1"/>
  <c r="E165" i="13"/>
  <c r="G165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E171" i="19"/>
  <c r="Y16" i="44"/>
  <c r="X13" i="49" s="1"/>
  <c r="G69" i="12"/>
  <c r="P69" s="1"/>
  <c r="G171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8" i="11"/>
  <c r="BH4" i="1"/>
  <c r="AY4"/>
  <c r="BI4"/>
  <c r="BG4"/>
  <c r="AG5" i="44"/>
  <c r="AF2" i="49" s="1"/>
  <c r="AS5" i="44"/>
  <c r="BL2" i="49" s="1"/>
  <c r="AH5" i="44"/>
  <c r="AG2" i="49" s="1"/>
  <c r="J104" i="10"/>
  <c r="AJ5" i="44"/>
  <c r="AI2" i="49" s="1"/>
  <c r="J117" i="10"/>
  <c r="N30" i="31"/>
  <c r="AX4" i="1"/>
  <c r="AF5" i="44"/>
  <c r="AE2" i="49" s="1"/>
  <c r="AM4" i="1"/>
  <c r="Y5" i="44"/>
  <c r="X2" i="49" s="1"/>
  <c r="AZ4" i="1"/>
  <c r="AI5" i="44"/>
  <c r="AH2" i="49" s="1"/>
  <c r="AE5" i="44"/>
  <c r="AD2" i="49" s="1"/>
  <c r="AK5" i="44"/>
  <c r="AJ2" i="49" s="1"/>
  <c r="AA4" i="1"/>
  <c r="AX5" i="44"/>
  <c r="J120" i="10"/>
  <c r="J115"/>
  <c r="N5" i="44"/>
  <c r="M2" i="49" s="1"/>
  <c r="G69" i="43"/>
  <c r="AL34" i="44" s="1"/>
  <c r="AK31" i="49" s="1"/>
  <c r="E171" i="43"/>
  <c r="G171" s="1"/>
  <c r="G68"/>
  <c r="AK34" i="44" s="1"/>
  <c r="AJ31" i="49" s="1"/>
  <c r="E170" i="43"/>
  <c r="G170" s="1"/>
  <c r="G67"/>
  <c r="AJ34" i="44" s="1"/>
  <c r="AI31" i="49" s="1"/>
  <c r="E169" i="43"/>
  <c r="G169" s="1"/>
  <c r="G66"/>
  <c r="AI34" i="44" s="1"/>
  <c r="AH31" i="49" s="1"/>
  <c r="E168" i="43"/>
  <c r="G168" s="1"/>
  <c r="G65"/>
  <c r="AH34" i="44" s="1"/>
  <c r="AG31" i="49" s="1"/>
  <c r="E167" i="43"/>
  <c r="G167" s="1"/>
  <c r="G64"/>
  <c r="AG34" i="44" s="1"/>
  <c r="AF31" i="49" s="1"/>
  <c r="E166" i="43"/>
  <c r="G166" s="1"/>
  <c r="Y34" i="44"/>
  <c r="X31" i="49" s="1"/>
  <c r="Y33" i="44"/>
  <c r="X30" i="49" s="1"/>
  <c r="G62" i="29"/>
  <c r="AE32" i="44" s="1"/>
  <c r="AD29" i="49" s="1"/>
  <c r="E164" i="29"/>
  <c r="G164" s="1"/>
  <c r="G172" s="1"/>
  <c r="BD31" i="1"/>
  <c r="AW29"/>
  <c r="N42" i="27"/>
  <c r="G62" i="28"/>
  <c r="AE31" i="44" s="1"/>
  <c r="AD28" i="49" s="1"/>
  <c r="E164" i="28"/>
  <c r="G164" s="1"/>
  <c r="G66"/>
  <c r="AI31" i="44" s="1"/>
  <c r="AH28" i="49" s="1"/>
  <c r="E168" i="28"/>
  <c r="G168" s="1"/>
  <c r="G65"/>
  <c r="AH31" i="44" s="1"/>
  <c r="AG28" i="49" s="1"/>
  <c r="E167" i="28"/>
  <c r="G167" s="1"/>
  <c r="G69"/>
  <c r="AL31" i="44" s="1"/>
  <c r="AK28" i="49" s="1"/>
  <c r="E171" i="28"/>
  <c r="G171" s="1"/>
  <c r="G64"/>
  <c r="AG31" i="44" s="1"/>
  <c r="AF28" i="49" s="1"/>
  <c r="E166" i="28"/>
  <c r="G166" s="1"/>
  <c r="G68"/>
  <c r="AK31" i="44" s="1"/>
  <c r="AJ28" i="49" s="1"/>
  <c r="E170" i="28"/>
  <c r="G170" s="1"/>
  <c r="G63"/>
  <c r="AF31" i="44" s="1"/>
  <c r="AE28" i="49" s="1"/>
  <c r="E165" i="28"/>
  <c r="G165" s="1"/>
  <c r="G67"/>
  <c r="AJ31" i="44" s="1"/>
  <c r="AI28" i="49" s="1"/>
  <c r="E169" i="28"/>
  <c r="G169" s="1"/>
  <c r="G63" i="27"/>
  <c r="AF30" i="44" s="1"/>
  <c r="AE27" i="49" s="1"/>
  <c r="E165" i="27"/>
  <c r="G165" s="1"/>
  <c r="G67"/>
  <c r="AJ30" i="44" s="1"/>
  <c r="AI27" i="49" s="1"/>
  <c r="E169" i="27"/>
  <c r="G169" s="1"/>
  <c r="G62"/>
  <c r="AE30" i="44" s="1"/>
  <c r="AD27" i="49" s="1"/>
  <c r="E164" i="27"/>
  <c r="G164" s="1"/>
  <c r="G66"/>
  <c r="AI30" i="44" s="1"/>
  <c r="AH27" i="49" s="1"/>
  <c r="E168" i="27"/>
  <c r="G168" s="1"/>
  <c r="G65"/>
  <c r="AH30" i="44" s="1"/>
  <c r="AG27" i="49" s="1"/>
  <c r="E167" i="27"/>
  <c r="G167" s="1"/>
  <c r="G69"/>
  <c r="AL30" i="44" s="1"/>
  <c r="AK27" i="49" s="1"/>
  <c r="E171" i="27"/>
  <c r="G171" s="1"/>
  <c r="G64"/>
  <c r="AG30" i="44" s="1"/>
  <c r="AF27" i="49" s="1"/>
  <c r="E166" i="27"/>
  <c r="G166" s="1"/>
  <c r="G68"/>
  <c r="AK30" i="44" s="1"/>
  <c r="AJ27" i="49" s="1"/>
  <c r="E170" i="27"/>
  <c r="G170" s="1"/>
  <c r="G63" i="40"/>
  <c r="AF29" i="44" s="1"/>
  <c r="AE26" i="49" s="1"/>
  <c r="E165" i="40"/>
  <c r="G165" s="1"/>
  <c r="G67"/>
  <c r="AJ29" i="44" s="1"/>
  <c r="AI26" i="49" s="1"/>
  <c r="E169" i="40"/>
  <c r="G169" s="1"/>
  <c r="G62"/>
  <c r="AE29" i="44" s="1"/>
  <c r="AD26" i="49" s="1"/>
  <c r="E164" i="40"/>
  <c r="G164" s="1"/>
  <c r="G66"/>
  <c r="AI29" i="44" s="1"/>
  <c r="AH26" i="49" s="1"/>
  <c r="E168" i="40"/>
  <c r="G168" s="1"/>
  <c r="G65"/>
  <c r="AH29" i="44" s="1"/>
  <c r="AG26" i="49" s="1"/>
  <c r="E167" i="40"/>
  <c r="G167" s="1"/>
  <c r="G69"/>
  <c r="AL29" i="44" s="1"/>
  <c r="AK26" i="49" s="1"/>
  <c r="E171" i="40"/>
  <c r="G171" s="1"/>
  <c r="I28" i="1"/>
  <c r="E26" i="47" s="1"/>
  <c r="G64" i="40"/>
  <c r="AG29" i="44" s="1"/>
  <c r="AF26" i="49" s="1"/>
  <c r="E166" i="40"/>
  <c r="G166" s="1"/>
  <c r="G68"/>
  <c r="AK29" i="44" s="1"/>
  <c r="AJ26" i="49" s="1"/>
  <c r="E170" i="40"/>
  <c r="G170" s="1"/>
  <c r="G65" i="24"/>
  <c r="AH27" i="44" s="1"/>
  <c r="AG24" i="49" s="1"/>
  <c r="E167" i="24"/>
  <c r="G167" s="1"/>
  <c r="G69"/>
  <c r="AL27" i="44" s="1"/>
  <c r="AK24" i="49" s="1"/>
  <c r="E171" i="24"/>
  <c r="G171" s="1"/>
  <c r="G64"/>
  <c r="AG27" i="44" s="1"/>
  <c r="AF24" i="49" s="1"/>
  <c r="E166" i="24"/>
  <c r="G166" s="1"/>
  <c r="G68"/>
  <c r="AK27" i="44" s="1"/>
  <c r="AJ24" i="49" s="1"/>
  <c r="E170" i="24"/>
  <c r="G170" s="1"/>
  <c r="G63"/>
  <c r="AF27" i="44" s="1"/>
  <c r="AE24" i="49" s="1"/>
  <c r="E165" i="24"/>
  <c r="G165" s="1"/>
  <c r="G67"/>
  <c r="AJ27" i="44" s="1"/>
  <c r="AI24" i="49" s="1"/>
  <c r="E169" i="24"/>
  <c r="G169" s="1"/>
  <c r="G62"/>
  <c r="AE27" i="44" s="1"/>
  <c r="AD24" i="49" s="1"/>
  <c r="E164" i="24"/>
  <c r="G164" s="1"/>
  <c r="G66"/>
  <c r="AI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L25" i="44" s="1"/>
  <c r="AK22" i="49" s="1"/>
  <c r="E171" i="22"/>
  <c r="G171" s="1"/>
  <c r="L171" s="1"/>
  <c r="G68"/>
  <c r="AK25" i="44" s="1"/>
  <c r="AJ22" i="49" s="1"/>
  <c r="E170" i="22"/>
  <c r="G170" s="1"/>
  <c r="L170" s="1"/>
  <c r="G67"/>
  <c r="AJ25" i="44" s="1"/>
  <c r="AI22" i="49" s="1"/>
  <c r="E169" i="22"/>
  <c r="G169" s="1"/>
  <c r="L169" s="1"/>
  <c r="G66"/>
  <c r="AI25" i="44" s="1"/>
  <c r="AH22" i="49" s="1"/>
  <c r="E168" i="22"/>
  <c r="G168" s="1"/>
  <c r="L168" s="1"/>
  <c r="G65"/>
  <c r="AH25" i="44" s="1"/>
  <c r="AG22" i="49" s="1"/>
  <c r="E167" i="22"/>
  <c r="G167" s="1"/>
  <c r="L167" s="1"/>
  <c r="G64"/>
  <c r="AG25" i="44" s="1"/>
  <c r="AF22" i="49" s="1"/>
  <c r="E166" i="22"/>
  <c r="G166" s="1"/>
  <c r="L166" s="1"/>
  <c r="G69" i="21"/>
  <c r="AL24" i="44" s="1"/>
  <c r="AK21" i="49" s="1"/>
  <c r="E171" i="21"/>
  <c r="G171" s="1"/>
  <c r="L171" s="1"/>
  <c r="G68"/>
  <c r="AK24" i="44" s="1"/>
  <c r="AJ21" i="49" s="1"/>
  <c r="E170" i="21"/>
  <c r="G170" s="1"/>
  <c r="L170" s="1"/>
  <c r="G67"/>
  <c r="AJ24" i="44" s="1"/>
  <c r="AI21" i="49" s="1"/>
  <c r="E169" i="21"/>
  <c r="G169" s="1"/>
  <c r="L169" s="1"/>
  <c r="G66"/>
  <c r="AI24" i="44" s="1"/>
  <c r="AH21" i="49" s="1"/>
  <c r="E168" i="21"/>
  <c r="G168" s="1"/>
  <c r="L168" s="1"/>
  <c r="G65"/>
  <c r="AH24" i="44" s="1"/>
  <c r="AG21" i="49" s="1"/>
  <c r="E167" i="21"/>
  <c r="G167" s="1"/>
  <c r="L167" s="1"/>
  <c r="G64"/>
  <c r="AG24" i="44" s="1"/>
  <c r="AF21" i="49" s="1"/>
  <c r="E166" i="21"/>
  <c r="G166" s="1"/>
  <c r="L166" s="1"/>
  <c r="G63" i="20"/>
  <c r="AF23" i="44" s="1"/>
  <c r="AE20" i="49" s="1"/>
  <c r="G165" i="20"/>
  <c r="AE22" i="44"/>
  <c r="AD19" i="49" s="1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1" i="18"/>
  <c r="G171" s="1"/>
  <c r="G68"/>
  <c r="AK21" i="44" s="1"/>
  <c r="AJ18" i="49" s="1"/>
  <c r="E170" i="18"/>
  <c r="G170" s="1"/>
  <c r="G67"/>
  <c r="AJ21" i="44" s="1"/>
  <c r="AI18" i="49" s="1"/>
  <c r="E169" i="18"/>
  <c r="G169" s="1"/>
  <c r="G66"/>
  <c r="AI21" i="44" s="1"/>
  <c r="AH18" i="49" s="1"/>
  <c r="E168" i="18"/>
  <c r="G168" s="1"/>
  <c r="G65"/>
  <c r="AH21" i="44" s="1"/>
  <c r="AG18" i="49" s="1"/>
  <c r="E167" i="18"/>
  <c r="G167" s="1"/>
  <c r="G64"/>
  <c r="AG21" i="44" s="1"/>
  <c r="AF18" i="49" s="1"/>
  <c r="E166" i="18"/>
  <c r="G166" s="1"/>
  <c r="G69" i="15"/>
  <c r="I17" i="35" s="1"/>
  <c r="E171" i="15"/>
  <c r="G171" s="1"/>
  <c r="G68"/>
  <c r="AK18" i="44" s="1"/>
  <c r="AJ15" i="49" s="1"/>
  <c r="E170" i="15"/>
  <c r="G170" s="1"/>
  <c r="G67"/>
  <c r="AJ18" i="44" s="1"/>
  <c r="AI15" i="49" s="1"/>
  <c r="E169" i="15"/>
  <c r="G169" s="1"/>
  <c r="G66"/>
  <c r="AI18" i="44" s="1"/>
  <c r="AH15" i="49" s="1"/>
  <c r="E168" i="15"/>
  <c r="G168" s="1"/>
  <c r="G65"/>
  <c r="AH18" i="44" s="1"/>
  <c r="AG15" i="49" s="1"/>
  <c r="E167" i="15"/>
  <c r="G167" s="1"/>
  <c r="G64"/>
  <c r="AG18" i="44" s="1"/>
  <c r="AF15" i="49" s="1"/>
  <c r="E166" i="15"/>
  <c r="G166" s="1"/>
  <c r="G62"/>
  <c r="AE18" i="44" s="1"/>
  <c r="AD15" i="49" s="1"/>
  <c r="E164" i="15"/>
  <c r="G164" s="1"/>
  <c r="G69" i="14"/>
  <c r="I16" i="35" s="1"/>
  <c r="E171" i="14"/>
  <c r="G171" s="1"/>
  <c r="G68"/>
  <c r="AK17" i="44" s="1"/>
  <c r="AJ14" i="49" s="1"/>
  <c r="E170" i="14"/>
  <c r="G170" s="1"/>
  <c r="G67"/>
  <c r="AJ17" i="44" s="1"/>
  <c r="AI14" i="49" s="1"/>
  <c r="E169" i="14"/>
  <c r="G169" s="1"/>
  <c r="G66"/>
  <c r="AI17" i="44" s="1"/>
  <c r="AH14" i="49" s="1"/>
  <c r="E168" i="14"/>
  <c r="G168" s="1"/>
  <c r="G65"/>
  <c r="AH17" i="44" s="1"/>
  <c r="AG14" i="49" s="1"/>
  <c r="E167" i="14"/>
  <c r="G167" s="1"/>
  <c r="G64"/>
  <c r="AG17" i="44" s="1"/>
  <c r="AF14" i="49" s="1"/>
  <c r="E166" i="14"/>
  <c r="G166" s="1"/>
  <c r="G69" i="13"/>
  <c r="E171"/>
  <c r="G171" s="1"/>
  <c r="G68"/>
  <c r="AK16" i="44" s="1"/>
  <c r="AJ13" i="49" s="1"/>
  <c r="E170" i="13"/>
  <c r="G170" s="1"/>
  <c r="G67"/>
  <c r="E169"/>
  <c r="G169" s="1"/>
  <c r="G66"/>
  <c r="AI16" i="44" s="1"/>
  <c r="AH13" i="49" s="1"/>
  <c r="E168" i="13"/>
  <c r="G168" s="1"/>
  <c r="G65"/>
  <c r="AH16" i="44" s="1"/>
  <c r="AG13" i="49" s="1"/>
  <c r="E167" i="13"/>
  <c r="G167" s="1"/>
  <c r="G64"/>
  <c r="AG16" i="44" s="1"/>
  <c r="AF13" i="49" s="1"/>
  <c r="E166" i="13"/>
  <c r="G166" s="1"/>
  <c r="F119" i="11"/>
  <c r="M9" i="45"/>
  <c r="F196" i="11"/>
  <c r="M7" i="45"/>
  <c r="F194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0" i="10"/>
  <c r="J105"/>
  <c r="V33" i="44"/>
  <c r="U30" i="49" s="1"/>
  <c r="R33" i="44"/>
  <c r="Q30" i="49" s="1"/>
  <c r="J107" i="10"/>
  <c r="AW32" i="1"/>
  <c r="BG32"/>
  <c r="AJ33" i="44"/>
  <c r="AI30" i="49" s="1"/>
  <c r="AF7" i="45"/>
  <c r="AF11"/>
  <c r="AQ30" i="49" s="1"/>
  <c r="AS33" i="44"/>
  <c r="BL30" i="49" s="1"/>
  <c r="AB32" i="1"/>
  <c r="AW33" i="44"/>
  <c r="J111" i="10"/>
  <c r="J106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6" i="10"/>
  <c r="BH36" i="1"/>
  <c r="AH33" i="44"/>
  <c r="AG30" i="49" s="1"/>
  <c r="AL33" i="44"/>
  <c r="AK30" i="49" s="1"/>
  <c r="AQ33" i="44"/>
  <c r="BJ30" i="49" s="1"/>
  <c r="AL32" i="1"/>
  <c r="J109" i="10"/>
  <c r="Z33" i="44"/>
  <c r="Y30" i="49" s="1"/>
  <c r="U33" i="44"/>
  <c r="T30" i="49" s="1"/>
  <c r="Q33" i="44"/>
  <c r="P30" i="49" s="1"/>
  <c r="J112" i="10"/>
  <c r="P15" i="12"/>
  <c r="P44"/>
  <c r="V16" i="44"/>
  <c r="U13" i="49" s="1"/>
  <c r="R16" i="44"/>
  <c r="Q13" i="49" s="1"/>
  <c r="AQ16" i="44"/>
  <c r="BJ13" i="49" s="1"/>
  <c r="AU24" i="1"/>
  <c r="BA15"/>
  <c r="BD15"/>
  <c r="BH15"/>
  <c r="O9" i="45"/>
  <c r="P41" i="12"/>
  <c r="P37"/>
  <c r="W16" i="44"/>
  <c r="V13" i="49" s="1"/>
  <c r="S16" i="44"/>
  <c r="R13" i="49" s="1"/>
  <c r="O16" i="44"/>
  <c r="N13" i="49" s="1"/>
  <c r="AR16" i="44"/>
  <c r="BK13" i="49" s="1"/>
  <c r="BE15" i="1"/>
  <c r="P40" i="12"/>
  <c r="P19"/>
  <c r="G118" i="13"/>
  <c r="O7" i="45"/>
  <c r="O13"/>
  <c r="BC13" i="49" s="1"/>
  <c r="P38" i="12"/>
  <c r="X16" i="44"/>
  <c r="W13" i="49" s="1"/>
  <c r="T16" i="44"/>
  <c r="S13" i="49" s="1"/>
  <c r="P16" i="44"/>
  <c r="O13" i="49" s="1"/>
  <c r="AS16" i="44"/>
  <c r="BL13" i="49" s="1"/>
  <c r="F119" i="9"/>
  <c r="P18" i="12"/>
  <c r="P36"/>
  <c r="AW15" i="1"/>
  <c r="AP16" i="44"/>
  <c r="BI13" i="49" s="1"/>
  <c r="G20" i="7"/>
  <c r="O7" i="9"/>
  <c r="P35" i="12"/>
  <c r="E28" i="20"/>
  <c r="G28" s="1"/>
  <c r="AA15" i="1"/>
  <c r="P43" i="12"/>
  <c r="P39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P73" i="12"/>
  <c r="W15" i="44"/>
  <c r="V12" i="49" s="1"/>
  <c r="P81" i="12"/>
  <c r="AM14" i="1"/>
  <c r="P140" i="12"/>
  <c r="N13" i="45"/>
  <c r="BC12" i="49" s="1"/>
  <c r="P98" i="12"/>
  <c r="AP15" i="44"/>
  <c r="BI12" i="49" s="1"/>
  <c r="P124" i="12"/>
  <c r="R15" i="44"/>
  <c r="Q12" i="49" s="1"/>
  <c r="P76" i="12"/>
  <c r="V15" i="44"/>
  <c r="U12" i="49" s="1"/>
  <c r="P80" i="12"/>
  <c r="AB14" i="1"/>
  <c r="P133" i="12"/>
  <c r="P99"/>
  <c r="N7" i="45"/>
  <c r="P92" i="12"/>
  <c r="AS15" i="44"/>
  <c r="BL12" i="49" s="1"/>
  <c r="P127" i="12"/>
  <c r="Q15" i="44"/>
  <c r="P12" i="49" s="1"/>
  <c r="P75" i="12"/>
  <c r="U15" i="44"/>
  <c r="T12" i="49" s="1"/>
  <c r="P79" i="12"/>
  <c r="Z15" i="44"/>
  <c r="Y12" i="49" s="1"/>
  <c r="P83" i="12"/>
  <c r="AW14" i="1"/>
  <c r="P42" i="12"/>
  <c r="AC14" i="1"/>
  <c r="P134" i="12"/>
  <c r="AQ15" i="44"/>
  <c r="BJ12" i="49" s="1"/>
  <c r="P125" i="12"/>
  <c r="S15" i="44"/>
  <c r="R12" i="49" s="1"/>
  <c r="P77" i="12"/>
  <c r="P100"/>
  <c r="AR15" i="44"/>
  <c r="BK12" i="49" s="1"/>
  <c r="P126" i="12"/>
  <c r="AA14" i="1"/>
  <c r="P132" i="12"/>
  <c r="P15" i="44"/>
  <c r="O12" i="49" s="1"/>
  <c r="P74" i="12"/>
  <c r="T15" i="44"/>
  <c r="S12" i="49" s="1"/>
  <c r="P78" i="12"/>
  <c r="X15" i="44"/>
  <c r="W12" i="49" s="1"/>
  <c r="P82" i="12"/>
  <c r="AL14" i="1"/>
  <c r="P139" i="12"/>
  <c r="AD14" i="1"/>
  <c r="P135" i="12"/>
  <c r="F119" i="33"/>
  <c r="P10" i="12"/>
  <c r="G13"/>
  <c r="I13" s="1"/>
  <c r="P7"/>
  <c r="N9" i="45"/>
  <c r="F119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U24" s="1"/>
  <c r="BD19" i="49" s="1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P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G28" i="40"/>
  <c r="AH31" i="1"/>
  <c r="G118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P24" s="1"/>
  <c r="BD14" i="49" s="1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O24" s="1"/>
  <c r="BD13" i="49" s="1"/>
  <c r="E31" i="16"/>
  <c r="G31" s="1"/>
  <c r="R5" i="45"/>
  <c r="E31" i="17"/>
  <c r="G31" s="1"/>
  <c r="S5" i="45"/>
  <c r="E31" i="20"/>
  <c r="G31" s="1"/>
  <c r="V5" i="45"/>
  <c r="E31" i="40"/>
  <c r="G31" s="1"/>
  <c r="AB5" i="45"/>
  <c r="AB24" s="1"/>
  <c r="BD26" i="49" s="1"/>
  <c r="E31" i="29"/>
  <c r="G31" s="1"/>
  <c r="AE5" i="45"/>
  <c r="E30" i="33"/>
  <c r="G30" s="1"/>
  <c r="H30" s="1"/>
  <c r="H6" i="45"/>
  <c r="AJ8" i="1"/>
  <c r="AX9" i="44"/>
  <c r="E30" i="7"/>
  <c r="G30" s="1"/>
  <c r="I6" i="45"/>
  <c r="I24" s="1"/>
  <c r="BD7" i="49" s="1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8" i="43"/>
  <c r="X19" i="1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N24" s="1"/>
  <c r="BD12" i="49" s="1"/>
  <c r="E31" i="15"/>
  <c r="G31" s="1"/>
  <c r="Q5" i="45"/>
  <c r="Q24" s="1"/>
  <c r="BD15" i="49" s="1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P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0" i="43"/>
  <c r="G119" s="1"/>
  <c r="BG6" i="1"/>
  <c r="BG7"/>
  <c r="AJ7"/>
  <c r="AX8" i="44"/>
  <c r="AY8" s="1"/>
  <c r="X7" i="1"/>
  <c r="G10" i="45"/>
  <c r="G6"/>
  <c r="G24" s="1"/>
  <c r="BD5" i="49" s="1"/>
  <c r="Y7" i="1"/>
  <c r="G11" i="45"/>
  <c r="AQ5" i="49" s="1"/>
  <c r="F6" i="45"/>
  <c r="F24" s="1"/>
  <c r="BD4" i="49" s="1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4" i="30"/>
  <c r="D13" i="45"/>
  <c r="AH5"/>
  <c r="AY35" i="44"/>
  <c r="E31" i="43"/>
  <c r="G31" s="1"/>
  <c r="AG5" i="45"/>
  <c r="AH6"/>
  <c r="AH24" s="1"/>
  <c r="BD32" i="49" s="1"/>
  <c r="AH25" i="4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AG24" s="1"/>
  <c r="BD31" i="49" s="1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AD24" s="1"/>
  <c r="BD28" i="49" s="1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Y24" s="1"/>
  <c r="BD23" i="49" s="1"/>
  <c r="E31" i="24"/>
  <c r="G31" s="1"/>
  <c r="Z5" i="45"/>
  <c r="Z24" s="1"/>
  <c r="BD24" i="49" s="1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E24" s="1"/>
  <c r="BD3" i="49" s="1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M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H119"/>
  <c r="J119" s="1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O34" i="44"/>
  <c r="BH31" i="49" s="1"/>
  <c r="AA9" i="1"/>
  <c r="AE9" s="1"/>
  <c r="I133" i="7"/>
  <c r="AI10" i="1"/>
  <c r="I136" i="8"/>
  <c r="I133"/>
  <c r="AM10" i="1"/>
  <c r="I139" i="8"/>
  <c r="I4" i="35"/>
  <c r="AL5" i="44"/>
  <c r="AK2" i="49" s="1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N35" i="44"/>
  <c r="BG32" i="49" s="1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Q5" i="44"/>
  <c r="BJ2" i="49" s="1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U2" i="49" s="1"/>
  <c r="O5" i="44"/>
  <c r="N2" i="49" s="1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P35" i="44"/>
  <c r="O32" i="49" s="1"/>
  <c r="Q35" i="44"/>
  <c r="P32" i="49" s="1"/>
  <c r="U5" i="44"/>
  <c r="T2" i="49" s="1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8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V2" i="49" s="1"/>
  <c r="Q5" i="44"/>
  <c r="P2" i="49" s="1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G31" i="47"/>
  <c r="AN34" i="44"/>
  <c r="BG31" i="49" s="1"/>
  <c r="R5" i="44"/>
  <c r="Q2" i="49" s="1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W2" i="49" s="1"/>
  <c r="S5" i="44"/>
  <c r="R2" i="49" s="1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M35" i="44"/>
  <c r="AL32" i="49" s="1"/>
  <c r="AO35" i="44"/>
  <c r="BH32" i="49" s="1"/>
  <c r="P5" i="44"/>
  <c r="O2" i="49" s="1"/>
  <c r="AR5" i="44"/>
  <c r="BK2" i="49" s="1"/>
  <c r="AP4" i="1"/>
  <c r="AO5" i="44"/>
  <c r="BH2" i="49" s="1"/>
  <c r="AN5" i="44"/>
  <c r="BG2" i="49" s="1"/>
  <c r="AN13" i="44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Y2" i="49" s="1"/>
  <c r="T5" i="44"/>
  <c r="S2" i="49" s="1"/>
  <c r="P8" i="44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BI2" i="49" s="1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8" i="11"/>
  <c r="M4" i="1"/>
  <c r="G2" i="47" s="1"/>
  <c r="G128" i="12"/>
  <c r="P128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H23" i="44" s="1"/>
  <c r="G20" i="49" s="1"/>
  <c r="W13" i="1"/>
  <c r="G8" i="35"/>
  <c r="Q36" i="1"/>
  <c r="I27"/>
  <c r="E25" i="47" s="1"/>
  <c r="G148" i="21"/>
  <c r="G149" s="1"/>
  <c r="G20" i="19"/>
  <c r="G20" i="24"/>
  <c r="E27" i="44" s="1"/>
  <c r="V30" i="1"/>
  <c r="V21"/>
  <c r="V9"/>
  <c r="V8"/>
  <c r="G94" i="11"/>
  <c r="G148" i="16"/>
  <c r="G149" s="1"/>
  <c r="G94" i="28"/>
  <c r="G148" i="43"/>
  <c r="AT4" i="1"/>
  <c r="G146" i="29"/>
  <c r="G148" i="28"/>
  <c r="G149" s="1"/>
  <c r="G20" i="40"/>
  <c r="E29" i="44" s="1"/>
  <c r="AJ27" i="1"/>
  <c r="AJ28"/>
  <c r="G152" i="43"/>
  <c r="O27" i="1"/>
  <c r="G20" i="22"/>
  <c r="G20" i="21"/>
  <c r="E24" i="44" s="1"/>
  <c r="BB36" i="1"/>
  <c r="BF36"/>
  <c r="G94" i="27"/>
  <c r="G152" i="24"/>
  <c r="G153" s="1"/>
  <c r="G150" i="40"/>
  <c r="G151" s="1"/>
  <c r="G20" i="13"/>
  <c r="E16" i="44" s="1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E30" i="44" s="1"/>
  <c r="G13" i="21"/>
  <c r="I13" s="1"/>
  <c r="G94" i="23"/>
  <c r="G94" i="40"/>
  <c r="G148" i="17"/>
  <c r="G149" s="1"/>
  <c r="G20" i="42"/>
  <c r="E30" s="1"/>
  <c r="G30" s="1"/>
  <c r="G20" i="20"/>
  <c r="E23" i="44" s="1"/>
  <c r="G20" i="43"/>
  <c r="G152" i="8"/>
  <c r="G153" s="1"/>
  <c r="I138" i="28"/>
  <c r="I29" i="1"/>
  <c r="E27" i="47" s="1"/>
  <c r="G20" i="23"/>
  <c r="E26" i="44" s="1"/>
  <c r="I133" i="23"/>
  <c r="W16" i="1"/>
  <c r="G20" i="33"/>
  <c r="E9" i="44" s="1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AT27" i="1"/>
  <c r="BG17"/>
  <c r="G144" i="15"/>
  <c r="G145" s="1"/>
  <c r="AZ26" i="1"/>
  <c r="G150" i="24"/>
  <c r="G151" s="1"/>
  <c r="G20" i="11"/>
  <c r="E14" i="44" s="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59" i="28"/>
  <c r="I136" i="27"/>
  <c r="V26" i="1"/>
  <c r="G20" i="15"/>
  <c r="G20" i="18"/>
  <c r="E21" i="44" s="1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E20" i="44" s="1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G94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AZ13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G150" i="15"/>
  <c r="G151" s="1"/>
  <c r="I133"/>
  <c r="I138" i="20"/>
  <c r="V24" i="1"/>
  <c r="V15"/>
  <c r="V22"/>
  <c r="I133" i="24"/>
  <c r="G152" i="7"/>
  <c r="G153" s="1"/>
  <c r="G47" i="16"/>
  <c r="AE19" i="1"/>
  <c r="G101" i="22"/>
  <c r="G109" i="42"/>
  <c r="G110" s="1"/>
  <c r="G142" i="14"/>
  <c r="G143" s="1"/>
  <c r="G94"/>
  <c r="G13" i="15"/>
  <c r="I13" s="1"/>
  <c r="G20" i="16"/>
  <c r="G85" i="20"/>
  <c r="G148" i="23"/>
  <c r="N36" i="1"/>
  <c r="G85" i="14"/>
  <c r="I138" i="13"/>
  <c r="G144" i="17"/>
  <c r="G145" s="1"/>
  <c r="G47" i="27"/>
  <c r="G13" i="11"/>
  <c r="AD36" i="1"/>
  <c r="I138" i="15"/>
  <c r="G20" i="28"/>
  <c r="E31" i="44" s="1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P101" s="1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85" i="29"/>
  <c r="G85" i="30"/>
  <c r="G20"/>
  <c r="E33" i="44" s="1"/>
  <c r="G20" i="29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BQ33" i="1" l="1"/>
  <c r="E34" i="44"/>
  <c r="P33" i="1"/>
  <c r="G13" i="25"/>
  <c r="K24" i="45"/>
  <c r="BD9" i="49" s="1"/>
  <c r="R24" i="45"/>
  <c r="BD16" i="49" s="1"/>
  <c r="AL36" i="1"/>
  <c r="AG33"/>
  <c r="A7" i="46"/>
  <c r="B9" i="44"/>
  <c r="G94" i="30"/>
  <c r="S24" i="45"/>
  <c r="P31" i="1"/>
  <c r="I29" i="47" s="1"/>
  <c r="E32" i="44"/>
  <c r="P16" i="1"/>
  <c r="I14" i="47" s="1"/>
  <c r="E17" i="44"/>
  <c r="P21" i="1"/>
  <c r="I19" i="47" s="1"/>
  <c r="E22" i="44"/>
  <c r="M15" i="1"/>
  <c r="G13" i="47" s="1"/>
  <c r="D16" i="44"/>
  <c r="G13" i="31"/>
  <c r="P18" i="1"/>
  <c r="I16" i="47" s="1"/>
  <c r="E19" i="44"/>
  <c r="P10" i="1"/>
  <c r="I8" i="47" s="1"/>
  <c r="M8" s="1"/>
  <c r="E11" i="44"/>
  <c r="M24" i="45"/>
  <c r="BD11" i="49" s="1"/>
  <c r="V24" i="45"/>
  <c r="BD20" i="49" s="1"/>
  <c r="G32" i="40"/>
  <c r="P20" i="12"/>
  <c r="E15" i="44"/>
  <c r="P11" i="1"/>
  <c r="I9" i="47" s="1"/>
  <c r="E12" i="44"/>
  <c r="P17" i="1"/>
  <c r="I15" i="47" s="1"/>
  <c r="M15" s="1"/>
  <c r="E18" i="44"/>
  <c r="P24" i="1"/>
  <c r="I22" i="47" s="1"/>
  <c r="E25" i="44"/>
  <c r="P9" i="1"/>
  <c r="I7" i="47" s="1"/>
  <c r="E10" i="44"/>
  <c r="T24" i="45"/>
  <c r="BD18" i="49" s="1"/>
  <c r="X24" i="45"/>
  <c r="BD22" i="49" s="1"/>
  <c r="J24" i="45"/>
  <c r="BD8" i="49" s="1"/>
  <c r="H24" i="45"/>
  <c r="BD6" i="49" s="1"/>
  <c r="D24" i="45"/>
  <c r="BD2" i="49" s="1"/>
  <c r="J112" i="30"/>
  <c r="H112" i="43"/>
  <c r="J107" i="30"/>
  <c r="H107" i="43"/>
  <c r="J107" s="1"/>
  <c r="J104" i="30"/>
  <c r="H104" i="43"/>
  <c r="J116" i="30"/>
  <c r="H116" i="43"/>
  <c r="J116" s="1"/>
  <c r="J105" i="30"/>
  <c r="H105" i="43"/>
  <c r="J117" i="30"/>
  <c r="H117" i="43"/>
  <c r="H117" i="31" s="1"/>
  <c r="N117" s="1"/>
  <c r="BC2" i="49"/>
  <c r="BC17"/>
  <c r="J111" i="30"/>
  <c r="H111" i="43"/>
  <c r="H111" i="31" s="1"/>
  <c r="N111" s="1"/>
  <c r="J109" i="30"/>
  <c r="H109" i="43"/>
  <c r="J106" i="30"/>
  <c r="H106" i="43"/>
  <c r="J106" s="1"/>
  <c r="J120" i="30"/>
  <c r="H120" i="43"/>
  <c r="H120" i="31" s="1"/>
  <c r="N120" s="1"/>
  <c r="J115" i="30"/>
  <c r="H115" i="43"/>
  <c r="H115" i="31" s="1"/>
  <c r="N115" s="1"/>
  <c r="J110" i="30"/>
  <c r="H110" i="43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3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8" i="13"/>
  <c r="AO29" i="1"/>
  <c r="F22" i="44"/>
  <c r="E19" i="49" s="1"/>
  <c r="J23" i="44"/>
  <c r="I20" i="49" s="1"/>
  <c r="AL21" i="1"/>
  <c r="AU22" i="44"/>
  <c r="AL20" i="1"/>
  <c r="AO20" s="1"/>
  <c r="AU21" i="44"/>
  <c r="AO10" i="1"/>
  <c r="H36" i="44"/>
  <c r="AO13" i="1"/>
  <c r="J7" i="44"/>
  <c r="I4" i="49" s="1"/>
  <c r="K21" i="44"/>
  <c r="J18" i="49" s="1"/>
  <c r="J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15" i="1"/>
  <c r="S16"/>
  <c r="O4"/>
  <c r="L9"/>
  <c r="O14"/>
  <c r="O24"/>
  <c r="U30" i="45"/>
  <c r="U31" s="1"/>
  <c r="O7" i="1"/>
  <c r="O32"/>
  <c r="O28"/>
  <c r="L11"/>
  <c r="O6"/>
  <c r="S11"/>
  <c r="O10"/>
  <c r="O31"/>
  <c r="R24"/>
  <c r="O29"/>
  <c r="O23"/>
  <c r="N30" i="45"/>
  <c r="N31" s="1"/>
  <c r="O16" i="1"/>
  <c r="O11"/>
  <c r="O26"/>
  <c r="I25" i="45"/>
  <c r="BE7" i="49" s="1"/>
  <c r="O9" i="1"/>
  <c r="O18"/>
  <c r="M16" i="47"/>
  <c r="O30" i="1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H106" i="31"/>
  <c r="N106" s="1"/>
  <c r="J115" i="43"/>
  <c r="J110"/>
  <c r="H110" i="31"/>
  <c r="N110" s="1"/>
  <c r="J104" i="43"/>
  <c r="H104" i="31"/>
  <c r="N104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J117" i="43"/>
  <c r="H107" i="31"/>
  <c r="N107" s="1"/>
  <c r="P25" i="45"/>
  <c r="BE14" i="49" s="1"/>
  <c r="P30" i="45"/>
  <c r="P31" s="1"/>
  <c r="AE26" i="44"/>
  <c r="AD23" i="49" s="1"/>
  <c r="J30" i="45"/>
  <c r="J31" s="1"/>
  <c r="K30"/>
  <c r="K31" s="1"/>
  <c r="T25"/>
  <c r="BE18" i="49" s="1"/>
  <c r="J112" i="43"/>
  <c r="H112" i="31"/>
  <c r="N112" s="1"/>
  <c r="J105" i="43"/>
  <c r="H105" i="31"/>
  <c r="N105" s="1"/>
  <c r="J109" i="43"/>
  <c r="H109" i="31"/>
  <c r="N10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G31" s="1"/>
  <c r="AE30"/>
  <c r="AE31" s="1"/>
  <c r="AF30"/>
  <c r="AD30"/>
  <c r="AD31" s="1"/>
  <c r="AC30"/>
  <c r="AC31" s="1"/>
  <c r="AB30"/>
  <c r="AB31" s="1"/>
  <c r="G172" i="24"/>
  <c r="AO26" i="1"/>
  <c r="Y30" i="45"/>
  <c r="Y31" s="1"/>
  <c r="AE25" i="1"/>
  <c r="X30" i="45"/>
  <c r="X31" s="1"/>
  <c r="H119" i="23"/>
  <c r="J119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49" i="23"/>
  <c r="G145"/>
  <c r="G147"/>
  <c r="G153"/>
  <c r="G151"/>
  <c r="G143"/>
  <c r="P25" i="1"/>
  <c r="H118" i="23"/>
  <c r="J118" s="1"/>
  <c r="I13"/>
  <c r="BJ24" i="1"/>
  <c r="AT5" i="44"/>
  <c r="BM2" i="49" s="1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2" i="43"/>
  <c r="BJ29" i="1"/>
  <c r="G172" i="28"/>
  <c r="G172" i="27"/>
  <c r="AY32" i="44"/>
  <c r="G172" i="40"/>
  <c r="G172" i="23"/>
  <c r="G172" i="22"/>
  <c r="U25" i="45"/>
  <c r="BE19" i="49" s="1"/>
  <c r="Z22" i="1"/>
  <c r="BJ21"/>
  <c r="G172" i="20"/>
  <c r="AY22" i="44"/>
  <c r="G172" i="19"/>
  <c r="Z20" i="1"/>
  <c r="G172" i="18"/>
  <c r="AK17" i="1"/>
  <c r="Z18"/>
  <c r="AL18" i="44"/>
  <c r="AK15" i="49" s="1"/>
  <c r="G172" i="15"/>
  <c r="O25" i="45"/>
  <c r="BE13" i="49" s="1"/>
  <c r="H16" i="35"/>
  <c r="K16" s="1"/>
  <c r="G172" i="13"/>
  <c r="G172" i="14"/>
  <c r="AE15" i="1"/>
  <c r="I15" i="35"/>
  <c r="H15"/>
  <c r="AJ16" i="44"/>
  <c r="AI13" i="49" s="1"/>
  <c r="H118" i="13"/>
  <c r="J118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49" i="30"/>
  <c r="H119"/>
  <c r="G32" i="7"/>
  <c r="G101" i="43"/>
  <c r="Z6" i="1"/>
  <c r="BJ18"/>
  <c r="Y25" i="45"/>
  <c r="BE23" i="49" s="1"/>
  <c r="G32" i="29"/>
  <c r="G143" i="30"/>
  <c r="H118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N6" i="44"/>
  <c r="BG3" i="49" s="1"/>
  <c r="AY5" i="44"/>
  <c r="G32" i="21"/>
  <c r="AK18" i="1"/>
  <c r="Z17"/>
  <c r="AY18" i="44"/>
  <c r="AY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I15" i="44"/>
  <c r="AH12" i="49" s="1"/>
  <c r="P66" i="12"/>
  <c r="AK15" i="44"/>
  <c r="AJ12" i="49" s="1"/>
  <c r="P68" i="12"/>
  <c r="AJ15" i="44"/>
  <c r="AI12" i="49" s="1"/>
  <c r="P67" i="12"/>
  <c r="G145"/>
  <c r="P145" s="1"/>
  <c r="P144"/>
  <c r="G147"/>
  <c r="P147" s="1"/>
  <c r="P146"/>
  <c r="AH15" i="44"/>
  <c r="AG12" i="49" s="1"/>
  <c r="P65" i="12"/>
  <c r="AG15" i="44"/>
  <c r="AF12" i="49" s="1"/>
  <c r="P64" i="12"/>
  <c r="P63"/>
  <c r="G153"/>
  <c r="P153" s="1"/>
  <c r="P152"/>
  <c r="P62"/>
  <c r="G60" i="11"/>
  <c r="I60" s="1"/>
  <c r="Z25" i="45"/>
  <c r="BE24" i="49" s="1"/>
  <c r="G32" i="33"/>
  <c r="G32" i="14"/>
  <c r="P13" i="12"/>
  <c r="AK15" i="1"/>
  <c r="AY16" i="44"/>
  <c r="N25" i="45"/>
  <c r="BE12" i="49" s="1"/>
  <c r="AK14" i="1"/>
  <c r="G32" i="12"/>
  <c r="P32" s="1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8" i="18"/>
  <c r="J128" s="1"/>
  <c r="J128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T34" i="44"/>
  <c r="BM31" i="49" s="1"/>
  <c r="AF21" i="1"/>
  <c r="BG20"/>
  <c r="G145" i="13"/>
  <c r="G147"/>
  <c r="G151"/>
  <c r="G143"/>
  <c r="I13"/>
  <c r="G149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5" i="19"/>
  <c r="BP21" i="1"/>
  <c r="G149" i="19"/>
  <c r="BP23" i="1"/>
  <c r="BQ23" s="1"/>
  <c r="AK6"/>
  <c r="AF19"/>
  <c r="AG19" s="1"/>
  <c r="AF15"/>
  <c r="AT18" i="44"/>
  <c r="BM15" i="49" s="1"/>
  <c r="AT20" i="44"/>
  <c r="BM17" i="49" s="1"/>
  <c r="G151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AT35" i="44"/>
  <c r="BM32" i="49" s="1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2" i="19"/>
  <c r="G153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I13" i="29"/>
  <c r="Z13" i="1"/>
  <c r="P28"/>
  <c r="I26" i="47" s="1"/>
  <c r="BP7" i="1"/>
  <c r="P20"/>
  <c r="I18" i="47" s="1"/>
  <c r="P15" i="1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S24" i="1"/>
  <c r="P23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R33" l="1"/>
  <c r="BO33" s="1"/>
  <c r="S33"/>
  <c r="R10"/>
  <c r="S21"/>
  <c r="AF31" i="45"/>
  <c r="I13" i="25"/>
  <c r="I60"/>
  <c r="S17" i="1"/>
  <c r="I13" i="31"/>
  <c r="I60"/>
  <c r="S10" i="1"/>
  <c r="BN8"/>
  <c r="J120" i="43"/>
  <c r="R17" i="1"/>
  <c r="R21"/>
  <c r="L8"/>
  <c r="AT16" i="44"/>
  <c r="BM13" i="49" s="1"/>
  <c r="D31" i="45"/>
  <c r="H116" i="31"/>
  <c r="J116" s="1"/>
  <c r="J111" i="43"/>
  <c r="BD17" i="49"/>
  <c r="J118" i="30"/>
  <c r="H118" i="43"/>
  <c r="J119" i="30"/>
  <c r="H119" i="43"/>
  <c r="BF17" i="49"/>
  <c r="BF2"/>
  <c r="BE17"/>
  <c r="BE2"/>
  <c r="M31" i="45"/>
  <c r="M35" i="1"/>
  <c r="G3" i="47"/>
  <c r="I25"/>
  <c r="M25" s="1"/>
  <c r="R25" i="1"/>
  <c r="I23" i="47"/>
  <c r="K9" i="35"/>
  <c r="I31" i="47"/>
  <c r="BL20" i="1"/>
  <c r="K13" i="35"/>
  <c r="BA34" i="44"/>
  <c r="BA35"/>
  <c r="BA33"/>
  <c r="J111" i="31"/>
  <c r="AG23" i="1"/>
  <c r="G36" i="44"/>
  <c r="AL35" i="1"/>
  <c r="H119" i="21"/>
  <c r="H119" i="22" s="1"/>
  <c r="J119" s="1"/>
  <c r="I36" i="44"/>
  <c r="J118" i="21"/>
  <c r="H118" i="22"/>
  <c r="J118" s="1"/>
  <c r="BA24" i="44"/>
  <c r="BA23"/>
  <c r="BA20"/>
  <c r="J118" i="20"/>
  <c r="J36" i="44"/>
  <c r="K36"/>
  <c r="BA21"/>
  <c r="BA26"/>
  <c r="AT6"/>
  <c r="BM3" i="49" s="1"/>
  <c r="BA18" i="44"/>
  <c r="BA22"/>
  <c r="BA29"/>
  <c r="BA30"/>
  <c r="BA31"/>
  <c r="BA27"/>
  <c r="BA19"/>
  <c r="BA25"/>
  <c r="BA17"/>
  <c r="BA32"/>
  <c r="F36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J109" i="31"/>
  <c r="J115"/>
  <c r="H118" i="33"/>
  <c r="BO24" i="1"/>
  <c r="M22" i="47"/>
  <c r="O36" i="1"/>
  <c r="AG14"/>
  <c r="BQ14"/>
  <c r="J106" i="31"/>
  <c r="J105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M23" i="47"/>
  <c r="S14" i="1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N116" i="31" l="1"/>
  <c r="H118"/>
  <c r="J118" i="43"/>
  <c r="H119" i="31"/>
  <c r="J119" i="43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8" i="31" l="1"/>
  <c r="N118"/>
  <c r="J119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J30" i="33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H31" i="31" l="1"/>
  <c r="J31" s="1"/>
  <c r="J31" i="4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l="1"/>
  <c r="B34" i="44"/>
  <c r="G149" i="43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5" i="1"/>
  <c r="BN35"/>
  <c r="BM35"/>
  <c r="BL35"/>
  <c r="J145" i="31"/>
  <c r="J145" i="43"/>
</calcChain>
</file>

<file path=xl/sharedStrings.xml><?xml version="1.0" encoding="utf-8"?>
<sst xmlns="http://schemas.openxmlformats.org/spreadsheetml/2006/main" count="10272" uniqueCount="364">
  <si>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</si>
  <si>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</si>
  <si>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</si>
  <si>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</si>
  <si>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</si>
  <si>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</si>
  <si>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</si>
  <si>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</si>
  <si>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</si>
  <si>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</si>
  <si>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</si>
  <si>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</si>
  <si>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</si>
  <si>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</si>
  <si>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</si>
  <si>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</si>
  <si>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</si>
  <si>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</si>
  <si>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</si>
  <si>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</si>
  <si>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</si>
  <si>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</si>
  <si>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</si>
  <si>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</si>
  <si>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</si>
  <si>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</si>
  <si>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</si>
  <si>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</si>
  <si>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</si>
  <si>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</si>
  <si>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</si>
  <si>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</si>
  <si>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</si>
  <si>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</si>
  <si>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</si>
  <si>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</si>
  <si>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</si>
  <si>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</si>
  <si>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</si>
  <si>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</si>
  <si>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</si>
  <si>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</si>
  <si>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</si>
  <si>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</si>
  <si>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</si>
  <si>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</si>
  <si>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</si>
  <si>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</si>
  <si>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</si>
  <si>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</si>
  <si>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</si>
  <si>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</si>
  <si>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</si>
  <si>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</si>
  <si>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</si>
  <si>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</si>
  <si>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</si>
  <si>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</si>
  <si>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</si>
  <si>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</si>
  <si>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</si>
  <si>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</si>
  <si>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</si>
  <si>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</si>
  <si>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</si>
  <si>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</si>
  <si>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</si>
  <si>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</si>
  <si>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</si>
  <si>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</si>
  <si>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</si>
  <si>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</si>
  <si>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</si>
  <si>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</si>
  <si>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</si>
  <si>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</si>
  <si>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</si>
  <si>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</si>
  <si>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</si>
  <si>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</si>
  <si>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</si>
  <si>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</si>
  <si>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</si>
  <si>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</si>
  <si>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</si>
  <si>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</si>
  <si>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</si>
  <si>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</si>
  <si>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</si>
  <si>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</si>
  <si>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</si>
  <si>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</si>
  <si>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</si>
  <si>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</si>
  <si>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</si>
  <si>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</si>
  <si>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</si>
  <si>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</si>
  <si>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</si>
  <si>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</si>
  <si>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</si>
  <si>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</si>
  <si>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</si>
  <si>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</si>
  <si>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</si>
  <si>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</si>
  <si>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</si>
  <si>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</si>
  <si>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</si>
  <si>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</si>
  <si>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</si>
  <si>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</si>
  <si>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</si>
  <si>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</si>
  <si>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</si>
  <si>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</si>
  <si>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</si>
  <si>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</si>
  <si>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</si>
  <si>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</si>
  <si>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</si>
  <si>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</si>
  <si>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</si>
  <si>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</si>
  <si>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</si>
  <si>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</si>
  <si>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</si>
  <si>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</si>
  <si>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</si>
  <si>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</si>
  <si>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</si>
  <si>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</si>
  <si>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</si>
  <si>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</si>
  <si>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</si>
  <si>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</si>
  <si>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</si>
  <si>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</si>
  <si>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</si>
  <si>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</si>
  <si>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</si>
  <si>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</si>
  <si>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</si>
  <si>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</si>
  <si>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</si>
  <si>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</si>
  <si>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</si>
  <si>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</si>
  <si>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</si>
  <si>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</si>
  <si>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</si>
  <si>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</si>
  <si>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</si>
  <si>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</si>
  <si>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</si>
  <si>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</si>
  <si>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</si>
  <si>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</si>
  <si>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</si>
  <si>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</si>
  <si>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</si>
  <si>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</si>
  <si>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</si>
  <si>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</si>
  <si>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</si>
  <si>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</si>
  <si>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</si>
  <si>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</si>
  <si>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</si>
  <si>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</si>
  <si>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</si>
  <si>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</si>
  <si>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</si>
  <si>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</si>
  <si>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</si>
  <si>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</si>
  <si>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</si>
  <si>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</si>
  <si>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</si>
  <si>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</si>
  <si>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</si>
  <si>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</si>
  <si>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</si>
  <si>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</si>
  <si>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</si>
  <si>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</si>
  <si>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</si>
  <si>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</si>
  <si>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</si>
  <si>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</si>
  <si>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</si>
  <si>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</si>
  <si>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</si>
  <si>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</si>
  <si>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</si>
  <si>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</si>
  <si>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</si>
  <si>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</si>
  <si>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</si>
  <si>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</si>
  <si>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</si>
  <si>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</si>
  <si>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</si>
  <si>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</si>
  <si>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</si>
  <si>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</si>
  <si>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</si>
  <si>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</si>
  <si>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</si>
  <si>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</si>
  <si>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</si>
  <si>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</si>
  <si>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</si>
  <si>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</si>
  <si>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</si>
  <si>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</si>
  <si>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</si>
  <si>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</si>
  <si>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</si>
  <si>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</si>
  <si>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</si>
  <si>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</si>
  <si>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</si>
  <si>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</si>
  <si>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</si>
  <si>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</si>
  <si>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</si>
  <si>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</si>
  <si>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</si>
  <si>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</si>
  <si>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</si>
  <si>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</si>
  <si>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</si>
  <si>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</si>
  <si>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</si>
  <si>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</si>
  <si>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</si>
  <si>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</si>
  <si>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</si>
  <si>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</si>
  <si>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</si>
  <si>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</si>
  <si>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</si>
  <si>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</si>
  <si>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</si>
  <si>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</si>
  <si>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</si>
  <si>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</si>
  <si>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</si>
  <si>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</si>
  <si>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</si>
  <si>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</si>
  <si>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</si>
  <si>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</si>
  <si>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</si>
  <si>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</si>
  <si>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</si>
  <si>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</si>
  <si>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</si>
  <si>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</si>
  <si>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</si>
  <si>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</si>
  <si>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</si>
  <si>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</si>
  <si>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</si>
  <si>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</si>
  <si>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</si>
  <si>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</si>
  <si>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</si>
  <si>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</si>
  <si>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</si>
  <si>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</si>
  <si>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</si>
  <si>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</si>
  <si>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</si>
  <si>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</si>
  <si>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</si>
  <si>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</si>
  <si>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</si>
  <si>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</si>
  <si>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</si>
  <si>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</si>
  <si>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</si>
  <si>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</si>
  <si>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</si>
  <si>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</si>
  <si>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</si>
  <si>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</si>
  <si>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</si>
  <si>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</si>
  <si>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</si>
  <si>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</si>
  <si>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</si>
  <si>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</si>
  <si>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</si>
  <si>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</si>
  <si>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</si>
  <si>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</si>
  <si>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</si>
  <si>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</si>
  <si>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</si>
  <si>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</si>
  <si>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</si>
  <si>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</si>
  <si>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</si>
  <si>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</si>
  <si>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</si>
  <si>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</si>
  <si>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</si>
  <si>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</si>
  <si>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</si>
  <si>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</si>
  <si>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</si>
  <si>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</si>
  <si>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</si>
  <si>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by----Nilesh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</si>
  <si>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</si>
  <si>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</si>
  <si>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</si>
  <si>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</si>
  <si>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</si>
  <si>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</si>
  <si>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</si>
  <si>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</si>
  <si>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</si>
  <si>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</si>
  <si>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</si>
  <si>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</si>
  <si>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</si>
  <si>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</si>
  <si>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</si>
  <si>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</si>
  <si>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</si>
  <si>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</si>
  <si>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</si>
  <si>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</si>
  <si>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</si>
  <si>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</si>
  <si>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</si>
  <si>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</si>
  <si>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</si>
  <si>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</si>
  <si>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</si>
  <si>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</si>
  <si>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</si>
  <si>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</si>
  <si>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Prepaired by Ramesh</t>
  </si>
  <si>
    <t>Prepaired by------- Ramesh</t>
  </si>
  <si>
    <t>Prepaired by -- Ramesh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</si>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</sst>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0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65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24" xfId="0" applyNumberFormat="1" applyFont="1" applyBorder="1" applyAlignment="1">
      <alignment horizontal="center" wrapText="1"/>
    </xf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31</c:v>
                </c:pt>
                <c:pt idx="1">
                  <c:v>31.620000000002619</c:v>
                </c:pt>
                <c:pt idx="2">
                  <c:v>23.94999999999709</c:v>
                </c:pt>
                <c:pt idx="3">
                  <c:v>25.430000000000291</c:v>
                </c:pt>
                <c:pt idx="4">
                  <c:v>24</c:v>
                </c:pt>
                <c:pt idx="5">
                  <c:v>25.56000000000131</c:v>
                </c:pt>
                <c:pt idx="6">
                  <c:v>26</c:v>
                </c:pt>
                <c:pt idx="7">
                  <c:v>24</c:v>
                </c:pt>
                <c:pt idx="8">
                  <c:v>-787.2300000000032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23.75</c:v>
                </c:pt>
                <c:pt idx="25">
                  <c:v>24.30000000000291</c:v>
                </c:pt>
                <c:pt idx="26">
                  <c:v>23.989999999997963</c:v>
                </c:pt>
                <c:pt idx="27">
                  <c:v>32.740000000002055</c:v>
                </c:pt>
                <c:pt idx="28">
                  <c:v>33.680000000000291</c:v>
                </c:pt>
                <c:pt idx="29">
                  <c:v>35.399999999994179</c:v>
                </c:pt>
                <c:pt idx="30">
                  <c:v>31.410000000003492</c:v>
                </c:pt>
                <c:pt idx="31">
                  <c:v>-9.3300000000017462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6474496"/>
        <c:axId val="166476032"/>
      </c:lineChart>
      <c:catAx>
        <c:axId val="1664744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76032"/>
        <c:crosses val="autoZero"/>
        <c:auto val="1"/>
        <c:lblAlgn val="ctr"/>
        <c:lblOffset val="100"/>
      </c:catAx>
      <c:valAx>
        <c:axId val="16647603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647449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12.960000000006403</c:v>
                </c:pt>
                <c:pt idx="1">
                  <c:v>16.569999999996071</c:v>
                </c:pt>
                <c:pt idx="2">
                  <c:v>14.399999999990541</c:v>
                </c:pt>
                <c:pt idx="3">
                  <c:v>13.409999999999854</c:v>
                </c:pt>
                <c:pt idx="4">
                  <c:v>11.77000000001135</c:v>
                </c:pt>
                <c:pt idx="5">
                  <c:v>12.029999999998836</c:v>
                </c:pt>
                <c:pt idx="6">
                  <c:v>10.880000000001019</c:v>
                </c:pt>
                <c:pt idx="7">
                  <c:v>13.119999999988067</c:v>
                </c:pt>
                <c:pt idx="8">
                  <c:v>-363.95999999998457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9.5499999999919964</c:v>
                </c:pt>
                <c:pt idx="26">
                  <c:v>11.080000000005384</c:v>
                </c:pt>
                <c:pt idx="27">
                  <c:v>11.819999999988795</c:v>
                </c:pt>
                <c:pt idx="28">
                  <c:v>11.869999999998981</c:v>
                </c:pt>
                <c:pt idx="29">
                  <c:v>11.029999999998836</c:v>
                </c:pt>
                <c:pt idx="30">
                  <c:v>16.680000000007567</c:v>
                </c:pt>
                <c:pt idx="31">
                  <c:v>-2.1600000000071304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6496896"/>
        <c:axId val="165880192"/>
      </c:lineChart>
      <c:catAx>
        <c:axId val="16649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80192"/>
        <c:crosses val="autoZero"/>
        <c:auto val="1"/>
        <c:lblAlgn val="ctr"/>
        <c:lblOffset val="100"/>
      </c:catAx>
      <c:valAx>
        <c:axId val="16588019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9689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225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174</c:v>
                </c:pt>
                <c:pt idx="4">
                  <c:v>178</c:v>
                </c:pt>
                <c:pt idx="5">
                  <c:v>156</c:v>
                </c:pt>
                <c:pt idx="6">
                  <c:v>157</c:v>
                </c:pt>
                <c:pt idx="7">
                  <c:v>156</c:v>
                </c:pt>
                <c:pt idx="8">
                  <c:v>-1480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195</c:v>
                </c:pt>
                <c:pt idx="25">
                  <c:v>243</c:v>
                </c:pt>
                <c:pt idx="26">
                  <c:v>234</c:v>
                </c:pt>
                <c:pt idx="27">
                  <c:v>232</c:v>
                </c:pt>
                <c:pt idx="28">
                  <c:v>213</c:v>
                </c:pt>
                <c:pt idx="29">
                  <c:v>193</c:v>
                </c:pt>
                <c:pt idx="30">
                  <c:v>197</c:v>
                </c:pt>
                <c:pt idx="31">
                  <c:v>3970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5893248"/>
        <c:axId val="165894784"/>
      </c:lineChart>
      <c:catAx>
        <c:axId val="16589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94784"/>
        <c:crosses val="autoZero"/>
        <c:auto val="1"/>
        <c:lblAlgn val="ctr"/>
        <c:lblOffset val="100"/>
      </c:catAx>
      <c:valAx>
        <c:axId val="16589478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9324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09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969</c:v>
                </c:pt>
                <c:pt idx="1">
                  <c:v>982</c:v>
                </c:pt>
                <c:pt idx="2">
                  <c:v>1003</c:v>
                </c:pt>
                <c:pt idx="3">
                  <c:v>978</c:v>
                </c:pt>
                <c:pt idx="4">
                  <c:v>935</c:v>
                </c:pt>
                <c:pt idx="5">
                  <c:v>883</c:v>
                </c:pt>
                <c:pt idx="6">
                  <c:v>898</c:v>
                </c:pt>
                <c:pt idx="7">
                  <c:v>952.0319999998901</c:v>
                </c:pt>
                <c:pt idx="8">
                  <c:v>-26414.161999999778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923.00300000002608</c:v>
                </c:pt>
                <c:pt idx="25">
                  <c:v>869.26799999992363</c:v>
                </c:pt>
                <c:pt idx="26">
                  <c:v>882.58100000000559</c:v>
                </c:pt>
                <c:pt idx="27">
                  <c:v>933.62800000002608</c:v>
                </c:pt>
                <c:pt idx="28">
                  <c:v>941.48999999999069</c:v>
                </c:pt>
                <c:pt idx="29">
                  <c:v>927.03000000002794</c:v>
                </c:pt>
                <c:pt idx="30">
                  <c:v>1034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7000704"/>
        <c:axId val="167010688"/>
      </c:lineChart>
      <c:catAx>
        <c:axId val="16700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10688"/>
        <c:crosses val="autoZero"/>
        <c:auto val="1"/>
        <c:lblAlgn val="ctr"/>
        <c:lblOffset val="100"/>
      </c:catAx>
      <c:valAx>
        <c:axId val="16701068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070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95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4092</c:v>
                </c:pt>
                <c:pt idx="1">
                  <c:v>3883</c:v>
                </c:pt>
                <c:pt idx="2">
                  <c:v>3855</c:v>
                </c:pt>
                <c:pt idx="3">
                  <c:v>3932</c:v>
                </c:pt>
                <c:pt idx="4">
                  <c:v>3871</c:v>
                </c:pt>
                <c:pt idx="5">
                  <c:v>3819</c:v>
                </c:pt>
                <c:pt idx="6">
                  <c:v>3506</c:v>
                </c:pt>
                <c:pt idx="7">
                  <c:v>3493.2900000000081</c:v>
                </c:pt>
                <c:pt idx="8">
                  <c:v>-83207.290000000008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4059.0200000000041</c:v>
                </c:pt>
                <c:pt idx="25">
                  <c:v>4153.8700000000099</c:v>
                </c:pt>
                <c:pt idx="26">
                  <c:v>4075.25</c:v>
                </c:pt>
                <c:pt idx="27">
                  <c:v>4033.0299999999988</c:v>
                </c:pt>
                <c:pt idx="28">
                  <c:v>3853.7299999999814</c:v>
                </c:pt>
                <c:pt idx="29">
                  <c:v>4017.1000000000058</c:v>
                </c:pt>
                <c:pt idx="30">
                  <c:v>4020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521</c:v>
                </c:pt>
                <c:pt idx="1">
                  <c:v>0</c:v>
                </c:pt>
                <c:pt idx="2">
                  <c:v>0</c:v>
                </c:pt>
                <c:pt idx="3">
                  <c:v>339</c:v>
                </c:pt>
                <c:pt idx="4">
                  <c:v>215</c:v>
                </c:pt>
                <c:pt idx="5">
                  <c:v>212</c:v>
                </c:pt>
                <c:pt idx="6">
                  <c:v>563</c:v>
                </c:pt>
                <c:pt idx="7">
                  <c:v>630.34999999997672</c:v>
                </c:pt>
                <c:pt idx="8">
                  <c:v>-42866.349999999977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608.86999999999534</c:v>
                </c:pt>
                <c:pt idx="25">
                  <c:v>201.64000000001397</c:v>
                </c:pt>
                <c:pt idx="26">
                  <c:v>200.29999999998836</c:v>
                </c:pt>
                <c:pt idx="27">
                  <c:v>198.5800000000163</c:v>
                </c:pt>
                <c:pt idx="28">
                  <c:v>196.39999999996508</c:v>
                </c:pt>
                <c:pt idx="29">
                  <c:v>208.21000000002095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7073280"/>
        <c:axId val="167074816"/>
      </c:lineChart>
      <c:catAx>
        <c:axId val="16707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74816"/>
        <c:crosses val="autoZero"/>
        <c:auto val="1"/>
        <c:lblAlgn val="ctr"/>
        <c:lblOffset val="100"/>
      </c:catAx>
      <c:valAx>
        <c:axId val="16707481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7328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3430</c:v>
                </c:pt>
                <c:pt idx="1">
                  <c:v>3377</c:v>
                </c:pt>
                <c:pt idx="2">
                  <c:v>3065</c:v>
                </c:pt>
                <c:pt idx="3">
                  <c:v>3476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3315.109999999986</c:v>
                </c:pt>
                <c:pt idx="8">
                  <c:v>-101941.10999999999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3118.7099999999627</c:v>
                </c:pt>
                <c:pt idx="25">
                  <c:v>3342.4799999999814</c:v>
                </c:pt>
                <c:pt idx="26">
                  <c:v>3242.640000000014</c:v>
                </c:pt>
                <c:pt idx="27">
                  <c:v>3608.5600000000559</c:v>
                </c:pt>
                <c:pt idx="28">
                  <c:v>3387.4399999999441</c:v>
                </c:pt>
                <c:pt idx="29">
                  <c:v>3494.1700000000419</c:v>
                </c:pt>
                <c:pt idx="30">
                  <c:v>3525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7095680"/>
        <c:axId val="167113856"/>
      </c:lineChart>
      <c:catAx>
        <c:axId val="1670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3856"/>
        <c:crosses val="autoZero"/>
        <c:auto val="1"/>
        <c:lblAlgn val="ctr"/>
        <c:lblOffset val="100"/>
      </c:catAx>
      <c:valAx>
        <c:axId val="16711385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56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0.65</c:v>
                </c:pt>
                <c:pt idx="1">
                  <c:v>0.97</c:v>
                </c:pt>
                <c:pt idx="2">
                  <c:v>1</c:v>
                </c:pt>
                <c:pt idx="3">
                  <c:v>0.8</c:v>
                </c:pt>
                <c:pt idx="4">
                  <c:v>0.85</c:v>
                </c:pt>
                <c:pt idx="5">
                  <c:v>0.8</c:v>
                </c:pt>
                <c:pt idx="6">
                  <c:v>0.81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0.52</c:v>
                </c:pt>
                <c:pt idx="30">
                  <c:v>0.66</c:v>
                </c:pt>
                <c:pt idx="31">
                  <c:v>0.59763548387096765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5758080"/>
        <c:axId val="165759616"/>
      </c:lineChart>
      <c:catAx>
        <c:axId val="1657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59616"/>
        <c:crosses val="autoZero"/>
        <c:auto val="1"/>
        <c:lblAlgn val="ctr"/>
        <c:lblOffset val="100"/>
      </c:catAx>
      <c:valAx>
        <c:axId val="1657596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57580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90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90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90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-650369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20465</c:v>
                </c:pt>
                <c:pt idx="25">
                  <c:v>21360</c:v>
                </c:pt>
                <c:pt idx="26">
                  <c:v>20883</c:v>
                </c:pt>
                <c:pt idx="27">
                  <c:v>23587</c:v>
                </c:pt>
                <c:pt idx="28">
                  <c:v>23666</c:v>
                </c:pt>
                <c:pt idx="29">
                  <c:v>23482</c:v>
                </c:pt>
                <c:pt idx="30">
                  <c:v>23482</c:v>
                </c:pt>
                <c:pt idx="31">
                  <c:v>-321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5788672"/>
        <c:axId val="165958400"/>
      </c:lineChart>
      <c:catAx>
        <c:axId val="16578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8400"/>
        <c:crosses val="autoZero"/>
        <c:auto val="1"/>
        <c:lblAlgn val="ctr"/>
        <c:lblOffset val="100"/>
      </c:catAx>
      <c:valAx>
        <c:axId val="16595840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8867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8.3599999999996726</c:v>
                </c:pt>
                <c:pt idx="1">
                  <c:v>7.5399999999999636</c:v>
                </c:pt>
                <c:pt idx="2">
                  <c:v>8.8100000000004002</c:v>
                </c:pt>
                <c:pt idx="3">
                  <c:v>8.6000000000003638</c:v>
                </c:pt>
                <c:pt idx="4">
                  <c:v>8.1199999999998909</c:v>
                </c:pt>
                <c:pt idx="5">
                  <c:v>8.1300000000001091</c:v>
                </c:pt>
                <c:pt idx="6">
                  <c:v>7.8999999999996362</c:v>
                </c:pt>
                <c:pt idx="7">
                  <c:v>8.2299999999995634</c:v>
                </c:pt>
                <c:pt idx="8">
                  <c:v>-246.74999999999955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8.9020000000000437</c:v>
                </c:pt>
                <c:pt idx="26">
                  <c:v>9.5979999999999563</c:v>
                </c:pt>
                <c:pt idx="27">
                  <c:v>4.2899999999999636</c:v>
                </c:pt>
                <c:pt idx="28">
                  <c:v>12.619999999999891</c:v>
                </c:pt>
                <c:pt idx="29">
                  <c:v>7.7200000000002547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7149952"/>
        <c:axId val="167151488"/>
      </c:lineChart>
      <c:catAx>
        <c:axId val="16714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1488"/>
        <c:crosses val="autoZero"/>
        <c:auto val="1"/>
        <c:lblAlgn val="ctr"/>
        <c:lblOffset val="100"/>
      </c:catAx>
      <c:valAx>
        <c:axId val="16715148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499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8926E-2"/>
          <c:w val="0.84489954093857633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264</c:v>
                </c:pt>
                <c:pt idx="1">
                  <c:v>244</c:v>
                </c:pt>
                <c:pt idx="2">
                  <c:v>254</c:v>
                </c:pt>
                <c:pt idx="3">
                  <c:v>244</c:v>
                </c:pt>
                <c:pt idx="4">
                  <c:v>247.19999999995343</c:v>
                </c:pt>
                <c:pt idx="5">
                  <c:v>-7503.1999999999534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585.20000000000073</c:v>
                </c:pt>
                <c:pt idx="1">
                  <c:v>575</c:v>
                </c:pt>
                <c:pt idx="2">
                  <c:v>539</c:v>
                </c:pt>
                <c:pt idx="3">
                  <c:v>541</c:v>
                </c:pt>
                <c:pt idx="4">
                  <c:v>597.10199999993711</c:v>
                </c:pt>
                <c:pt idx="5">
                  <c:v>-44730.631999999823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105</c:v>
                </c:pt>
                <c:pt idx="1">
                  <c:v>99</c:v>
                </c:pt>
                <c:pt idx="2">
                  <c:v>76</c:v>
                </c:pt>
                <c:pt idx="3">
                  <c:v>94</c:v>
                </c:pt>
                <c:pt idx="4">
                  <c:v>106.13000000000466</c:v>
                </c:pt>
                <c:pt idx="5">
                  <c:v>-2317.1300000000047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7529856"/>
        <c:axId val="167552128"/>
      </c:lineChart>
      <c:catAx>
        <c:axId val="1675298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552128"/>
        <c:crosses val="autoZero"/>
        <c:auto val="1"/>
        <c:lblAlgn val="ctr"/>
        <c:lblOffset val="100"/>
      </c:catAx>
      <c:valAx>
        <c:axId val="16755212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5298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10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87</c:v>
                </c:pt>
                <c:pt idx="2">
                  <c:v>72</c:v>
                </c:pt>
                <c:pt idx="3">
                  <c:v>71</c:v>
                </c:pt>
                <c:pt idx="4">
                  <c:v>0</c:v>
                </c:pt>
                <c:pt idx="5">
                  <c:v>68</c:v>
                </c:pt>
                <c:pt idx="6">
                  <c:v>79</c:v>
                </c:pt>
                <c:pt idx="7">
                  <c:v>78</c:v>
                </c:pt>
                <c:pt idx="8">
                  <c:v>-2409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2018688"/>
        <c:axId val="17202867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2030208"/>
        <c:axId val="170725376"/>
      </c:lineChart>
      <c:catAx>
        <c:axId val="1720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8672"/>
        <c:crosses val="autoZero"/>
        <c:auto val="1"/>
        <c:lblAlgn val="ctr"/>
        <c:lblOffset val="100"/>
      </c:catAx>
      <c:valAx>
        <c:axId val="1720286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18688"/>
        <c:crosses val="autoZero"/>
        <c:crossBetween val="between"/>
        <c:minorUnit val="50"/>
      </c:valAx>
      <c:catAx>
        <c:axId val="172030208"/>
        <c:scaling>
          <c:orientation val="minMax"/>
        </c:scaling>
        <c:delete val="1"/>
        <c:axPos val="b"/>
        <c:tickLblPos val="none"/>
        <c:crossAx val="170725376"/>
        <c:crosses val="autoZero"/>
        <c:auto val="1"/>
        <c:lblAlgn val="ctr"/>
        <c:lblOffset val="100"/>
      </c:catAx>
      <c:valAx>
        <c:axId val="1707253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3020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0762240"/>
        <c:axId val="170763776"/>
      </c:lineChart>
      <c:catAx>
        <c:axId val="17076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63776"/>
        <c:crosses val="autoZero"/>
        <c:auto val="1"/>
        <c:lblAlgn val="ctr"/>
        <c:lblOffset val="100"/>
      </c:catAx>
      <c:valAx>
        <c:axId val="17076377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622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1988864"/>
        <c:axId val="171990400"/>
      </c:lineChart>
      <c:catAx>
        <c:axId val="17198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90400"/>
        <c:crosses val="autoZero"/>
        <c:auto val="1"/>
        <c:lblAlgn val="ctr"/>
        <c:lblOffset val="100"/>
      </c:catAx>
      <c:valAx>
        <c:axId val="17199040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88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001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122</c:v>
                </c:pt>
                <c:pt idx="1">
                  <c:v>108</c:v>
                </c:pt>
                <c:pt idx="2">
                  <c:v>99</c:v>
                </c:pt>
                <c:pt idx="3">
                  <c:v>85</c:v>
                </c:pt>
                <c:pt idx="4">
                  <c:v>0</c:v>
                </c:pt>
                <c:pt idx="5">
                  <c:v>87</c:v>
                </c:pt>
                <c:pt idx="6">
                  <c:v>98</c:v>
                </c:pt>
                <c:pt idx="7">
                  <c:v>92</c:v>
                </c:pt>
                <c:pt idx="8">
                  <c:v>-2619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2065920"/>
        <c:axId val="17206745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2077440"/>
        <c:axId val="172078976"/>
      </c:lineChart>
      <c:catAx>
        <c:axId val="17206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67456"/>
        <c:crosses val="autoZero"/>
        <c:auto val="1"/>
        <c:lblAlgn val="ctr"/>
        <c:lblOffset val="100"/>
      </c:catAx>
      <c:valAx>
        <c:axId val="17206745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65920"/>
        <c:crosses val="autoZero"/>
        <c:crossBetween val="between"/>
      </c:valAx>
      <c:catAx>
        <c:axId val="172077440"/>
        <c:scaling>
          <c:orientation val="minMax"/>
        </c:scaling>
        <c:delete val="1"/>
        <c:axPos val="b"/>
        <c:tickLblPos val="none"/>
        <c:crossAx val="172078976"/>
        <c:crosses val="autoZero"/>
        <c:auto val="1"/>
        <c:lblAlgn val="ctr"/>
        <c:lblOffset val="100"/>
      </c:catAx>
      <c:valAx>
        <c:axId val="1720789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77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629</c:v>
                </c:pt>
                <c:pt idx="1">
                  <c:v>614</c:v>
                </c:pt>
                <c:pt idx="2">
                  <c:v>677.58000000000175</c:v>
                </c:pt>
                <c:pt idx="3">
                  <c:v>624</c:v>
                </c:pt>
                <c:pt idx="4">
                  <c:v>0</c:v>
                </c:pt>
                <c:pt idx="5">
                  <c:v>619</c:v>
                </c:pt>
                <c:pt idx="6">
                  <c:v>587</c:v>
                </c:pt>
                <c:pt idx="7">
                  <c:v>290.64999999999418</c:v>
                </c:pt>
                <c:pt idx="8">
                  <c:v>-18950.649999999994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2142976"/>
        <c:axId val="17214451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2146048"/>
        <c:axId val="172156032"/>
      </c:lineChart>
      <c:catAx>
        <c:axId val="1721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44512"/>
        <c:crosses val="autoZero"/>
        <c:auto val="1"/>
        <c:lblAlgn val="ctr"/>
        <c:lblOffset val="100"/>
      </c:catAx>
      <c:valAx>
        <c:axId val="17214451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42976"/>
        <c:crosses val="autoZero"/>
        <c:crossBetween val="between"/>
        <c:majorUnit val="2"/>
      </c:valAx>
      <c:catAx>
        <c:axId val="172146048"/>
        <c:scaling>
          <c:orientation val="minMax"/>
        </c:scaling>
        <c:delete val="1"/>
        <c:axPos val="b"/>
        <c:tickLblPos val="none"/>
        <c:crossAx val="172156032"/>
        <c:crosses val="autoZero"/>
        <c:auto val="1"/>
        <c:lblAlgn val="ctr"/>
        <c:lblOffset val="100"/>
      </c:catAx>
      <c:valAx>
        <c:axId val="1721560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4604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95">
          <cell r="G95">
            <v>71</v>
          </cell>
        </row>
        <row r="96">
          <cell r="G96">
            <v>15</v>
          </cell>
        </row>
        <row r="97">
          <cell r="G97">
            <v>19</v>
          </cell>
        </row>
        <row r="123">
          <cell r="G123">
            <v>234.59999999997672</v>
          </cell>
        </row>
      </sheetData>
      <sheetData sheetId="36">
        <row r="7">
          <cell r="G7">
            <v>23482</v>
          </cell>
        </row>
        <row r="123">
          <cell r="G123">
            <v>248</v>
          </cell>
        </row>
      </sheetData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E9" sqref="E9"/>
    </sheetView>
  </sheetViews>
  <sheetFormatPr defaultColWidth="9" defaultRowHeight="15"/>
  <cols>
    <col min="1" max="1" width="9.6640625" style="1169" customWidth="1"/>
    <col min="2" max="3" width="9" style="1163"/>
    <col min="4" max="4" width="10.44140625" style="1164" customWidth="1"/>
    <col min="5" max="5" width="9.77734375" style="1165" customWidth="1"/>
    <col min="6" max="6" width="9.77734375" style="1169" customWidth="1"/>
    <col min="7" max="10" width="9" style="1169"/>
    <col min="11" max="12" width="9" style="1165"/>
    <col min="13" max="13" width="0" style="1168" hidden="1" customWidth="1"/>
    <col min="14" max="256" width="9" style="1168"/>
    <col min="257" max="257" width="9.6640625" style="1168" customWidth="1"/>
    <col min="258" max="259" width="9" style="1168"/>
    <col min="260" max="260" width="10.44140625" style="1168" customWidth="1"/>
    <col min="261" max="262" width="9.77734375" style="1168" customWidth="1"/>
    <col min="263" max="268" width="9" style="1168"/>
    <col min="269" max="269" width="0" style="1168" hidden="1" customWidth="1"/>
    <col min="270" max="512" width="9" style="1168"/>
    <col min="513" max="513" width="9.6640625" style="1168" customWidth="1"/>
    <col min="514" max="515" width="9" style="1168"/>
    <col min="516" max="516" width="10.44140625" style="1168" customWidth="1"/>
    <col min="517" max="518" width="9.77734375" style="1168" customWidth="1"/>
    <col min="519" max="524" width="9" style="1168"/>
    <col min="525" max="525" width="0" style="1168" hidden="1" customWidth="1"/>
    <col min="526" max="768" width="9" style="1168"/>
    <col min="769" max="769" width="9.6640625" style="1168" customWidth="1"/>
    <col min="770" max="771" width="9" style="1168"/>
    <col min="772" max="772" width="10.44140625" style="1168" customWidth="1"/>
    <col min="773" max="774" width="9.77734375" style="1168" customWidth="1"/>
    <col min="775" max="780" width="9" style="1168"/>
    <col min="781" max="781" width="0" style="1168" hidden="1" customWidth="1"/>
    <col min="782" max="1024" width="9" style="1168"/>
    <col min="1025" max="1025" width="9.6640625" style="1168" customWidth="1"/>
    <col min="1026" max="1027" width="9" style="1168"/>
    <col min="1028" max="1028" width="10.44140625" style="1168" customWidth="1"/>
    <col min="1029" max="1030" width="9.77734375" style="1168" customWidth="1"/>
    <col min="1031" max="1036" width="9" style="1168"/>
    <col min="1037" max="1037" width="0" style="1168" hidden="1" customWidth="1"/>
    <col min="1038" max="1280" width="9" style="1168"/>
    <col min="1281" max="1281" width="9.6640625" style="1168" customWidth="1"/>
    <col min="1282" max="1283" width="9" style="1168"/>
    <col min="1284" max="1284" width="10.44140625" style="1168" customWidth="1"/>
    <col min="1285" max="1286" width="9.77734375" style="1168" customWidth="1"/>
    <col min="1287" max="1292" width="9" style="1168"/>
    <col min="1293" max="1293" width="0" style="1168" hidden="1" customWidth="1"/>
    <col min="1294" max="1536" width="9" style="1168"/>
    <col min="1537" max="1537" width="9.6640625" style="1168" customWidth="1"/>
    <col min="1538" max="1539" width="9" style="1168"/>
    <col min="1540" max="1540" width="10.44140625" style="1168" customWidth="1"/>
    <col min="1541" max="1542" width="9.77734375" style="1168" customWidth="1"/>
    <col min="1543" max="1548" width="9" style="1168"/>
    <col min="1549" max="1549" width="0" style="1168" hidden="1" customWidth="1"/>
    <col min="1550" max="1792" width="9" style="1168"/>
    <col min="1793" max="1793" width="9.6640625" style="1168" customWidth="1"/>
    <col min="1794" max="1795" width="9" style="1168"/>
    <col min="1796" max="1796" width="10.44140625" style="1168" customWidth="1"/>
    <col min="1797" max="1798" width="9.77734375" style="1168" customWidth="1"/>
    <col min="1799" max="1804" width="9" style="1168"/>
    <col min="1805" max="1805" width="0" style="1168" hidden="1" customWidth="1"/>
    <col min="1806" max="2048" width="9" style="1168"/>
    <col min="2049" max="2049" width="9.6640625" style="1168" customWidth="1"/>
    <col min="2050" max="2051" width="9" style="1168"/>
    <col min="2052" max="2052" width="10.44140625" style="1168" customWidth="1"/>
    <col min="2053" max="2054" width="9.77734375" style="1168" customWidth="1"/>
    <col min="2055" max="2060" width="9" style="1168"/>
    <col min="2061" max="2061" width="0" style="1168" hidden="1" customWidth="1"/>
    <col min="2062" max="2304" width="9" style="1168"/>
    <col min="2305" max="2305" width="9.6640625" style="1168" customWidth="1"/>
    <col min="2306" max="2307" width="9" style="1168"/>
    <col min="2308" max="2308" width="10.44140625" style="1168" customWidth="1"/>
    <col min="2309" max="2310" width="9.77734375" style="1168" customWidth="1"/>
    <col min="2311" max="2316" width="9" style="1168"/>
    <col min="2317" max="2317" width="0" style="1168" hidden="1" customWidth="1"/>
    <col min="2318" max="2560" width="9" style="1168"/>
    <col min="2561" max="2561" width="9.6640625" style="1168" customWidth="1"/>
    <col min="2562" max="2563" width="9" style="1168"/>
    <col min="2564" max="2564" width="10.44140625" style="1168" customWidth="1"/>
    <col min="2565" max="2566" width="9.77734375" style="1168" customWidth="1"/>
    <col min="2567" max="2572" width="9" style="1168"/>
    <col min="2573" max="2573" width="0" style="1168" hidden="1" customWidth="1"/>
    <col min="2574" max="2816" width="9" style="1168"/>
    <col min="2817" max="2817" width="9.6640625" style="1168" customWidth="1"/>
    <col min="2818" max="2819" width="9" style="1168"/>
    <col min="2820" max="2820" width="10.44140625" style="1168" customWidth="1"/>
    <col min="2821" max="2822" width="9.77734375" style="1168" customWidth="1"/>
    <col min="2823" max="2828" width="9" style="1168"/>
    <col min="2829" max="2829" width="0" style="1168" hidden="1" customWidth="1"/>
    <col min="2830" max="3072" width="9" style="1168"/>
    <col min="3073" max="3073" width="9.6640625" style="1168" customWidth="1"/>
    <col min="3074" max="3075" width="9" style="1168"/>
    <col min="3076" max="3076" width="10.44140625" style="1168" customWidth="1"/>
    <col min="3077" max="3078" width="9.77734375" style="1168" customWidth="1"/>
    <col min="3079" max="3084" width="9" style="1168"/>
    <col min="3085" max="3085" width="0" style="1168" hidden="1" customWidth="1"/>
    <col min="3086" max="3328" width="9" style="1168"/>
    <col min="3329" max="3329" width="9.6640625" style="1168" customWidth="1"/>
    <col min="3330" max="3331" width="9" style="1168"/>
    <col min="3332" max="3332" width="10.44140625" style="1168" customWidth="1"/>
    <col min="3333" max="3334" width="9.77734375" style="1168" customWidth="1"/>
    <col min="3335" max="3340" width="9" style="1168"/>
    <col min="3341" max="3341" width="0" style="1168" hidden="1" customWidth="1"/>
    <col min="3342" max="3584" width="9" style="1168"/>
    <col min="3585" max="3585" width="9.6640625" style="1168" customWidth="1"/>
    <col min="3586" max="3587" width="9" style="1168"/>
    <col min="3588" max="3588" width="10.44140625" style="1168" customWidth="1"/>
    <col min="3589" max="3590" width="9.77734375" style="1168" customWidth="1"/>
    <col min="3591" max="3596" width="9" style="1168"/>
    <col min="3597" max="3597" width="0" style="1168" hidden="1" customWidth="1"/>
    <col min="3598" max="3840" width="9" style="1168"/>
    <col min="3841" max="3841" width="9.6640625" style="1168" customWidth="1"/>
    <col min="3842" max="3843" width="9" style="1168"/>
    <col min="3844" max="3844" width="10.44140625" style="1168" customWidth="1"/>
    <col min="3845" max="3846" width="9.77734375" style="1168" customWidth="1"/>
    <col min="3847" max="3852" width="9" style="1168"/>
    <col min="3853" max="3853" width="0" style="1168" hidden="1" customWidth="1"/>
    <col min="3854" max="4096" width="9" style="1168"/>
    <col min="4097" max="4097" width="9.6640625" style="1168" customWidth="1"/>
    <col min="4098" max="4099" width="9" style="1168"/>
    <col min="4100" max="4100" width="10.44140625" style="1168" customWidth="1"/>
    <col min="4101" max="4102" width="9.77734375" style="1168" customWidth="1"/>
    <col min="4103" max="4108" width="9" style="1168"/>
    <col min="4109" max="4109" width="0" style="1168" hidden="1" customWidth="1"/>
    <col min="4110" max="4352" width="9" style="1168"/>
    <col min="4353" max="4353" width="9.6640625" style="1168" customWidth="1"/>
    <col min="4354" max="4355" width="9" style="1168"/>
    <col min="4356" max="4356" width="10.44140625" style="1168" customWidth="1"/>
    <col min="4357" max="4358" width="9.77734375" style="1168" customWidth="1"/>
    <col min="4359" max="4364" width="9" style="1168"/>
    <col min="4365" max="4365" width="0" style="1168" hidden="1" customWidth="1"/>
    <col min="4366" max="4608" width="9" style="1168"/>
    <col min="4609" max="4609" width="9.6640625" style="1168" customWidth="1"/>
    <col min="4610" max="4611" width="9" style="1168"/>
    <col min="4612" max="4612" width="10.44140625" style="1168" customWidth="1"/>
    <col min="4613" max="4614" width="9.77734375" style="1168" customWidth="1"/>
    <col min="4615" max="4620" width="9" style="1168"/>
    <col min="4621" max="4621" width="0" style="1168" hidden="1" customWidth="1"/>
    <col min="4622" max="4864" width="9" style="1168"/>
    <col min="4865" max="4865" width="9.6640625" style="1168" customWidth="1"/>
    <col min="4866" max="4867" width="9" style="1168"/>
    <col min="4868" max="4868" width="10.44140625" style="1168" customWidth="1"/>
    <col min="4869" max="4870" width="9.77734375" style="1168" customWidth="1"/>
    <col min="4871" max="4876" width="9" style="1168"/>
    <col min="4877" max="4877" width="0" style="1168" hidden="1" customWidth="1"/>
    <col min="4878" max="5120" width="9" style="1168"/>
    <col min="5121" max="5121" width="9.6640625" style="1168" customWidth="1"/>
    <col min="5122" max="5123" width="9" style="1168"/>
    <col min="5124" max="5124" width="10.44140625" style="1168" customWidth="1"/>
    <col min="5125" max="5126" width="9.77734375" style="1168" customWidth="1"/>
    <col min="5127" max="5132" width="9" style="1168"/>
    <col min="5133" max="5133" width="0" style="1168" hidden="1" customWidth="1"/>
    <col min="5134" max="5376" width="9" style="1168"/>
    <col min="5377" max="5377" width="9.6640625" style="1168" customWidth="1"/>
    <col min="5378" max="5379" width="9" style="1168"/>
    <col min="5380" max="5380" width="10.44140625" style="1168" customWidth="1"/>
    <col min="5381" max="5382" width="9.77734375" style="1168" customWidth="1"/>
    <col min="5383" max="5388" width="9" style="1168"/>
    <col min="5389" max="5389" width="0" style="1168" hidden="1" customWidth="1"/>
    <col min="5390" max="5632" width="9" style="1168"/>
    <col min="5633" max="5633" width="9.6640625" style="1168" customWidth="1"/>
    <col min="5634" max="5635" width="9" style="1168"/>
    <col min="5636" max="5636" width="10.44140625" style="1168" customWidth="1"/>
    <col min="5637" max="5638" width="9.77734375" style="1168" customWidth="1"/>
    <col min="5639" max="5644" width="9" style="1168"/>
    <col min="5645" max="5645" width="0" style="1168" hidden="1" customWidth="1"/>
    <col min="5646" max="5888" width="9" style="1168"/>
    <col min="5889" max="5889" width="9.6640625" style="1168" customWidth="1"/>
    <col min="5890" max="5891" width="9" style="1168"/>
    <col min="5892" max="5892" width="10.44140625" style="1168" customWidth="1"/>
    <col min="5893" max="5894" width="9.77734375" style="1168" customWidth="1"/>
    <col min="5895" max="5900" width="9" style="1168"/>
    <col min="5901" max="5901" width="0" style="1168" hidden="1" customWidth="1"/>
    <col min="5902" max="6144" width="9" style="1168"/>
    <col min="6145" max="6145" width="9.6640625" style="1168" customWidth="1"/>
    <col min="6146" max="6147" width="9" style="1168"/>
    <col min="6148" max="6148" width="10.44140625" style="1168" customWidth="1"/>
    <col min="6149" max="6150" width="9.77734375" style="1168" customWidth="1"/>
    <col min="6151" max="6156" width="9" style="1168"/>
    <col min="6157" max="6157" width="0" style="1168" hidden="1" customWidth="1"/>
    <col min="6158" max="6400" width="9" style="1168"/>
    <col min="6401" max="6401" width="9.6640625" style="1168" customWidth="1"/>
    <col min="6402" max="6403" width="9" style="1168"/>
    <col min="6404" max="6404" width="10.44140625" style="1168" customWidth="1"/>
    <col min="6405" max="6406" width="9.77734375" style="1168" customWidth="1"/>
    <col min="6407" max="6412" width="9" style="1168"/>
    <col min="6413" max="6413" width="0" style="1168" hidden="1" customWidth="1"/>
    <col min="6414" max="6656" width="9" style="1168"/>
    <col min="6657" max="6657" width="9.6640625" style="1168" customWidth="1"/>
    <col min="6658" max="6659" width="9" style="1168"/>
    <col min="6660" max="6660" width="10.44140625" style="1168" customWidth="1"/>
    <col min="6661" max="6662" width="9.77734375" style="1168" customWidth="1"/>
    <col min="6663" max="6668" width="9" style="1168"/>
    <col min="6669" max="6669" width="0" style="1168" hidden="1" customWidth="1"/>
    <col min="6670" max="6912" width="9" style="1168"/>
    <col min="6913" max="6913" width="9.6640625" style="1168" customWidth="1"/>
    <col min="6914" max="6915" width="9" style="1168"/>
    <col min="6916" max="6916" width="10.44140625" style="1168" customWidth="1"/>
    <col min="6917" max="6918" width="9.77734375" style="1168" customWidth="1"/>
    <col min="6919" max="6924" width="9" style="1168"/>
    <col min="6925" max="6925" width="0" style="1168" hidden="1" customWidth="1"/>
    <col min="6926" max="7168" width="9" style="1168"/>
    <col min="7169" max="7169" width="9.6640625" style="1168" customWidth="1"/>
    <col min="7170" max="7171" width="9" style="1168"/>
    <col min="7172" max="7172" width="10.44140625" style="1168" customWidth="1"/>
    <col min="7173" max="7174" width="9.77734375" style="1168" customWidth="1"/>
    <col min="7175" max="7180" width="9" style="1168"/>
    <col min="7181" max="7181" width="0" style="1168" hidden="1" customWidth="1"/>
    <col min="7182" max="7424" width="9" style="1168"/>
    <col min="7425" max="7425" width="9.6640625" style="1168" customWidth="1"/>
    <col min="7426" max="7427" width="9" style="1168"/>
    <col min="7428" max="7428" width="10.44140625" style="1168" customWidth="1"/>
    <col min="7429" max="7430" width="9.77734375" style="1168" customWidth="1"/>
    <col min="7431" max="7436" width="9" style="1168"/>
    <col min="7437" max="7437" width="0" style="1168" hidden="1" customWidth="1"/>
    <col min="7438" max="7680" width="9" style="1168"/>
    <col min="7681" max="7681" width="9.6640625" style="1168" customWidth="1"/>
    <col min="7682" max="7683" width="9" style="1168"/>
    <col min="7684" max="7684" width="10.44140625" style="1168" customWidth="1"/>
    <col min="7685" max="7686" width="9.77734375" style="1168" customWidth="1"/>
    <col min="7687" max="7692" width="9" style="1168"/>
    <col min="7693" max="7693" width="0" style="1168" hidden="1" customWidth="1"/>
    <col min="7694" max="7936" width="9" style="1168"/>
    <col min="7937" max="7937" width="9.6640625" style="1168" customWidth="1"/>
    <col min="7938" max="7939" width="9" style="1168"/>
    <col min="7940" max="7940" width="10.44140625" style="1168" customWidth="1"/>
    <col min="7941" max="7942" width="9.77734375" style="1168" customWidth="1"/>
    <col min="7943" max="7948" width="9" style="1168"/>
    <col min="7949" max="7949" width="0" style="1168" hidden="1" customWidth="1"/>
    <col min="7950" max="8192" width="9" style="1168"/>
    <col min="8193" max="8193" width="9.6640625" style="1168" customWidth="1"/>
    <col min="8194" max="8195" width="9" style="1168"/>
    <col min="8196" max="8196" width="10.44140625" style="1168" customWidth="1"/>
    <col min="8197" max="8198" width="9.77734375" style="1168" customWidth="1"/>
    <col min="8199" max="8204" width="9" style="1168"/>
    <col min="8205" max="8205" width="0" style="1168" hidden="1" customWidth="1"/>
    <col min="8206" max="8448" width="9" style="1168"/>
    <col min="8449" max="8449" width="9.6640625" style="1168" customWidth="1"/>
    <col min="8450" max="8451" width="9" style="1168"/>
    <col min="8452" max="8452" width="10.44140625" style="1168" customWidth="1"/>
    <col min="8453" max="8454" width="9.77734375" style="1168" customWidth="1"/>
    <col min="8455" max="8460" width="9" style="1168"/>
    <col min="8461" max="8461" width="0" style="1168" hidden="1" customWidth="1"/>
    <col min="8462" max="8704" width="9" style="1168"/>
    <col min="8705" max="8705" width="9.6640625" style="1168" customWidth="1"/>
    <col min="8706" max="8707" width="9" style="1168"/>
    <col min="8708" max="8708" width="10.44140625" style="1168" customWidth="1"/>
    <col min="8709" max="8710" width="9.77734375" style="1168" customWidth="1"/>
    <col min="8711" max="8716" width="9" style="1168"/>
    <col min="8717" max="8717" width="0" style="1168" hidden="1" customWidth="1"/>
    <col min="8718" max="8960" width="9" style="1168"/>
    <col min="8961" max="8961" width="9.6640625" style="1168" customWidth="1"/>
    <col min="8962" max="8963" width="9" style="1168"/>
    <col min="8964" max="8964" width="10.44140625" style="1168" customWidth="1"/>
    <col min="8965" max="8966" width="9.77734375" style="1168" customWidth="1"/>
    <col min="8967" max="8972" width="9" style="1168"/>
    <col min="8973" max="8973" width="0" style="1168" hidden="1" customWidth="1"/>
    <col min="8974" max="9216" width="9" style="1168"/>
    <col min="9217" max="9217" width="9.6640625" style="1168" customWidth="1"/>
    <col min="9218" max="9219" width="9" style="1168"/>
    <col min="9220" max="9220" width="10.44140625" style="1168" customWidth="1"/>
    <col min="9221" max="9222" width="9.77734375" style="1168" customWidth="1"/>
    <col min="9223" max="9228" width="9" style="1168"/>
    <col min="9229" max="9229" width="0" style="1168" hidden="1" customWidth="1"/>
    <col min="9230" max="9472" width="9" style="1168"/>
    <col min="9473" max="9473" width="9.6640625" style="1168" customWidth="1"/>
    <col min="9474" max="9475" width="9" style="1168"/>
    <col min="9476" max="9476" width="10.44140625" style="1168" customWidth="1"/>
    <col min="9477" max="9478" width="9.77734375" style="1168" customWidth="1"/>
    <col min="9479" max="9484" width="9" style="1168"/>
    <col min="9485" max="9485" width="0" style="1168" hidden="1" customWidth="1"/>
    <col min="9486" max="9728" width="9" style="1168"/>
    <col min="9729" max="9729" width="9.6640625" style="1168" customWidth="1"/>
    <col min="9730" max="9731" width="9" style="1168"/>
    <col min="9732" max="9732" width="10.44140625" style="1168" customWidth="1"/>
    <col min="9733" max="9734" width="9.77734375" style="1168" customWidth="1"/>
    <col min="9735" max="9740" width="9" style="1168"/>
    <col min="9741" max="9741" width="0" style="1168" hidden="1" customWidth="1"/>
    <col min="9742" max="9984" width="9" style="1168"/>
    <col min="9985" max="9985" width="9.6640625" style="1168" customWidth="1"/>
    <col min="9986" max="9987" width="9" style="1168"/>
    <col min="9988" max="9988" width="10.44140625" style="1168" customWidth="1"/>
    <col min="9989" max="9990" width="9.77734375" style="1168" customWidth="1"/>
    <col min="9991" max="9996" width="9" style="1168"/>
    <col min="9997" max="9997" width="0" style="1168" hidden="1" customWidth="1"/>
    <col min="9998" max="10240" width="9" style="1168"/>
    <col min="10241" max="10241" width="9.6640625" style="1168" customWidth="1"/>
    <col min="10242" max="10243" width="9" style="1168"/>
    <col min="10244" max="10244" width="10.44140625" style="1168" customWidth="1"/>
    <col min="10245" max="10246" width="9.77734375" style="1168" customWidth="1"/>
    <col min="10247" max="10252" width="9" style="1168"/>
    <col min="10253" max="10253" width="0" style="1168" hidden="1" customWidth="1"/>
    <col min="10254" max="10496" width="9" style="1168"/>
    <col min="10497" max="10497" width="9.6640625" style="1168" customWidth="1"/>
    <col min="10498" max="10499" width="9" style="1168"/>
    <col min="10500" max="10500" width="10.44140625" style="1168" customWidth="1"/>
    <col min="10501" max="10502" width="9.77734375" style="1168" customWidth="1"/>
    <col min="10503" max="10508" width="9" style="1168"/>
    <col min="10509" max="10509" width="0" style="1168" hidden="1" customWidth="1"/>
    <col min="10510" max="10752" width="9" style="1168"/>
    <col min="10753" max="10753" width="9.6640625" style="1168" customWidth="1"/>
    <col min="10754" max="10755" width="9" style="1168"/>
    <col min="10756" max="10756" width="10.44140625" style="1168" customWidth="1"/>
    <col min="10757" max="10758" width="9.77734375" style="1168" customWidth="1"/>
    <col min="10759" max="10764" width="9" style="1168"/>
    <col min="10765" max="10765" width="0" style="1168" hidden="1" customWidth="1"/>
    <col min="10766" max="11008" width="9" style="1168"/>
    <col min="11009" max="11009" width="9.6640625" style="1168" customWidth="1"/>
    <col min="11010" max="11011" width="9" style="1168"/>
    <col min="11012" max="11012" width="10.44140625" style="1168" customWidth="1"/>
    <col min="11013" max="11014" width="9.77734375" style="1168" customWidth="1"/>
    <col min="11015" max="11020" width="9" style="1168"/>
    <col min="11021" max="11021" width="0" style="1168" hidden="1" customWidth="1"/>
    <col min="11022" max="11264" width="9" style="1168"/>
    <col min="11265" max="11265" width="9.6640625" style="1168" customWidth="1"/>
    <col min="11266" max="11267" width="9" style="1168"/>
    <col min="11268" max="11268" width="10.44140625" style="1168" customWidth="1"/>
    <col min="11269" max="11270" width="9.77734375" style="1168" customWidth="1"/>
    <col min="11271" max="11276" width="9" style="1168"/>
    <col min="11277" max="11277" width="0" style="1168" hidden="1" customWidth="1"/>
    <col min="11278" max="11520" width="9" style="1168"/>
    <col min="11521" max="11521" width="9.6640625" style="1168" customWidth="1"/>
    <col min="11522" max="11523" width="9" style="1168"/>
    <col min="11524" max="11524" width="10.44140625" style="1168" customWidth="1"/>
    <col min="11525" max="11526" width="9.77734375" style="1168" customWidth="1"/>
    <col min="11527" max="11532" width="9" style="1168"/>
    <col min="11533" max="11533" width="0" style="1168" hidden="1" customWidth="1"/>
    <col min="11534" max="11776" width="9" style="1168"/>
    <col min="11777" max="11777" width="9.6640625" style="1168" customWidth="1"/>
    <col min="11778" max="11779" width="9" style="1168"/>
    <col min="11780" max="11780" width="10.44140625" style="1168" customWidth="1"/>
    <col min="11781" max="11782" width="9.77734375" style="1168" customWidth="1"/>
    <col min="11783" max="11788" width="9" style="1168"/>
    <col min="11789" max="11789" width="0" style="1168" hidden="1" customWidth="1"/>
    <col min="11790" max="12032" width="9" style="1168"/>
    <col min="12033" max="12033" width="9.6640625" style="1168" customWidth="1"/>
    <col min="12034" max="12035" width="9" style="1168"/>
    <col min="12036" max="12036" width="10.44140625" style="1168" customWidth="1"/>
    <col min="12037" max="12038" width="9.77734375" style="1168" customWidth="1"/>
    <col min="12039" max="12044" width="9" style="1168"/>
    <col min="12045" max="12045" width="0" style="1168" hidden="1" customWidth="1"/>
    <col min="12046" max="12288" width="9" style="1168"/>
    <col min="12289" max="12289" width="9.6640625" style="1168" customWidth="1"/>
    <col min="12290" max="12291" width="9" style="1168"/>
    <col min="12292" max="12292" width="10.44140625" style="1168" customWidth="1"/>
    <col min="12293" max="12294" width="9.77734375" style="1168" customWidth="1"/>
    <col min="12295" max="12300" width="9" style="1168"/>
    <col min="12301" max="12301" width="0" style="1168" hidden="1" customWidth="1"/>
    <col min="12302" max="12544" width="9" style="1168"/>
    <col min="12545" max="12545" width="9.6640625" style="1168" customWidth="1"/>
    <col min="12546" max="12547" width="9" style="1168"/>
    <col min="12548" max="12548" width="10.44140625" style="1168" customWidth="1"/>
    <col min="12549" max="12550" width="9.77734375" style="1168" customWidth="1"/>
    <col min="12551" max="12556" width="9" style="1168"/>
    <col min="12557" max="12557" width="0" style="1168" hidden="1" customWidth="1"/>
    <col min="12558" max="12800" width="9" style="1168"/>
    <col min="12801" max="12801" width="9.6640625" style="1168" customWidth="1"/>
    <col min="12802" max="12803" width="9" style="1168"/>
    <col min="12804" max="12804" width="10.44140625" style="1168" customWidth="1"/>
    <col min="12805" max="12806" width="9.77734375" style="1168" customWidth="1"/>
    <col min="12807" max="12812" width="9" style="1168"/>
    <col min="12813" max="12813" width="0" style="1168" hidden="1" customWidth="1"/>
    <col min="12814" max="13056" width="9" style="1168"/>
    <col min="13057" max="13057" width="9.6640625" style="1168" customWidth="1"/>
    <col min="13058" max="13059" width="9" style="1168"/>
    <col min="13060" max="13060" width="10.44140625" style="1168" customWidth="1"/>
    <col min="13061" max="13062" width="9.77734375" style="1168" customWidth="1"/>
    <col min="13063" max="13068" width="9" style="1168"/>
    <col min="13069" max="13069" width="0" style="1168" hidden="1" customWidth="1"/>
    <col min="13070" max="13312" width="9" style="1168"/>
    <col min="13313" max="13313" width="9.6640625" style="1168" customWidth="1"/>
    <col min="13314" max="13315" width="9" style="1168"/>
    <col min="13316" max="13316" width="10.44140625" style="1168" customWidth="1"/>
    <col min="13317" max="13318" width="9.77734375" style="1168" customWidth="1"/>
    <col min="13319" max="13324" width="9" style="1168"/>
    <col min="13325" max="13325" width="0" style="1168" hidden="1" customWidth="1"/>
    <col min="13326" max="13568" width="9" style="1168"/>
    <col min="13569" max="13569" width="9.6640625" style="1168" customWidth="1"/>
    <col min="13570" max="13571" width="9" style="1168"/>
    <col min="13572" max="13572" width="10.44140625" style="1168" customWidth="1"/>
    <col min="13573" max="13574" width="9.77734375" style="1168" customWidth="1"/>
    <col min="13575" max="13580" width="9" style="1168"/>
    <col min="13581" max="13581" width="0" style="1168" hidden="1" customWidth="1"/>
    <col min="13582" max="13824" width="9" style="1168"/>
    <col min="13825" max="13825" width="9.6640625" style="1168" customWidth="1"/>
    <col min="13826" max="13827" width="9" style="1168"/>
    <col min="13828" max="13828" width="10.44140625" style="1168" customWidth="1"/>
    <col min="13829" max="13830" width="9.77734375" style="1168" customWidth="1"/>
    <col min="13831" max="13836" width="9" style="1168"/>
    <col min="13837" max="13837" width="0" style="1168" hidden="1" customWidth="1"/>
    <col min="13838" max="14080" width="9" style="1168"/>
    <col min="14081" max="14081" width="9.6640625" style="1168" customWidth="1"/>
    <col min="14082" max="14083" width="9" style="1168"/>
    <col min="14084" max="14084" width="10.44140625" style="1168" customWidth="1"/>
    <col min="14085" max="14086" width="9.77734375" style="1168" customWidth="1"/>
    <col min="14087" max="14092" width="9" style="1168"/>
    <col min="14093" max="14093" width="0" style="1168" hidden="1" customWidth="1"/>
    <col min="14094" max="14336" width="9" style="1168"/>
    <col min="14337" max="14337" width="9.6640625" style="1168" customWidth="1"/>
    <col min="14338" max="14339" width="9" style="1168"/>
    <col min="14340" max="14340" width="10.44140625" style="1168" customWidth="1"/>
    <col min="14341" max="14342" width="9.77734375" style="1168" customWidth="1"/>
    <col min="14343" max="14348" width="9" style="1168"/>
    <col min="14349" max="14349" width="0" style="1168" hidden="1" customWidth="1"/>
    <col min="14350" max="14592" width="9" style="1168"/>
    <col min="14593" max="14593" width="9.6640625" style="1168" customWidth="1"/>
    <col min="14594" max="14595" width="9" style="1168"/>
    <col min="14596" max="14596" width="10.44140625" style="1168" customWidth="1"/>
    <col min="14597" max="14598" width="9.77734375" style="1168" customWidth="1"/>
    <col min="14599" max="14604" width="9" style="1168"/>
    <col min="14605" max="14605" width="0" style="1168" hidden="1" customWidth="1"/>
    <col min="14606" max="14848" width="9" style="1168"/>
    <col min="14849" max="14849" width="9.6640625" style="1168" customWidth="1"/>
    <col min="14850" max="14851" width="9" style="1168"/>
    <col min="14852" max="14852" width="10.44140625" style="1168" customWidth="1"/>
    <col min="14853" max="14854" width="9.77734375" style="1168" customWidth="1"/>
    <col min="14855" max="14860" width="9" style="1168"/>
    <col min="14861" max="14861" width="0" style="1168" hidden="1" customWidth="1"/>
    <col min="14862" max="15104" width="9" style="1168"/>
    <col min="15105" max="15105" width="9.6640625" style="1168" customWidth="1"/>
    <col min="15106" max="15107" width="9" style="1168"/>
    <col min="15108" max="15108" width="10.44140625" style="1168" customWidth="1"/>
    <col min="15109" max="15110" width="9.77734375" style="1168" customWidth="1"/>
    <col min="15111" max="15116" width="9" style="1168"/>
    <col min="15117" max="15117" width="0" style="1168" hidden="1" customWidth="1"/>
    <col min="15118" max="15360" width="9" style="1168"/>
    <col min="15361" max="15361" width="9.6640625" style="1168" customWidth="1"/>
    <col min="15362" max="15363" width="9" style="1168"/>
    <col min="15364" max="15364" width="10.44140625" style="1168" customWidth="1"/>
    <col min="15365" max="15366" width="9.77734375" style="1168" customWidth="1"/>
    <col min="15367" max="15372" width="9" style="1168"/>
    <col min="15373" max="15373" width="0" style="1168" hidden="1" customWidth="1"/>
    <col min="15374" max="15616" width="9" style="1168"/>
    <col min="15617" max="15617" width="9.6640625" style="1168" customWidth="1"/>
    <col min="15618" max="15619" width="9" style="1168"/>
    <col min="15620" max="15620" width="10.44140625" style="1168" customWidth="1"/>
    <col min="15621" max="15622" width="9.77734375" style="1168" customWidth="1"/>
    <col min="15623" max="15628" width="9" style="1168"/>
    <col min="15629" max="15629" width="0" style="1168" hidden="1" customWidth="1"/>
    <col min="15630" max="15872" width="9" style="1168"/>
    <col min="15873" max="15873" width="9.6640625" style="1168" customWidth="1"/>
    <col min="15874" max="15875" width="9" style="1168"/>
    <col min="15876" max="15876" width="10.44140625" style="1168" customWidth="1"/>
    <col min="15877" max="15878" width="9.77734375" style="1168" customWidth="1"/>
    <col min="15879" max="15884" width="9" style="1168"/>
    <col min="15885" max="15885" width="0" style="1168" hidden="1" customWidth="1"/>
    <col min="15886" max="16128" width="9" style="1168"/>
    <col min="16129" max="16129" width="9.6640625" style="1168" customWidth="1"/>
    <col min="16130" max="16131" width="9" style="1168"/>
    <col min="16132" max="16132" width="10.44140625" style="1168" customWidth="1"/>
    <col min="16133" max="16134" width="9.77734375" style="1168" customWidth="1"/>
    <col min="16135" max="16140" width="9" style="1168"/>
    <col min="16141" max="16141" width="0" style="1168" hidden="1" customWidth="1"/>
    <col min="16142" max="16384" width="9" style="1168"/>
  </cols>
  <sheetData>
    <row r="1" spans="1:13" s="1161" customFormat="1" ht="60.75" thickBot="1">
      <c r="A1" s="1155" t="s">
        <v>293</v>
      </c>
      <c r="B1" s="1156" t="s">
        <v>294</v>
      </c>
      <c r="C1" s="1156" t="s">
        <v>295</v>
      </c>
      <c r="D1" s="1157" t="s">
        <v>296</v>
      </c>
      <c r="E1" s="1158" t="s">
        <v>297</v>
      </c>
      <c r="F1" s="1159" t="s">
        <v>298</v>
      </c>
      <c r="G1" s="1158" t="s">
        <v>305</v>
      </c>
      <c r="H1" s="1159" t="s">
        <v>306</v>
      </c>
      <c r="I1" s="1159" t="s">
        <v>299</v>
      </c>
      <c r="J1" s="1159" t="s">
        <v>300</v>
      </c>
      <c r="K1" s="1158" t="s">
        <v>301</v>
      </c>
      <c r="L1" s="1158" t="s">
        <v>302</v>
      </c>
      <c r="M1" s="1160" t="s">
        <v>303</v>
      </c>
    </row>
    <row r="2" spans="1:13">
      <c r="A2" s="1162" t="s">
        <v>304</v>
      </c>
      <c r="B2" s="1163">
        <v>1</v>
      </c>
      <c r="C2" s="1163">
        <v>4</v>
      </c>
      <c r="D2" s="1164">
        <v>2021</v>
      </c>
      <c r="E2" s="1165">
        <f>(IF('Daily HLP'!I4&gt;0,'Daily HLP'!I4,0))</f>
        <v>23696</v>
      </c>
      <c r="F2" s="1166">
        <v>9</v>
      </c>
      <c r="G2" s="1166">
        <f>(IF('Daily HLP'!M4&gt;0,'Daily HLP'!M4,0))</f>
        <v>969</v>
      </c>
      <c r="H2" s="1166">
        <v>51.5</v>
      </c>
      <c r="I2" s="1166">
        <f>(IF('Daily HLP'!P4&gt;0,'Daily HLP'!P4,0))</f>
        <v>193</v>
      </c>
      <c r="J2" s="1166">
        <v>100</v>
      </c>
      <c r="K2" s="1241">
        <f>Occupancy!G2</f>
        <v>148</v>
      </c>
      <c r="L2" s="1165">
        <f>Occupancy!F2</f>
        <v>363</v>
      </c>
      <c r="M2" s="1167" t="e">
        <f>E2*F2+G2*H2+#REF!*#REF!+I2*J2</f>
        <v>#REF!</v>
      </c>
    </row>
    <row r="3" spans="1:13">
      <c r="A3" s="1162" t="s">
        <v>304</v>
      </c>
      <c r="B3" s="1163">
        <f>B2+1</f>
        <v>2</v>
      </c>
      <c r="C3" s="1163">
        <v>4</v>
      </c>
      <c r="D3" s="1164">
        <v>2021</v>
      </c>
      <c r="E3" s="1165">
        <f>(IF('Daily HLP'!I5&gt;0,'Daily HLP'!I5,0))</f>
        <v>22156</v>
      </c>
      <c r="F3" s="1166">
        <v>9</v>
      </c>
      <c r="G3" s="1166">
        <f>(IF('Daily HLP'!M5&gt;0,'Daily HLP'!M5,0))</f>
        <v>982</v>
      </c>
      <c r="H3" s="1166">
        <v>51.5</v>
      </c>
      <c r="I3" s="1166">
        <f>(IF('Daily HLP'!P5&gt;0,'Daily HLP'!P5,0))</f>
        <v>173</v>
      </c>
      <c r="J3" s="1166">
        <v>100</v>
      </c>
      <c r="K3" s="1241">
        <f>Occupancy!G3</f>
        <v>178</v>
      </c>
      <c r="L3" s="1165">
        <f>Occupancy!F3</f>
        <v>232</v>
      </c>
      <c r="M3" s="1167" t="e">
        <f>E3*F3+G3*H3+#REF!*#REF!+I3*J3</f>
        <v>#REF!</v>
      </c>
    </row>
    <row r="4" spans="1:13">
      <c r="A4" s="1162" t="s">
        <v>304</v>
      </c>
      <c r="B4" s="1163">
        <f t="shared" ref="B4:B31" si="0">B3+1</f>
        <v>3</v>
      </c>
      <c r="C4" s="1163">
        <v>4</v>
      </c>
      <c r="D4" s="1164">
        <v>2021</v>
      </c>
      <c r="E4" s="1165">
        <f>(IF('Daily HLP'!I6&gt;0,'Daily HLP'!I6,0))</f>
        <v>21071</v>
      </c>
      <c r="F4" s="1166">
        <v>9</v>
      </c>
      <c r="G4" s="1166">
        <f>(IF('Daily HLP'!M6&gt;0,'Daily HLP'!M6,0))</f>
        <v>1003</v>
      </c>
      <c r="H4" s="1166">
        <v>51.5</v>
      </c>
      <c r="I4" s="1166">
        <f>(IF('Daily HLP'!P6&gt;0,'Daily HLP'!P6,0))</f>
        <v>153</v>
      </c>
      <c r="J4" s="1166">
        <v>100</v>
      </c>
      <c r="K4" s="1241">
        <f>Occupancy!G4</f>
        <v>194</v>
      </c>
      <c r="L4" s="1165">
        <f>Occupancy!F4</f>
        <v>230</v>
      </c>
      <c r="M4" s="1167" t="e">
        <f>E4*F4+G4*H4+#REF!*#REF!+I4*J4</f>
        <v>#REF!</v>
      </c>
    </row>
    <row r="5" spans="1:13">
      <c r="A5" s="1162" t="s">
        <v>304</v>
      </c>
      <c r="B5" s="1163">
        <f t="shared" si="0"/>
        <v>4</v>
      </c>
      <c r="C5" s="1163">
        <v>4</v>
      </c>
      <c r="D5" s="1164">
        <v>2021</v>
      </c>
      <c r="E5" s="1165">
        <f>(IF('Daily HLP'!I7&gt;0,'Daily HLP'!I7,0))</f>
        <v>21717</v>
      </c>
      <c r="F5" s="1166">
        <v>9</v>
      </c>
      <c r="G5" s="1166">
        <f>(IF('Daily HLP'!M7&gt;0,'Daily HLP'!M7,0))</f>
        <v>978</v>
      </c>
      <c r="H5" s="1166">
        <v>51.5</v>
      </c>
      <c r="I5" s="1166">
        <f>(IF('Daily HLP'!P7&gt;0,'Daily HLP'!P7,0))</f>
        <v>174</v>
      </c>
      <c r="J5" s="1166">
        <v>100</v>
      </c>
      <c r="K5" s="1241">
        <f>Occupancy!G5</f>
        <v>195</v>
      </c>
      <c r="L5" s="1165">
        <f>Occupancy!F5</f>
        <v>233</v>
      </c>
      <c r="M5" s="1167" t="e">
        <f>E5*F5+G5*H5+#REF!*#REF!+I5*J5</f>
        <v>#REF!</v>
      </c>
    </row>
    <row r="6" spans="1:13">
      <c r="A6" s="1162" t="s">
        <v>304</v>
      </c>
      <c r="B6" s="1163">
        <f t="shared" si="0"/>
        <v>5</v>
      </c>
      <c r="C6" s="1163">
        <v>4</v>
      </c>
      <c r="D6" s="1164">
        <v>2021</v>
      </c>
      <c r="E6" s="1165">
        <f>(IF('Daily HLP'!I8&gt;0,'Daily HLP'!I8,0))</f>
        <v>21598</v>
      </c>
      <c r="F6" s="1166">
        <v>9</v>
      </c>
      <c r="G6" s="1166">
        <f>(IF('Daily HLP'!M8&gt;0,'Daily HLP'!M8,0))</f>
        <v>935</v>
      </c>
      <c r="H6" s="1166">
        <v>51.5</v>
      </c>
      <c r="I6" s="1166">
        <f>(IF('Daily HLP'!P8&gt;0,'Daily HLP'!P8,0))</f>
        <v>178</v>
      </c>
      <c r="J6" s="1166">
        <v>100</v>
      </c>
      <c r="K6" s="1241">
        <f>Occupancy!G6</f>
        <v>193</v>
      </c>
      <c r="L6" s="1165">
        <f>Occupancy!F6</f>
        <v>157</v>
      </c>
      <c r="M6" s="1167" t="e">
        <f>E6*F6+G6*H6+#REF!*#REF!+I6*J6</f>
        <v>#REF!</v>
      </c>
    </row>
    <row r="7" spans="1:13">
      <c r="A7" s="1162" t="s">
        <v>304</v>
      </c>
      <c r="B7" s="1163">
        <f t="shared" si="0"/>
        <v>6</v>
      </c>
      <c r="C7" s="1163">
        <v>4</v>
      </c>
      <c r="D7" s="1164">
        <v>2021</v>
      </c>
      <c r="E7" s="1165">
        <f>(IF('Daily HLP'!I9&gt;0,'Daily HLP'!I9,0))</f>
        <v>20745</v>
      </c>
      <c r="F7" s="1166">
        <v>9</v>
      </c>
      <c r="G7" s="1166">
        <f>(IF('Daily HLP'!M9&gt;0,'Daily HLP'!M9,0))</f>
        <v>883</v>
      </c>
      <c r="H7" s="1166">
        <v>51.5</v>
      </c>
      <c r="I7" s="1166">
        <f>(IF('Daily HLP'!P9&gt;0,'Daily HLP'!P9,0))</f>
        <v>156</v>
      </c>
      <c r="J7" s="1166">
        <v>100</v>
      </c>
      <c r="K7" s="1241">
        <f>Occupancy!G7</f>
        <v>194</v>
      </c>
      <c r="L7" s="1165">
        <f>Occupancy!F7</f>
        <v>142</v>
      </c>
      <c r="M7" s="1167" t="e">
        <f>E7*F7+G7*H7+#REF!*#REF!+I7*J7</f>
        <v>#REF!</v>
      </c>
    </row>
    <row r="8" spans="1:13">
      <c r="A8" s="1162" t="s">
        <v>304</v>
      </c>
      <c r="B8" s="1163">
        <f t="shared" si="0"/>
        <v>7</v>
      </c>
      <c r="C8" s="1163">
        <v>4</v>
      </c>
      <c r="D8" s="1164">
        <v>2021</v>
      </c>
      <c r="E8" s="1165">
        <f>(IF('Daily HLP'!I10&gt;0,'Daily HLP'!I10,0))</f>
        <v>21932</v>
      </c>
      <c r="F8" s="1166">
        <v>9</v>
      </c>
      <c r="G8" s="1166">
        <f>(IF('Daily HLP'!M10&gt;0,'Daily HLP'!M10,0))</f>
        <v>898</v>
      </c>
      <c r="H8" s="1166">
        <v>51.5</v>
      </c>
      <c r="I8" s="1166">
        <f>(IF('Daily HLP'!P10&gt;0,'Daily HLP'!P10,0))</f>
        <v>157</v>
      </c>
      <c r="J8" s="1166">
        <v>100</v>
      </c>
      <c r="K8" s="1241">
        <f>Occupancy!G8</f>
        <v>187</v>
      </c>
      <c r="L8" s="1165">
        <f>Occupancy!F8</f>
        <v>128</v>
      </c>
      <c r="M8" s="1167" t="e">
        <f>E8*F8+G8*H8+#REF!*#REF!+I8*J8</f>
        <v>#REF!</v>
      </c>
    </row>
    <row r="9" spans="1:13">
      <c r="A9" s="1162" t="s">
        <v>304</v>
      </c>
      <c r="B9" s="1163">
        <f t="shared" si="0"/>
        <v>8</v>
      </c>
      <c r="C9" s="1163">
        <v>4</v>
      </c>
      <c r="D9" s="1164">
        <v>2021</v>
      </c>
      <c r="E9" s="1165">
        <f>(IF('Daily HLP'!I11&gt;0,'Daily HLP'!I11,0))</f>
        <v>21591</v>
      </c>
      <c r="F9" s="1166">
        <v>9</v>
      </c>
      <c r="G9" s="1166">
        <f>(IF('Daily HLP'!M11&gt;0,'Daily HLP'!M11,0))</f>
        <v>952.0319999998901</v>
      </c>
      <c r="H9" s="1166">
        <v>51.5</v>
      </c>
      <c r="I9" s="1166">
        <f>(IF('Daily HLP'!P11&gt;0,'Daily HLP'!P11,0))</f>
        <v>156</v>
      </c>
      <c r="J9" s="1166">
        <v>100</v>
      </c>
      <c r="K9" s="1241">
        <f>Occupancy!G9</f>
        <v>172</v>
      </c>
      <c r="L9" s="1165">
        <f>Occupancy!F9</f>
        <v>89</v>
      </c>
      <c r="M9" s="1167" t="e">
        <f>E9*F9+G9*H9+#REF!*#REF!+I9*J9</f>
        <v>#REF!</v>
      </c>
    </row>
    <row r="10" spans="1:13">
      <c r="A10" s="1162" t="s">
        <v>304</v>
      </c>
      <c r="B10" s="1163">
        <f t="shared" si="0"/>
        <v>9</v>
      </c>
      <c r="C10" s="1163">
        <v>4</v>
      </c>
      <c r="D10" s="1164">
        <v>2021</v>
      </c>
      <c r="E10" s="1165">
        <f>(IF('Daily HLP'!I12&gt;0,'Daily HLP'!I12,0))</f>
        <v>0</v>
      </c>
      <c r="F10" s="1166">
        <v>9</v>
      </c>
      <c r="G10" s="1166">
        <f>(IF('Daily HLP'!M12&gt;0,'Daily HLP'!M12,0))</f>
        <v>0</v>
      </c>
      <c r="H10" s="1166">
        <v>51.5</v>
      </c>
      <c r="I10" s="1166">
        <f>(IF('Daily HLP'!P12&gt;0,'Daily HLP'!P12,0))</f>
        <v>0</v>
      </c>
      <c r="J10" s="1166">
        <v>100</v>
      </c>
      <c r="K10" s="1241">
        <f>Occupancy!G10</f>
        <v>0</v>
      </c>
      <c r="L10" s="1165">
        <f>Occupancy!F10</f>
        <v>0</v>
      </c>
      <c r="M10" s="1167" t="e">
        <f>E10*F10+G10*H10+#REF!*#REF!+I10*J10</f>
        <v>#REF!</v>
      </c>
    </row>
    <row r="11" spans="1:13">
      <c r="A11" s="1162" t="s">
        <v>304</v>
      </c>
      <c r="B11" s="1163">
        <f t="shared" si="0"/>
        <v>10</v>
      </c>
      <c r="C11" s="1163">
        <v>4</v>
      </c>
      <c r="D11" s="1164">
        <v>2021</v>
      </c>
      <c r="E11" s="1165">
        <f>(IF('Daily HLP'!I13&gt;0,'Daily HLP'!I13,0))</f>
        <v>21790</v>
      </c>
      <c r="F11" s="1166">
        <v>9</v>
      </c>
      <c r="G11" s="1166">
        <f>(IF('Daily HLP'!M13&gt;0,'Daily HLP'!M13,0))</f>
        <v>847.12999999988824</v>
      </c>
      <c r="H11" s="1166">
        <v>51.5</v>
      </c>
      <c r="I11" s="1166">
        <f>(IF('Daily HLP'!P13&gt;0,'Daily HLP'!P13,0))</f>
        <v>152</v>
      </c>
      <c r="J11" s="1166">
        <v>100</v>
      </c>
      <c r="K11" s="1241">
        <f>Occupancy!G11</f>
        <v>0</v>
      </c>
      <c r="L11" s="1165">
        <f>Occupancy!F11</f>
        <v>0</v>
      </c>
      <c r="M11" s="1167" t="e">
        <f>E11*F11+G11*H11+#REF!*#REF!+I11*J11</f>
        <v>#REF!</v>
      </c>
    </row>
    <row r="12" spans="1:13">
      <c r="A12" s="1162" t="s">
        <v>304</v>
      </c>
      <c r="B12" s="1163">
        <f t="shared" si="0"/>
        <v>11</v>
      </c>
      <c r="C12" s="1163">
        <v>4</v>
      </c>
      <c r="D12" s="1164">
        <v>2021</v>
      </c>
      <c r="E12" s="1165">
        <f>(IF('Daily HLP'!I14&gt;0,'Daily HLP'!I14,0))</f>
        <v>21316</v>
      </c>
      <c r="F12" s="1166">
        <v>9</v>
      </c>
      <c r="G12" s="1166">
        <f>(IF('Daily HLP'!M14&gt;0,'Daily HLP'!M14,0))</f>
        <v>852</v>
      </c>
      <c r="H12" s="1166">
        <v>51.5</v>
      </c>
      <c r="I12" s="1166">
        <f>(IF('Daily HLP'!P14&gt;0,'Daily HLP'!P14,0))</f>
        <v>171</v>
      </c>
      <c r="J12" s="1166">
        <v>100</v>
      </c>
      <c r="K12" s="1241">
        <f>Occupancy!G12</f>
        <v>0</v>
      </c>
      <c r="L12" s="1165">
        <f>Occupancy!F12</f>
        <v>0</v>
      </c>
      <c r="M12" s="1167" t="e">
        <f>E12*F12+G12*H12+#REF!*#REF!+I12*J12</f>
        <v>#REF!</v>
      </c>
    </row>
    <row r="13" spans="1:13">
      <c r="A13" s="1162" t="s">
        <v>304</v>
      </c>
      <c r="B13" s="1163">
        <f t="shared" si="0"/>
        <v>12</v>
      </c>
      <c r="C13" s="1163">
        <v>4</v>
      </c>
      <c r="D13" s="1164">
        <v>2021</v>
      </c>
      <c r="E13" s="1165">
        <f>(IF('Daily HLP'!I15&gt;0,'Daily HLP'!I15,0))</f>
        <v>21182</v>
      </c>
      <c r="F13" s="1166">
        <v>9</v>
      </c>
      <c r="G13" s="1166">
        <f>(IF('Daily HLP'!M15&gt;0,'Daily HLP'!M15,0))</f>
        <v>804.77000000001863</v>
      </c>
      <c r="H13" s="1166">
        <v>51.5</v>
      </c>
      <c r="I13" s="1166">
        <f>(IF('Daily HLP'!P15&gt;0,'Daily HLP'!P15,0))</f>
        <v>154</v>
      </c>
      <c r="J13" s="1166">
        <v>100</v>
      </c>
      <c r="K13" s="1241">
        <f>Occupancy!G13</f>
        <v>0</v>
      </c>
      <c r="L13" s="1165">
        <f>Occupancy!F13</f>
        <v>0</v>
      </c>
      <c r="M13" s="1167" t="e">
        <f>E13*F13+G13*H13+#REF!*#REF!+I13*J13</f>
        <v>#REF!</v>
      </c>
    </row>
    <row r="14" spans="1:13">
      <c r="A14" s="1162" t="s">
        <v>304</v>
      </c>
      <c r="B14" s="1163">
        <f t="shared" si="0"/>
        <v>13</v>
      </c>
      <c r="C14" s="1163">
        <v>4</v>
      </c>
      <c r="D14" s="1164">
        <v>2021</v>
      </c>
      <c r="E14" s="1165">
        <f>(IF('Daily HLP'!I16&gt;0,'Daily HLP'!I16,0))</f>
        <v>21531</v>
      </c>
      <c r="F14" s="1166">
        <v>9</v>
      </c>
      <c r="G14" s="1166">
        <f>(IF('Daily HLP'!M16&gt;0,'Daily HLP'!M16,0))</f>
        <v>836.22999999998137</v>
      </c>
      <c r="H14" s="1166">
        <v>51.5</v>
      </c>
      <c r="I14" s="1166">
        <f>(IF('Daily HLP'!P16&gt;0,'Daily HLP'!P16,0))</f>
        <v>213</v>
      </c>
      <c r="J14" s="1166">
        <v>100</v>
      </c>
      <c r="K14" s="1241">
        <f>Occupancy!G14</f>
        <v>0</v>
      </c>
      <c r="L14" s="1165">
        <f>Occupancy!F14</f>
        <v>0</v>
      </c>
      <c r="M14" s="1167" t="e">
        <f>E14*F14+G14*H14+#REF!*#REF!+I14*J14</f>
        <v>#REF!</v>
      </c>
    </row>
    <row r="15" spans="1:13">
      <c r="A15" s="1162" t="s">
        <v>304</v>
      </c>
      <c r="B15" s="1163">
        <f t="shared" si="0"/>
        <v>14</v>
      </c>
      <c r="C15" s="1163">
        <v>4</v>
      </c>
      <c r="D15" s="1164">
        <v>2021</v>
      </c>
      <c r="E15" s="1165">
        <f>(IF('Daily HLP'!I17&gt;0,'Daily HLP'!I17,0))</f>
        <v>20968</v>
      </c>
      <c r="F15" s="1166">
        <v>9</v>
      </c>
      <c r="G15" s="1166">
        <f>(IF('Daily HLP'!M17&gt;0,'Daily HLP'!M17,0))</f>
        <v>855</v>
      </c>
      <c r="H15" s="1166">
        <v>51.5</v>
      </c>
      <c r="I15" s="1166">
        <f>(IF('Daily HLP'!P17&gt;0,'Daily HLP'!P17,0))</f>
        <v>232</v>
      </c>
      <c r="J15" s="1166">
        <v>100</v>
      </c>
      <c r="K15" s="1241">
        <f>Occupancy!G15</f>
        <v>0</v>
      </c>
      <c r="L15" s="1165">
        <f>Occupancy!F15</f>
        <v>0</v>
      </c>
      <c r="M15" s="1167" t="e">
        <f>E15*F15+G15*H15+#REF!*#REF!+I15*J15</f>
        <v>#REF!</v>
      </c>
    </row>
    <row r="16" spans="1:13">
      <c r="A16" s="1162" t="s">
        <v>304</v>
      </c>
      <c r="B16" s="1163">
        <f t="shared" si="0"/>
        <v>15</v>
      </c>
      <c r="C16" s="1163">
        <v>4</v>
      </c>
      <c r="D16" s="1164">
        <v>2021</v>
      </c>
      <c r="E16" s="1165">
        <f>(IF('Daily HLP'!I18&gt;0,'Daily HLP'!I18,0))</f>
        <v>20985</v>
      </c>
      <c r="F16" s="1166">
        <v>9</v>
      </c>
      <c r="G16" s="1166">
        <f>(IF('Daily HLP'!M18&gt;0,'Daily HLP'!M18,0))</f>
        <v>827.70900000003166</v>
      </c>
      <c r="H16" s="1166">
        <v>51.5</v>
      </c>
      <c r="I16" s="1166">
        <f>(IF('Daily HLP'!P18&gt;0,'Daily HLP'!P18,0))</f>
        <v>175</v>
      </c>
      <c r="J16" s="1166">
        <v>100</v>
      </c>
      <c r="K16" s="1241">
        <f>Occupancy!G16</f>
        <v>0</v>
      </c>
      <c r="L16" s="1165">
        <f>Occupancy!F16</f>
        <v>0</v>
      </c>
      <c r="M16" s="1167" t="e">
        <f>E16*F16+G16*H16+#REF!*#REF!+I16*J16</f>
        <v>#REF!</v>
      </c>
    </row>
    <row r="17" spans="1:13">
      <c r="A17" s="1162" t="s">
        <v>304</v>
      </c>
      <c r="B17" s="1163">
        <f t="shared" si="0"/>
        <v>16</v>
      </c>
      <c r="C17" s="1163">
        <v>4</v>
      </c>
      <c r="D17" s="1164">
        <v>2021</v>
      </c>
      <c r="E17" s="1165">
        <f>(IF('Daily HLP'!I19&gt;0,'Daily HLP'!I19,0))</f>
        <v>20449</v>
      </c>
      <c r="F17" s="1166">
        <v>9</v>
      </c>
      <c r="G17" s="1166">
        <f>(IF('Daily HLP'!M19&gt;0,'Daily HLP'!M19,0))</f>
        <v>821.11100000003353</v>
      </c>
      <c r="H17" s="1166">
        <v>51.5</v>
      </c>
      <c r="I17" s="1166">
        <f>(IF('Daily HLP'!P19&gt;0,'Daily HLP'!P19,0))</f>
        <v>154</v>
      </c>
      <c r="J17" s="1166">
        <v>100</v>
      </c>
      <c r="K17" s="1241">
        <f>Occupancy!G17</f>
        <v>0</v>
      </c>
      <c r="L17" s="1165">
        <f>Occupancy!F17</f>
        <v>0</v>
      </c>
      <c r="M17" s="1167" t="e">
        <f>E17*F17+G17*H17+#REF!*#REF!+I17*J17</f>
        <v>#REF!</v>
      </c>
    </row>
    <row r="18" spans="1:13">
      <c r="A18" s="1162" t="s">
        <v>304</v>
      </c>
      <c r="B18" s="1163">
        <f t="shared" si="0"/>
        <v>17</v>
      </c>
      <c r="C18" s="1163">
        <v>4</v>
      </c>
      <c r="D18" s="1164">
        <v>2021</v>
      </c>
      <c r="E18" s="1165">
        <f>(IF('Daily HLP'!I20&gt;0,'Daily HLP'!I20,0))</f>
        <v>20248</v>
      </c>
      <c r="F18" s="1166">
        <v>9</v>
      </c>
      <c r="G18" s="1166">
        <f>(IF('Daily HLP'!M20&gt;0,'Daily HLP'!M20,0))</f>
        <v>780.70900000003166</v>
      </c>
      <c r="H18" s="1166">
        <v>51.5</v>
      </c>
      <c r="I18" s="1166">
        <f>(IF('Daily HLP'!P20&gt;0,'Daily HLP'!P20,0))</f>
        <v>173</v>
      </c>
      <c r="J18" s="1166">
        <v>100</v>
      </c>
      <c r="K18" s="1241">
        <f>Occupancy!G18</f>
        <v>0</v>
      </c>
      <c r="L18" s="1165">
        <f>Occupancy!F18</f>
        <v>0</v>
      </c>
      <c r="M18" s="1167" t="e">
        <f>E18*F18+G18*H18+#REF!*#REF!+I18*J18</f>
        <v>#REF!</v>
      </c>
    </row>
    <row r="19" spans="1:13">
      <c r="A19" s="1162" t="s">
        <v>304</v>
      </c>
      <c r="B19" s="1163">
        <f t="shared" si="0"/>
        <v>18</v>
      </c>
      <c r="C19" s="1163">
        <v>4</v>
      </c>
      <c r="D19" s="1164">
        <v>2021</v>
      </c>
      <c r="E19" s="1165">
        <f>(IF('Daily HLP'!I21&gt;0,'Daily HLP'!I21,0))</f>
        <v>23409</v>
      </c>
      <c r="F19" s="1166">
        <v>9</v>
      </c>
      <c r="G19" s="1166">
        <f>(IF('Daily HLP'!M21&gt;0,'Daily HLP'!M21,0))</f>
        <v>810.4749999998603</v>
      </c>
      <c r="H19" s="1166">
        <v>51.5</v>
      </c>
      <c r="I19" s="1166">
        <f>(IF('Daily HLP'!P21&gt;0,'Daily HLP'!P21,0))</f>
        <v>133</v>
      </c>
      <c r="J19" s="1166">
        <v>100</v>
      </c>
      <c r="K19" s="1241">
        <f>Occupancy!G19</f>
        <v>0</v>
      </c>
      <c r="L19" s="1165">
        <f>Occupancy!F19</f>
        <v>0</v>
      </c>
      <c r="M19" s="1167" t="e">
        <f>E19*F19+G19*H19+#REF!*#REF!+I19*J19</f>
        <v>#REF!</v>
      </c>
    </row>
    <row r="20" spans="1:13">
      <c r="A20" s="1162" t="s">
        <v>304</v>
      </c>
      <c r="B20" s="1163">
        <f t="shared" si="0"/>
        <v>19</v>
      </c>
      <c r="C20" s="1163">
        <v>4</v>
      </c>
      <c r="D20" s="1164">
        <v>2021</v>
      </c>
      <c r="E20" s="1165">
        <f>(IF('Daily HLP'!I22&gt;0,'Daily HLP'!I22,0))</f>
        <v>19811</v>
      </c>
      <c r="F20" s="1166">
        <v>9</v>
      </c>
      <c r="G20" s="1166">
        <f>(IF('Daily HLP'!M22&gt;0,'Daily HLP'!M22,0))</f>
        <v>806.65599999995902</v>
      </c>
      <c r="H20" s="1166">
        <v>51.5</v>
      </c>
      <c r="I20" s="1166">
        <f>(IF('Daily HLP'!P22&gt;0,'Daily HLP'!P22,0))</f>
        <v>171</v>
      </c>
      <c r="J20" s="1166">
        <v>100</v>
      </c>
      <c r="K20" s="1241">
        <f>Occupancy!G20</f>
        <v>0</v>
      </c>
      <c r="L20" s="1165">
        <f>Occupancy!F20</f>
        <v>0</v>
      </c>
      <c r="M20" s="1167" t="e">
        <f>E20*F20+G20*H20+#REF!*#REF!+I20*J20</f>
        <v>#REF!</v>
      </c>
    </row>
    <row r="21" spans="1:13">
      <c r="A21" s="1162" t="s">
        <v>304</v>
      </c>
      <c r="B21" s="1163">
        <f t="shared" si="0"/>
        <v>20</v>
      </c>
      <c r="C21" s="1163">
        <v>4</v>
      </c>
      <c r="D21" s="1164">
        <v>2021</v>
      </c>
      <c r="E21" s="1165">
        <f>(IF('Daily HLP'!I23&gt;0,'Daily HLP'!I23,0))</f>
        <v>21543</v>
      </c>
      <c r="F21" s="1166">
        <v>9</v>
      </c>
      <c r="G21" s="1166">
        <f>(IF('Daily HLP'!M23&gt;0,'Daily HLP'!M23,0))</f>
        <v>922.34000000008382</v>
      </c>
      <c r="H21" s="1166">
        <v>51.5</v>
      </c>
      <c r="I21" s="1166">
        <f>(IF('Daily HLP'!P23&gt;0,'Daily HLP'!P23,0))</f>
        <v>152</v>
      </c>
      <c r="J21" s="1166">
        <v>100</v>
      </c>
      <c r="K21" s="1241">
        <f>Occupancy!G21</f>
        <v>0</v>
      </c>
      <c r="L21" s="1165">
        <f>Occupancy!F21</f>
        <v>0</v>
      </c>
      <c r="M21" s="1167" t="e">
        <f>E21*F21+G21*H21+#REF!*#REF!+I21*J21</f>
        <v>#REF!</v>
      </c>
    </row>
    <row r="22" spans="1:13">
      <c r="A22" s="1162" t="s">
        <v>304</v>
      </c>
      <c r="B22" s="1163">
        <f t="shared" si="0"/>
        <v>21</v>
      </c>
      <c r="C22" s="1163">
        <v>4</v>
      </c>
      <c r="D22" s="1164">
        <v>2021</v>
      </c>
      <c r="E22" s="1165">
        <f>(IF('Daily HLP'!I24&gt;0,'Daily HLP'!I24,0))</f>
        <v>21518</v>
      </c>
      <c r="F22" s="1166">
        <v>9</v>
      </c>
      <c r="G22" s="1166">
        <f>(IF('Daily HLP'!M24&gt;0,'Daily HLP'!M24,0))</f>
        <v>979.96999999997206</v>
      </c>
      <c r="H22" s="1166">
        <v>51.5</v>
      </c>
      <c r="I22" s="1166">
        <f>(IF('Daily HLP'!P24&gt;0,'Daily HLP'!P24,0))</f>
        <v>203</v>
      </c>
      <c r="J22" s="1166">
        <v>100</v>
      </c>
      <c r="K22" s="1241">
        <f>Occupancy!G22</f>
        <v>0</v>
      </c>
      <c r="L22" s="1165">
        <f>Occupancy!F22</f>
        <v>0</v>
      </c>
      <c r="M22" s="1167" t="e">
        <f>E22*F22+G22*H22+#REF!*#REF!+I22*J22</f>
        <v>#REF!</v>
      </c>
    </row>
    <row r="23" spans="1:13">
      <c r="A23" s="1162" t="s">
        <v>304</v>
      </c>
      <c r="B23" s="1163">
        <f t="shared" si="0"/>
        <v>22</v>
      </c>
      <c r="C23" s="1163">
        <v>4</v>
      </c>
      <c r="D23" s="1164">
        <v>2021</v>
      </c>
      <c r="E23" s="1165">
        <f>(IF('Daily HLP'!I25&gt;0,'Daily HLP'!I25,0))</f>
        <v>21653</v>
      </c>
      <c r="F23" s="1166">
        <v>9</v>
      </c>
      <c r="G23" s="1166">
        <f>(IF('Daily HLP'!M25&gt;0,'Daily HLP'!M25,0))</f>
        <v>949.80000000004657</v>
      </c>
      <c r="H23" s="1166">
        <v>51.5</v>
      </c>
      <c r="I23" s="1166">
        <f>(IF('Daily HLP'!P25&gt;0,'Daily HLP'!P25,0))</f>
        <v>174</v>
      </c>
      <c r="J23" s="1166">
        <v>100</v>
      </c>
      <c r="K23" s="1241">
        <f>Occupancy!G23</f>
        <v>0</v>
      </c>
      <c r="L23" s="1165">
        <f>Occupancy!F23</f>
        <v>0</v>
      </c>
      <c r="M23" s="1167" t="e">
        <f>E23*F23+G23*H23+#REF!*#REF!+I23*J23</f>
        <v>#REF!</v>
      </c>
    </row>
    <row r="24" spans="1:13">
      <c r="A24" s="1162" t="s">
        <v>304</v>
      </c>
      <c r="B24" s="1163">
        <f t="shared" si="0"/>
        <v>23</v>
      </c>
      <c r="C24" s="1163">
        <v>4</v>
      </c>
      <c r="D24" s="1164">
        <v>2021</v>
      </c>
      <c r="E24" s="1165">
        <f>(IF('Daily HLP'!I26&gt;0,'Daily HLP'!I26,0))</f>
        <v>20933</v>
      </c>
      <c r="F24" s="1166">
        <v>9</v>
      </c>
      <c r="G24" s="1166">
        <f>(IF('Daily HLP'!M26&gt;0,'Daily HLP'!M26,0))</f>
        <v>913.22999999998137</v>
      </c>
      <c r="H24" s="1166">
        <v>51.5</v>
      </c>
      <c r="I24" s="1166">
        <f>(IF('Daily HLP'!P26&gt;0,'Daily HLP'!P26,0))</f>
        <v>152</v>
      </c>
      <c r="J24" s="1166">
        <v>100</v>
      </c>
      <c r="K24" s="1241">
        <f>Occupancy!G24</f>
        <v>0</v>
      </c>
      <c r="L24" s="1165">
        <f>Occupancy!F24</f>
        <v>0</v>
      </c>
      <c r="M24" s="1167" t="e">
        <f>E24*F24+G24*H24+#REF!*#REF!+I24*J24</f>
        <v>#REF!</v>
      </c>
    </row>
    <row r="25" spans="1:13">
      <c r="A25" s="1162" t="s">
        <v>304</v>
      </c>
      <c r="B25" s="1163">
        <f t="shared" si="0"/>
        <v>24</v>
      </c>
      <c r="C25" s="1163">
        <v>4</v>
      </c>
      <c r="D25" s="1164">
        <v>2021</v>
      </c>
      <c r="E25" s="1165">
        <f>(IF('Daily HLP'!I27&gt;0,'Daily HLP'!I27,0))</f>
        <v>21281</v>
      </c>
      <c r="F25" s="1166">
        <v>9</v>
      </c>
      <c r="G25" s="1166">
        <f>(IF('Daily HLP'!M27&gt;0,'Daily HLP'!M27,0))</f>
        <v>296</v>
      </c>
      <c r="H25" s="1166">
        <v>51.5</v>
      </c>
      <c r="I25" s="1166">
        <f>(IF('Daily HLP'!P27&gt;0,'Daily HLP'!P27,0))</f>
        <v>194</v>
      </c>
      <c r="J25" s="1166">
        <v>100</v>
      </c>
      <c r="K25" s="1241">
        <f>Occupancy!G25</f>
        <v>0</v>
      </c>
      <c r="L25" s="1165">
        <f>Occupancy!F25</f>
        <v>0</v>
      </c>
      <c r="M25" s="1167" t="e">
        <f>E25*F25+G25*H25+#REF!*#REF!+I25*J25</f>
        <v>#REF!</v>
      </c>
    </row>
    <row r="26" spans="1:13">
      <c r="A26" s="1162" t="s">
        <v>304</v>
      </c>
      <c r="B26" s="1163">
        <f>B25+1</f>
        <v>25</v>
      </c>
      <c r="C26" s="1163">
        <v>4</v>
      </c>
      <c r="D26" s="1164">
        <v>2021</v>
      </c>
      <c r="E26" s="1165">
        <f>(IF('Daily HLP'!I28&gt;0,'Daily HLP'!I28,0))</f>
        <v>20465</v>
      </c>
      <c r="F26" s="1166">
        <v>9</v>
      </c>
      <c r="G26" s="1166">
        <f>(IF('Daily HLP'!M28&gt;0,'Daily HLP'!M28,0))</f>
        <v>923.00300000002608</v>
      </c>
      <c r="H26" s="1166">
        <v>51.5</v>
      </c>
      <c r="I26" s="1166">
        <f>(IF('Daily HLP'!P28&gt;0,'Daily HLP'!P28,0))</f>
        <v>195</v>
      </c>
      <c r="J26" s="1166">
        <v>100</v>
      </c>
      <c r="K26" s="1241">
        <f>Occupancy!G26</f>
        <v>0</v>
      </c>
      <c r="L26" s="1165">
        <f>Occupancy!F26</f>
        <v>0</v>
      </c>
      <c r="M26" s="1167" t="e">
        <f>E26*F26+G26*H26+#REF!*#REF!+I26*J26</f>
        <v>#REF!</v>
      </c>
    </row>
    <row r="27" spans="1:13">
      <c r="A27" s="1162" t="s">
        <v>304</v>
      </c>
      <c r="B27" s="1163">
        <f t="shared" si="0"/>
        <v>26</v>
      </c>
      <c r="C27" s="1163">
        <v>4</v>
      </c>
      <c r="D27" s="1164">
        <v>2021</v>
      </c>
      <c r="E27" s="1165">
        <f>(IF('Daily HLP'!I29&gt;0,'Daily HLP'!I29,0))</f>
        <v>21360</v>
      </c>
      <c r="F27" s="1166">
        <v>9</v>
      </c>
      <c r="G27" s="1166">
        <f>(IF('Daily HLP'!M29&gt;0,'Daily HLP'!M29,0))</f>
        <v>869.26799999992363</v>
      </c>
      <c r="H27" s="1166">
        <v>51.5</v>
      </c>
      <c r="I27" s="1166">
        <f>(IF('Daily HLP'!P29&gt;0,'Daily HLP'!P29,0))</f>
        <v>243</v>
      </c>
      <c r="J27" s="1166">
        <v>100</v>
      </c>
      <c r="K27" s="1241">
        <f>Occupancy!G27</f>
        <v>0</v>
      </c>
      <c r="L27" s="1165">
        <f>Occupancy!F27</f>
        <v>0</v>
      </c>
      <c r="M27" s="1167" t="e">
        <f>E27*F27+G27*H27+#REF!*#REF!+I27*J27</f>
        <v>#REF!</v>
      </c>
    </row>
    <row r="28" spans="1:13">
      <c r="A28" s="1162" t="s">
        <v>304</v>
      </c>
      <c r="B28" s="1163">
        <f t="shared" si="0"/>
        <v>27</v>
      </c>
      <c r="C28" s="1163">
        <v>4</v>
      </c>
      <c r="D28" s="1164">
        <v>2021</v>
      </c>
      <c r="E28" s="1165">
        <f>(IF('Daily HLP'!I30&gt;0,'Daily HLP'!I30,0))</f>
        <v>20883</v>
      </c>
      <c r="F28" s="1166">
        <v>9</v>
      </c>
      <c r="G28" s="1166">
        <f>(IF('Daily HLP'!M30&gt;0,'Daily HLP'!M30,0))</f>
        <v>882.58100000000559</v>
      </c>
      <c r="H28" s="1166">
        <v>51.5</v>
      </c>
      <c r="I28" s="1166">
        <f>(IF('Daily HLP'!P30&gt;0,'Daily HLP'!P30,0))</f>
        <v>234</v>
      </c>
      <c r="J28" s="1166">
        <v>100</v>
      </c>
      <c r="K28" s="1241">
        <f>Occupancy!G28</f>
        <v>0</v>
      </c>
      <c r="L28" s="1165">
        <f>Occupancy!F28</f>
        <v>0</v>
      </c>
      <c r="M28" s="1167" t="e">
        <f>E28*F28+G28*H28+#REF!*#REF!+I28*J28</f>
        <v>#REF!</v>
      </c>
    </row>
    <row r="29" spans="1:13">
      <c r="A29" s="1162" t="s">
        <v>304</v>
      </c>
      <c r="B29" s="1163">
        <f t="shared" si="0"/>
        <v>28</v>
      </c>
      <c r="C29" s="1163">
        <v>4</v>
      </c>
      <c r="D29" s="1164">
        <v>2021</v>
      </c>
      <c r="E29" s="1165">
        <f>(IF('Daily HLP'!I31&gt;0,'Daily HLP'!I31,0))</f>
        <v>23587</v>
      </c>
      <c r="F29" s="1166">
        <v>9</v>
      </c>
      <c r="G29" s="1166">
        <f>(IF('Daily HLP'!M31&gt;0,'Daily HLP'!M31,0))</f>
        <v>933.62800000002608</v>
      </c>
      <c r="H29" s="1166">
        <v>51.5</v>
      </c>
      <c r="I29" s="1166">
        <f>(IF('Daily HLP'!P31&gt;0,'Daily HLP'!P31,0))</f>
        <v>232</v>
      </c>
      <c r="J29" s="1166">
        <v>100</v>
      </c>
      <c r="K29" s="1241">
        <f>Occupancy!G29</f>
        <v>0</v>
      </c>
      <c r="L29" s="1165">
        <f>Occupancy!F29</f>
        <v>0</v>
      </c>
      <c r="M29" s="1167" t="e">
        <f>E29*F29+G29*H29+#REF!*#REF!+I29*J29</f>
        <v>#REF!</v>
      </c>
    </row>
    <row r="30" spans="1:13">
      <c r="A30" s="1162" t="s">
        <v>304</v>
      </c>
      <c r="B30" s="1163">
        <f t="shared" si="0"/>
        <v>29</v>
      </c>
      <c r="C30" s="1163">
        <v>4</v>
      </c>
      <c r="D30" s="1164">
        <v>2021</v>
      </c>
      <c r="E30" s="1165">
        <f>(IF('Daily HLP'!I32&gt;0,'Daily HLP'!I32,0))</f>
        <v>23666</v>
      </c>
      <c r="F30" s="1166">
        <v>9</v>
      </c>
      <c r="G30" s="1166">
        <f>(IF('Daily HLP'!M32&gt;0,'Daily HLP'!M32,0))</f>
        <v>941.48999999999069</v>
      </c>
      <c r="H30" s="1166">
        <v>51.5</v>
      </c>
      <c r="I30" s="1166">
        <f>(IF('Daily HLP'!P32&gt;0,'Daily HLP'!P32,0))</f>
        <v>213</v>
      </c>
      <c r="J30" s="1166">
        <v>100</v>
      </c>
      <c r="K30" s="1241">
        <f>Occupancy!G30</f>
        <v>0</v>
      </c>
      <c r="L30" s="1165">
        <f>Occupancy!F30</f>
        <v>0</v>
      </c>
      <c r="M30" s="1167" t="e">
        <f>E30*F30+G30*H30+#REF!*#REF!+I30*J30</f>
        <v>#REF!</v>
      </c>
    </row>
    <row r="31" spans="1:13">
      <c r="A31" s="1162" t="s">
        <v>304</v>
      </c>
      <c r="B31" s="1163">
        <f t="shared" si="0"/>
        <v>30</v>
      </c>
      <c r="C31" s="1163">
        <v>4</v>
      </c>
      <c r="D31" s="1164">
        <v>2021</v>
      </c>
      <c r="E31" s="1165">
        <f>(IF('Daily HLP'!I33&gt;0,'Daily HLP'!I33,0))</f>
        <v>23482</v>
      </c>
      <c r="F31" s="1166">
        <v>9</v>
      </c>
      <c r="G31" s="1166">
        <f>(IF('Daily HLP'!M33&gt;0,'Daily HLP'!M33,0))</f>
        <v>927.03000000002794</v>
      </c>
      <c r="H31" s="1166">
        <v>51.5</v>
      </c>
      <c r="I31" s="1166">
        <f>(IF('Daily HLP'!P33&gt;0,'Daily HLP'!P33,0))</f>
        <v>193</v>
      </c>
      <c r="J31" s="1166">
        <v>100</v>
      </c>
      <c r="K31" s="1241">
        <f>Occupancy!G31</f>
        <v>0</v>
      </c>
      <c r="L31" s="1165">
        <f>Occupancy!F31</f>
        <v>0</v>
      </c>
      <c r="M31" s="1167" t="e">
        <f>E31*F31+G31*H31+#REF!*#REF!+I31*J31</f>
        <v>#REF!</v>
      </c>
    </row>
    <row r="32" spans="1:13" s="1165" customFormat="1">
      <c r="A32" s="1169"/>
      <c r="B32" s="1163"/>
      <c r="C32" s="1163"/>
      <c r="D32" s="1164"/>
      <c r="F32" s="1166"/>
      <c r="G32" s="1166"/>
      <c r="H32" s="1166"/>
      <c r="I32" s="1166"/>
      <c r="J32" s="1166"/>
      <c r="M32" s="1168"/>
    </row>
    <row r="33" spans="1:13" s="1165" customFormat="1">
      <c r="A33" s="1169"/>
      <c r="B33" s="1163"/>
      <c r="C33" s="1163"/>
      <c r="D33" s="1164"/>
      <c r="F33" s="1166"/>
      <c r="G33" s="1166"/>
      <c r="H33" s="1166"/>
      <c r="I33" s="1166"/>
      <c r="J33" s="1166"/>
      <c r="M33" s="1168"/>
    </row>
    <row r="34" spans="1:13" s="1165" customFormat="1">
      <c r="A34" s="1169"/>
      <c r="B34" s="1163"/>
      <c r="C34" s="1163"/>
      <c r="D34" s="1164"/>
      <c r="F34" s="1166"/>
      <c r="G34" s="1166"/>
      <c r="H34" s="1166"/>
      <c r="I34" s="1166"/>
      <c r="J34" s="1166"/>
      <c r="M34" s="1168"/>
    </row>
    <row r="35" spans="1:13" s="1165" customFormat="1">
      <c r="A35" s="1169"/>
      <c r="B35" s="1163"/>
      <c r="C35" s="1163"/>
      <c r="D35" s="1164"/>
      <c r="F35" s="1166"/>
      <c r="G35" s="1166"/>
      <c r="H35" s="1166"/>
      <c r="I35" s="1166"/>
      <c r="J35" s="1166"/>
      <c r="M35" s="1168"/>
    </row>
    <row r="36" spans="1:13" s="1165" customFormat="1">
      <c r="A36" s="1169"/>
      <c r="B36" s="1163"/>
      <c r="C36" s="1163"/>
      <c r="D36" s="1164"/>
      <c r="F36" s="1166"/>
      <c r="G36" s="1166"/>
      <c r="H36" s="1166"/>
      <c r="I36" s="1166"/>
      <c r="J36" s="1166"/>
      <c r="M36" s="1168"/>
    </row>
    <row r="37" spans="1:13" s="1165" customFormat="1">
      <c r="A37" s="1169"/>
      <c r="B37" s="1163"/>
      <c r="C37" s="1163"/>
      <c r="D37" s="1164"/>
      <c r="F37" s="1166"/>
      <c r="G37" s="1166"/>
      <c r="H37" s="1166"/>
      <c r="I37" s="1166"/>
      <c r="J37" s="1166"/>
      <c r="M37" s="1168"/>
    </row>
    <row r="38" spans="1:13" s="1165" customFormat="1">
      <c r="A38" s="1169"/>
      <c r="B38" s="1163"/>
      <c r="C38" s="1163"/>
      <c r="D38" s="1164"/>
      <c r="F38" s="1166"/>
      <c r="G38" s="1166"/>
      <c r="H38" s="1166"/>
      <c r="I38" s="1166"/>
      <c r="J38" s="1166"/>
      <c r="M38" s="116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3" customWidth="1"/>
    <col min="2" max="3" width="9" style="1287" customWidth="1"/>
    <col min="4" max="4" width="10.44140625" style="1287" customWidth="1"/>
    <col min="5" max="29" width="9.77734375" style="1303" customWidth="1"/>
    <col min="30" max="30" width="9" style="1303"/>
    <col min="31" max="31" width="9" style="1304"/>
    <col min="32" max="32" width="9" style="1303"/>
    <col min="33" max="39" width="9" style="1305"/>
    <col min="40" max="40" width="9" style="1383"/>
    <col min="41" max="49" width="9" style="1305"/>
    <col min="50" max="58" width="9" style="1383"/>
    <col min="59" max="65" width="9" style="1305"/>
    <col min="66" max="16384" width="9" style="1286"/>
  </cols>
  <sheetData>
    <row r="1" spans="1:65" s="1283" customFormat="1" ht="60" customHeight="1">
      <c r="A1" s="1281" t="s">
        <v>293</v>
      </c>
      <c r="B1" s="1282" t="s">
        <v>294</v>
      </c>
      <c r="C1" s="1282" t="s">
        <v>295</v>
      </c>
      <c r="D1" s="1282" t="s">
        <v>296</v>
      </c>
      <c r="E1" s="1297" t="str">
        <f>'Section Load'!F4</f>
        <v>HVAC</v>
      </c>
      <c r="F1" s="1297" t="str">
        <f>'Section Load'!G4</f>
        <v>Fire &amp; Emergency PP</v>
      </c>
      <c r="G1" s="1297" t="str">
        <f>'Section Load'!H4</f>
        <v>Main PP</v>
      </c>
      <c r="H1" s="1297" t="str">
        <f>'Section Load'!I4</f>
        <v>Lighting PP</v>
      </c>
      <c r="I1" s="1297" t="str">
        <f>'Section Load'!J4</f>
        <v>CH-1+ CH2+CH3+CH4</v>
      </c>
      <c r="J1" s="1297" t="str">
        <f>'Section Load'!K4</f>
        <v>Chilled water Pump</v>
      </c>
      <c r="K1" s="1297" t="str">
        <f>'Section Load'!L4</f>
        <v>Ball Room-1</v>
      </c>
      <c r="L1" s="1297" t="str">
        <f>'Section Load'!M4</f>
        <v>Ball Room-2</v>
      </c>
      <c r="M1" s="1297" t="str">
        <f>'Section Load'!N4</f>
        <v>MK-1</v>
      </c>
      <c r="N1" s="1297" t="str">
        <f>'Section Load'!O4</f>
        <v>MK-2</v>
      </c>
      <c r="O1" s="1297" t="str">
        <f>'Section Load'!P4</f>
        <v>Prato</v>
      </c>
      <c r="P1" s="1297" t="str">
        <f>'Section Load'!Q4</f>
        <v>San- Qi Indian</v>
      </c>
      <c r="Q1" s="1297" t="str">
        <f>'Section Load'!R4</f>
        <v>San- Qi Japanese</v>
      </c>
      <c r="R1" s="1297" t="str">
        <f>'Section Load'!S4</f>
        <v>The club</v>
      </c>
      <c r="S1" s="1297" t="str">
        <f>'Section Load'!T4</f>
        <v>AER</v>
      </c>
      <c r="T1" s="1297" t="str">
        <f>'Section Load'!U4</f>
        <v>COLD ROOM'S</v>
      </c>
      <c r="U1" s="1297" t="str">
        <f>'Section Load'!V4</f>
        <v>Ball Room 1</v>
      </c>
      <c r="V1" s="1297" t="str">
        <f>'Section Load'!W4</f>
        <v>Ball Room 2</v>
      </c>
      <c r="W1" s="1297" t="str">
        <f>'Section Load'!X4</f>
        <v>B1 Laundry</v>
      </c>
      <c r="X1" s="1297" t="str">
        <f>'Section Load'!Y4</f>
        <v>B2 Laundry</v>
      </c>
      <c r="Y1" s="1297" t="str">
        <f>'Section Load'!Z4</f>
        <v>STP</v>
      </c>
      <c r="Z1" s="1297" t="str">
        <f>'Section Load'!AA4</f>
        <v>MOCK Up Room</v>
      </c>
      <c r="AA1" s="1297" t="str">
        <f>'Section Load'!AB4</f>
        <v>27th Floor</v>
      </c>
      <c r="AB1" s="1297" t="str">
        <f>'Section Load'!AC4</f>
        <v>Physic57</v>
      </c>
      <c r="AC1" s="1297" t="str">
        <f>'Section Load'!AD4</f>
        <v>Pinoor Legal- Power+lighting</v>
      </c>
      <c r="AD1" s="1297" t="str">
        <f>'Section Load'!AE4</f>
        <v>2nd floor plant room</v>
      </c>
      <c r="AE1" s="1297" t="str">
        <f>'Section Load'!AF4</f>
        <v>5th Floor</v>
      </c>
      <c r="AF1" s="1297" t="str">
        <f>'Section Load'!AG4</f>
        <v>5th Floor</v>
      </c>
      <c r="AG1" s="1297" t="str">
        <f>'Section Load'!AH4</f>
        <v>12th Floor</v>
      </c>
      <c r="AH1" s="1297" t="str">
        <f>'Section Load'!AI4</f>
        <v>20th Floor</v>
      </c>
      <c r="AI1" s="1297" t="str">
        <f>'Section Load'!AJ4</f>
        <v>27th Floor</v>
      </c>
      <c r="AJ1" s="1297" t="str">
        <f>'Section Load'!AK4</f>
        <v>34th Floor</v>
      </c>
      <c r="AK1" s="1297" t="str">
        <f>'Section Load'!AL4</f>
        <v>Sanqi</v>
      </c>
      <c r="AL1" s="1297" t="str">
        <f>'Section Load'!AM4</f>
        <v>Cooling Tower</v>
      </c>
      <c r="AM1" s="1298" t="s">
        <v>323</v>
      </c>
      <c r="AN1" s="1381" t="s">
        <v>207</v>
      </c>
      <c r="AO1" s="1298" t="s">
        <v>209</v>
      </c>
      <c r="AP1" s="1298" t="s">
        <v>210</v>
      </c>
      <c r="AQ1" s="1298" t="s">
        <v>211</v>
      </c>
      <c r="AR1" s="1298" t="s">
        <v>212</v>
      </c>
      <c r="AS1" s="1298" t="s">
        <v>213</v>
      </c>
      <c r="AT1" s="1298" t="s">
        <v>214</v>
      </c>
      <c r="AU1" s="1298" t="s">
        <v>219</v>
      </c>
      <c r="AV1" s="1298" t="s">
        <v>77</v>
      </c>
      <c r="AW1" s="1298" t="s">
        <v>78</v>
      </c>
      <c r="AX1" s="1381" t="s">
        <v>220</v>
      </c>
      <c r="AY1" s="1381" t="s">
        <v>221</v>
      </c>
      <c r="AZ1" s="1381" t="s">
        <v>222</v>
      </c>
      <c r="BA1" s="1381" t="s">
        <v>224</v>
      </c>
      <c r="BB1" s="1381" t="s">
        <v>225</v>
      </c>
      <c r="BC1" s="1381" t="s">
        <v>352</v>
      </c>
      <c r="BD1" s="1381" t="s">
        <v>350</v>
      </c>
      <c r="BE1" s="1381" t="s">
        <v>324</v>
      </c>
      <c r="BF1" s="1381" t="s">
        <v>325</v>
      </c>
      <c r="BG1" s="1299" t="str">
        <f>'Section Load'!AN4</f>
        <v>MGL</v>
      </c>
      <c r="BH1" s="1299" t="str">
        <f>'Section Load'!AO4</f>
        <v>HWG</v>
      </c>
      <c r="BI1" s="1299" t="str">
        <f>'Section Load'!AP4</f>
        <v>Prato</v>
      </c>
      <c r="BJ1" s="1299" t="str">
        <f>'Section Load'!AQ4</f>
        <v>BR-1</v>
      </c>
      <c r="BK1" s="1299" t="str">
        <f>'Section Load'!AR4</f>
        <v>SanQi IND</v>
      </c>
      <c r="BL1" s="1299" t="str">
        <f>'Section Load'!AS4</f>
        <v>SanQi JPN</v>
      </c>
      <c r="BM1" s="1299" t="str">
        <f>'Section Load'!AT4</f>
        <v>Boiler</v>
      </c>
    </row>
    <row r="2" spans="1:65" ht="15" customHeight="1">
      <c r="A2" s="1284" t="s">
        <v>304</v>
      </c>
      <c r="B2" s="1285">
        <v>1</v>
      </c>
      <c r="C2" s="1285">
        <v>4</v>
      </c>
      <c r="D2" s="1285">
        <v>2021</v>
      </c>
      <c r="E2" s="1300">
        <f>(IF('Section Load'!F5&gt;0,'Section Load'!F5,0))</f>
        <v>3430</v>
      </c>
      <c r="F2" s="1300">
        <f>(IF('Section Load'!G5&gt;0,'Section Load'!G5,0))</f>
        <v>1448</v>
      </c>
      <c r="G2" s="1300">
        <f>(IF('Section Load'!H5&gt;0,'Section Load'!H5,0))</f>
        <v>1779</v>
      </c>
      <c r="H2" s="1300">
        <f>(IF('Section Load'!I5&gt;0,'Section Load'!I5,0))</f>
        <v>4613</v>
      </c>
      <c r="I2" s="1300">
        <f>(IF('Section Load'!J5&gt;0,'Section Load'!J5,0))</f>
        <v>6956.8399999999965</v>
      </c>
      <c r="J2" s="1300">
        <f>(IF('Section Load'!K5&gt;0,'Section Load'!K5,0))</f>
        <v>2596</v>
      </c>
      <c r="K2" s="1300">
        <f>(IF('Section Load'!L5&gt;0,'Section Load'!L5,0))</f>
        <v>1486</v>
      </c>
      <c r="L2" s="1300">
        <f>(IF('Section Load'!M5&gt;0,'Section Load'!M5,0))</f>
        <v>1016</v>
      </c>
      <c r="M2" s="1300">
        <f>(IF('Section Load'!N5&gt;0,'Section Load'!N5,0))</f>
        <v>122</v>
      </c>
      <c r="N2" s="1300">
        <f>(IF('Section Load'!O5&gt;0,'Section Load'!O5,0))</f>
        <v>4</v>
      </c>
      <c r="O2" s="1300">
        <f>(IF('Section Load'!P5&gt;0,'Section Load'!P5,0))</f>
        <v>19</v>
      </c>
      <c r="P2" s="1300">
        <f>(IF('Section Load'!Q5&gt;0,'Section Load'!Q5,0))</f>
        <v>150</v>
      </c>
      <c r="Q2" s="1300">
        <f>(IF('Section Load'!R5&gt;0,'Section Load'!R5,0))</f>
        <v>59</v>
      </c>
      <c r="R2" s="1300">
        <f>(IF('Section Load'!S5&gt;0,'Section Load'!S5,0))</f>
        <v>50</v>
      </c>
      <c r="S2" s="1300">
        <f>(IF('Section Load'!T5&gt;0,'Section Load'!T5,0))</f>
        <v>395</v>
      </c>
      <c r="T2" s="1300">
        <f>(IF('Section Load'!U5&gt;0,'Section Load'!U5,0))</f>
        <v>194</v>
      </c>
      <c r="U2" s="1300">
        <f>(IF('Section Load'!V5&gt;0,'Section Load'!V5,0))</f>
        <v>380</v>
      </c>
      <c r="V2" s="1300">
        <f>(IF('Section Load'!W5&gt;0,'Section Load'!W5,0))</f>
        <v>198</v>
      </c>
      <c r="W2" s="1300">
        <f>(IF('Section Load'!X5&gt;0,'Section Load'!X5,0))</f>
        <v>23</v>
      </c>
      <c r="X2" s="1300">
        <f>(IF('Section Load'!Y5&gt;0,'Section Load'!Y5,0))</f>
        <v>172</v>
      </c>
      <c r="Y2" s="1300">
        <f>(IF('Section Load'!Z5&gt;0,'Section Load'!Z5,0))</f>
        <v>239</v>
      </c>
      <c r="Z2" s="1300">
        <f>(IF('Section Load'!AA5&gt;0,'Section Load'!AA5,0))</f>
        <v>223</v>
      </c>
      <c r="AA2" s="1300">
        <f>(IF('Section Load'!AB5&gt;0,'Section Load'!AB5,0))</f>
        <v>34</v>
      </c>
      <c r="AB2" s="1300">
        <f>(IF('Section Load'!AC5&gt;0,'Section Load'!AC5,0))</f>
        <v>69</v>
      </c>
      <c r="AC2" s="1300">
        <f>(IF('Section Load'!AD5&gt;0,'Section Load'!AD5,0))</f>
        <v>45</v>
      </c>
      <c r="AD2" s="1300">
        <f>(IF('Section Load'!AE5&gt;0,'Section Load'!AE5,0))</f>
        <v>0</v>
      </c>
      <c r="AE2" s="1300">
        <f>(IF('Section Load'!AF5&gt;0,'Section Load'!AF5,0))</f>
        <v>12</v>
      </c>
      <c r="AF2" s="1300">
        <f>(IF('Section Load'!AG5&gt;0,'Section Load'!AG5,0))</f>
        <v>463</v>
      </c>
      <c r="AG2" s="1300">
        <f>(IF('Section Load'!AH5&gt;0,'Section Load'!AH5,0))</f>
        <v>364</v>
      </c>
      <c r="AH2" s="1300">
        <f>(IF('Section Load'!AI5&gt;0,'Section Load'!AI5,0))</f>
        <v>392</v>
      </c>
      <c r="AI2" s="1300">
        <f>(IF('Section Load'!AJ5&gt;0,'Section Load'!AJ5,0))</f>
        <v>695</v>
      </c>
      <c r="AJ2" s="1300">
        <f>(IF('Section Load'!AK5&gt;0,'Section Load'!AK5,0))</f>
        <v>322</v>
      </c>
      <c r="AK2" s="1300">
        <f>(IF('Section Load'!AL5&gt;0,'Section Load'!AL5,0))</f>
        <v>307</v>
      </c>
      <c r="AL2" s="1300">
        <f>(IF('Section Load'!AM5&gt;0,'Section Load'!AM5,0))</f>
        <v>915</v>
      </c>
      <c r="AM2" s="1301">
        <f>(IF('Water Report'!$D$7&gt;0,'Water Report'!$D$7,0))</f>
        <v>92</v>
      </c>
      <c r="AN2" s="1301">
        <f>(IF('Water Report'!$D$8&gt;0,'Water Report'!$D$8,0))</f>
        <v>127</v>
      </c>
      <c r="AO2" s="1301">
        <f>(IF('Water Report'!$D$9&gt;0,'Water Report'!$D$9,0))</f>
        <v>77</v>
      </c>
      <c r="AP2" s="1301">
        <f>(IF('Water Report'!$D$10&gt;0,'Water Report'!$D$10,0))</f>
        <v>17</v>
      </c>
      <c r="AQ2" s="1301">
        <f>(IF('Water Report'!$D$11&gt;0,'Water Report'!$D$11,0))</f>
        <v>20</v>
      </c>
      <c r="AR2" s="1301">
        <f>(IF('Water Report'!$D$13&gt;0,'Water Report'!$D$13,0))</f>
        <v>28</v>
      </c>
      <c r="AS2" s="1301">
        <f>(IF('Water Report'!$D$14&gt;0,'Water Report'!$D$14,0))</f>
        <v>20</v>
      </c>
      <c r="AT2" s="1301">
        <f>(IF('Water Report'!$D$15&gt;0,'Water Report'!$D$15,0))</f>
        <v>5</v>
      </c>
      <c r="AU2" s="1301">
        <f>(IF('Water Report'!$D$17&gt;0,'Water Report'!$D$17,0))</f>
        <v>8</v>
      </c>
      <c r="AV2" s="1301">
        <f>(IF('Water Report'!$D$18&gt;0,'Water Report'!$D$18,0))</f>
        <v>5</v>
      </c>
      <c r="AW2" s="1301">
        <f>(IF('Water Report'!$D$19&gt;0,'Water Report'!$D$19,0))</f>
        <v>5</v>
      </c>
      <c r="AX2" s="1382">
        <f>(IF('Water Report'!$D$21&gt;0,'Water Report'!$D$21,0))</f>
        <v>87</v>
      </c>
      <c r="AY2" s="1382">
        <f>(IF('Water Report'!$D$22&gt;0,'Water Report'!$D$22,0))</f>
        <v>30</v>
      </c>
      <c r="AZ2" s="1382">
        <f>(IF('Water Report'!$D$23&gt;0,'Water Report'!$D$23,0))</f>
        <v>21</v>
      </c>
      <c r="BA2" s="1382">
        <f>(IF('Water Report'!$D$14&gt;0,'Water Report'!$D$14,0))</f>
        <v>20</v>
      </c>
      <c r="BB2" s="1382">
        <f>(IF('Water Report'!$D$15&gt;0,'Water Report'!$D$15,0))</f>
        <v>5</v>
      </c>
      <c r="BC2" s="1382">
        <f>(IF('Water Report'!$D$13&gt;0,'Water Report'!$D$13,0))</f>
        <v>28</v>
      </c>
      <c r="BD2" s="1382">
        <f>(IF('Water Report'!$D$24&gt;0,'Water Report'!$D$24,0))</f>
        <v>193</v>
      </c>
      <c r="BE2" s="1382">
        <f>(IF('Water Report'!$D$25&gt;0,'Water Report'!$D$25,0))</f>
        <v>139</v>
      </c>
      <c r="BF2" s="1382">
        <f>(IF('Water Report'!$D$27&gt;0,'Water Report'!$D$27,0))</f>
        <v>136</v>
      </c>
      <c r="BG2" s="1302">
        <f>(IF('Section Load'!AN5&gt;0,'Section Load'!AN5,0))</f>
        <v>969</v>
      </c>
      <c r="BH2" s="1302">
        <f>(IF('Section Load'!AO5&gt;0,'Section Load'!AO5,0))</f>
        <v>257</v>
      </c>
      <c r="BI2" s="1302">
        <f>(IF('Section Load'!AP5&gt;0,'Section Load'!AP5,0))</f>
        <v>0</v>
      </c>
      <c r="BJ2" s="1302">
        <f>(IF('Section Load'!AQ5&gt;0,'Section Load'!AQ5,0))</f>
        <v>96</v>
      </c>
      <c r="BK2" s="1302">
        <f>(IF('Section Load'!AR5&gt;0,'Section Load'!AR5,0))</f>
        <v>0</v>
      </c>
      <c r="BL2" s="1302">
        <f>(IF('Section Load'!AS5&gt;0,'Section Load'!AS5,0))</f>
        <v>1</v>
      </c>
      <c r="BM2" s="1302">
        <f>(IF('Section Load'!AT5&gt;0,'Section Load'!AT5,0))</f>
        <v>615</v>
      </c>
    </row>
    <row r="3" spans="1:65">
      <c r="A3" s="1284" t="s">
        <v>304</v>
      </c>
      <c r="B3" s="1285">
        <f>B2+1</f>
        <v>2</v>
      </c>
      <c r="C3" s="1285">
        <v>4</v>
      </c>
      <c r="D3" s="1285">
        <v>2021</v>
      </c>
      <c r="E3" s="1300">
        <f>(IF('Section Load'!F6&gt;0,'Section Load'!F6,0))</f>
        <v>3377.1300000000047</v>
      </c>
      <c r="F3" s="1300">
        <f>(IF('Section Load'!G6&gt;0,'Section Load'!G6,0))</f>
        <v>1445</v>
      </c>
      <c r="G3" s="1300">
        <f>(IF('Section Load'!H6&gt;0,'Section Load'!H6,0))</f>
        <v>1823</v>
      </c>
      <c r="H3" s="1300">
        <f>(IF('Section Load'!I6&gt;0,'Section Load'!I6,0))</f>
        <v>3883</v>
      </c>
      <c r="I3" s="1300">
        <f>(IF('Section Load'!J6&gt;0,'Section Load'!J6,0))</f>
        <v>6251</v>
      </c>
      <c r="J3" s="1300">
        <f>(IF('Section Load'!K6&gt;0,'Section Load'!K6,0))</f>
        <v>2688</v>
      </c>
      <c r="K3" s="1300">
        <f>(IF('Section Load'!L6&gt;0,'Section Load'!L6,0))</f>
        <v>1086</v>
      </c>
      <c r="L3" s="1300">
        <f>(IF('Section Load'!M6&gt;0,'Section Load'!M6,0))</f>
        <v>922</v>
      </c>
      <c r="M3" s="1300">
        <f>(IF('Section Load'!N6&gt;0,'Section Load'!N6,0))</f>
        <v>108</v>
      </c>
      <c r="N3" s="1300">
        <f>(IF('Section Load'!O6&gt;0,'Section Load'!O6,0))</f>
        <v>1</v>
      </c>
      <c r="O3" s="1300">
        <f>(IF('Section Load'!P6&gt;0,'Section Load'!P6,0))</f>
        <v>20</v>
      </c>
      <c r="P3" s="1300">
        <f>(IF('Section Load'!Q6&gt;0,'Section Load'!Q6,0))</f>
        <v>136</v>
      </c>
      <c r="Q3" s="1300">
        <f>(IF('Section Load'!R6&gt;0,'Section Load'!R6,0))</f>
        <v>59</v>
      </c>
      <c r="R3" s="1300">
        <f>(IF('Section Load'!S6&gt;0,'Section Load'!S6,0))</f>
        <v>47</v>
      </c>
      <c r="S3" s="1300">
        <f>(IF('Section Load'!T6&gt;0,'Section Load'!T6,0))</f>
        <v>328</v>
      </c>
      <c r="T3" s="1300">
        <f>(IF('Section Load'!U6&gt;0,'Section Load'!U6,0))</f>
        <v>190</v>
      </c>
      <c r="U3" s="1300">
        <f>(IF('Section Load'!V6&gt;0,'Section Load'!V6,0))</f>
        <v>333</v>
      </c>
      <c r="V3" s="1300">
        <f>(IF('Section Load'!W6&gt;0,'Section Load'!W6,0))</f>
        <v>294</v>
      </c>
      <c r="W3" s="1300">
        <f>(IF('Section Load'!X6&gt;0,'Section Load'!X6,0))</f>
        <v>27</v>
      </c>
      <c r="X3" s="1300">
        <f>(IF('Section Load'!Y6&gt;0,'Section Load'!Y6,0))</f>
        <v>218</v>
      </c>
      <c r="Y3" s="1300">
        <f>(IF('Section Load'!Z6&gt;0,'Section Load'!Z6,0))</f>
        <v>276</v>
      </c>
      <c r="Z3" s="1300">
        <f>(IF('Section Load'!AA6&gt;0,'Section Load'!AA6,0))</f>
        <v>154</v>
      </c>
      <c r="AA3" s="1300">
        <f>(IF('Section Load'!AB6&gt;0,'Section Load'!AB6,0))</f>
        <v>33</v>
      </c>
      <c r="AB3" s="1300">
        <f>(IF('Section Load'!AC6&gt;0,'Section Load'!AC6,0))</f>
        <v>107</v>
      </c>
      <c r="AC3" s="1300">
        <f>(IF('Section Load'!AD6&gt;0,'Section Load'!AD6,0))</f>
        <v>43</v>
      </c>
      <c r="AD3" s="1300">
        <f>(IF('Section Load'!AE6&gt;0,'Section Load'!AE6,0))</f>
        <v>0</v>
      </c>
      <c r="AE3" s="1300">
        <f>(IF('Section Load'!AF6&gt;0,'Section Load'!AF6,0))</f>
        <v>10</v>
      </c>
      <c r="AF3" s="1300">
        <f>(IF('Section Load'!AG6&gt;0,'Section Load'!AG6,0))</f>
        <v>456</v>
      </c>
      <c r="AG3" s="1300">
        <f>(IF('Section Load'!AH6&gt;0,'Section Load'!AH6,0))</f>
        <v>362</v>
      </c>
      <c r="AH3" s="1300">
        <f>(IF('Section Load'!AI6&gt;0,'Section Load'!AI6,0))</f>
        <v>398</v>
      </c>
      <c r="AI3" s="1300">
        <f>(IF('Section Load'!AJ6&gt;0,'Section Load'!AJ6,0))</f>
        <v>629</v>
      </c>
      <c r="AJ3" s="1300">
        <f>(IF('Section Load'!AK6&gt;0,'Section Load'!AK6,0))</f>
        <v>306</v>
      </c>
      <c r="AK3" s="1300">
        <f>(IF('Section Load'!AL6&gt;0,'Section Load'!AL6,0))</f>
        <v>308</v>
      </c>
      <c r="AL3" s="1300">
        <f>(IF('Section Load'!AM6&gt;0,'Section Load'!AM6,0))</f>
        <v>920</v>
      </c>
      <c r="AM3" s="1301">
        <f>(IF('Water Report'!$E$7&gt;0,'Water Report'!$E$7,0))</f>
        <v>83</v>
      </c>
      <c r="AN3" s="1301">
        <f>(IF('Water Report'!$E$8&gt;0,'Water Report'!$E$8,0))</f>
        <v>143</v>
      </c>
      <c r="AO3" s="1301">
        <f>(IF('Water Report'!$E$9&gt;0,'Water Report'!$E$9,0))</f>
        <v>87</v>
      </c>
      <c r="AP3" s="1301">
        <f>(IF('Water Report'!$E$10&gt;0,'Water Report'!$E$10,0))</f>
        <v>19</v>
      </c>
      <c r="AQ3" s="1301">
        <f>(IF('Water Report'!$E$11&gt;0,'Water Report'!$E$11,0))</f>
        <v>14</v>
      </c>
      <c r="AR3" s="1301">
        <f>(IF('Water Report'!$E$13&gt;0,'Water Report'!$E$13,0))</f>
        <v>50</v>
      </c>
      <c r="AS3" s="1301">
        <f>(IF('Water Report'!$E$14&gt;0,'Water Report'!$E$14,0))</f>
        <v>14</v>
      </c>
      <c r="AT3" s="1301">
        <f>(IF('Water Report'!$E$15&gt;0,'Water Report'!$E$15,0))</f>
        <v>4</v>
      </c>
      <c r="AU3" s="1301">
        <f>(IF('Water Report'!$E$17&gt;0,'Water Report'!$E$17,0))</f>
        <v>0</v>
      </c>
      <c r="AV3" s="1301">
        <f>(IF('Water Report'!$E$18&gt;0,'Water Report'!$E$18,0))</f>
        <v>8</v>
      </c>
      <c r="AW3" s="1301">
        <f>(IF('Water Report'!$E$19&gt;0,'Water Report'!$E$19,0))</f>
        <v>7</v>
      </c>
      <c r="AX3" s="1382">
        <f>(IF('Water Report'!$E$21&gt;0,'Water Report'!$E$21,0))</f>
        <v>94</v>
      </c>
      <c r="AY3" s="1382">
        <f>(IF('Water Report'!$E$22&gt;0,'Water Report'!$E$22,0))</f>
        <v>14</v>
      </c>
      <c r="AZ3" s="1382">
        <f>(IF('Water Report'!$E$23&gt;0,'Water Report'!$E$23,0))</f>
        <v>9</v>
      </c>
      <c r="BA3" s="1382">
        <f>(IF('Water Report'!$E$14&gt;0,'Water Report'!$E$14,0))</f>
        <v>14</v>
      </c>
      <c r="BB3" s="1382">
        <f>(IF('Water Report'!$E$15&gt;0,'Water Report'!$E$15,0))</f>
        <v>4</v>
      </c>
      <c r="BC3" s="1382">
        <f>(IF('Water Report'!$E$13&gt;0,'Water Report'!$E$13,0))</f>
        <v>50</v>
      </c>
      <c r="BD3" s="1382">
        <f>(IF('Water Report'!$E$24&gt;0,'Water Report'!$E$24,0))</f>
        <v>173</v>
      </c>
      <c r="BE3" s="1382">
        <f>(IF('Water Report'!$E$25&gt;0,'Water Report'!$E$25,0))</f>
        <v>138</v>
      </c>
      <c r="BF3" s="1382">
        <f>(IF('Water Report'!$E$27&gt;0,'Water Report'!$E$27,0))</f>
        <v>153</v>
      </c>
      <c r="BG3" s="1302">
        <f>(IF('Section Load'!AN6&gt;0,'Section Load'!AN6,0))</f>
        <v>982</v>
      </c>
      <c r="BH3" s="1302">
        <f>(IF('Section Load'!AO6&gt;0,'Section Load'!AO6,0))</f>
        <v>231</v>
      </c>
      <c r="BI3" s="1302">
        <f>(IF('Section Load'!AP6&gt;0,'Section Load'!AP6,0))</f>
        <v>0</v>
      </c>
      <c r="BJ3" s="1302">
        <f>(IF('Section Load'!AQ6&gt;0,'Section Load'!AQ6,0))</f>
        <v>82</v>
      </c>
      <c r="BK3" s="1302">
        <f>(IF('Section Load'!AR6&gt;0,'Section Load'!AR6,0))</f>
        <v>0</v>
      </c>
      <c r="BL3" s="1302">
        <f>(IF('Section Load'!AS6&gt;0,'Section Load'!AS6,0))</f>
        <v>3</v>
      </c>
      <c r="BM3" s="1302">
        <f>(IF('Section Load'!AT6&gt;0,'Section Load'!AT6,0))</f>
        <v>666</v>
      </c>
    </row>
    <row r="4" spans="1:65">
      <c r="A4" s="1284" t="s">
        <v>304</v>
      </c>
      <c r="B4" s="1285">
        <f t="shared" ref="B4:B32" si="0">B3+1</f>
        <v>3</v>
      </c>
      <c r="C4" s="1285">
        <v>4</v>
      </c>
      <c r="D4" s="1285">
        <v>2021</v>
      </c>
      <c r="E4" s="1300">
        <f>(IF('Section Load'!F7&gt;0,'Section Load'!F7,0))</f>
        <v>3065</v>
      </c>
      <c r="F4" s="1300">
        <f>(IF('Section Load'!G7&gt;0,'Section Load'!G7,0))</f>
        <v>1432</v>
      </c>
      <c r="G4" s="1300">
        <f>(IF('Section Load'!H7&gt;0,'Section Load'!H7,0))</f>
        <v>1736</v>
      </c>
      <c r="H4" s="1300">
        <f>(IF('Section Load'!I7&gt;0,'Section Load'!I7,0))</f>
        <v>3855</v>
      </c>
      <c r="I4" s="1300">
        <f>(IF('Section Load'!J7&gt;0,'Section Load'!J7,0))</f>
        <v>5680</v>
      </c>
      <c r="J4" s="1300">
        <f>(IF('Section Load'!K7&gt;0,'Section Load'!K7,0))</f>
        <v>2426.33</v>
      </c>
      <c r="K4" s="1300">
        <f>(IF('Section Load'!L7&gt;0,'Section Load'!L7,0))</f>
        <v>1064</v>
      </c>
      <c r="L4" s="1300">
        <f>(IF('Section Load'!M7&gt;0,'Section Load'!M7,0))</f>
        <v>975</v>
      </c>
      <c r="M4" s="1300">
        <f>(IF('Section Load'!N7&gt;0,'Section Load'!N7,0))</f>
        <v>85</v>
      </c>
      <c r="N4" s="1300">
        <f>(IF('Section Load'!O7&gt;0,'Section Load'!O7,0))</f>
        <v>1</v>
      </c>
      <c r="O4" s="1300">
        <f>(IF('Section Load'!P7&gt;0,'Section Load'!P7,0))</f>
        <v>29</v>
      </c>
      <c r="P4" s="1300">
        <f>(IF('Section Load'!Q7&gt;0,'Section Load'!Q7,0))</f>
        <v>105</v>
      </c>
      <c r="Q4" s="1300">
        <f>(IF('Section Load'!R7&gt;0,'Section Load'!R7,0))</f>
        <v>69</v>
      </c>
      <c r="R4" s="1300">
        <f>(IF('Section Load'!S7&gt;0,'Section Load'!S7,0))</f>
        <v>44</v>
      </c>
      <c r="S4" s="1300">
        <f>(IF('Section Load'!T7&gt;0,'Section Load'!T7,0))</f>
        <v>290</v>
      </c>
      <c r="T4" s="1300">
        <f>(IF('Section Load'!U7&gt;0,'Section Load'!U7,0))</f>
        <v>192</v>
      </c>
      <c r="U4" s="1300">
        <f>(IF('Section Load'!V7&gt;0,'Section Load'!V7,0))</f>
        <v>315</v>
      </c>
      <c r="V4" s="1300">
        <f>(IF('Section Load'!W7&gt;0,'Section Load'!W7,0))</f>
        <v>240</v>
      </c>
      <c r="W4" s="1300">
        <f>(IF('Section Load'!X7&gt;0,'Section Load'!X7,0))</f>
        <v>20</v>
      </c>
      <c r="X4" s="1300">
        <f>(IF('Section Load'!Y7&gt;0,'Section Load'!Y7,0))</f>
        <v>181</v>
      </c>
      <c r="Y4" s="1300">
        <f>(IF('Section Load'!Z7&gt;0,'Section Load'!Z7,0))</f>
        <v>255</v>
      </c>
      <c r="Z4" s="1300">
        <f>(IF('Section Load'!AA7&gt;0,'Section Load'!AA7,0))</f>
        <v>156</v>
      </c>
      <c r="AA4" s="1300">
        <f>(IF('Section Load'!AB7&gt;0,'Section Load'!AB7,0))</f>
        <v>34</v>
      </c>
      <c r="AB4" s="1300">
        <f>(IF('Section Load'!AC7&gt;0,'Section Load'!AC7,0))</f>
        <v>92</v>
      </c>
      <c r="AC4" s="1300">
        <f>(IF('Section Load'!AD7&gt;0,'Section Load'!AD7,0))</f>
        <v>41</v>
      </c>
      <c r="AD4" s="1300">
        <f>(IF('Section Load'!AE7&gt;0,'Section Load'!AE7,0))</f>
        <v>0</v>
      </c>
      <c r="AE4" s="1300">
        <f>(IF('Section Load'!AF7&gt;0,'Section Load'!AF7,0))</f>
        <v>11</v>
      </c>
      <c r="AF4" s="1300">
        <f>(IF('Section Load'!AG7&gt;0,'Section Load'!AG7,0))</f>
        <v>453</v>
      </c>
      <c r="AG4" s="1300">
        <f>(IF('Section Load'!AH7&gt;0,'Section Load'!AH7,0))</f>
        <v>355</v>
      </c>
      <c r="AH4" s="1300">
        <f>(IF('Section Load'!AI7&gt;0,'Section Load'!AI7,0))</f>
        <v>433</v>
      </c>
      <c r="AI4" s="1300">
        <f>(IF('Section Load'!AJ7&gt;0,'Section Load'!AJ7,0))</f>
        <v>610</v>
      </c>
      <c r="AJ4" s="1300">
        <f>(IF('Section Load'!AK7&gt;0,'Section Load'!AK7,0))</f>
        <v>316</v>
      </c>
      <c r="AK4" s="1300">
        <f>(IF('Section Load'!AL7&gt;0,'Section Load'!AL7,0))</f>
        <v>308</v>
      </c>
      <c r="AL4" s="1300">
        <f>(IF('Section Load'!AM7&gt;0,'Section Load'!AM7,0))</f>
        <v>814</v>
      </c>
      <c r="AM4" s="1301">
        <f>(IF('Water Report'!$F$7&gt;0,'Water Report'!$F$7,0))</f>
        <v>77</v>
      </c>
      <c r="AN4" s="1301">
        <f>(IF('Water Report'!$F$8&gt;0,'Water Report'!$F$8,0))</f>
        <v>158</v>
      </c>
      <c r="AO4" s="1301">
        <f>(IF('Water Report'!$F$9&gt;0,'Water Report'!$G$9,0))</f>
        <v>71</v>
      </c>
      <c r="AP4" s="1301">
        <f>(IF('Water Report'!$F$10&gt;0,'Water Report'!$F$10,0))</f>
        <v>20</v>
      </c>
      <c r="AQ4" s="1301">
        <f>(IF('Water Report'!$F$11&gt;0,'Water Report'!$F$11,0))</f>
        <v>18</v>
      </c>
      <c r="AR4" s="1301">
        <f>(IF('Water Report'!$F$13&gt;0,'Water Report'!$F$13,0))</f>
        <v>56</v>
      </c>
      <c r="AS4" s="1301">
        <f>(IF('Water Report'!$F$14&gt;0,'Water Report'!$F$14,0))</f>
        <v>17</v>
      </c>
      <c r="AT4" s="1301">
        <f>(IF('Water Report'!$F$15&gt;0,'Water Report'!$F$15,0))</f>
        <v>5</v>
      </c>
      <c r="AU4" s="1301">
        <f>(IF('Water Report'!$F$17&gt;0,'Water Report'!$F$17,0))</f>
        <v>0</v>
      </c>
      <c r="AV4" s="1301">
        <f>(IF('Water Report'!$F$18&gt;0,'Water Report'!$F$18,0))</f>
        <v>7</v>
      </c>
      <c r="AW4" s="1301">
        <f>(IF('Water Report'!$F$19&gt;0,'Water Report'!$F$19,0))</f>
        <v>6</v>
      </c>
      <c r="AX4" s="1382">
        <f>(IF('Water Report'!$F$21&gt;0,'Water Report'!$F$21,0))</f>
        <v>88</v>
      </c>
      <c r="AY4" s="1382">
        <f>(IF('Water Report'!$F$22&gt;0,'Water Report'!$F$22,0))</f>
        <v>71</v>
      </c>
      <c r="AZ4" s="1382">
        <f>(IF('Water Report'!$F$23&gt;0,'Water Report'!$F$23,0))</f>
        <v>12</v>
      </c>
      <c r="BA4" s="1382">
        <f>(IF('Water Report'!$F$14&gt;0,'Water Report'!$F$14,0))</f>
        <v>17</v>
      </c>
      <c r="BB4" s="1382">
        <f>(IF('Water Report'!$F$15&gt;0,'Water Report'!$F$15,0))</f>
        <v>5</v>
      </c>
      <c r="BC4" s="1382">
        <f>(IF('Water Report'!$F$13&gt;0,'Water Report'!$F$13,0))</f>
        <v>56</v>
      </c>
      <c r="BD4" s="1382">
        <f>(IF('Water Report'!$F$24&gt;0,'Water Report'!$F$24,0))</f>
        <v>153</v>
      </c>
      <c r="BE4" s="1382">
        <f>(IF('Water Report'!$F$25&gt;0,'Water Report'!$F$25,0))</f>
        <v>132</v>
      </c>
      <c r="BF4" s="1382">
        <f>(IF('Water Report'!$F$27&gt;0,'Water Report'!$F$27,0))</f>
        <v>156</v>
      </c>
      <c r="BG4" s="1302">
        <f>(IF('Section Load'!AN7&gt;0,'Section Load'!AN7,0))</f>
        <v>1003</v>
      </c>
      <c r="BH4" s="1302">
        <f>(IF('Section Load'!AO7&gt;0,'Section Load'!AO7,0))</f>
        <v>272</v>
      </c>
      <c r="BI4" s="1302">
        <f>(IF('Section Load'!AP7&gt;0,'Section Load'!AP7,0))</f>
        <v>0</v>
      </c>
      <c r="BJ4" s="1302">
        <f>(IF('Section Load'!AQ7&gt;0,'Section Load'!AQ7,0))</f>
        <v>93</v>
      </c>
      <c r="BK4" s="1302">
        <f>(IF('Section Load'!AR7&gt;0,'Section Load'!AR7,0))</f>
        <v>10.5</v>
      </c>
      <c r="BL4" s="1302">
        <f>(IF('Section Load'!AS7&gt;0,'Section Load'!AS7,0))</f>
        <v>0</v>
      </c>
      <c r="BM4" s="1302">
        <f>(IF('Section Load'!AT7&gt;0,'Section Load'!AT7,0))</f>
        <v>627.89999999999418</v>
      </c>
    </row>
    <row r="5" spans="1:65">
      <c r="A5" s="1284" t="s">
        <v>304</v>
      </c>
      <c r="B5" s="1285">
        <f t="shared" si="0"/>
        <v>4</v>
      </c>
      <c r="C5" s="1285">
        <v>4</v>
      </c>
      <c r="D5" s="1285">
        <v>2021</v>
      </c>
      <c r="E5" s="1300">
        <f>(IF('Section Load'!F8&gt;0,'Section Load'!F8,0))</f>
        <v>3475.8699999999953</v>
      </c>
      <c r="F5" s="1300">
        <f>(IF('Section Load'!G8&gt;0,'Section Load'!G8,0))</f>
        <v>1390</v>
      </c>
      <c r="G5" s="1300">
        <f>(IF('Section Load'!H8&gt;0,'Section Load'!H8,0))</f>
        <v>1683.6999999999971</v>
      </c>
      <c r="H5" s="1300">
        <f>(IF('Section Load'!I8&gt;0,'Section Load'!I8,0))</f>
        <v>4271</v>
      </c>
      <c r="I5" s="1300">
        <f>(IF('Section Load'!J8&gt;0,'Section Load'!J8,0))</f>
        <v>6033</v>
      </c>
      <c r="J5" s="1300">
        <f>(IF('Section Load'!K8&gt;0,'Section Load'!K8,0))</f>
        <v>2475.67</v>
      </c>
      <c r="K5" s="1300">
        <f>(IF('Section Load'!L8&gt;0,'Section Load'!L8,0))</f>
        <v>1054</v>
      </c>
      <c r="L5" s="1300">
        <f>(IF('Section Load'!M8&gt;0,'Section Load'!M8,0))</f>
        <v>857</v>
      </c>
      <c r="M5" s="1300">
        <f>(IF('Section Load'!N8&gt;0,'Section Load'!N8,0))</f>
        <v>99</v>
      </c>
      <c r="N5" s="1300">
        <f>(IF('Section Load'!O8&gt;0,'Section Load'!O8,0))</f>
        <v>2</v>
      </c>
      <c r="O5" s="1300">
        <f>(IF('Section Load'!P8&gt;0,'Section Load'!P8,0))</f>
        <v>18</v>
      </c>
      <c r="P5" s="1300">
        <f>(IF('Section Load'!Q8&gt;0,'Section Load'!Q8,0))</f>
        <v>18</v>
      </c>
      <c r="Q5" s="1300">
        <f>(IF('Section Load'!R8&gt;0,'Section Load'!R8,0))</f>
        <v>74</v>
      </c>
      <c r="R5" s="1300">
        <f>(IF('Section Load'!S8&gt;0,'Section Load'!S8,0))</f>
        <v>45</v>
      </c>
      <c r="S5" s="1300">
        <f>(IF('Section Load'!T8&gt;0,'Section Load'!T8,0))</f>
        <v>357</v>
      </c>
      <c r="T5" s="1300">
        <f>(IF('Section Load'!U8&gt;0,'Section Load'!U8,0))</f>
        <v>184</v>
      </c>
      <c r="U5" s="1300">
        <f>(IF('Section Load'!V8&gt;0,'Section Load'!V8,0))</f>
        <v>347.76000000000931</v>
      </c>
      <c r="V5" s="1300">
        <f>(IF('Section Load'!W8&gt;0,'Section Load'!W8,0))</f>
        <v>324</v>
      </c>
      <c r="W5" s="1300">
        <f>(IF('Section Load'!X8&gt;0,'Section Load'!X8,0))</f>
        <v>25</v>
      </c>
      <c r="X5" s="1300">
        <f>(IF('Section Load'!Y8&gt;0,'Section Load'!Y8,0))</f>
        <v>214</v>
      </c>
      <c r="Y5" s="1300">
        <f>(IF('Section Load'!Z8&gt;0,'Section Load'!Z8,0))</f>
        <v>260</v>
      </c>
      <c r="Z5" s="1300">
        <f>(IF('Section Load'!AA8&gt;0,'Section Load'!AA8,0))</f>
        <v>123</v>
      </c>
      <c r="AA5" s="1300">
        <f>(IF('Section Load'!AB8&gt;0,'Section Load'!AB8,0))</f>
        <v>15</v>
      </c>
      <c r="AB5" s="1300">
        <f>(IF('Section Load'!AC8&gt;0,'Section Load'!AC8,0))</f>
        <v>36</v>
      </c>
      <c r="AC5" s="1300">
        <f>(IF('Section Load'!AD8&gt;0,'Section Load'!AD8,0))</f>
        <v>46</v>
      </c>
      <c r="AD5" s="1300">
        <f>(IF('Section Load'!AE8&gt;0,'Section Load'!AE8,0))</f>
        <v>0</v>
      </c>
      <c r="AE5" s="1300">
        <f>(IF('Section Load'!AF8&gt;0,'Section Load'!AF8,0))</f>
        <v>11</v>
      </c>
      <c r="AF5" s="1300">
        <f>(IF('Section Load'!AG8&gt;0,'Section Load'!AG8,0))</f>
        <v>454</v>
      </c>
      <c r="AG5" s="1300">
        <f>(IF('Section Load'!AH8&gt;0,'Section Load'!AH8,0))</f>
        <v>376</v>
      </c>
      <c r="AH5" s="1300">
        <f>(IF('Section Load'!AI8&gt;0,'Section Load'!AI8,0))</f>
        <v>383</v>
      </c>
      <c r="AI5" s="1300">
        <f>(IF('Section Load'!AJ8&gt;0,'Section Load'!AJ8,0))</f>
        <v>637</v>
      </c>
      <c r="AJ5" s="1300">
        <f>(IF('Section Load'!AK8&gt;0,'Section Load'!AK8,0))</f>
        <v>355</v>
      </c>
      <c r="AK5" s="1300">
        <f>(IF('Section Load'!AL8&gt;0,'Section Load'!AL8,0))</f>
        <v>322.58000000000175</v>
      </c>
      <c r="AL5" s="1300">
        <f>(IF('Section Load'!AM8&gt;0,'Section Load'!AM8,0))</f>
        <v>962</v>
      </c>
      <c r="AM5" s="1301">
        <f>(IF('Water Report'!$G$7&gt;0,'Water Report'!$F$7,0))</f>
        <v>77</v>
      </c>
      <c r="AN5" s="1301">
        <f>(IF('Water Report'!$G$8&gt;0,'Water Report'!$F$8,0))</f>
        <v>158</v>
      </c>
      <c r="AO5" s="1301">
        <f>(IF('Water Report'!$G$9&gt;0,'Water Report'!$H$9,0))</f>
        <v>68</v>
      </c>
      <c r="AP5" s="1301">
        <f>(IF('Water Report'!$G$10&gt;0,'Water Report'!$G$10,0))</f>
        <v>19</v>
      </c>
      <c r="AQ5" s="1301">
        <f>(IF('Water Report'!$G$11&gt;0,'Water Report'!$G$11,0))</f>
        <v>18</v>
      </c>
      <c r="AR5" s="1301">
        <f>(IF('Water Report'!$G$13&gt;0,'Water Report'!$G$13,0))</f>
        <v>54</v>
      </c>
      <c r="AS5" s="1301">
        <f>(IF('Water Report'!$G$14&gt;0,'Water Report'!$G$14,0))</f>
        <v>21</v>
      </c>
      <c r="AT5" s="1301">
        <f>(IF('Water Report'!$G$15&gt;0,'Water Report'!$G$15,0))</f>
        <v>6</v>
      </c>
      <c r="AU5" s="1301">
        <f>(IF('Water Report'!$G$17&gt;0,'Water Report'!$G$17,0))</f>
        <v>0</v>
      </c>
      <c r="AV5" s="1301">
        <f>(IF('Water Report'!$G$18&gt;0,'Water Report'!$G$18,0))</f>
        <v>5</v>
      </c>
      <c r="AW5" s="1301">
        <f>(IF('Water Report'!$G$19&gt;0,'Water Report'!$G$19,0))</f>
        <v>7</v>
      </c>
      <c r="AX5" s="1382">
        <f>(IF('Water Report'!$G$21&gt;0,'Water Report'!$G$21,0))</f>
        <v>62</v>
      </c>
      <c r="AY5" s="1382">
        <f>(IF('Water Report'!$G$22&gt;0,'Water Report'!$G$22,0))</f>
        <v>44</v>
      </c>
      <c r="AZ5" s="1382">
        <f>(IF('Water Report'!$G$23&gt;0,'Water Report'!$G$23,0))</f>
        <v>0</v>
      </c>
      <c r="BA5" s="1382">
        <f>(IF('Water Report'!$G$14&gt;0,'Water Report'!$G$14,0))</f>
        <v>21</v>
      </c>
      <c r="BB5" s="1382">
        <f>(IF('Water Report'!$G$15&gt;0,'Water Report'!$G$15,0))</f>
        <v>6</v>
      </c>
      <c r="BC5" s="1382">
        <f>(IF('Water Report'!$G$13&gt;0,'Water Report'!$G$13,0))</f>
        <v>54</v>
      </c>
      <c r="BD5" s="1382">
        <f>(IF('Water Report'!$G$24&gt;0,'Water Report'!$G$24,0))</f>
        <v>174</v>
      </c>
      <c r="BE5" s="1382">
        <f>(IF('Water Report'!$G$25&gt;0,'Water Report'!$G$25,0))</f>
        <v>135</v>
      </c>
      <c r="BF5" s="1382">
        <f>(IF('Water Report'!$G$27&gt;0,'Water Report'!$G$27,0))</f>
        <v>116</v>
      </c>
      <c r="BG5" s="1302">
        <f>(IF('Section Load'!AN8&gt;0,'Section Load'!AN8,0))</f>
        <v>978</v>
      </c>
      <c r="BH5" s="1302">
        <f>(IF('Section Load'!AO8&gt;0,'Section Load'!AO8,0))</f>
        <v>264</v>
      </c>
      <c r="BI5" s="1302">
        <f>(IF('Section Load'!AP8&gt;0,'Section Load'!AP8,0))</f>
        <v>0</v>
      </c>
      <c r="BJ5" s="1302">
        <f>(IF('Section Load'!AQ8&gt;0,'Section Load'!AQ8,0))</f>
        <v>105</v>
      </c>
      <c r="BK5" s="1302">
        <f>(IF('Section Load'!AR8&gt;0,'Section Load'!AR8,0))</f>
        <v>23.799999999999272</v>
      </c>
      <c r="BL5" s="1302">
        <f>(IF('Section Load'!AS8&gt;0,'Section Load'!AS8,0))</f>
        <v>0</v>
      </c>
      <c r="BM5" s="1302">
        <f>(IF('Section Load'!AT8&gt;0,'Section Load'!AT8,0))</f>
        <v>585.20000000000073</v>
      </c>
    </row>
    <row r="6" spans="1:65">
      <c r="A6" s="1284" t="s">
        <v>304</v>
      </c>
      <c r="B6" s="1285">
        <f t="shared" si="0"/>
        <v>5</v>
      </c>
      <c r="C6" s="1285">
        <v>4</v>
      </c>
      <c r="D6" s="1285">
        <v>2021</v>
      </c>
      <c r="E6" s="1300">
        <f>(IF('Section Load'!F9&gt;0,'Section Load'!F9,0))</f>
        <v>3595</v>
      </c>
      <c r="F6" s="1300">
        <f>(IF('Section Load'!G9&gt;0,'Section Load'!G9,0))</f>
        <v>1361</v>
      </c>
      <c r="G6" s="1300">
        <f>(IF('Section Load'!H9&gt;0,'Section Load'!H9,0))</f>
        <v>1731.3000000000029</v>
      </c>
      <c r="H6" s="1300">
        <f>(IF('Section Load'!I9&gt;0,'Section Load'!I9,0))</f>
        <v>4086</v>
      </c>
      <c r="I6" s="1300">
        <f>(IF('Section Load'!J9&gt;0,'Section Load'!J9,0))</f>
        <v>5790</v>
      </c>
      <c r="J6" s="1300">
        <f>(IF('Section Load'!K9&gt;0,'Section Load'!K9,0))</f>
        <v>2428</v>
      </c>
      <c r="K6" s="1300">
        <f>(IF('Section Load'!L9&gt;0,'Section Load'!L9,0))</f>
        <v>1047</v>
      </c>
      <c r="L6" s="1300">
        <f>(IF('Section Load'!M9&gt;0,'Section Load'!M9,0))</f>
        <v>869</v>
      </c>
      <c r="M6" s="1300">
        <f>(IF('Section Load'!N9&gt;0,'Section Load'!N9,0))</f>
        <v>100</v>
      </c>
      <c r="N6" s="1300">
        <f>(IF('Section Load'!O9&gt;0,'Section Load'!O9,0))</f>
        <v>1</v>
      </c>
      <c r="O6" s="1300">
        <f>(IF('Section Load'!P9&gt;0,'Section Load'!P9,0))</f>
        <v>35</v>
      </c>
      <c r="P6" s="1300">
        <f>(IF('Section Load'!Q9&gt;0,'Section Load'!Q9,0))</f>
        <v>112</v>
      </c>
      <c r="Q6" s="1300">
        <f>(IF('Section Load'!R9&gt;0,'Section Load'!R9,0))</f>
        <v>67</v>
      </c>
      <c r="R6" s="1300">
        <f>(IF('Section Load'!S9&gt;0,'Section Load'!S9,0))</f>
        <v>42</v>
      </c>
      <c r="S6" s="1300">
        <f>(IF('Section Load'!T9&gt;0,'Section Load'!T9,0))</f>
        <v>325</v>
      </c>
      <c r="T6" s="1300">
        <f>(IF('Section Load'!U9&gt;0,'Section Load'!U9,0))</f>
        <v>187</v>
      </c>
      <c r="U6" s="1300">
        <f>(IF('Section Load'!V9&gt;0,'Section Load'!V9,0))</f>
        <v>322.23999999999069</v>
      </c>
      <c r="V6" s="1300">
        <f>(IF('Section Load'!W9&gt;0,'Section Load'!W9,0))</f>
        <v>223</v>
      </c>
      <c r="W6" s="1300">
        <f>(IF('Section Load'!X9&gt;0,'Section Load'!X9,0))</f>
        <v>23</v>
      </c>
      <c r="X6" s="1300">
        <f>(IF('Section Load'!Y9&gt;0,'Section Load'!Y9,0))</f>
        <v>188</v>
      </c>
      <c r="Y6" s="1300">
        <f>(IF('Section Load'!Z9&gt;0,'Section Load'!Z9,0))</f>
        <v>278</v>
      </c>
      <c r="Z6" s="1300">
        <f>(IF('Section Load'!AA9&gt;0,'Section Load'!AA9,0))</f>
        <v>196</v>
      </c>
      <c r="AA6" s="1300">
        <f>(IF('Section Load'!AB9&gt;0,'Section Load'!AB9,0))</f>
        <v>35</v>
      </c>
      <c r="AB6" s="1300">
        <f>(IF('Section Load'!AC9&gt;0,'Section Load'!AC9,0))</f>
        <v>34</v>
      </c>
      <c r="AC6" s="1300">
        <f>(IF('Section Load'!AD9&gt;0,'Section Load'!AD9,0))</f>
        <v>45</v>
      </c>
      <c r="AD6" s="1300">
        <f>(IF('Section Load'!AE9&gt;0,'Section Load'!AE9,0))</f>
        <v>0</v>
      </c>
      <c r="AE6" s="1300">
        <f>(IF('Section Load'!AF9&gt;0,'Section Load'!AF9,0))</f>
        <v>14</v>
      </c>
      <c r="AF6" s="1300">
        <f>(IF('Section Load'!AG9&gt;0,'Section Load'!AG9,0))</f>
        <v>475</v>
      </c>
      <c r="AG6" s="1300">
        <f>(IF('Section Load'!AH9&gt;0,'Section Load'!AH9,0))</f>
        <v>365</v>
      </c>
      <c r="AH6" s="1300">
        <f>(IF('Section Load'!AI9&gt;0,'Section Load'!AI9,0))</f>
        <v>400</v>
      </c>
      <c r="AI6" s="1300">
        <f>(IF('Section Load'!AJ9&gt;0,'Section Load'!AJ9,0))</f>
        <v>621</v>
      </c>
      <c r="AJ6" s="1300">
        <f>(IF('Section Load'!AK9&gt;0,'Section Load'!AK9,0))</f>
        <v>327</v>
      </c>
      <c r="AK6" s="1300">
        <f>(IF('Section Load'!AL9&gt;0,'Section Load'!AL9,0))</f>
        <v>302.41999999999825</v>
      </c>
      <c r="AL6" s="1300">
        <f>(IF('Section Load'!AM9&gt;0,'Section Load'!AM9,0))</f>
        <v>1005</v>
      </c>
      <c r="AM6" s="1301">
        <f>(IF('Water Report'!$H$7&gt;0,'Water Report'!$H$7,0))</f>
        <v>79</v>
      </c>
      <c r="AN6" s="1301">
        <f>(IF('Water Report'!$H$8&gt;0,'Water Report'!$H$8,0))</f>
        <v>168</v>
      </c>
      <c r="AO6" s="1301">
        <f>(IF('Water Report'!$H$9&gt;0,'Water Report'!$H$9,0))</f>
        <v>68</v>
      </c>
      <c r="AP6" s="1301">
        <f>(IF('Water Report'!$H$10&gt;0,'Water Report'!$H$10,0))</f>
        <v>15</v>
      </c>
      <c r="AQ6" s="1301">
        <f>(IF('Water Report'!$H$11&gt;0,'Water Report'!$H$11,0))</f>
        <v>22</v>
      </c>
      <c r="AR6" s="1301">
        <f>(IF('Water Report'!$H$13&gt;0,'Water Report'!$H$13,0))</f>
        <v>28</v>
      </c>
      <c r="AS6" s="1301">
        <f>(IF('Water Report'!$H$14&gt;0,'Water Report'!$H$14,0))</f>
        <v>47</v>
      </c>
      <c r="AT6" s="1301">
        <f>(IF('Water Report'!$H$15&gt;0,'Water Report'!$H$15,0))</f>
        <v>11</v>
      </c>
      <c r="AU6" s="1301">
        <f>(IF('Water Report'!$H$17&gt;0,'Water Report'!$H$17,0))</f>
        <v>10</v>
      </c>
      <c r="AV6" s="1301">
        <f>(IF('Water Report'!$H$18&gt;0,'Water Report'!$H$18,0))</f>
        <v>11</v>
      </c>
      <c r="AW6" s="1301">
        <f>(IF('Water Report'!$H$19&gt;0,'Water Report'!$H$19,0))</f>
        <v>13</v>
      </c>
      <c r="AX6" s="1382">
        <f>(IF('Water Report'!$H$21&gt;0,'Water Report'!$H$21,0))</f>
        <v>86</v>
      </c>
      <c r="AY6" s="1382">
        <f>(IF('Water Report'!$H$22&gt;0,'Water Report'!$H$22,0))</f>
        <v>73</v>
      </c>
      <c r="AZ6" s="1382">
        <f>(IF('Water Report'!$H$23&gt;0,'Water Report'!$H$23,0))</f>
        <v>10</v>
      </c>
      <c r="BA6" s="1382">
        <f>(IF('Water Report'!$H$14&gt;0,'Water Report'!$H$14,0))</f>
        <v>47</v>
      </c>
      <c r="BB6" s="1382">
        <f>(IF('Water Report'!$H$15&gt;0,'Water Report'!$H$15,0))</f>
        <v>11</v>
      </c>
      <c r="BC6" s="1382">
        <f>(IF('Water Report'!$H$13&gt;0,'Water Report'!$H$13,0))</f>
        <v>28</v>
      </c>
      <c r="BD6" s="1382">
        <f>(IF('Water Report'!$H$24&gt;0,'Water Report'!$H$24,0))</f>
        <v>178</v>
      </c>
      <c r="BE6" s="1382">
        <f>(IF('Water Report'!$H$25&gt;0,'Water Report'!$H$25,0))</f>
        <v>163</v>
      </c>
      <c r="BF6" s="1382">
        <f>(IF('Water Report'!$H$27&gt;0,'Water Report'!$H$27,0))</f>
        <v>124</v>
      </c>
      <c r="BG6" s="1302">
        <f>(IF('Section Load'!AN9&gt;0,'Section Load'!AN9,0))</f>
        <v>935</v>
      </c>
      <c r="BH6" s="1302">
        <f>(IF('Section Load'!AO9&gt;0,'Section Load'!AO9,0))</f>
        <v>244</v>
      </c>
      <c r="BI6" s="1302">
        <f>(IF('Section Load'!AP9&gt;0,'Section Load'!AP9,0))</f>
        <v>0</v>
      </c>
      <c r="BJ6" s="1302">
        <f>(IF('Section Load'!AQ9&gt;0,'Section Load'!AQ9,0))</f>
        <v>99</v>
      </c>
      <c r="BK6" s="1302">
        <f>(IF('Section Load'!AR9&gt;0,'Section Load'!AR9,0))</f>
        <v>17</v>
      </c>
      <c r="BL6" s="1302">
        <f>(IF('Section Load'!AS9&gt;0,'Section Load'!AS9,0))</f>
        <v>0</v>
      </c>
      <c r="BM6" s="1302">
        <f>(IF('Section Load'!AT9&gt;0,'Section Load'!AT9,0))</f>
        <v>575</v>
      </c>
    </row>
    <row r="7" spans="1:65">
      <c r="A7" s="1284" t="s">
        <v>304</v>
      </c>
      <c r="B7" s="1285">
        <f t="shared" si="0"/>
        <v>6</v>
      </c>
      <c r="C7" s="1285">
        <v>4</v>
      </c>
      <c r="D7" s="1285">
        <v>2021</v>
      </c>
      <c r="E7" s="1300">
        <f>(IF('Section Load'!F10&gt;0,'Section Load'!F10,0))</f>
        <v>3323</v>
      </c>
      <c r="F7" s="1300">
        <f>(IF('Section Load'!G10&gt;0,'Section Load'!G10,0))</f>
        <v>1356</v>
      </c>
      <c r="G7" s="1300">
        <f>(IF('Section Load'!H10&gt;0,'Section Load'!H10,0))</f>
        <v>1685</v>
      </c>
      <c r="H7" s="1300">
        <f>(IF('Section Load'!I10&gt;0,'Section Load'!I10,0))</f>
        <v>4031</v>
      </c>
      <c r="I7" s="1300">
        <f>(IF('Section Load'!J10&gt;0,'Section Load'!J10,0))</f>
        <v>5482</v>
      </c>
      <c r="J7" s="1300">
        <f>(IF('Section Load'!K10&gt;0,'Section Load'!K10,0))</f>
        <v>2432</v>
      </c>
      <c r="K7" s="1300">
        <f>(IF('Section Load'!L10&gt;0,'Section Load'!L10,0))</f>
        <v>1085</v>
      </c>
      <c r="L7" s="1300">
        <f>(IF('Section Load'!M10&gt;0,'Section Load'!M10,0))</f>
        <v>700</v>
      </c>
      <c r="M7" s="1300">
        <f>(IF('Section Load'!N10&gt;0,'Section Load'!N10,0))</f>
        <v>87</v>
      </c>
      <c r="N7" s="1300">
        <f>(IF('Section Load'!O10&gt;0,'Section Load'!O10,0))</f>
        <v>1</v>
      </c>
      <c r="O7" s="1300">
        <f>(IF('Section Load'!P10&gt;0,'Section Load'!P10,0))</f>
        <v>29</v>
      </c>
      <c r="P7" s="1300">
        <f>(IF('Section Load'!Q10&gt;0,'Section Load'!Q10,0))</f>
        <v>120</v>
      </c>
      <c r="Q7" s="1300">
        <f>(IF('Section Load'!R10&gt;0,'Section Load'!R10,0))</f>
        <v>66</v>
      </c>
      <c r="R7" s="1300">
        <f>(IF('Section Load'!S10&gt;0,'Section Load'!S10,0))</f>
        <v>45</v>
      </c>
      <c r="S7" s="1300">
        <f>(IF('Section Load'!T10&gt;0,'Section Load'!T10,0))</f>
        <v>285</v>
      </c>
      <c r="T7" s="1300">
        <f>(IF('Section Load'!U10&gt;0,'Section Load'!U10,0))</f>
        <v>179</v>
      </c>
      <c r="U7" s="1300">
        <f>(IF('Section Load'!V10&gt;0,'Section Load'!V10,0))</f>
        <v>371</v>
      </c>
      <c r="V7" s="1300">
        <f>(IF('Section Load'!W10&gt;0,'Section Load'!W10,0))</f>
        <v>221</v>
      </c>
      <c r="W7" s="1300">
        <f>(IF('Section Load'!X10&gt;0,'Section Load'!X10,0))</f>
        <v>26</v>
      </c>
      <c r="X7" s="1300">
        <f>(IF('Section Load'!Y10&gt;0,'Section Load'!Y10,0))</f>
        <v>183</v>
      </c>
      <c r="Y7" s="1300">
        <f>(IF('Section Load'!Z10&gt;0,'Section Load'!Z10,0))</f>
        <v>252</v>
      </c>
      <c r="Z7" s="1300">
        <f>(IF('Section Load'!AA10&gt;0,'Section Load'!AA10,0))</f>
        <v>216</v>
      </c>
      <c r="AA7" s="1300">
        <f>(IF('Section Load'!AB10&gt;0,'Section Load'!AB10,0))</f>
        <v>29</v>
      </c>
      <c r="AB7" s="1300">
        <f>(IF('Section Load'!AC10&gt;0,'Section Load'!AC10,0))</f>
        <v>34</v>
      </c>
      <c r="AC7" s="1300">
        <f>(IF('Section Load'!AD10&gt;0,'Section Load'!AD10,0))</f>
        <v>43</v>
      </c>
      <c r="AD7" s="1300">
        <f>(IF('Section Load'!AE10&gt;0,'Section Load'!AE10,0))</f>
        <v>0</v>
      </c>
      <c r="AE7" s="1300">
        <f>(IF('Section Load'!AF10&gt;0,'Section Load'!AF10,0))</f>
        <v>12</v>
      </c>
      <c r="AF7" s="1300">
        <f>(IF('Section Load'!AG10&gt;0,'Section Load'!AG10,0))</f>
        <v>469</v>
      </c>
      <c r="AG7" s="1300">
        <f>(IF('Section Load'!AH10&gt;0,'Section Load'!AH10,0))</f>
        <v>359</v>
      </c>
      <c r="AH7" s="1300">
        <f>(IF('Section Load'!AI10&gt;0,'Section Load'!AI10,0))</f>
        <v>387</v>
      </c>
      <c r="AI7" s="1300">
        <f>(IF('Section Load'!AJ10&gt;0,'Section Load'!AJ10,0))</f>
        <v>568</v>
      </c>
      <c r="AJ7" s="1300">
        <f>(IF('Section Load'!AK10&gt;0,'Section Load'!AK10,0))</f>
        <v>321</v>
      </c>
      <c r="AK7" s="1300">
        <f>(IF('Section Load'!AL10&gt;0,'Section Load'!AL10,0))</f>
        <v>298</v>
      </c>
      <c r="AL7" s="1300">
        <f>(IF('Section Load'!AM10&gt;0,'Section Load'!AM10,0))</f>
        <v>982</v>
      </c>
      <c r="AM7" s="1301">
        <f>(IF('Water Report'!$I$7&gt;0,'Water Report'!$I$7,0))</f>
        <v>62</v>
      </c>
      <c r="AN7" s="1301">
        <f>(IF('Water Report'!$I$8&gt;0,'Water Report'!$I$8,0))</f>
        <v>166</v>
      </c>
      <c r="AO7" s="1301">
        <f>(IF('Water Report'!$I$9&gt;0,'Water Report'!$I$9,0))</f>
        <v>68</v>
      </c>
      <c r="AP7" s="1301">
        <f>(IF('Water Report'!$I$10&gt;0,'Water Report'!$I$10,0))</f>
        <v>17</v>
      </c>
      <c r="AQ7" s="1301">
        <f>(IF('Water Report'!$I$11&gt;0,'Water Report'!$I$11,0))</f>
        <v>19</v>
      </c>
      <c r="AR7" s="1301">
        <f>(IF('Water Report'!$I$13&gt;0,'Water Report'!$I$13,0))</f>
        <v>15</v>
      </c>
      <c r="AS7" s="1301">
        <f>(IF('Water Report'!$I$14&gt;0,'Water Report'!$I$14,0))</f>
        <v>21</v>
      </c>
      <c r="AT7" s="1301">
        <f>(IF('Water Report'!$I$15&gt;0,'Water Report'!$I$15,0))</f>
        <v>6</v>
      </c>
      <c r="AU7" s="1301">
        <f>(IF('Water Report'!$I$17&gt;0,'Water Report'!$I$17,0))</f>
        <v>1</v>
      </c>
      <c r="AV7" s="1301">
        <f>(IF('Water Report'!$I$18&gt;0,'Water Report'!$I$18,0))</f>
        <v>4</v>
      </c>
      <c r="AW7" s="1301">
        <f>(IF('Water Report'!$I$19&gt;0,'Water Report'!$I$19,0))</f>
        <v>7</v>
      </c>
      <c r="AX7" s="1382">
        <f>(IF('Water Report'!$I$21&gt;0,'Water Report'!$I$21,0))</f>
        <v>85</v>
      </c>
      <c r="AY7" s="1382">
        <f>(IF('Water Report'!$I$22&gt;0,'Water Report'!$I$22,0))</f>
        <v>0</v>
      </c>
      <c r="AZ7" s="1382">
        <f>(IF('Water Report'!$I$23&gt;0,'Water Report'!$I$23,0))</f>
        <v>0</v>
      </c>
      <c r="BA7" s="1382">
        <f>(IF('Water Report'!$I$14&gt;0,'Water Report'!$I$14,0))</f>
        <v>21</v>
      </c>
      <c r="BB7" s="1382">
        <f>(IF('Water Report'!$I$15&gt;0,'Water Report'!$I$15,0))</f>
        <v>6</v>
      </c>
      <c r="BC7" s="1382">
        <f>(IF('Water Report'!$I$13&gt;0,'Water Report'!$I$13,0))</f>
        <v>15</v>
      </c>
      <c r="BD7" s="1382">
        <f>(IF('Water Report'!$I$24&gt;0,'Water Report'!$I$24,0))</f>
        <v>156</v>
      </c>
      <c r="BE7" s="1382">
        <f>(IF('Water Report'!$I$25&gt;0,'Water Report'!$I$25,0))</f>
        <v>131</v>
      </c>
      <c r="BF7" s="1382">
        <f>(IF('Water Report'!$I$27&gt;0,'Water Report'!$I$27,0))</f>
        <v>100</v>
      </c>
      <c r="BG7" s="1302">
        <f>(IF('Section Load'!AN10&gt;0,'Section Load'!AN10,0))</f>
        <v>883</v>
      </c>
      <c r="BH7" s="1302">
        <f>(IF('Section Load'!AO10&gt;0,'Section Load'!AO10,0))</f>
        <v>254</v>
      </c>
      <c r="BI7" s="1302">
        <f>(IF('Section Load'!AP10&gt;0,'Section Load'!AP10,0))</f>
        <v>0</v>
      </c>
      <c r="BJ7" s="1302">
        <f>(IF('Section Load'!AQ10&gt;0,'Section Load'!AQ10,0))</f>
        <v>76</v>
      </c>
      <c r="BK7" s="1302">
        <f>(IF('Section Load'!AR10&gt;0,'Section Load'!AR10,0))</f>
        <v>14</v>
      </c>
      <c r="BL7" s="1302">
        <f>(IF('Section Load'!AS10&gt;0,'Section Load'!AS10,0))</f>
        <v>0</v>
      </c>
      <c r="BM7" s="1302">
        <f>(IF('Section Load'!AT10&gt;0,'Section Load'!AT10,0))</f>
        <v>539</v>
      </c>
    </row>
    <row r="8" spans="1:65">
      <c r="A8" s="1284" t="s">
        <v>304</v>
      </c>
      <c r="B8" s="1285">
        <f t="shared" si="0"/>
        <v>7</v>
      </c>
      <c r="C8" s="1285">
        <v>4</v>
      </c>
      <c r="D8" s="1285">
        <v>2021</v>
      </c>
      <c r="E8" s="1300">
        <f>(IF('Section Load'!F11&gt;0,'Section Load'!F11,0))</f>
        <v>3389</v>
      </c>
      <c r="F8" s="1300">
        <f>(IF('Section Load'!G11&gt;0,'Section Load'!G11,0))</f>
        <v>1397</v>
      </c>
      <c r="G8" s="1300">
        <f>(IF('Section Load'!H11&gt;0,'Section Load'!H11,0))</f>
        <v>1757</v>
      </c>
      <c r="H8" s="1300">
        <f>(IF('Section Load'!I11&gt;0,'Section Load'!I11,0))</f>
        <v>4069</v>
      </c>
      <c r="I8" s="1300">
        <f>(IF('Section Load'!J11&gt;0,'Section Load'!J11,0))</f>
        <v>6293</v>
      </c>
      <c r="J8" s="1300">
        <f>(IF('Section Load'!K11&gt;0,'Section Load'!K11,0))</f>
        <v>2494</v>
      </c>
      <c r="K8" s="1300">
        <f>(IF('Section Load'!L11&gt;0,'Section Load'!L11,0))</f>
        <v>1163</v>
      </c>
      <c r="L8" s="1300">
        <f>(IF('Section Load'!M11&gt;0,'Section Load'!M11,0))</f>
        <v>797</v>
      </c>
      <c r="M8" s="1300">
        <f>(IF('Section Load'!N11&gt;0,'Section Load'!N11,0))</f>
        <v>98</v>
      </c>
      <c r="N8" s="1300">
        <f>(IF('Section Load'!O11&gt;0,'Section Load'!O11,0))</f>
        <v>1</v>
      </c>
      <c r="O8" s="1300">
        <f>(IF('Section Load'!P11&gt;0,'Section Load'!P11,0))</f>
        <v>32</v>
      </c>
      <c r="P8" s="1300">
        <f>(IF('Section Load'!Q11&gt;0,'Section Load'!Q11,0))</f>
        <v>122</v>
      </c>
      <c r="Q8" s="1300">
        <f>(IF('Section Load'!R11&gt;0,'Section Load'!R11,0))</f>
        <v>65</v>
      </c>
      <c r="R8" s="1300">
        <f>(IF('Section Load'!S11&gt;0,'Section Load'!S11,0))</f>
        <v>45</v>
      </c>
      <c r="S8" s="1300">
        <f>(IF('Section Load'!T11&gt;0,'Section Load'!T11,0))</f>
        <v>307</v>
      </c>
      <c r="T8" s="1300">
        <f>(IF('Section Load'!U11&gt;0,'Section Load'!U11,0))</f>
        <v>169</v>
      </c>
      <c r="U8" s="1300">
        <f>(IF('Section Load'!V11&gt;0,'Section Load'!V11,0))</f>
        <v>361</v>
      </c>
      <c r="V8" s="1300">
        <f>(IF('Section Load'!W11&gt;0,'Section Load'!W11,0))</f>
        <v>288</v>
      </c>
      <c r="W8" s="1300">
        <f>(IF('Section Load'!X11&gt;0,'Section Load'!X11,0))</f>
        <v>22</v>
      </c>
      <c r="X8" s="1300">
        <f>(IF('Section Load'!Y11&gt;0,'Section Load'!Y11,0))</f>
        <v>179</v>
      </c>
      <c r="Y8" s="1300">
        <f>(IF('Section Load'!Z11&gt;0,'Section Load'!Z11,0))</f>
        <v>233</v>
      </c>
      <c r="Z8" s="1300">
        <f>(IF('Section Load'!AA11&gt;0,'Section Load'!AA11,0))</f>
        <v>207</v>
      </c>
      <c r="AA8" s="1300">
        <f>(IF('Section Load'!AB11&gt;0,'Section Load'!AB11,0))</f>
        <v>35</v>
      </c>
      <c r="AB8" s="1300">
        <f>(IF('Section Load'!AC11&gt;0,'Section Load'!AC11,0))</f>
        <v>33</v>
      </c>
      <c r="AC8" s="1300">
        <f>(IF('Section Load'!AD11&gt;0,'Section Load'!AD11,0))</f>
        <v>41</v>
      </c>
      <c r="AD8" s="1300">
        <f>(IF('Section Load'!AE11&gt;0,'Section Load'!AE11,0))</f>
        <v>0</v>
      </c>
      <c r="AE8" s="1300">
        <f>(IF('Section Load'!AF11&gt;0,'Section Load'!AF11,0))</f>
        <v>12</v>
      </c>
      <c r="AF8" s="1300">
        <f>(IF('Section Load'!AG11&gt;0,'Section Load'!AG11,0))</f>
        <v>473</v>
      </c>
      <c r="AG8" s="1300">
        <f>(IF('Section Load'!AH11&gt;0,'Section Load'!AH11,0))</f>
        <v>359</v>
      </c>
      <c r="AH8" s="1300">
        <f>(IF('Section Load'!AI11&gt;0,'Section Load'!AI11,0))</f>
        <v>386</v>
      </c>
      <c r="AI8" s="1300">
        <f>(IF('Section Load'!AJ11&gt;0,'Section Load'!AJ11,0))</f>
        <v>618</v>
      </c>
      <c r="AJ8" s="1300">
        <f>(IF('Section Load'!AK11&gt;0,'Section Load'!AK11,0))</f>
        <v>287</v>
      </c>
      <c r="AK8" s="1300">
        <f>(IF('Section Load'!AL11&gt;0,'Section Load'!AL11,0))</f>
        <v>300</v>
      </c>
      <c r="AL8" s="1300">
        <f>(IF('Section Load'!AM11&gt;0,'Section Load'!AM11,0))</f>
        <v>910</v>
      </c>
      <c r="AM8" s="1301">
        <f>(IF('Water Report'!$J$7&gt;0,'Water Report'!$J$7,0))</f>
        <v>82</v>
      </c>
      <c r="AN8" s="1301">
        <f>(IF('Water Report'!$J$8&gt;0,'Water Report'!$J$8,0))</f>
        <v>151</v>
      </c>
      <c r="AO8" s="1301">
        <f>(IF('Water Report'!$J$9&gt;0,'Water Report'!$J$9,0))</f>
        <v>79</v>
      </c>
      <c r="AP8" s="1301">
        <f>(IF('Water Report'!$J$10&gt;0,'Water Report'!$J$10,0))</f>
        <v>18</v>
      </c>
      <c r="AQ8" s="1301">
        <f>(IF('Water Report'!$J$11&gt;0,'Water Report'!$J$11,0))</f>
        <v>18</v>
      </c>
      <c r="AR8" s="1301">
        <f>(IF('Water Report'!$J$13&gt;0,'Water Report'!$J$13,0))</f>
        <v>34</v>
      </c>
      <c r="AS8" s="1301">
        <f>(IF('Water Report'!$J$14&gt;0,'Water Report'!$J$14,0))</f>
        <v>18</v>
      </c>
      <c r="AT8" s="1301">
        <f>(IF('Water Report'!$J$15&gt;0,'Water Report'!$J$15,0))</f>
        <v>6</v>
      </c>
      <c r="AU8" s="1301">
        <f>(IF('Water Report'!$J$17&gt;0,'Water Report'!$J$17,0))</f>
        <v>0</v>
      </c>
      <c r="AV8" s="1301">
        <f>(IF('Water Report'!$J$18&gt;0,'Water Report'!$J$18,0))</f>
        <v>6</v>
      </c>
      <c r="AW8" s="1301">
        <f>(IF('Water Report'!$J$19&gt;0,'Water Report'!$J$19,0))</f>
        <v>6</v>
      </c>
      <c r="AX8" s="1382">
        <f>(IF('Water Report'!$J$21&gt;0,'Water Report'!$J$21,0))</f>
        <v>86</v>
      </c>
      <c r="AY8" s="1382">
        <f>(IF('Water Report'!$J$22&gt;0,'Water Report'!$J$22,0))</f>
        <v>0</v>
      </c>
      <c r="AZ8" s="1382">
        <f>(IF('Water Report'!$J$23&gt;0,'Water Report'!$J$23,0))</f>
        <v>0</v>
      </c>
      <c r="BA8" s="1382">
        <f>(IF('Water Report'!$J$14&gt;0,'Water Report'!$J$14,0))</f>
        <v>18</v>
      </c>
      <c r="BB8" s="1382">
        <f>(IF('Water Report'!$J$15&gt;0,'Water Report'!$J$15,0))</f>
        <v>6</v>
      </c>
      <c r="BC8" s="1382">
        <f>(IF('Water Report'!$J$13&gt;0,'Water Report'!$J$13,0))</f>
        <v>34</v>
      </c>
      <c r="BD8" s="1382">
        <f>(IF('Water Report'!$J$24&gt;0,'Water Report'!$J$24,0))</f>
        <v>157</v>
      </c>
      <c r="BE8" s="1382">
        <f>(IF('Water Report'!$J$25&gt;0,'Water Report'!$J$25,0))</f>
        <v>139</v>
      </c>
      <c r="BF8" s="1382">
        <f>(IF('Water Report'!$J$27&gt;0,'Water Report'!$J$27,0))</f>
        <v>120</v>
      </c>
      <c r="BG8" s="1302">
        <f>(IF('Section Load'!AN11&gt;0,'Section Load'!AN11,0))</f>
        <v>898</v>
      </c>
      <c r="BH8" s="1302">
        <f>(IF('Section Load'!AO11&gt;0,'Section Load'!AO11,0))</f>
        <v>244</v>
      </c>
      <c r="BI8" s="1302">
        <f>(IF('Section Load'!AP11&gt;0,'Section Load'!AP11,0))</f>
        <v>0</v>
      </c>
      <c r="BJ8" s="1302">
        <f>(IF('Section Load'!AQ11&gt;0,'Section Load'!AQ11,0))</f>
        <v>94</v>
      </c>
      <c r="BK8" s="1302">
        <f>(IF('Section Load'!AR11&gt;0,'Section Load'!AR11,0))</f>
        <v>19</v>
      </c>
      <c r="BL8" s="1302">
        <f>(IF('Section Load'!AS11&gt;0,'Section Load'!AS11,0))</f>
        <v>0</v>
      </c>
      <c r="BM8" s="1302">
        <f>(IF('Section Load'!AT11&gt;0,'Section Load'!AT11,0))</f>
        <v>541</v>
      </c>
    </row>
    <row r="9" spans="1:65">
      <c r="A9" s="1284" t="s">
        <v>304</v>
      </c>
      <c r="B9" s="1285">
        <f t="shared" si="0"/>
        <v>8</v>
      </c>
      <c r="C9" s="1285">
        <v>4</v>
      </c>
      <c r="D9" s="1285">
        <v>2021</v>
      </c>
      <c r="E9" s="1300">
        <f>(IF('Section Load'!F12&gt;0,'Section Load'!F12,0))</f>
        <v>3315.2399999999907</v>
      </c>
      <c r="F9" s="1300">
        <f>(IF('Section Load'!G12&gt;0,'Section Load'!G12,0))</f>
        <v>1388.2329999999929</v>
      </c>
      <c r="G9" s="1300">
        <f>(IF('Section Load'!H12&gt;0,'Section Load'!H12,0))</f>
        <v>1689.4100000000035</v>
      </c>
      <c r="H9" s="1300">
        <f>(IF('Section Load'!I12&gt;0,'Section Load'!I12,0))</f>
        <v>4123.6399999999849</v>
      </c>
      <c r="I9" s="1300">
        <f>(IF('Section Load'!J12&gt;0,'Section Load'!J12,0))</f>
        <v>6203.3729999999632</v>
      </c>
      <c r="J9" s="1300">
        <f>(IF('Section Load'!K12&gt;0,'Section Load'!K12,0))</f>
        <v>2486.2299999999814</v>
      </c>
      <c r="K9" s="1300">
        <f>(IF('Section Load'!L12&gt;0,'Section Load'!L12,0))</f>
        <v>1108.75</v>
      </c>
      <c r="L9" s="1300">
        <f>(IF('Section Load'!M12&gt;0,'Section Load'!M12,0))</f>
        <v>833.46999999997206</v>
      </c>
      <c r="M9" s="1300">
        <f>(IF('Section Load'!N12&gt;0,'Section Load'!N12,0))</f>
        <v>92</v>
      </c>
      <c r="N9" s="1300">
        <f>(IF('Section Load'!O12&gt;0,'Section Load'!O12,0))</f>
        <v>1</v>
      </c>
      <c r="O9" s="1300">
        <f>(IF('Section Load'!P12&gt;0,'Section Load'!P12,0))</f>
        <v>32.650000000000091</v>
      </c>
      <c r="P9" s="1300">
        <f>(IF('Section Load'!Q12&gt;0,'Section Load'!Q12,0))</f>
        <v>77.309999999999491</v>
      </c>
      <c r="Q9" s="1300">
        <f>(IF('Section Load'!R12&gt;0,'Section Load'!R12,0))</f>
        <v>66.550000000000182</v>
      </c>
      <c r="R9" s="1300">
        <f>(IF('Section Load'!S12&gt;0,'Section Load'!S12,0))</f>
        <v>49</v>
      </c>
      <c r="S9" s="1300">
        <f>(IF('Section Load'!T12&gt;0,'Section Load'!T12,0))</f>
        <v>339</v>
      </c>
      <c r="T9" s="1300">
        <f>(IF('Section Load'!U12&gt;0,'Section Load'!U12,0))</f>
        <v>204</v>
      </c>
      <c r="U9" s="1300">
        <f>(IF('Section Load'!V12&gt;0,'Section Load'!V12,0))</f>
        <v>362.88000000000466</v>
      </c>
      <c r="V9" s="1300">
        <f>(IF('Section Load'!W12&gt;0,'Section Load'!W12,0))</f>
        <v>235.43999999994412</v>
      </c>
      <c r="W9" s="1300">
        <f>(IF('Section Load'!X12&gt;0,'Section Load'!X12,0))</f>
        <v>24.399999999994179</v>
      </c>
      <c r="X9" s="1300">
        <f>(IF('Section Load'!Y12&gt;0,'Section Load'!Y12,0))</f>
        <v>198.2300000000032</v>
      </c>
      <c r="Y9" s="1300">
        <f>(IF('Section Load'!Z12&gt;0,'Section Load'!Z12,0))</f>
        <v>309</v>
      </c>
      <c r="Z9" s="1300">
        <f>(IF('Section Load'!AA12&gt;0,'Section Load'!AA12,0))</f>
        <v>186.52000000001863</v>
      </c>
      <c r="AA9" s="1300">
        <f>(IF('Section Load'!AB12&gt;0,'Section Load'!AB12,0))</f>
        <v>40.399999999994179</v>
      </c>
      <c r="AB9" s="1300">
        <f>(IF('Section Load'!AC12&gt;0,'Section Load'!AC12,0))</f>
        <v>33.529999999998836</v>
      </c>
      <c r="AC9" s="1300">
        <f>(IF('Section Load'!AD12&gt;0,'Section Load'!AD12,0))</f>
        <v>43.400000000002819</v>
      </c>
      <c r="AD9" s="1300">
        <f>(IF('Section Load'!AE12&gt;0,'Section Load'!AE12,0))</f>
        <v>0</v>
      </c>
      <c r="AE9" s="1300">
        <f>(IF('Section Load'!AF12&gt;0,'Section Load'!AF12,0))</f>
        <v>11.579999999999927</v>
      </c>
      <c r="AF9" s="1300">
        <f>(IF('Section Load'!AG12&gt;0,'Section Load'!AG12,0))</f>
        <v>484.70999999999185</v>
      </c>
      <c r="AG9" s="1300">
        <f>(IF('Section Load'!AH12&gt;0,'Section Load'!AH12,0))</f>
        <v>364.55999999999767</v>
      </c>
      <c r="AH9" s="1300">
        <f>(IF('Section Load'!AI12&gt;0,'Section Load'!AI12,0))</f>
        <v>984.84999999999854</v>
      </c>
      <c r="AI9" s="1300">
        <f>(IF('Section Load'!AJ12&gt;0,'Section Load'!AJ12,0))</f>
        <v>631.79000000000815</v>
      </c>
      <c r="AJ9" s="1300">
        <f>(IF('Section Load'!AK12&gt;0,'Section Load'!AK12,0))</f>
        <v>0</v>
      </c>
      <c r="AK9" s="1300">
        <f>(IF('Section Load'!AL12&gt;0,'Section Load'!AL12,0))</f>
        <v>290.64999999999418</v>
      </c>
      <c r="AL9" s="1300">
        <f>(IF('Section Load'!AM12&gt;0,'Section Load'!AM12,0))</f>
        <v>1021</v>
      </c>
      <c r="AM9" s="1301">
        <f>(IF('Water Report'!$K$7&gt;0,'Water Report'!$K$7,0))</f>
        <v>76</v>
      </c>
      <c r="AN9" s="1301">
        <f>(IF('Water Report'!$K$8&gt;0,'Water Report'!$K$8,0))</f>
        <v>180</v>
      </c>
      <c r="AO9" s="1301">
        <f>(IF('Water Report'!$K$9&gt;0,'Water Report'!$K$9,0))</f>
        <v>78</v>
      </c>
      <c r="AP9" s="1301">
        <f>(IF('Water Report'!$K$10&gt;0,'Water Report'!$K$10,0))</f>
        <v>17</v>
      </c>
      <c r="AQ9" s="1301">
        <f>(IF('Water Report'!$K$11&gt;0,'Water Report'!$K$11,0))</f>
        <v>18</v>
      </c>
      <c r="AR9" s="1301">
        <f>(IF('Water Report'!$K$13&gt;0,'Water Report'!$K$13,0))</f>
        <v>35</v>
      </c>
      <c r="AS9" s="1301">
        <f>(IF('Water Report'!$K$14&gt;0,'Water Report'!$K$14,0))</f>
        <v>12</v>
      </c>
      <c r="AT9" s="1301">
        <f>(IF('Water Report'!$K$15&gt;0,'Water Report'!$K$15,0))</f>
        <v>907</v>
      </c>
      <c r="AU9" s="1301">
        <f>(IF('Water Report'!$K$17&gt;0,'Water Report'!$K$17,0))</f>
        <v>0</v>
      </c>
      <c r="AV9" s="1301">
        <f>(IF('Water Report'!$K$18&gt;0,'Water Report'!$K$18,0))</f>
        <v>6</v>
      </c>
      <c r="AW9" s="1301">
        <f>(IF('Water Report'!$K$19&gt;0,'Water Report'!$K$19,0))</f>
        <v>9</v>
      </c>
      <c r="AX9" s="1382">
        <f>(IF('Water Report'!$K$21&gt;0,'Water Report'!$K$21,0))</f>
        <v>104</v>
      </c>
      <c r="AY9" s="1382">
        <f>(IF('Water Report'!$K$22&gt;0,'Water Report'!$K$22,0))</f>
        <v>32</v>
      </c>
      <c r="AZ9" s="1382">
        <f>(IF('Water Report'!$K$23&gt;0,'Water Report'!$K$23,0))</f>
        <v>16</v>
      </c>
      <c r="BA9" s="1382">
        <f>(IF('Water Report'!$K$14&gt;0,'Water Report'!$K$14,0))</f>
        <v>12</v>
      </c>
      <c r="BB9" s="1382">
        <f>(IF('Water Report'!$K$15&gt;0,'Water Report'!$K$15,0))</f>
        <v>907</v>
      </c>
      <c r="BC9" s="1382">
        <f>(IF('Water Report'!$K$13&gt;0,'Water Report'!$K$13,0))</f>
        <v>35</v>
      </c>
      <c r="BD9" s="1382">
        <f>(IF('Water Report'!$K$24&gt;0,'Water Report'!$K$24,0))</f>
        <v>156</v>
      </c>
      <c r="BE9" s="1382">
        <f>(IF('Water Report'!$K$25&gt;0,'Water Report'!$K$25,0))</f>
        <v>1032</v>
      </c>
      <c r="BF9" s="1382">
        <f>(IF('Water Report'!$K$27&gt;0,'Water Report'!$K$27,0))</f>
        <v>155</v>
      </c>
      <c r="BG9" s="1302">
        <f>(IF('Section Load'!AN12&gt;0,'Section Load'!AN12,0))</f>
        <v>952.0319999998901</v>
      </c>
      <c r="BH9" s="1302">
        <f>(IF('Section Load'!AO12&gt;0,'Section Load'!AO12,0))</f>
        <v>247.19999999995343</v>
      </c>
      <c r="BI9" s="1302">
        <f>(IF('Section Load'!AP12&gt;0,'Section Load'!AP12,0))</f>
        <v>0.39999999999417923</v>
      </c>
      <c r="BJ9" s="1302">
        <f>(IF('Section Load'!AQ12&gt;0,'Section Load'!AQ12,0))</f>
        <v>106.13000000000466</v>
      </c>
      <c r="BK9" s="1302">
        <f>(IF('Section Load'!AR12&gt;0,'Section Load'!AR12,0))</f>
        <v>1.2000000000007276</v>
      </c>
      <c r="BL9" s="1302">
        <f>(IF('Section Load'!AS12&gt;0,'Section Load'!AS12,0))</f>
        <v>0</v>
      </c>
      <c r="BM9" s="1302">
        <f>(IF('Section Load'!AT12&gt;0,'Section Load'!AT12,0))</f>
        <v>597.10199999993711</v>
      </c>
    </row>
    <row r="10" spans="1:65">
      <c r="A10" s="1284" t="s">
        <v>304</v>
      </c>
      <c r="B10" s="1285">
        <f t="shared" si="0"/>
        <v>9</v>
      </c>
      <c r="C10" s="1285">
        <v>4</v>
      </c>
      <c r="D10" s="1285">
        <v>2021</v>
      </c>
      <c r="E10" s="1300">
        <f>(IF('Section Load'!F13&gt;0,'Section Load'!F13,0))</f>
        <v>0</v>
      </c>
      <c r="F10" s="1300">
        <f>(IF('Section Load'!G13&gt;0,'Section Load'!G13,0))</f>
        <v>0</v>
      </c>
      <c r="G10" s="1300">
        <f>(IF('Section Load'!H13&gt;0,'Section Load'!H13,0))</f>
        <v>0</v>
      </c>
      <c r="H10" s="1300">
        <f>(IF('Section Load'!I13&gt;0,'Section Load'!I13,0))</f>
        <v>0</v>
      </c>
      <c r="I10" s="1300">
        <f>(IF('Section Load'!J13&gt;0,'Section Load'!J13,0))</f>
        <v>0</v>
      </c>
      <c r="J10" s="1300">
        <f>(IF('Section Load'!K13&gt;0,'Section Load'!K13,0))</f>
        <v>0</v>
      </c>
      <c r="K10" s="1300">
        <f>(IF('Section Load'!L13&gt;0,'Section Load'!L13,0))</f>
        <v>0</v>
      </c>
      <c r="L10" s="1300">
        <f>(IF('Section Load'!M13&gt;0,'Section Load'!M13,0))</f>
        <v>0</v>
      </c>
      <c r="M10" s="1300">
        <f>(IF('Section Load'!N13&gt;0,'Section Load'!N13,0))</f>
        <v>0</v>
      </c>
      <c r="N10" s="1300">
        <f>(IF('Section Load'!O13&gt;0,'Section Load'!O13,0))</f>
        <v>0</v>
      </c>
      <c r="O10" s="1300">
        <f>(IF('Section Load'!P13&gt;0,'Section Load'!P13,0))</f>
        <v>0</v>
      </c>
      <c r="P10" s="1300">
        <f>(IF('Section Load'!Q13&gt;0,'Section Load'!Q13,0))</f>
        <v>0</v>
      </c>
      <c r="Q10" s="1300">
        <f>(IF('Section Load'!R13&gt;0,'Section Load'!R13,0))</f>
        <v>0</v>
      </c>
      <c r="R10" s="1300">
        <f>(IF('Section Load'!S13&gt;0,'Section Load'!S13,0))</f>
        <v>0</v>
      </c>
      <c r="S10" s="1300">
        <f>(IF('Section Load'!T13&gt;0,'Section Load'!T13,0))</f>
        <v>0</v>
      </c>
      <c r="T10" s="1300">
        <f>(IF('Section Load'!U13&gt;0,'Section Load'!U13,0))</f>
        <v>0</v>
      </c>
      <c r="U10" s="1300">
        <f>(IF('Section Load'!V13&gt;0,'Section Load'!V13,0))</f>
        <v>0</v>
      </c>
      <c r="V10" s="1300">
        <f>(IF('Section Load'!W13&gt;0,'Section Load'!W13,0))</f>
        <v>0</v>
      </c>
      <c r="W10" s="1300">
        <f>(IF('Section Load'!X13&gt;0,'Section Load'!X13,0))</f>
        <v>0</v>
      </c>
      <c r="X10" s="1300">
        <f>(IF('Section Load'!Y13&gt;0,'Section Load'!Y13,0))</f>
        <v>0</v>
      </c>
      <c r="Y10" s="1300">
        <f>(IF('Section Load'!Z13&gt;0,'Section Load'!Z13,0))</f>
        <v>0</v>
      </c>
      <c r="Z10" s="1300">
        <f>(IF('Section Load'!AA13&gt;0,'Section Load'!AA13,0))</f>
        <v>0</v>
      </c>
      <c r="AA10" s="1300">
        <f>(IF('Section Load'!AB13&gt;0,'Section Load'!AB13,0))</f>
        <v>0</v>
      </c>
      <c r="AB10" s="1300">
        <f>(IF('Section Load'!AC13&gt;0,'Section Load'!AC13,0))</f>
        <v>0</v>
      </c>
      <c r="AC10" s="1300">
        <f>(IF('Section Load'!AD13&gt;0,'Section Load'!AD13,0))</f>
        <v>0</v>
      </c>
      <c r="AD10" s="1300">
        <f>(IF('Section Load'!AE13&gt;0,'Section Load'!AE13,0))</f>
        <v>0</v>
      </c>
      <c r="AE10" s="1300">
        <f>(IF('Section Load'!AF13&gt;0,'Section Load'!AF13,0))</f>
        <v>0</v>
      </c>
      <c r="AF10" s="1300">
        <f>(IF('Section Load'!AG13&gt;0,'Section Load'!AG13,0))</f>
        <v>0</v>
      </c>
      <c r="AG10" s="1300">
        <f>(IF('Section Load'!AH13&gt;0,'Section Load'!AH13,0))</f>
        <v>0</v>
      </c>
      <c r="AH10" s="1300">
        <f>(IF('Section Load'!AI13&gt;0,'Section Load'!AI13,0))</f>
        <v>0</v>
      </c>
      <c r="AI10" s="1300">
        <f>(IF('Section Load'!AJ13&gt;0,'Section Load'!AJ13,0))</f>
        <v>0</v>
      </c>
      <c r="AJ10" s="1300">
        <f>(IF('Section Load'!AK13&gt;0,'Section Load'!AK13,0))</f>
        <v>0</v>
      </c>
      <c r="AK10" s="1300">
        <f>(IF('Section Load'!AL13&gt;0,'Section Load'!AL13,0))</f>
        <v>0</v>
      </c>
      <c r="AL10" s="1300">
        <f>(IF('Section Load'!AM13&gt;0,'Section Load'!AM13,0))</f>
        <v>0</v>
      </c>
      <c r="AM10" s="1301">
        <f>(IF('Water Report'!$L$7&gt;0,'Water Report'!$L$7,0))</f>
        <v>0</v>
      </c>
      <c r="AN10" s="1301">
        <f>(IF('Water Report'!$L$8&gt;0,'Water Report'!$L$8,0))</f>
        <v>0</v>
      </c>
      <c r="AO10" s="1301">
        <f>(IF('Water Report'!$L$9&gt;0,'Water Report'!$L$9,0))</f>
        <v>0</v>
      </c>
      <c r="AP10" s="1301">
        <f>(IF('Water Report'!$L$10&gt;0,'Water Report'!$L$10,0))</f>
        <v>0</v>
      </c>
      <c r="AQ10" s="1301">
        <f>(IF('Water Report'!$L$11&gt;0,'Water Report'!$L$11,0))</f>
        <v>0</v>
      </c>
      <c r="AR10" s="1301">
        <f>(IF('Water Report'!$L$13&gt;0,'Water Report'!$L$13,0))</f>
        <v>0</v>
      </c>
      <c r="AS10" s="1301">
        <f>(IF('Water Report'!$L$14&gt;0,'Water Report'!$L$14,0))</f>
        <v>0</v>
      </c>
      <c r="AT10" s="1301">
        <f>(IF('Water Report'!$L$15&gt;0,'Water Report'!$L$15,0))</f>
        <v>0</v>
      </c>
      <c r="AU10" s="1301">
        <f>(IF('Water Report'!$L$17&gt;0,'Water Report'!$L$17,0))</f>
        <v>0</v>
      </c>
      <c r="AV10" s="1301">
        <f>(IF('Water Report'!$L$18&gt;0,'Water Report'!$L$18,0))</f>
        <v>0</v>
      </c>
      <c r="AW10" s="1301">
        <f>(IF('Water Report'!$L$19&gt;0,'Water Report'!$L$19,0))</f>
        <v>0</v>
      </c>
      <c r="AX10" s="1382">
        <f>(IF('Water Report'!$L$21&gt;0,'Water Report'!$L$21,0))</f>
        <v>0</v>
      </c>
      <c r="AY10" s="1382">
        <f>(IF('Water Report'!$L$22&gt;0,'Water Report'!$L$22,0))</f>
        <v>0</v>
      </c>
      <c r="AZ10" s="1382">
        <f>(IF('Water Report'!$L$23&gt;0,'Water Report'!$L$23,0))</f>
        <v>0</v>
      </c>
      <c r="BA10" s="1382">
        <f>(IF('Water Report'!$L$14&gt;0,'Water Report'!$L$14,0))</f>
        <v>0</v>
      </c>
      <c r="BB10" s="1382">
        <f>(IF('Water Report'!$L$15&gt;0,'Water Report'!$L$15,0))</f>
        <v>0</v>
      </c>
      <c r="BC10" s="1382">
        <f>(IF('Water Report'!$L$13&gt;0,'Water Report'!$L$13,0))</f>
        <v>0</v>
      </c>
      <c r="BD10" s="1382">
        <f>(IF('Water Report'!$L$24&gt;0,'Water Report'!$L$24,0))</f>
        <v>0</v>
      </c>
      <c r="BE10" s="1382">
        <f>(IF('Water Report'!$L$25&gt;0,'Water Report'!$L$25,0))</f>
        <v>0</v>
      </c>
      <c r="BF10" s="1382">
        <f>(IF('Water Report'!$L$27&gt;0,'Water Report'!$L$27,0))</f>
        <v>0</v>
      </c>
      <c r="BG10" s="1302">
        <f>(IF('Section Load'!AN13&gt;0,'Section Load'!AN13,0))</f>
        <v>0</v>
      </c>
      <c r="BH10" s="1302">
        <f>(IF('Section Load'!AO13&gt;0,'Section Load'!AO13,0))</f>
        <v>0</v>
      </c>
      <c r="BI10" s="1302">
        <f>(IF('Section Load'!AP13&gt;0,'Section Load'!AP13,0))</f>
        <v>0</v>
      </c>
      <c r="BJ10" s="1302">
        <f>(IF('Section Load'!AQ13&gt;0,'Section Load'!AQ13,0))</f>
        <v>0</v>
      </c>
      <c r="BK10" s="1302">
        <f>(IF('Section Load'!AR13&gt;0,'Section Load'!AR13,0))</f>
        <v>28194.799999999999</v>
      </c>
      <c r="BL10" s="1302">
        <f>(IF('Section Load'!AS13&gt;0,'Section Load'!AS13,0))</f>
        <v>0</v>
      </c>
      <c r="BM10" s="1302">
        <f>(IF('Section Load'!AT13&gt;0,'Section Load'!AT13,0))</f>
        <v>0</v>
      </c>
    </row>
    <row r="11" spans="1:65">
      <c r="A11" s="1284" t="s">
        <v>304</v>
      </c>
      <c r="B11" s="1285">
        <f t="shared" si="0"/>
        <v>10</v>
      </c>
      <c r="C11" s="1285">
        <v>4</v>
      </c>
      <c r="D11" s="1285">
        <v>2021</v>
      </c>
      <c r="E11" s="1300">
        <f>(IF('Section Load'!F14&gt;0,'Section Load'!F14,0))</f>
        <v>3447</v>
      </c>
      <c r="F11" s="1300">
        <f>(IF('Section Load'!G14&gt;0,'Section Load'!G14,0))</f>
        <v>1549</v>
      </c>
      <c r="G11" s="1300">
        <f>(IF('Section Load'!H14&gt;0,'Section Load'!H14,0))</f>
        <v>2046</v>
      </c>
      <c r="H11" s="1300">
        <f>(IF('Section Load'!I14&gt;0,'Section Load'!I14,0))</f>
        <v>4185</v>
      </c>
      <c r="I11" s="1300">
        <f>(IF('Section Load'!J14&gt;0,'Section Load'!J14,0))</f>
        <v>4999</v>
      </c>
      <c r="J11" s="1300">
        <f>(IF('Section Load'!K14&gt;0,'Section Load'!K14,0))</f>
        <v>2507</v>
      </c>
      <c r="K11" s="1300">
        <f>(IF('Section Load'!L14&gt;0,'Section Load'!L14,0))</f>
        <v>1194</v>
      </c>
      <c r="L11" s="1300">
        <f>(IF('Section Load'!M14&gt;0,'Section Load'!M14,0))</f>
        <v>702</v>
      </c>
      <c r="M11" s="1300">
        <f>(IF('Section Load'!N14&gt;0,'Section Load'!N14,0))</f>
        <v>87</v>
      </c>
      <c r="N11" s="1300">
        <f>(IF('Section Load'!O14&gt;0,'Section Load'!O14,0))</f>
        <v>0</v>
      </c>
      <c r="O11" s="1300">
        <f>(IF('Section Load'!P14&gt;0,'Section Load'!P14,0))</f>
        <v>25</v>
      </c>
      <c r="P11" s="1300">
        <f>(IF('Section Load'!Q14&gt;0,'Section Load'!Q14,0))</f>
        <v>161</v>
      </c>
      <c r="Q11" s="1300">
        <f>(IF('Section Load'!R14&gt;0,'Section Load'!R14,0))</f>
        <v>90</v>
      </c>
      <c r="R11" s="1300">
        <f>(IF('Section Load'!S14&gt;0,'Section Load'!S14,0))</f>
        <v>56</v>
      </c>
      <c r="S11" s="1300">
        <f>(IF('Section Load'!T14&gt;0,'Section Load'!T14,0))</f>
        <v>409</v>
      </c>
      <c r="T11" s="1300">
        <f>(IF('Section Load'!U14&gt;0,'Section Load'!U14,0))</f>
        <v>205</v>
      </c>
      <c r="U11" s="1300">
        <f>(IF('Section Load'!V14&gt;0,'Section Load'!V14,0))</f>
        <v>517</v>
      </c>
      <c r="V11" s="1300">
        <f>(IF('Section Load'!W14&gt;0,'Section Load'!W14,0))</f>
        <v>89</v>
      </c>
      <c r="W11" s="1300">
        <f>(IF('Section Load'!X14&gt;0,'Section Load'!X14,0))</f>
        <v>25</v>
      </c>
      <c r="X11" s="1300">
        <f>(IF('Section Load'!Y14&gt;0,'Section Load'!Y14,0))</f>
        <v>196</v>
      </c>
      <c r="Y11" s="1300">
        <f>(IF('Section Load'!Z14&gt;0,'Section Load'!Z14,0))</f>
        <v>491</v>
      </c>
      <c r="Z11" s="1300">
        <f>(IF('Section Load'!AA14&gt;0,'Section Load'!AA14,0))</f>
        <v>159</v>
      </c>
      <c r="AA11" s="1300">
        <f>(IF('Section Load'!AB14&gt;0,'Section Load'!AB14,0))</f>
        <v>27</v>
      </c>
      <c r="AB11" s="1300">
        <f>(IF('Section Load'!AC14&gt;0,'Section Load'!AC14,0))</f>
        <v>96</v>
      </c>
      <c r="AC11" s="1300">
        <f>(IF('Section Load'!AD14&gt;0,'Section Load'!AD14,0))</f>
        <v>0</v>
      </c>
      <c r="AD11" s="1300">
        <f>(IF('Section Load'!AE14&gt;0,'Section Load'!AE14,0))</f>
        <v>0</v>
      </c>
      <c r="AE11" s="1300">
        <f>(IF('Section Load'!AF14&gt;0,'Section Load'!AF14,0))</f>
        <v>14</v>
      </c>
      <c r="AF11" s="1300">
        <f>(IF('Section Load'!AG14&gt;0,'Section Load'!AG14,0))</f>
        <v>545</v>
      </c>
      <c r="AG11" s="1300">
        <f>(IF('Section Load'!AH14&gt;0,'Section Load'!AH14,0))</f>
        <v>371</v>
      </c>
      <c r="AH11" s="1300">
        <f>(IF('Section Load'!AI14&gt;0,'Section Load'!AI14,0))</f>
        <v>355</v>
      </c>
      <c r="AI11" s="1300">
        <f>(IF('Section Load'!AJ14&gt;0,'Section Load'!AJ14,0))</f>
        <v>657</v>
      </c>
      <c r="AJ11" s="1300">
        <f>(IF('Section Load'!AK14&gt;0,'Section Load'!AK14,0))</f>
        <v>328</v>
      </c>
      <c r="AK11" s="1300">
        <f>(IF('Section Load'!AL14&gt;0,'Section Load'!AL14,0))</f>
        <v>327</v>
      </c>
      <c r="AL11" s="1300">
        <f>(IF('Section Load'!AM14&gt;0,'Section Load'!AM14,0))</f>
        <v>885</v>
      </c>
      <c r="AM11" s="1301">
        <f>(IF('Water Report'!$M$7&gt;0,'Water Report'!$M$7,0))</f>
        <v>47</v>
      </c>
      <c r="AN11" s="1301">
        <f>(IF('Water Report'!$M$8&gt;0,'Water Report'!$M$8,0))</f>
        <v>108</v>
      </c>
      <c r="AO11" s="1301">
        <f>(IF('Water Report'!$M$9&gt;0,'Water Report'!$M$9,0))</f>
        <v>68</v>
      </c>
      <c r="AP11" s="1301">
        <f>(IF('Water Report'!$M$10&gt;0,'Water Report'!$M$10,0))</f>
        <v>11</v>
      </c>
      <c r="AQ11" s="1301">
        <f>(IF('Water Report'!$M$11&gt;0,'Water Report'!$M$11,0))</f>
        <v>18</v>
      </c>
      <c r="AR11" s="1301">
        <f>(IF('Water Report'!$M$13&gt;0,'Water Report'!$M$13,0))</f>
        <v>44</v>
      </c>
      <c r="AS11" s="1301">
        <f>(IF('Water Report'!$M$14&gt;0,'Water Report'!$M$14,0))</f>
        <v>8</v>
      </c>
      <c r="AT11" s="1301">
        <f>(IF('Water Report'!$M$15&gt;0,'Water Report'!$M$15,0))</f>
        <v>3</v>
      </c>
      <c r="AU11" s="1301">
        <f>(IF('Water Report'!$M$17&gt;0,'Water Report'!$M$17,0))</f>
        <v>8</v>
      </c>
      <c r="AV11" s="1301">
        <f>(IF('Water Report'!$M$18&gt;0,'Water Report'!$M$18,0))</f>
        <v>7</v>
      </c>
      <c r="AW11" s="1301">
        <f>(IF('Water Report'!$M$19&gt;0,'Water Report'!$M$19,0))</f>
        <v>5</v>
      </c>
      <c r="AX11" s="1382">
        <f>(IF('Water Report'!$M$21&gt;0,'Water Report'!$M$21,0))</f>
        <v>83</v>
      </c>
      <c r="AY11" s="1382">
        <f>(IF('Water Report'!$M$22&gt;0,'Water Report'!$M$22,0))</f>
        <v>38</v>
      </c>
      <c r="AZ11" s="1382">
        <f>(IF('Water Report'!$M$23&gt;0,'Water Report'!$M$23,0))</f>
        <v>4</v>
      </c>
      <c r="BA11" s="1382">
        <f>(IF('Water Report'!$M$14&gt;0,'Water Report'!$M$14,0))</f>
        <v>8</v>
      </c>
      <c r="BB11" s="1382">
        <f>(IF('Water Report'!$M$15&gt;0,'Water Report'!$M$15,0))</f>
        <v>3</v>
      </c>
      <c r="BC11" s="1382">
        <f>(IF('Water Report'!$M$13&gt;0,'Water Report'!$M$13,0))</f>
        <v>44</v>
      </c>
      <c r="BD11" s="1382">
        <f>(IF('Water Report'!$M$24&gt;0,'Water Report'!$M$24,0))</f>
        <v>152</v>
      </c>
      <c r="BE11" s="1382">
        <f>(IF('Water Report'!$M$25&gt;0,'Water Report'!$M$25,0))</f>
        <v>108</v>
      </c>
      <c r="BF11" s="1382">
        <f>(IF('Water Report'!$M$27&gt;0,'Water Report'!$M$27,0))</f>
        <v>131</v>
      </c>
      <c r="BG11" s="1302">
        <f>(IF('Section Load'!AN14&gt;0,'Section Load'!AN14,0))</f>
        <v>847.12999999988824</v>
      </c>
      <c r="BH11" s="1302">
        <f>(IF('Section Load'!AO14&gt;0,'Section Load'!AO14,0))</f>
        <v>247</v>
      </c>
      <c r="BI11" s="1302">
        <f>(IF('Section Load'!AP14&gt;0,'Section Load'!AP14,0))</f>
        <v>0</v>
      </c>
      <c r="BJ11" s="1302">
        <f>(IF('Section Load'!AQ14&gt;0,'Section Load'!AQ14,0))</f>
        <v>76</v>
      </c>
      <c r="BK11" s="1302">
        <f>(IF('Section Load'!AR14&gt;0,'Section Load'!AR14,0))</f>
        <v>51</v>
      </c>
      <c r="BL11" s="1302">
        <f>(IF('Section Load'!AS14&gt;0,'Section Load'!AS14,0))</f>
        <v>3</v>
      </c>
      <c r="BM11" s="1302">
        <f>(IF('Section Load'!AT14&gt;0,'Section Load'!AT14,0))</f>
        <v>470.52999999988242</v>
      </c>
    </row>
    <row r="12" spans="1:65">
      <c r="A12" s="1284" t="s">
        <v>304</v>
      </c>
      <c r="B12" s="1285">
        <f t="shared" si="0"/>
        <v>11</v>
      </c>
      <c r="C12" s="1285">
        <v>4</v>
      </c>
      <c r="D12" s="1285">
        <v>2021</v>
      </c>
      <c r="E12" s="1300">
        <f>(IF('Section Load'!F15&gt;0,'Section Load'!F15,0))</f>
        <v>3850</v>
      </c>
      <c r="F12" s="1300">
        <f>(IF('Section Load'!G15&gt;0,'Section Load'!G15,0))</f>
        <v>1551</v>
      </c>
      <c r="G12" s="1300">
        <f>(IF('Section Load'!H15&gt;0,'Section Load'!H15,0))</f>
        <v>2085</v>
      </c>
      <c r="H12" s="1300">
        <f>(IF('Section Load'!I15&gt;0,'Section Load'!I15,0))</f>
        <v>4105</v>
      </c>
      <c r="I12" s="1300">
        <f>(IF('Section Load'!J15&gt;0,'Section Load'!J15,0))</f>
        <v>5075</v>
      </c>
      <c r="J12" s="1300">
        <f>(IF('Section Load'!K15&gt;0,'Section Load'!K15,0))</f>
        <v>2394</v>
      </c>
      <c r="K12" s="1300">
        <f>(IF('Section Load'!L15&gt;0,'Section Load'!L15,0))</f>
        <v>1135</v>
      </c>
      <c r="L12" s="1300">
        <f>(IF('Section Load'!M15&gt;0,'Section Load'!M15,0))</f>
        <v>598</v>
      </c>
      <c r="M12" s="1300">
        <f>(IF('Section Load'!N15&gt;0,'Section Load'!N15,0))</f>
        <v>95</v>
      </c>
      <c r="N12" s="1300">
        <f>(IF('Section Load'!O15&gt;0,'Section Load'!O15,0))</f>
        <v>0</v>
      </c>
      <c r="O12" s="1300">
        <f>(IF('Section Load'!P15&gt;0,'Section Load'!P15,0))</f>
        <v>26</v>
      </c>
      <c r="P12" s="1300">
        <f>(IF('Section Load'!Q15&gt;0,'Section Load'!Q15,0))</f>
        <v>164</v>
      </c>
      <c r="Q12" s="1300">
        <f>(IF('Section Load'!R15&gt;0,'Section Load'!R15,0))</f>
        <v>91</v>
      </c>
      <c r="R12" s="1300">
        <f>(IF('Section Load'!S15&gt;0,'Section Load'!S15,0))</f>
        <v>55</v>
      </c>
      <c r="S12" s="1300">
        <f>(IF('Section Load'!T15&gt;0,'Section Load'!T15,0))</f>
        <v>411</v>
      </c>
      <c r="T12" s="1300">
        <f>(IF('Section Load'!U15&gt;0,'Section Load'!U15,0))</f>
        <v>173</v>
      </c>
      <c r="U12" s="1300">
        <f>(IF('Section Load'!V15&gt;0,'Section Load'!V15,0))</f>
        <v>97</v>
      </c>
      <c r="V12" s="1300">
        <f>(IF('Section Load'!W15&gt;0,'Section Load'!W15,0))</f>
        <v>84</v>
      </c>
      <c r="W12" s="1300">
        <f>(IF('Section Load'!X15&gt;0,'Section Load'!X15,0))</f>
        <v>26</v>
      </c>
      <c r="X12" s="1300">
        <f>(IF('Section Load'!Y15&gt;0,'Section Load'!Y15,0))</f>
        <v>161</v>
      </c>
      <c r="Y12" s="1300">
        <f>(IF('Section Load'!Z15&gt;0,'Section Load'!Z15,0))</f>
        <v>407</v>
      </c>
      <c r="Z12" s="1300">
        <f>(IF('Section Load'!AA15&gt;0,'Section Load'!AA15,0))</f>
        <v>169</v>
      </c>
      <c r="AA12" s="1300">
        <f>(IF('Section Load'!AB15&gt;0,'Section Load'!AB15,0))</f>
        <v>25</v>
      </c>
      <c r="AB12" s="1300">
        <f>(IF('Section Load'!AC15&gt;0,'Section Load'!AC15,0))</f>
        <v>83</v>
      </c>
      <c r="AC12" s="1300">
        <f>(IF('Section Load'!AD15&gt;0,'Section Load'!AD15,0))</f>
        <v>30</v>
      </c>
      <c r="AD12" s="1300">
        <f>(IF('Section Load'!AE15&gt;0,'Section Load'!AE15,0))</f>
        <v>0</v>
      </c>
      <c r="AE12" s="1300">
        <f>(IF('Section Load'!AF15&gt;0,'Section Load'!AF15,0))</f>
        <v>14</v>
      </c>
      <c r="AF12" s="1300">
        <f>(IF('Section Load'!AG15&gt;0,'Section Load'!AG15,0))</f>
        <v>507</v>
      </c>
      <c r="AG12" s="1300">
        <f>(IF('Section Load'!AH15&gt;0,'Section Load'!AH15,0))</f>
        <v>354</v>
      </c>
      <c r="AH12" s="1300">
        <f>(IF('Section Load'!AI15&gt;0,'Section Load'!AI15,0))</f>
        <v>346</v>
      </c>
      <c r="AI12" s="1300">
        <f>(IF('Section Load'!AJ15&gt;0,'Section Load'!AJ15,0))</f>
        <v>664</v>
      </c>
      <c r="AJ12" s="1300">
        <f>(IF('Section Load'!AK15&gt;0,'Section Load'!AK15,0))</f>
        <v>302</v>
      </c>
      <c r="AK12" s="1300">
        <f>(IF('Section Load'!AL15&gt;0,'Section Load'!AL15,0))</f>
        <v>330</v>
      </c>
      <c r="AL12" s="1300">
        <f>(IF('Section Load'!AM15&gt;0,'Section Load'!AM15,0))</f>
        <v>998</v>
      </c>
      <c r="AM12" s="1301">
        <f>(IF('Water Report'!$N$7&gt;0,'Water Report'!$N$7,0))</f>
        <v>79</v>
      </c>
      <c r="AN12" s="1301">
        <f>(IF('Water Report'!$N$8&gt;0,'Water Report'!$N$8,0))</f>
        <v>113</v>
      </c>
      <c r="AO12" s="1301">
        <f>(IF('Water Report'!$N$9&gt;0,'Water Report'!$N$9,0))</f>
        <v>79</v>
      </c>
      <c r="AP12" s="1301">
        <f>(IF('Water Report'!$N$10&gt;0,'Water Report'!$N$10,0))</f>
        <v>10</v>
      </c>
      <c r="AQ12" s="1301">
        <f>(IF('Water Report'!$N$11&gt;0,'Water Report'!$N$11,0))</f>
        <v>22</v>
      </c>
      <c r="AR12" s="1301">
        <f>(IF('Water Report'!$N$13&gt;0,'Water Report'!$N$13,0))</f>
        <v>72</v>
      </c>
      <c r="AS12" s="1301">
        <f>(IF('Water Report'!$N$14&gt;0,'Water Report'!$N$14,0))</f>
        <v>14</v>
      </c>
      <c r="AT12" s="1301">
        <f>(IF('Water Report'!$N$15&gt;0,'Water Report'!$N$15,0))</f>
        <v>13</v>
      </c>
      <c r="AU12" s="1301">
        <f>(IF('Water Report'!$N$17&gt;0,'Water Report'!$N$17,0))</f>
        <v>0</v>
      </c>
      <c r="AV12" s="1301">
        <f>(IF('Water Report'!$N$18&gt;0,'Water Report'!$N$18,0))</f>
        <v>6</v>
      </c>
      <c r="AW12" s="1301">
        <f>(IF('Water Report'!$N$19&gt;0,'Water Report'!$N$19,0))</f>
        <v>11</v>
      </c>
      <c r="AX12" s="1382">
        <f>(IF('Water Report'!$N$21&gt;0,'Water Report'!$N$21,0))</f>
        <v>82</v>
      </c>
      <c r="AY12" s="1382">
        <f>(IF('Water Report'!$N$22&gt;0,'Water Report'!$N$22,0))</f>
        <v>58</v>
      </c>
      <c r="AZ12" s="1382">
        <f>(IF('Water Report'!$N$23&gt;0,'Water Report'!$N$23,0))</f>
        <v>0</v>
      </c>
      <c r="BA12" s="1382">
        <f>(IF('Water Report'!$N$14&gt;0,'Water Report'!$N$14,0))</f>
        <v>14</v>
      </c>
      <c r="BB12" s="1382">
        <f>(IF('Water Report'!$N$15&gt;0,'Water Report'!$N$15,0))</f>
        <v>13</v>
      </c>
      <c r="BC12" s="1382">
        <f>(IF('Water Report'!$N$13&gt;0,'Water Report'!$N$13,0))</f>
        <v>72</v>
      </c>
      <c r="BD12" s="1382">
        <f>(IF('Water Report'!$N$24&gt;0,'Water Report'!$N$24,0))</f>
        <v>171</v>
      </c>
      <c r="BE12" s="1382">
        <f>(IF('Water Report'!$N$25&gt;0,'Water Report'!$N$25,0))</f>
        <v>138</v>
      </c>
      <c r="BF12" s="1382">
        <f>(IF('Water Report'!$N$27&gt;0,'Water Report'!$N$27,0))</f>
        <v>154</v>
      </c>
      <c r="BG12" s="1302">
        <f>(IF('Section Load'!AN15&gt;0,'Section Load'!AN15,0))</f>
        <v>852</v>
      </c>
      <c r="BH12" s="1302">
        <f>(IF('Section Load'!AO15&gt;0,'Section Load'!AO15,0))</f>
        <v>233</v>
      </c>
      <c r="BI12" s="1302">
        <f>(IF('Section Load'!AP15&gt;0,'Section Load'!AP15,0))</f>
        <v>0</v>
      </c>
      <c r="BJ12" s="1302">
        <f>(IF('Section Load'!AQ15&gt;0,'Section Load'!AQ15,0))</f>
        <v>68</v>
      </c>
      <c r="BK12" s="1302">
        <f>(IF('Section Load'!AR15&gt;0,'Section Load'!AR15,0))</f>
        <v>17</v>
      </c>
      <c r="BL12" s="1302">
        <f>(IF('Section Load'!AS15&gt;0,'Section Load'!AS15,0))</f>
        <v>3</v>
      </c>
      <c r="BM12" s="1302">
        <f>(IF('Section Load'!AT15&gt;0,'Section Load'!AT15,0))</f>
        <v>531</v>
      </c>
    </row>
    <row r="13" spans="1:65">
      <c r="A13" s="1284" t="s">
        <v>304</v>
      </c>
      <c r="B13" s="1285">
        <f t="shared" si="0"/>
        <v>12</v>
      </c>
      <c r="C13" s="1285">
        <v>4</v>
      </c>
      <c r="D13" s="1285">
        <v>2021</v>
      </c>
      <c r="E13" s="1300">
        <f>(IF('Section Load'!F16&gt;0,'Section Load'!F16,0))</f>
        <v>3783</v>
      </c>
      <c r="F13" s="1300">
        <f>(IF('Section Load'!G16&gt;0,'Section Load'!G16,0))</f>
        <v>1569</v>
      </c>
      <c r="G13" s="1300">
        <f>(IF('Section Load'!H16&gt;0,'Section Load'!H16,0))</f>
        <v>1820</v>
      </c>
      <c r="H13" s="1300">
        <f>(IF('Section Load'!I16&gt;0,'Section Load'!I16,0))</f>
        <v>4165</v>
      </c>
      <c r="I13" s="1300">
        <f>(IF('Section Load'!J16&gt;0,'Section Load'!J16,0))</f>
        <v>5122</v>
      </c>
      <c r="J13" s="1300">
        <f>(IF('Section Load'!K16&gt;0,'Section Load'!K16,0))</f>
        <v>2392</v>
      </c>
      <c r="K13" s="1300">
        <f>(IF('Section Load'!L16&gt;0,'Section Load'!L16,0))</f>
        <v>1179</v>
      </c>
      <c r="L13" s="1300">
        <f>(IF('Section Load'!M16&gt;0,'Section Load'!M16,0))</f>
        <v>629</v>
      </c>
      <c r="M13" s="1300">
        <f>(IF('Section Load'!N16&gt;0,'Section Load'!N16,0))</f>
        <v>87</v>
      </c>
      <c r="N13" s="1300">
        <f>(IF('Section Load'!O16&gt;0,'Section Load'!O16,0))</f>
        <v>1</v>
      </c>
      <c r="O13" s="1300">
        <f>(IF('Section Load'!P16&gt;0,'Section Load'!P16,0))</f>
        <v>24</v>
      </c>
      <c r="P13" s="1300">
        <f>(IF('Section Load'!Q16&gt;0,'Section Load'!Q16,0))</f>
        <v>168</v>
      </c>
      <c r="Q13" s="1300">
        <f>(IF('Section Load'!R16&gt;0,'Section Load'!R16,0))</f>
        <v>87</v>
      </c>
      <c r="R13" s="1300">
        <f>(IF('Section Load'!S16&gt;0,'Section Load'!S16,0))</f>
        <v>53</v>
      </c>
      <c r="S13" s="1300">
        <f>(IF('Section Load'!T16&gt;0,'Section Load'!T16,0))</f>
        <v>407</v>
      </c>
      <c r="T13" s="1300">
        <f>(IF('Section Load'!U16&gt;0,'Section Load'!U16,0))</f>
        <v>190</v>
      </c>
      <c r="U13" s="1300">
        <f>(IF('Section Load'!V16&gt;0,'Section Load'!V16,0))</f>
        <v>576</v>
      </c>
      <c r="V13" s="1300">
        <f>(IF('Section Load'!W16&gt;0,'Section Load'!W16,0))</f>
        <v>88</v>
      </c>
      <c r="W13" s="1300">
        <f>(IF('Section Load'!X16&gt;0,'Section Load'!X16,0))</f>
        <v>23</v>
      </c>
      <c r="X13" s="1300">
        <f>(IF('Section Load'!Y16&gt;0,'Section Load'!Y16,0))</f>
        <v>173</v>
      </c>
      <c r="Y13" s="1300">
        <f>(IF('Section Load'!Z16&gt;0,'Section Load'!Z16,0))</f>
        <v>211</v>
      </c>
      <c r="Z13" s="1300">
        <f>(IF('Section Load'!AA16&gt;0,'Section Load'!AA16,0))</f>
        <v>249</v>
      </c>
      <c r="AA13" s="1300">
        <f>(IF('Section Load'!AB16&gt;0,'Section Load'!AB16,0))</f>
        <v>28</v>
      </c>
      <c r="AB13" s="1300">
        <f>(IF('Section Load'!AC16&gt;0,'Section Load'!AC16,0))</f>
        <v>74</v>
      </c>
      <c r="AC13" s="1300">
        <f>(IF('Section Load'!AD16&gt;0,'Section Load'!AD16,0))</f>
        <v>32</v>
      </c>
      <c r="AD13" s="1300">
        <f>(IF('Section Load'!AE16&gt;0,'Section Load'!AE16,0))</f>
        <v>0</v>
      </c>
      <c r="AE13" s="1300">
        <f>(IF('Section Load'!AF16&gt;0,'Section Load'!AF16,0))</f>
        <v>12</v>
      </c>
      <c r="AF13" s="1300">
        <f>(IF('Section Load'!AG16&gt;0,'Section Load'!AG16,0))</f>
        <v>514</v>
      </c>
      <c r="AG13" s="1300">
        <f>(IF('Section Load'!AH16&gt;0,'Section Load'!AH16,0))</f>
        <v>352</v>
      </c>
      <c r="AH13" s="1300">
        <f>(IF('Section Load'!AI16&gt;0,'Section Load'!AI16,0))</f>
        <v>366</v>
      </c>
      <c r="AI13" s="1300">
        <f>(IF('Section Load'!AJ16&gt;0,'Section Load'!AJ16,0))</f>
        <v>675</v>
      </c>
      <c r="AJ13" s="1300">
        <f>(IF('Section Load'!AK16&gt;0,'Section Load'!AK16,0))</f>
        <v>333</v>
      </c>
      <c r="AK13" s="1300">
        <f>(IF('Section Load'!AL16&gt;0,'Section Load'!AL16,0))</f>
        <v>328</v>
      </c>
      <c r="AL13" s="1300">
        <f>(IF('Section Load'!AM16&gt;0,'Section Load'!AM16,0))</f>
        <v>991</v>
      </c>
      <c r="AM13" s="1301">
        <f>(IF('Water Report'!$O$7&gt;0,'Water Report'!$O$7,0))</f>
        <v>68</v>
      </c>
      <c r="AN13" s="1301">
        <f>(IF('Water Report'!$O$8&gt;0,'Water Report'!$O$8,0))</f>
        <v>107</v>
      </c>
      <c r="AO13" s="1301">
        <f>(IF('Water Report'!$O$9&gt;0,'Water Report'!$O$9,0))</f>
        <v>71</v>
      </c>
      <c r="AP13" s="1301">
        <f>(IF('Water Report'!$O$10&gt;0,'Water Report'!$O$10,0))</f>
        <v>8</v>
      </c>
      <c r="AQ13" s="1301">
        <f>(IF('Water Report'!$O$11&gt;0,'Water Report'!$O$11,0))</f>
        <v>18</v>
      </c>
      <c r="AR13" s="1301">
        <f>(IF('Water Report'!$O$13&gt;0,'Water Report'!$O$13,0))</f>
        <v>67</v>
      </c>
      <c r="AS13" s="1301">
        <f>(IF('Water Report'!$O$14&gt;0,'Water Report'!$O$14,0))</f>
        <v>17</v>
      </c>
      <c r="AT13" s="1301">
        <f>(IF('Water Report'!$O$15&gt;0,'Water Report'!$O$15,0))</f>
        <v>8</v>
      </c>
      <c r="AU13" s="1301">
        <f>(IF('Water Report'!$O$17&gt;0,'Water Report'!$O$17,0))</f>
        <v>0</v>
      </c>
      <c r="AV13" s="1301">
        <f>(IF('Water Report'!$O$18&gt;0,'Water Report'!$O$18,0))</f>
        <v>6</v>
      </c>
      <c r="AW13" s="1301">
        <f>(IF('Water Report'!$O$19&gt;0,'Water Report'!$O$19,0))</f>
        <v>4</v>
      </c>
      <c r="AX13" s="1382">
        <f>(IF('Water Report'!$O$21&gt;0,'Water Report'!$O$21,0))</f>
        <v>41</v>
      </c>
      <c r="AY13" s="1382">
        <f>(IF('Water Report'!$O$22&gt;0,'Water Report'!$O$22,0))</f>
        <v>31</v>
      </c>
      <c r="AZ13" s="1382">
        <f>(IF('Water Report'!$O$23&gt;0,'Water Report'!$O$23,0))</f>
        <v>7</v>
      </c>
      <c r="BA13" s="1382">
        <f>(IF('Water Report'!$O$14&gt;0,'Water Report'!$O$14,0))</f>
        <v>17</v>
      </c>
      <c r="BB13" s="1382">
        <f>(IF('Water Report'!$O$15&gt;0,'Water Report'!$O$15,0))</f>
        <v>8</v>
      </c>
      <c r="BC13" s="1382">
        <f>(IF('Water Report'!$O$13&gt;0,'Water Report'!$O$13,0))</f>
        <v>67</v>
      </c>
      <c r="BD13" s="1382">
        <f>(IF('Water Report'!$O$24&gt;0,'Water Report'!$O$24,0))</f>
        <v>154</v>
      </c>
      <c r="BE13" s="1382">
        <f>(IF('Water Report'!$O$25&gt;0,'Water Report'!$O$25,0))</f>
        <v>122</v>
      </c>
      <c r="BF13" s="1382">
        <f>(IF('Water Report'!$O$27&gt;0,'Water Report'!$O$27,0))</f>
        <v>115</v>
      </c>
      <c r="BG13" s="1302">
        <f>(IF('Section Load'!AN16&gt;0,'Section Load'!AN16,0))</f>
        <v>804.77000000001863</v>
      </c>
      <c r="BH13" s="1302">
        <f>(IF('Section Load'!AO16&gt;0,'Section Load'!AO16,0))</f>
        <v>245</v>
      </c>
      <c r="BI13" s="1302">
        <f>(IF('Section Load'!AP16&gt;0,'Section Load'!AP16,0))</f>
        <v>0</v>
      </c>
      <c r="BJ13" s="1302">
        <f>(IF('Section Load'!AQ16&gt;0,'Section Load'!AQ16,0))</f>
        <v>60</v>
      </c>
      <c r="BK13" s="1302">
        <f>(IF('Section Load'!AR16&gt;0,'Section Load'!AR16,0))</f>
        <v>20</v>
      </c>
      <c r="BL13" s="1302">
        <f>(IF('Section Load'!AS16&gt;0,'Section Load'!AS16,0))</f>
        <v>3</v>
      </c>
      <c r="BM13" s="1302">
        <f>(IF('Section Load'!AT16&gt;0,'Section Load'!AT16,0))</f>
        <v>476.77000000001863</v>
      </c>
    </row>
    <row r="14" spans="1:65">
      <c r="A14" s="1284" t="s">
        <v>304</v>
      </c>
      <c r="B14" s="1285">
        <f t="shared" si="0"/>
        <v>13</v>
      </c>
      <c r="C14" s="1285">
        <v>4</v>
      </c>
      <c r="D14" s="1285">
        <v>2021</v>
      </c>
      <c r="E14" s="1300">
        <f>(IF('Section Load'!F17&gt;0,'Section Load'!F17,0))</f>
        <v>3627</v>
      </c>
      <c r="F14" s="1300">
        <f>(IF('Section Load'!G17&gt;0,'Section Load'!G17,0))</f>
        <v>1606</v>
      </c>
      <c r="G14" s="1300">
        <f>(IF('Section Load'!H17&gt;0,'Section Load'!H17,0))</f>
        <v>2030</v>
      </c>
      <c r="H14" s="1300">
        <f>(IF('Section Load'!I17&gt;0,'Section Load'!I17,0))</f>
        <v>4243</v>
      </c>
      <c r="I14" s="1300">
        <f>(IF('Section Load'!J17&gt;0,'Section Load'!J17,0))</f>
        <v>5361</v>
      </c>
      <c r="J14" s="1300">
        <f>(IF('Section Load'!K17&gt;0,'Section Load'!K17,0))</f>
        <v>2397.33</v>
      </c>
      <c r="K14" s="1300">
        <f>(IF('Section Load'!L17&gt;0,'Section Load'!L17,0))</f>
        <v>1073</v>
      </c>
      <c r="L14" s="1300">
        <f>(IF('Section Load'!M17&gt;0,'Section Load'!M17,0))</f>
        <v>667</v>
      </c>
      <c r="M14" s="1300">
        <f>(IF('Section Load'!N17&gt;0,'Section Load'!N17,0))</f>
        <v>90</v>
      </c>
      <c r="N14" s="1300">
        <f>(IF('Section Load'!O17&gt;0,'Section Load'!O17,0))</f>
        <v>0</v>
      </c>
      <c r="O14" s="1300">
        <f>(IF('Section Load'!P17&gt;0,'Section Load'!P17,0))</f>
        <v>35</v>
      </c>
      <c r="P14" s="1300">
        <f>(IF('Section Load'!Q17&gt;0,'Section Load'!Q17,0))</f>
        <v>176</v>
      </c>
      <c r="Q14" s="1300">
        <f>(IF('Section Load'!R17&gt;0,'Section Load'!R17,0))</f>
        <v>83</v>
      </c>
      <c r="R14" s="1300">
        <f>(IF('Section Load'!S17&gt;0,'Section Load'!S17,0))</f>
        <v>53</v>
      </c>
      <c r="S14" s="1300">
        <f>(IF('Section Load'!T17&gt;0,'Section Load'!T17,0))</f>
        <v>472</v>
      </c>
      <c r="T14" s="1300">
        <f>(IF('Section Load'!U17&gt;0,'Section Load'!U17,0))</f>
        <v>198</v>
      </c>
      <c r="U14" s="1300">
        <f>(IF('Section Load'!V17&gt;0,'Section Load'!V17,0))</f>
        <v>362</v>
      </c>
      <c r="V14" s="1300">
        <f>(IF('Section Load'!W17&gt;0,'Section Load'!W17,0))</f>
        <v>104</v>
      </c>
      <c r="W14" s="1300">
        <f>(IF('Section Load'!X17&gt;0,'Section Load'!X17,0))</f>
        <v>24</v>
      </c>
      <c r="X14" s="1300">
        <f>(IF('Section Load'!Y17&gt;0,'Section Load'!Y17,0))</f>
        <v>176</v>
      </c>
      <c r="Y14" s="1300">
        <f>(IF('Section Load'!Z17&gt;0,'Section Load'!Z17,0))</f>
        <v>264</v>
      </c>
      <c r="Z14" s="1300">
        <f>(IF('Section Load'!AA17&gt;0,'Section Load'!AA17,0))</f>
        <v>83</v>
      </c>
      <c r="AA14" s="1300">
        <f>(IF('Section Load'!AB17&gt;0,'Section Load'!AB17,0))</f>
        <v>25</v>
      </c>
      <c r="AB14" s="1300">
        <f>(IF('Section Load'!AC17&gt;0,'Section Load'!AC17,0))</f>
        <v>66</v>
      </c>
      <c r="AC14" s="1300">
        <f>(IF('Section Load'!AD17&gt;0,'Section Load'!AD17,0))</f>
        <v>27</v>
      </c>
      <c r="AD14" s="1300">
        <f>(IF('Section Load'!AE17&gt;0,'Section Load'!AE17,0))</f>
        <v>0.18000000000029104</v>
      </c>
      <c r="AE14" s="1300">
        <f>(IF('Section Load'!AF17&gt;0,'Section Load'!AF17,0))</f>
        <v>12</v>
      </c>
      <c r="AF14" s="1300">
        <f>(IF('Section Load'!AG17&gt;0,'Section Load'!AG17,0))</f>
        <v>479</v>
      </c>
      <c r="AG14" s="1300">
        <f>(IF('Section Load'!AH17&gt;0,'Section Load'!AH17,0))</f>
        <v>358</v>
      </c>
      <c r="AH14" s="1300">
        <f>(IF('Section Load'!AI17&gt;0,'Section Load'!AI17,0))</f>
        <v>369</v>
      </c>
      <c r="AI14" s="1300">
        <f>(IF('Section Load'!AJ17&gt;0,'Section Load'!AJ17,0))</f>
        <v>703</v>
      </c>
      <c r="AJ14" s="1300">
        <f>(IF('Section Load'!AK17&gt;0,'Section Load'!AK17,0))</f>
        <v>354</v>
      </c>
      <c r="AK14" s="1300">
        <f>(IF('Section Load'!AL17&gt;0,'Section Load'!AL17,0))</f>
        <v>329</v>
      </c>
      <c r="AL14" s="1300">
        <f>(IF('Section Load'!AM17&gt;0,'Section Load'!AM17,0))</f>
        <v>758</v>
      </c>
      <c r="AM14" s="1301">
        <f>(IF('Water Report'!$P$7&gt;0,'Water Report'!$P$7,0))</f>
        <v>119</v>
      </c>
      <c r="AN14" s="1301">
        <f>(IF('Water Report'!$P$8&gt;0,'Water Report'!$P$8,0))</f>
        <v>115</v>
      </c>
      <c r="AO14" s="1301">
        <f>(IF('Water Report'!$P$9&gt;0,'Water Report'!$P$9,0))</f>
        <v>105</v>
      </c>
      <c r="AP14" s="1301">
        <f>(IF('Water Report'!$P$10&gt;0,'Water Report'!$P$10,0))</f>
        <v>22</v>
      </c>
      <c r="AQ14" s="1301">
        <f>(IF('Water Report'!$P$11&gt;0,'Water Report'!$P$11,0))</f>
        <v>21</v>
      </c>
      <c r="AR14" s="1301">
        <f>(IF('Water Report'!$P$13&gt;0,'Water Report'!$P$13,0))</f>
        <v>48</v>
      </c>
      <c r="AS14" s="1301">
        <f>(IF('Water Report'!$P$14&gt;0,'Water Report'!$P$14,0))</f>
        <v>8</v>
      </c>
      <c r="AT14" s="1301">
        <f>(IF('Water Report'!$P$15&gt;0,'Water Report'!$P$15,0))</f>
        <v>12</v>
      </c>
      <c r="AU14" s="1301">
        <f>(IF('Water Report'!$P$17&gt;0,'Water Report'!$P$17,0))</f>
        <v>3</v>
      </c>
      <c r="AV14" s="1301">
        <f>(IF('Water Report'!$P$18&gt;0,'Water Report'!$P$18,0))</f>
        <v>8</v>
      </c>
      <c r="AW14" s="1301">
        <f>(IF('Water Report'!$P$19&gt;0,'Water Report'!$P$19,0))</f>
        <v>6</v>
      </c>
      <c r="AX14" s="1382">
        <f>(IF('Water Report'!$P$21&gt;0,'Water Report'!$P$21,0))</f>
        <v>98</v>
      </c>
      <c r="AY14" s="1382">
        <f>(IF('Water Report'!$P$22&gt;0,'Water Report'!$P$22,0))</f>
        <v>25</v>
      </c>
      <c r="AZ14" s="1382">
        <f>(IF('Water Report'!$P$23&gt;0,'Water Report'!$P$23,0))</f>
        <v>0</v>
      </c>
      <c r="BA14" s="1382">
        <f>(IF('Water Report'!$P$14&gt;0,'Water Report'!$P$14,0))</f>
        <v>8</v>
      </c>
      <c r="BB14" s="1382">
        <f>(IF('Water Report'!$P$15&gt;0,'Water Report'!$P$15,0))</f>
        <v>12</v>
      </c>
      <c r="BC14" s="1382">
        <f>(IF('Water Report'!$P$13&gt;0,'Water Report'!$P$13,0))</f>
        <v>48</v>
      </c>
      <c r="BD14" s="1382">
        <f>(IF('Water Report'!$P$24&gt;0,'Water Report'!$P$24,0))</f>
        <v>213</v>
      </c>
      <c r="BE14" s="1382">
        <f>(IF('Water Report'!$P$25&gt;0,'Water Report'!$P$25,0))</f>
        <v>168</v>
      </c>
      <c r="BF14" s="1382">
        <f>(IF('Water Report'!$P$27&gt;0,'Water Report'!$P$27,0))</f>
        <v>146</v>
      </c>
      <c r="BG14" s="1302">
        <f>(IF('Section Load'!AN17&gt;0,'Section Load'!AN17,0))</f>
        <v>836.22999999998137</v>
      </c>
      <c r="BH14" s="1302">
        <f>(IF('Section Load'!AO17&gt;0,'Section Load'!AO17,0))</f>
        <v>246</v>
      </c>
      <c r="BI14" s="1302">
        <f>(IF('Section Load'!AP17&gt;0,'Section Load'!AP17,0))</f>
        <v>0.39999999999417923</v>
      </c>
      <c r="BJ14" s="1302">
        <f>(IF('Section Load'!AQ17&gt;0,'Section Load'!AQ17,0))</f>
        <v>63</v>
      </c>
      <c r="BK14" s="1302">
        <f>(IF('Section Load'!AR17&gt;0,'Section Load'!AR17,0))</f>
        <v>28</v>
      </c>
      <c r="BL14" s="1302">
        <f>(IF('Section Load'!AS17&gt;0,'Section Load'!AS17,0))</f>
        <v>3</v>
      </c>
      <c r="BM14" s="1302">
        <f>(IF('Section Load'!AT17&gt;0,'Section Load'!AT17,0))</f>
        <v>495.82999999998719</v>
      </c>
    </row>
    <row r="15" spans="1:65">
      <c r="A15" s="1284" t="s">
        <v>304</v>
      </c>
      <c r="B15" s="1285">
        <f t="shared" si="0"/>
        <v>14</v>
      </c>
      <c r="C15" s="1285">
        <v>4</v>
      </c>
      <c r="D15" s="1285">
        <v>2021</v>
      </c>
      <c r="E15" s="1300">
        <f>(IF('Section Load'!F18&gt;0,'Section Load'!F18,0))</f>
        <v>3483</v>
      </c>
      <c r="F15" s="1300">
        <f>(IF('Section Load'!G18&gt;0,'Section Load'!G18,0))</f>
        <v>1563</v>
      </c>
      <c r="G15" s="1300">
        <f>(IF('Section Load'!H18&gt;0,'Section Load'!H18,0))</f>
        <v>2010</v>
      </c>
      <c r="H15" s="1300">
        <f>(IF('Section Load'!I18&gt;0,'Section Load'!I18,0))</f>
        <v>4133</v>
      </c>
      <c r="I15" s="1300">
        <f>(IF('Section Load'!J18&gt;0,'Section Load'!J18,0))</f>
        <v>5010</v>
      </c>
      <c r="J15" s="1300">
        <f>(IF('Section Load'!K18&gt;0,'Section Load'!K18,0))</f>
        <v>2407</v>
      </c>
      <c r="K15" s="1300">
        <f>(IF('Section Load'!L18&gt;0,'Section Load'!L18,0))</f>
        <v>1184</v>
      </c>
      <c r="L15" s="1300">
        <f>(IF('Section Load'!M18&gt;0,'Section Load'!M18,0))</f>
        <v>659</v>
      </c>
      <c r="M15" s="1300">
        <f>(IF('Section Load'!N18&gt;0,'Section Load'!N18,0))</f>
        <v>90</v>
      </c>
      <c r="N15" s="1300">
        <f>(IF('Section Load'!O18&gt;0,'Section Load'!O18,0))</f>
        <v>0</v>
      </c>
      <c r="O15" s="1300">
        <f>(IF('Section Load'!P18&gt;0,'Section Load'!P18,0))</f>
        <v>49</v>
      </c>
      <c r="P15" s="1300">
        <f>(IF('Section Load'!Q18&gt;0,'Section Load'!Q18,0))</f>
        <v>187</v>
      </c>
      <c r="Q15" s="1300">
        <f>(IF('Section Load'!R18&gt;0,'Section Load'!R18,0))</f>
        <v>76</v>
      </c>
      <c r="R15" s="1300">
        <f>(IF('Section Load'!S18&gt;0,'Section Load'!S18,0))</f>
        <v>49</v>
      </c>
      <c r="S15" s="1300">
        <f>(IF('Section Load'!T18&gt;0,'Section Load'!T18,0))</f>
        <v>388</v>
      </c>
      <c r="T15" s="1300">
        <f>(IF('Section Load'!U18&gt;0,'Section Load'!U18,0))</f>
        <v>200</v>
      </c>
      <c r="U15" s="1300">
        <f>(IF('Section Load'!V18&gt;0,'Section Load'!V18,0))</f>
        <v>362</v>
      </c>
      <c r="V15" s="1300">
        <f>(IF('Section Load'!W18&gt;0,'Section Load'!W18,0))</f>
        <v>132</v>
      </c>
      <c r="W15" s="1300">
        <f>(IF('Section Load'!X18&gt;0,'Section Load'!X18,0))</f>
        <v>25</v>
      </c>
      <c r="X15" s="1300">
        <f>(IF('Section Load'!Y18&gt;0,'Section Load'!Y18,0))</f>
        <v>173</v>
      </c>
      <c r="Y15" s="1300">
        <f>(IF('Section Load'!Z18&gt;0,'Section Load'!Z18,0))</f>
        <v>249</v>
      </c>
      <c r="Z15" s="1300">
        <f>(IF('Section Load'!AA18&gt;0,'Section Load'!AA18,0))</f>
        <v>60</v>
      </c>
      <c r="AA15" s="1300">
        <f>(IF('Section Load'!AB18&gt;0,'Section Load'!AB18,0))</f>
        <v>15</v>
      </c>
      <c r="AB15" s="1300">
        <f>(IF('Section Load'!AC18&gt;0,'Section Load'!AC18,0))</f>
        <v>31</v>
      </c>
      <c r="AC15" s="1300">
        <f>(IF('Section Load'!AD18&gt;0,'Section Load'!AD18,0))</f>
        <v>16</v>
      </c>
      <c r="AD15" s="1300">
        <f>(IF('Section Load'!AE18&gt;0,'Section Load'!AE18,0))</f>
        <v>0</v>
      </c>
      <c r="AE15" s="1300">
        <f>(IF('Section Load'!AF18&gt;0,'Section Load'!AF18,0))</f>
        <v>15</v>
      </c>
      <c r="AF15" s="1300">
        <f>(IF('Section Load'!AG18&gt;0,'Section Load'!AG18,0))</f>
        <v>488</v>
      </c>
      <c r="AG15" s="1300">
        <f>(IF('Section Load'!AH18&gt;0,'Section Load'!AH18,0))</f>
        <v>382</v>
      </c>
      <c r="AH15" s="1300">
        <f>(IF('Section Load'!AI18&gt;0,'Section Load'!AI18,0))</f>
        <v>371</v>
      </c>
      <c r="AI15" s="1300">
        <f>(IF('Section Load'!AJ18&gt;0,'Section Load'!AJ18,0))</f>
        <v>646</v>
      </c>
      <c r="AJ15" s="1300">
        <f>(IF('Section Load'!AK18&gt;0,'Section Load'!AK18,0))</f>
        <v>350</v>
      </c>
      <c r="AK15" s="1300">
        <f>(IF('Section Load'!AL18&gt;0,'Section Load'!AL18,0))</f>
        <v>313</v>
      </c>
      <c r="AL15" s="1300">
        <f>(IF('Section Load'!AM18&gt;0,'Section Load'!AM18,0))</f>
        <v>742</v>
      </c>
      <c r="AM15" s="1301">
        <f>(IF('Water Report'!$Q$7&gt;0,'Water Report'!$Q$7,0))</f>
        <v>110</v>
      </c>
      <c r="AN15" s="1301">
        <f>(IF('Water Report'!$Q$8&gt;0,'Water Report'!$Q$8,0))</f>
        <v>105</v>
      </c>
      <c r="AO15" s="1301">
        <f>(IF('Water Report'!$Q$9&gt;0,'Water Report'!$Q$9,0))</f>
        <v>74</v>
      </c>
      <c r="AP15" s="1301">
        <f>(IF('Water Report'!$Q$10&gt;0,'Water Report'!$Q$10,0))</f>
        <v>22</v>
      </c>
      <c r="AQ15" s="1301">
        <f>(IF('Water Report'!$Q$11&gt;0,'Water Report'!$Q$11,0))</f>
        <v>26</v>
      </c>
      <c r="AR15" s="1301">
        <f>(IF('Water Report'!$Q$13&gt;0,'Water Report'!$Q$13,0))</f>
        <v>29</v>
      </c>
      <c r="AS15" s="1301">
        <f>(IF('Water Report'!$Q$14&gt;0,'Water Report'!$Q$14,0))</f>
        <v>26</v>
      </c>
      <c r="AT15" s="1301">
        <f>(IF('Water Report'!$Q$15&gt;0,'Water Report'!$Q$15,0))</f>
        <v>26</v>
      </c>
      <c r="AU15" s="1301">
        <f>(IF('Water Report'!$Q$17&gt;0,'Water Report'!$Q$17,0))</f>
        <v>4</v>
      </c>
      <c r="AV15" s="1301">
        <f>(IF('Water Report'!$Q$18&gt;0,'Water Report'!$Q$18,0))</f>
        <v>7</v>
      </c>
      <c r="AW15" s="1301">
        <f>(IF('Water Report'!$Q$19&gt;0,'Water Report'!$Q$19,0))</f>
        <v>5</v>
      </c>
      <c r="AX15" s="1382">
        <f>(IF('Water Report'!$Q$21&gt;0,'Water Report'!$Q$21,0))</f>
        <v>78</v>
      </c>
      <c r="AY15" s="1382">
        <f>(IF('Water Report'!$Q$22&gt;0,'Water Report'!$Q$22,0))</f>
        <v>23</v>
      </c>
      <c r="AZ15" s="1382">
        <f>(IF('Water Report'!$Q$23&gt;0,'Water Report'!$Q$23,0))</f>
        <v>0</v>
      </c>
      <c r="BA15" s="1382">
        <f>(IF('Water Report'!$Q$14&gt;0,'Water Report'!$Q$14,0))</f>
        <v>26</v>
      </c>
      <c r="BB15" s="1382">
        <f>(IF('Water Report'!$Q$15&gt;0,'Water Report'!$Q$15,0))</f>
        <v>26</v>
      </c>
      <c r="BC15" s="1382">
        <f>(IF('Water Report'!$Q$13&gt;0,'Water Report'!$Q$13,0))</f>
        <v>29</v>
      </c>
      <c r="BD15" s="1382">
        <f>(IF('Water Report'!$Q$24&gt;0,'Water Report'!$Q$24,0))</f>
        <v>232</v>
      </c>
      <c r="BE15" s="1382">
        <f>(IF('Water Report'!$Q$25&gt;0,'Water Report'!$Q$25,0))</f>
        <v>174</v>
      </c>
      <c r="BF15" s="1382">
        <f>(IF('Water Report'!$Q$27&gt;0,'Water Report'!$Q$27,0))</f>
        <v>107</v>
      </c>
      <c r="BG15" s="1302">
        <f>(IF('Section Load'!AN18&gt;0,'Section Load'!AN18,0))</f>
        <v>855</v>
      </c>
      <c r="BH15" s="1302">
        <f>(IF('Section Load'!AO18&gt;0,'Section Load'!AO18,0))</f>
        <v>245</v>
      </c>
      <c r="BI15" s="1302">
        <f>(IF('Section Load'!AP18&gt;0,'Section Load'!AP18,0))</f>
        <v>0</v>
      </c>
      <c r="BJ15" s="1302">
        <f>(IF('Section Load'!AQ18&gt;0,'Section Load'!AQ18,0))</f>
        <v>61.209999999991851</v>
      </c>
      <c r="BK15" s="1302">
        <f>(IF('Section Load'!AR18&gt;0,'Section Load'!AR18,0))</f>
        <v>0</v>
      </c>
      <c r="BL15" s="1302">
        <f>(IF('Section Load'!AS18&gt;0,'Section Load'!AS18,0))</f>
        <v>3.2999999999992724</v>
      </c>
      <c r="BM15" s="1302">
        <f>(IF('Section Load'!AT18&gt;0,'Section Load'!AT18,0))</f>
        <v>611.99000000000888</v>
      </c>
    </row>
    <row r="16" spans="1:65">
      <c r="A16" s="1284" t="s">
        <v>304</v>
      </c>
      <c r="B16" s="1285">
        <f t="shared" si="0"/>
        <v>15</v>
      </c>
      <c r="C16" s="1285">
        <v>4</v>
      </c>
      <c r="D16" s="1285">
        <v>2021</v>
      </c>
      <c r="E16" s="1300">
        <f>(IF('Section Load'!F19&gt;0,'Section Load'!F19,0))</f>
        <v>3462.7600000000093</v>
      </c>
      <c r="F16" s="1300">
        <f>(IF('Section Load'!G19&gt;0,'Section Load'!G19,0))</f>
        <v>1624.6700000000128</v>
      </c>
      <c r="G16" s="1300">
        <f>(IF('Section Load'!H19&gt;0,'Section Load'!H19,0))</f>
        <v>1887.9100000000326</v>
      </c>
      <c r="H16" s="1300">
        <f>(IF('Section Load'!I19&gt;0,'Section Load'!I19,0))</f>
        <v>4262.210000000021</v>
      </c>
      <c r="I16" s="1300">
        <f>(IF('Section Load'!J19&gt;0,'Section Load'!J19,0))</f>
        <v>5696.4530000000013</v>
      </c>
      <c r="J16" s="1300">
        <f>(IF('Section Load'!K19&gt;0,'Section Load'!K19,0))</f>
        <v>2431.5500000000466</v>
      </c>
      <c r="K16" s="1300">
        <f>(IF('Section Load'!L19&gt;0,'Section Load'!L19,0))</f>
        <v>1168.6699999999837</v>
      </c>
      <c r="L16" s="1300">
        <f>(IF('Section Load'!M19&gt;0,'Section Load'!M19,0))</f>
        <v>718</v>
      </c>
      <c r="M16" s="1300">
        <f>(IF('Section Load'!N19&gt;0,'Section Load'!N19,0))</f>
        <v>103</v>
      </c>
      <c r="N16" s="1300">
        <f>(IF('Section Load'!O19&gt;0,'Section Load'!O19,0))</f>
        <v>1</v>
      </c>
      <c r="O16" s="1300">
        <f>(IF('Section Load'!P19&gt;0,'Section Load'!P19,0))</f>
        <v>20.950000000000045</v>
      </c>
      <c r="P16" s="1300">
        <f>(IF('Section Load'!Q19&gt;0,'Section Load'!Q19,0))</f>
        <v>168.28999999999996</v>
      </c>
      <c r="Q16" s="1300">
        <f>(IF('Section Load'!R19&gt;0,'Section Load'!R19,0))</f>
        <v>72.619999999999891</v>
      </c>
      <c r="R16" s="1300">
        <f>(IF('Section Load'!S19&gt;0,'Section Load'!S19,0))</f>
        <v>57</v>
      </c>
      <c r="S16" s="1300">
        <f>(IF('Section Load'!T19&gt;0,'Section Load'!T19,0))</f>
        <v>443</v>
      </c>
      <c r="T16" s="1300">
        <f>(IF('Section Load'!U19&gt;0,'Section Load'!U19,0))</f>
        <v>194</v>
      </c>
      <c r="U16" s="1300">
        <f>(IF('Section Load'!V19&gt;0,'Section Load'!V19,0))</f>
        <v>347.52000000001863</v>
      </c>
      <c r="V16" s="1300">
        <f>(IF('Section Load'!W19&gt;0,'Section Load'!W19,0))</f>
        <v>134.1600000000326</v>
      </c>
      <c r="W16" s="1300">
        <f>(IF('Section Load'!X19&gt;0,'Section Load'!X19,0))</f>
        <v>20.940000000002328</v>
      </c>
      <c r="X16" s="1300">
        <f>(IF('Section Load'!Y19&gt;0,'Section Load'!Y19,0))</f>
        <v>161.55000000000291</v>
      </c>
      <c r="Y16" s="1300">
        <f>(IF('Section Load'!Z19&gt;0,'Section Load'!Z19,0))</f>
        <v>280</v>
      </c>
      <c r="Z16" s="1300">
        <f>(IF('Section Load'!AA19&gt;0,'Section Load'!AA19,0))</f>
        <v>106.52000000001863</v>
      </c>
      <c r="AA16" s="1300">
        <f>(IF('Section Load'!AB19&gt;0,'Section Load'!AB19,0))</f>
        <v>32.5</v>
      </c>
      <c r="AB16" s="1300">
        <f>(IF('Section Load'!AC19&gt;0,'Section Load'!AC19,0))</f>
        <v>89.450000000011642</v>
      </c>
      <c r="AC16" s="1300">
        <f>(IF('Section Load'!AD19&gt;0,'Section Load'!AD19,0))</f>
        <v>37.699999999999818</v>
      </c>
      <c r="AD16" s="1300">
        <f>(IF('Section Load'!AE19&gt;0,'Section Load'!AE19,0))</f>
        <v>0</v>
      </c>
      <c r="AE16" s="1300">
        <f>(IF('Section Load'!AF19&gt;0,'Section Load'!AF19,0))</f>
        <v>14.769999999999982</v>
      </c>
      <c r="AF16" s="1300">
        <f>(IF('Section Load'!AG19&gt;0,'Section Load'!AG19,0))</f>
        <v>518.10999999998603</v>
      </c>
      <c r="AG16" s="1300">
        <f>(IF('Section Load'!AH19&gt;0,'Section Load'!AH19,0))</f>
        <v>379.45999999999185</v>
      </c>
      <c r="AH16" s="1300">
        <f>(IF('Section Load'!AI19&gt;0,'Section Load'!AI19,0))</f>
        <v>393.72999999999956</v>
      </c>
      <c r="AI16" s="1300">
        <f>(IF('Section Load'!AJ19&gt;0,'Section Load'!AJ19,0))</f>
        <v>716.52999999999884</v>
      </c>
      <c r="AJ16" s="1300">
        <f>(IF('Section Load'!AK19&gt;0,'Section Load'!AK19,0))</f>
        <v>346.16999999999825</v>
      </c>
      <c r="AK16" s="1300">
        <f>(IF('Section Load'!AL19&gt;0,'Section Load'!AL19,0))</f>
        <v>307.39999999999418</v>
      </c>
      <c r="AL16" s="1300">
        <f>(IF('Section Load'!AM19&gt;0,'Section Load'!AM19,0))</f>
        <v>731</v>
      </c>
      <c r="AM16" s="1301">
        <f>(IF('Water Report'!$R$7&gt;0,'Water Report'!$R$7,0))</f>
        <v>83</v>
      </c>
      <c r="AN16" s="1301">
        <f>(IF('Water Report'!$R$8&gt;0,'Water Report'!$R$8,0))</f>
        <v>144</v>
      </c>
      <c r="AO16" s="1301">
        <f>(IF('Water Report'!$R$9&gt;0,'Water Report'!$R$9,0))</f>
        <v>72</v>
      </c>
      <c r="AP16" s="1301">
        <f>(IF('Water Report'!$R$10&gt;0,'Water Report'!$R$10,0))</f>
        <v>8</v>
      </c>
      <c r="AQ16" s="1301">
        <f>(IF('Water Report'!$R$11&gt;0,'Water Report'!$R$11,0))</f>
        <v>0</v>
      </c>
      <c r="AR16" s="1301">
        <f>(IF('Water Report'!$R$13&gt;0,'Water Report'!$R$13,0))</f>
        <v>39</v>
      </c>
      <c r="AS16" s="1301">
        <f>(IF('Water Report'!$R$14&gt;0,'Water Report'!$R$14,0))</f>
        <v>22</v>
      </c>
      <c r="AT16" s="1301">
        <f>(IF('Water Report'!$R$15&gt;0,'Water Report'!$R$15,0))</f>
        <v>17</v>
      </c>
      <c r="AU16" s="1301">
        <f>(IF('Water Report'!$R$17&gt;0,'Water Report'!$R$17,0))</f>
        <v>0</v>
      </c>
      <c r="AV16" s="1301">
        <f>(IF('Water Report'!$R$18&gt;0,'Water Report'!$R$18,0))</f>
        <v>6</v>
      </c>
      <c r="AW16" s="1301">
        <f>(IF('Water Report'!$R$19&gt;0,'Water Report'!$R$19,0))</f>
        <v>6</v>
      </c>
      <c r="AX16" s="1382">
        <f>(IF('Water Report'!$R$21&gt;0,'Water Report'!$R$21,0))</f>
        <v>81</v>
      </c>
      <c r="AY16" s="1382">
        <f>(IF('Water Report'!$R$22&gt;0,'Water Report'!$R$22,0))</f>
        <v>21</v>
      </c>
      <c r="AZ16" s="1382">
        <f>(IF('Water Report'!$R$23&gt;0,'Water Report'!$R$23,0))</f>
        <v>10</v>
      </c>
      <c r="BA16" s="1382">
        <f>(IF('Water Report'!$R$14&gt;0,'Water Report'!$R$14,0))</f>
        <v>22</v>
      </c>
      <c r="BB16" s="1382">
        <f>(IF('Water Report'!$R$15&gt;0,'Water Report'!$R$15,0))</f>
        <v>17</v>
      </c>
      <c r="BC16" s="1382">
        <f>(IF('Water Report'!$R$13&gt;0,'Water Report'!$R$13,0))</f>
        <v>39</v>
      </c>
      <c r="BD16" s="1382">
        <f>(IF('Water Report'!$R$24&gt;0,'Water Report'!$R$24,0))</f>
        <v>175</v>
      </c>
      <c r="BE16" s="1382">
        <f>(IF('Water Report'!$R$25&gt;0,'Water Report'!$R$25,0))</f>
        <v>119</v>
      </c>
      <c r="BF16" s="1382">
        <f>(IF('Water Report'!$R$27&gt;0,'Water Report'!$R$27,0))</f>
        <v>130</v>
      </c>
      <c r="BG16" s="1302">
        <f>(IF('Section Load'!AN19&gt;0,'Section Load'!AN19,0))</f>
        <v>827.70900000003166</v>
      </c>
      <c r="BH16" s="1302">
        <f>(IF('Section Load'!AO19&gt;0,'Section Load'!AO19,0))</f>
        <v>248.96999999997206</v>
      </c>
      <c r="BI16" s="1302">
        <f>(IF('Section Load'!AP19&gt;0,'Section Load'!AP19,0))</f>
        <v>0</v>
      </c>
      <c r="BJ16" s="1302">
        <f>(IF('Section Load'!AQ19&gt;0,'Section Load'!AQ19,0))</f>
        <v>61.670000000012806</v>
      </c>
      <c r="BK16" s="1302">
        <f>(IF('Section Load'!AR19&gt;0,'Section Load'!AR19,0))</f>
        <v>14.400000000001455</v>
      </c>
      <c r="BL16" s="1302">
        <f>(IF('Section Load'!AS19&gt;0,'Section Load'!AS19,0))</f>
        <v>2.5</v>
      </c>
      <c r="BM16" s="1302">
        <f>(IF('Section Load'!AT19&gt;0,'Section Load'!AT19,0))</f>
        <v>500.16900000004534</v>
      </c>
    </row>
    <row r="17" spans="1:65">
      <c r="A17" s="1284" t="s">
        <v>304</v>
      </c>
      <c r="B17" s="1285">
        <f t="shared" si="0"/>
        <v>16</v>
      </c>
      <c r="C17" s="1285">
        <v>4</v>
      </c>
      <c r="D17" s="1285">
        <v>2021</v>
      </c>
      <c r="E17" s="1300">
        <f>(IF('Section Load'!F20&gt;0,'Section Load'!F20,0))</f>
        <v>3222.4799999999814</v>
      </c>
      <c r="F17" s="1300">
        <f>(IF('Section Load'!G20&gt;0,'Section Load'!G20,0))</f>
        <v>1585.0999999999767</v>
      </c>
      <c r="G17" s="1300">
        <f>(IF('Section Load'!H20&gt;0,'Section Load'!H20,0))</f>
        <v>1760.3199999999488</v>
      </c>
      <c r="H17" s="1300">
        <f>(IF('Section Load'!I20&gt;0,'Section Load'!I20,0))</f>
        <v>4153.4599999999627</v>
      </c>
      <c r="I17" s="1300">
        <f>(IF('Section Load'!J20&gt;0,'Section Load'!J20,0))</f>
        <v>5084.1600000000326</v>
      </c>
      <c r="J17" s="1300">
        <f>(IF('Section Load'!K20&gt;0,'Section Load'!K20,0))</f>
        <v>2381.4399999999441</v>
      </c>
      <c r="K17" s="1300">
        <f>(IF('Section Load'!L20&gt;0,'Section Load'!L20,0))</f>
        <v>1068.2399999999907</v>
      </c>
      <c r="L17" s="1300">
        <f>(IF('Section Load'!M20&gt;0,'Section Load'!M20,0))</f>
        <v>616.75</v>
      </c>
      <c r="M17" s="1300">
        <f>(IF('Section Load'!N20&gt;0,'Section Load'!N20,0))</f>
        <v>100</v>
      </c>
      <c r="N17" s="1300">
        <f>(IF('Section Load'!O20&gt;0,'Section Load'!O20,0))</f>
        <v>0</v>
      </c>
      <c r="O17" s="1300">
        <f>(IF('Section Load'!P20&gt;0,'Section Load'!P20,0))</f>
        <v>18.440000000000055</v>
      </c>
      <c r="P17" s="1300">
        <f>(IF('Section Load'!Q20&gt;0,'Section Load'!Q20,0))</f>
        <v>163.93000000000029</v>
      </c>
      <c r="Q17" s="1300">
        <f>(IF('Section Load'!R20&gt;0,'Section Load'!R20,0))</f>
        <v>67.680000000000291</v>
      </c>
      <c r="R17" s="1300">
        <f>(IF('Section Load'!S20&gt;0,'Section Load'!S20,0))</f>
        <v>58</v>
      </c>
      <c r="S17" s="1300">
        <f>(IF('Section Load'!T20&gt;0,'Section Load'!T20,0))</f>
        <v>423</v>
      </c>
      <c r="T17" s="1300">
        <f>(IF('Section Load'!U20&gt;0,'Section Load'!U20,0))</f>
        <v>206</v>
      </c>
      <c r="U17" s="1300">
        <f>(IF('Section Load'!V20&gt;0,'Section Load'!V20,0))</f>
        <v>353.8399999999674</v>
      </c>
      <c r="V17" s="1300">
        <f>(IF('Section Load'!W20&gt;0,'Section Load'!W20,0))</f>
        <v>108.15999999991618</v>
      </c>
      <c r="W17" s="1300">
        <f>(IF('Section Load'!X20&gt;0,'Section Load'!X20,0))</f>
        <v>24.289999999993597</v>
      </c>
      <c r="X17" s="1300">
        <f>(IF('Section Load'!Y20&gt;0,'Section Load'!Y20,0))</f>
        <v>174.29999999999563</v>
      </c>
      <c r="Y17" s="1300">
        <f>(IF('Section Load'!Z20&gt;0,'Section Load'!Z20,0))</f>
        <v>241</v>
      </c>
      <c r="Z17" s="1300">
        <f>(IF('Section Load'!AA20&gt;0,'Section Load'!AA20,0))</f>
        <v>113.03999999997905</v>
      </c>
      <c r="AA17" s="1300">
        <f>(IF('Section Load'!AB20&gt;0,'Section Load'!AB20,0))</f>
        <v>29.899999999994179</v>
      </c>
      <c r="AB17" s="1300">
        <f>(IF('Section Load'!AC20&gt;0,'Section Load'!AC20,0))</f>
        <v>117.50999999998021</v>
      </c>
      <c r="AC17" s="1300">
        <f>(IF('Section Load'!AD20&gt;0,'Section Load'!AD20,0))</f>
        <v>33.499999999994543</v>
      </c>
      <c r="AD17" s="1300">
        <f>(IF('Section Load'!AE20&gt;0,'Section Load'!AE20,0))</f>
        <v>0</v>
      </c>
      <c r="AE17" s="1300">
        <f>(IF('Section Load'!AF20&gt;0,'Section Load'!AF20,0))</f>
        <v>14.950000000000045</v>
      </c>
      <c r="AF17" s="1300">
        <f>(IF('Section Load'!AG20&gt;0,'Section Load'!AG20,0))</f>
        <v>493.8300000000163</v>
      </c>
      <c r="AG17" s="1300">
        <f>(IF('Section Load'!AH20&gt;0,'Section Load'!AH20,0))</f>
        <v>375.70000000001164</v>
      </c>
      <c r="AH17" s="1300">
        <f>(IF('Section Load'!AI20&gt;0,'Section Load'!AI20,0))</f>
        <v>391.40000000000146</v>
      </c>
      <c r="AI17" s="1300">
        <f>(IF('Section Load'!AJ20&gt;0,'Section Load'!AJ20,0))</f>
        <v>670.17999999999302</v>
      </c>
      <c r="AJ17" s="1300">
        <f>(IF('Section Load'!AK20&gt;0,'Section Load'!AK20,0))</f>
        <v>323.41999999999825</v>
      </c>
      <c r="AK17" s="1300">
        <f>(IF('Section Load'!AL20&gt;0,'Section Load'!AL20,0))</f>
        <v>305.08000000000175</v>
      </c>
      <c r="AL17" s="1300">
        <f>(IF('Section Load'!AM20&gt;0,'Section Load'!AM20,0))</f>
        <v>692</v>
      </c>
      <c r="AM17" s="1301">
        <f>(IF('Water Report'!$S$7&gt;0,'Water Report'!$S$7,0))</f>
        <v>75</v>
      </c>
      <c r="AN17" s="1301">
        <f>(IF('Water Report'!$S$8&gt;0,'Water Report'!$S$8,0))</f>
        <v>145</v>
      </c>
      <c r="AO17" s="1301">
        <f>(IF('Water Report'!$S$9&gt;0,'Water Report'!$S$9,0))</f>
        <v>72</v>
      </c>
      <c r="AP17" s="1301">
        <f>(IF('Water Report'!$S$10&gt;0,'Water Report'!$D$10,0))</f>
        <v>17</v>
      </c>
      <c r="AQ17" s="1301">
        <f>(IF('Water Report'!$S$11&gt;0,'Water Report'!$D$11,0))</f>
        <v>0</v>
      </c>
      <c r="AR17" s="1301">
        <f>(IF('Water Report'!$S$13&gt;0,'Water Report'!$D$13,0))</f>
        <v>28</v>
      </c>
      <c r="AS17" s="1301">
        <f>(IF('Water Report'!$S$14&gt;0,'Water Report'!$D$14,0))</f>
        <v>20</v>
      </c>
      <c r="AT17" s="1301">
        <f>(IF('Water Report'!$S$15&gt;0,'Water Report'!$D$15,0))</f>
        <v>0</v>
      </c>
      <c r="AU17" s="1301">
        <f>(IF('Water Report'!$S$17&gt;0,'Water Report'!$D$17,0))</f>
        <v>0</v>
      </c>
      <c r="AV17" s="1301">
        <f>(IF('Water Report'!$S$18&gt;0,'Water Report'!$D$18,0))</f>
        <v>5</v>
      </c>
      <c r="AW17" s="1301">
        <f>(IF('Water Report'!$S$19&gt;0,'Water Report'!$D$19,0))</f>
        <v>5</v>
      </c>
      <c r="AX17" s="1382">
        <f>(IF('Water Report'!$S$21&gt;0,'Water Report'!$D$21,0))</f>
        <v>87</v>
      </c>
      <c r="AY17" s="1382">
        <f>(IF('Water Report'!$S$22&gt;0,'Water Report'!$D$22,0))</f>
        <v>30</v>
      </c>
      <c r="AZ17" s="1382">
        <f>(IF('Water Report'!$S$23&gt;0,'Water Report'!$D$23,0))</f>
        <v>0</v>
      </c>
      <c r="BA17" s="1382">
        <f>(IF('Water Report'!$S$14&gt;0,'Water Report'!$D$14,0))</f>
        <v>20</v>
      </c>
      <c r="BB17" s="1382">
        <f>(IF('Water Report'!$S$15&gt;0,'Water Report'!$D$15,0))</f>
        <v>0</v>
      </c>
      <c r="BC17" s="1382">
        <f>(IF('Water Report'!$S$13&gt;0,'Water Report'!$D$13,0))</f>
        <v>28</v>
      </c>
      <c r="BD17" s="1382">
        <f>(IF('Water Report'!$S$24&gt;0,'Water Report'!$D$24,0))</f>
        <v>193</v>
      </c>
      <c r="BE17" s="1382">
        <f>(IF('Water Report'!$S$25&gt;0,'Water Report'!$D$25,0))</f>
        <v>139</v>
      </c>
      <c r="BF17" s="1382">
        <f>(IF('Water Report'!$S$27&gt;0,'Water Report'!$D$27,0))</f>
        <v>136</v>
      </c>
      <c r="BG17" s="1302">
        <f>(IF('Section Load'!AN20&gt;0,'Section Load'!AN20,0))</f>
        <v>821.11100000003353</v>
      </c>
      <c r="BH17" s="1302">
        <f>(IF('Section Load'!AO20&gt;0,'Section Load'!AO20,0))</f>
        <v>235.94000000006054</v>
      </c>
      <c r="BI17" s="1302">
        <f>(IF('Section Load'!AP20&gt;0,'Section Load'!AP20,0))</f>
        <v>0</v>
      </c>
      <c r="BJ17" s="1302">
        <f>(IF('Section Load'!AQ20&gt;0,'Section Load'!AQ20,0))</f>
        <v>50.299999999988358</v>
      </c>
      <c r="BK17" s="1302">
        <f>(IF('Section Load'!AR20&gt;0,'Section Load'!AR20,0))</f>
        <v>16.099999999998545</v>
      </c>
      <c r="BL17" s="1302">
        <f>(IF('Section Load'!AS20&gt;0,'Section Load'!AS20,0))</f>
        <v>0.6000000000003638</v>
      </c>
      <c r="BM17" s="1302">
        <f>(IF('Section Load'!AT20&gt;0,'Section Load'!AT20,0))</f>
        <v>518.17099999998572</v>
      </c>
    </row>
    <row r="18" spans="1:65">
      <c r="A18" s="1284" t="s">
        <v>304</v>
      </c>
      <c r="B18" s="1285">
        <f t="shared" si="0"/>
        <v>17</v>
      </c>
      <c r="C18" s="1285">
        <v>4</v>
      </c>
      <c r="D18" s="1285">
        <v>2021</v>
      </c>
      <c r="E18" s="1300">
        <f>(IF('Section Load'!F21&gt;0,'Section Load'!F21,0))</f>
        <v>3306.640000000014</v>
      </c>
      <c r="F18" s="1300">
        <f>(IF('Section Load'!G21&gt;0,'Section Load'!G21,0))</f>
        <v>1574.5299999999988</v>
      </c>
      <c r="G18" s="1300">
        <f>(IF('Section Load'!H21&gt;0,'Section Load'!H21,0))</f>
        <v>1736.4000000000233</v>
      </c>
      <c r="H18" s="1300">
        <f>(IF('Section Load'!I21&gt;0,'Section Load'!I21,0))</f>
        <v>4104.4800000000396</v>
      </c>
      <c r="I18" s="1300">
        <f>(IF('Section Load'!J21&gt;0,'Section Load'!J21,0))</f>
        <v>4907.5169999999634</v>
      </c>
      <c r="J18" s="1300">
        <f>(IF('Section Load'!K21&gt;0,'Section Load'!K21,0))</f>
        <v>2358</v>
      </c>
      <c r="K18" s="1300">
        <f>(IF('Section Load'!L21&gt;0,'Section Load'!L21,0))</f>
        <v>1167.5599999999977</v>
      </c>
      <c r="L18" s="1300">
        <f>(IF('Section Load'!M21&gt;0,'Section Load'!M21,0))</f>
        <v>641.94000000000233</v>
      </c>
      <c r="M18" s="1300">
        <f>(IF('Section Load'!N21&gt;0,'Section Load'!N21,0))</f>
        <v>86</v>
      </c>
      <c r="N18" s="1300">
        <f>(IF('Section Load'!O21&gt;0,'Section Load'!O21,0))</f>
        <v>0</v>
      </c>
      <c r="O18" s="1300">
        <f>(IF('Section Load'!P21&gt;0,'Section Load'!P21,0))</f>
        <v>17.559999999999945</v>
      </c>
      <c r="P18" s="1300">
        <f>(IF('Section Load'!Q21&gt;0,'Section Load'!Q21,0))</f>
        <v>153.09000000000015</v>
      </c>
      <c r="Q18" s="1300">
        <f>(IF('Section Load'!R21&gt;0,'Section Load'!R21,0))</f>
        <v>65.329999999999927</v>
      </c>
      <c r="R18" s="1300">
        <f>(IF('Section Load'!S21&gt;0,'Section Load'!S21,0))</f>
        <v>59</v>
      </c>
      <c r="S18" s="1300">
        <f>(IF('Section Load'!T21&gt;0,'Section Load'!T21,0))</f>
        <v>391</v>
      </c>
      <c r="T18" s="1300">
        <f>(IF('Section Load'!U21&gt;0,'Section Load'!U21,0))</f>
        <v>201</v>
      </c>
      <c r="U18" s="1300">
        <f>(IF('Section Load'!V21&gt;0,'Section Load'!V21,0))</f>
        <v>334.79999999998836</v>
      </c>
      <c r="V18" s="1300">
        <f>(IF('Section Load'!W21&gt;0,'Section Load'!W21,0))</f>
        <v>112.64000000001397</v>
      </c>
      <c r="W18" s="1300">
        <f>(IF('Section Load'!X21&gt;0,'Section Load'!X21,0))</f>
        <v>21.279999999998836</v>
      </c>
      <c r="X18" s="1300">
        <f>(IF('Section Load'!Y21&gt;0,'Section Load'!Y21,0))</f>
        <v>148.98999999999796</v>
      </c>
      <c r="Y18" s="1300">
        <f>(IF('Section Load'!Z21&gt;0,'Section Load'!Z21,0))</f>
        <v>240</v>
      </c>
      <c r="Z18" s="1300">
        <f>(IF('Section Load'!AA21&gt;0,'Section Load'!AA21,0))</f>
        <v>115.11999999999534</v>
      </c>
      <c r="AA18" s="1300">
        <f>(IF('Section Load'!AB21&gt;0,'Section Load'!AB21,0))</f>
        <v>28.400000000008731</v>
      </c>
      <c r="AB18" s="1300">
        <f>(IF('Section Load'!AC21&gt;0,'Section Load'!AC21,0))</f>
        <v>82.740000000019791</v>
      </c>
      <c r="AC18" s="1300">
        <f>(IF('Section Load'!AD21&gt;0,'Section Load'!AD21,0))</f>
        <v>33.200000000008458</v>
      </c>
      <c r="AD18" s="1300">
        <f>(IF('Section Load'!AE21&gt;0,'Section Load'!AE21,0))</f>
        <v>0</v>
      </c>
      <c r="AE18" s="1300">
        <f>(IF('Section Load'!AF21&gt;0,'Section Load'!AF21,0))</f>
        <v>12.379999999999882</v>
      </c>
      <c r="AF18" s="1300">
        <f>(IF('Section Load'!AG21&gt;0,'Section Load'!AG21,0))</f>
        <v>505.82000000000698</v>
      </c>
      <c r="AG18" s="1300">
        <f>(IF('Section Load'!AH21&gt;0,'Section Load'!AH21,0))</f>
        <v>373.57999999998719</v>
      </c>
      <c r="AH18" s="1300">
        <f>(IF('Section Load'!AI21&gt;0,'Section Load'!AI21,0))</f>
        <v>384.29999999999927</v>
      </c>
      <c r="AI18" s="1300">
        <f>(IF('Section Load'!AJ21&gt;0,'Section Load'!AJ21,0))</f>
        <v>642.52000000001863</v>
      </c>
      <c r="AJ18" s="1300">
        <f>(IF('Section Load'!AK21&gt;0,'Section Load'!AK21,0))</f>
        <v>313.22000000000116</v>
      </c>
      <c r="AK18" s="1300">
        <f>(IF('Section Load'!AL21&gt;0,'Section Load'!AL21,0))</f>
        <v>309.02000000000407</v>
      </c>
      <c r="AL18" s="1300">
        <f>(IF('Section Load'!AM21&gt;0,'Section Load'!AM21,0))</f>
        <v>661</v>
      </c>
      <c r="AM18" s="1301">
        <f>(IF('Water Report'!$T$7&gt;0,'Water Report'!$T$7,0))</f>
        <v>77</v>
      </c>
      <c r="AN18" s="1301">
        <f>(IF('Water Report'!$T$8&gt;0,'Water Report'!$T$8,0))</f>
        <v>104</v>
      </c>
      <c r="AO18" s="1301">
        <f>(IF('Water Report'!$T$9&gt;0,'Water Report'!$T$9,0))</f>
        <v>97</v>
      </c>
      <c r="AP18" s="1301">
        <f>(IF('Water Report'!$T$10&gt;0,'Water Report'!$T$10,0))</f>
        <v>14</v>
      </c>
      <c r="AQ18" s="1301">
        <f>(IF('Water Report'!$T$11&gt;0,'Water Report'!$T$11,0))</f>
        <v>0</v>
      </c>
      <c r="AR18" s="1301">
        <f>(IF('Water Report'!$T$13&gt;0,'Water Report'!$T$13,0))</f>
        <v>18</v>
      </c>
      <c r="AS18" s="1301">
        <f>(IF('Water Report'!$T$14&gt;0,'Water Report'!$T$14,0))</f>
        <v>11</v>
      </c>
      <c r="AT18" s="1301">
        <f>(IF('Water Report'!$T$15&gt;0,'Water Report'!$T$15,0))</f>
        <v>6</v>
      </c>
      <c r="AU18" s="1301">
        <f>(IF('Water Report'!$T$17&gt;0,'Water Report'!$T$17,0))</f>
        <v>0</v>
      </c>
      <c r="AV18" s="1301">
        <f>(IF('Water Report'!$T$18&gt;0,'Water Report'!$T$18,0))</f>
        <v>5</v>
      </c>
      <c r="AW18" s="1301">
        <f>(IF('Water Report'!$T$19&gt;0,'Water Report'!$T$19,0))</f>
        <v>4</v>
      </c>
      <c r="AX18" s="1382">
        <f>(IF('Water Report'!$T$21&gt;0,'Water Report'!$T$21,0))</f>
        <v>64</v>
      </c>
      <c r="AY18" s="1382">
        <f>(IF('Water Report'!$T$22&gt;0,'Water Report'!$T$22,0))</f>
        <v>0</v>
      </c>
      <c r="AZ18" s="1382">
        <f>(IF('Water Report'!$T$23&gt;0,'Water Report'!$T$23,0))</f>
        <v>20</v>
      </c>
      <c r="BA18" s="1382">
        <f>(IF('Water Report'!$T$14&gt;0,'Water Report'!$T$14,0))</f>
        <v>11</v>
      </c>
      <c r="BB18" s="1382">
        <f>(IF('Water Report'!$T$15&gt;0,'Water Report'!$T$15,0))</f>
        <v>6</v>
      </c>
      <c r="BC18" s="1382">
        <f>(IF('Water Report'!$T$13&gt;0,'Water Report'!$T$13,0))</f>
        <v>18</v>
      </c>
      <c r="BD18" s="1382">
        <f>(IF('Water Report'!$T$24&gt;0,'Water Report'!$T$24,0))</f>
        <v>173</v>
      </c>
      <c r="BE18" s="1382">
        <f>(IF('Water Report'!$T$25&gt;0,'Water Report'!$T$25,0))</f>
        <v>128</v>
      </c>
      <c r="BF18" s="1382">
        <f>(IF('Water Report'!$T$27&gt;0,'Water Report'!$T$27,0))</f>
        <v>102</v>
      </c>
      <c r="BG18" s="1302">
        <f>(IF('Section Load'!AN21&gt;0,'Section Load'!AN21,0))</f>
        <v>780.70900000003166</v>
      </c>
      <c r="BH18" s="1302">
        <f>(IF('Section Load'!AO21&gt;0,'Section Load'!AO21,0))</f>
        <v>236.09999999997672</v>
      </c>
      <c r="BI18" s="1302">
        <f>(IF('Section Load'!AP21&gt;0,'Section Load'!AP21,0))</f>
        <v>0</v>
      </c>
      <c r="BJ18" s="1302">
        <f>(IF('Section Load'!AQ21&gt;0,'Section Load'!AQ21,0))</f>
        <v>72.25</v>
      </c>
      <c r="BK18" s="1302">
        <f>(IF('Section Load'!AR21&gt;0,'Section Load'!AR21,0))</f>
        <v>16.80000000000291</v>
      </c>
      <c r="BL18" s="1302">
        <f>(IF('Section Load'!AS21&gt;0,'Section Load'!AS21,0))</f>
        <v>4.5</v>
      </c>
      <c r="BM18" s="1302">
        <f>(IF('Section Load'!AT21&gt;0,'Section Load'!AT21,0))</f>
        <v>451.05900000005204</v>
      </c>
    </row>
    <row r="19" spans="1:65">
      <c r="A19" s="1284" t="s">
        <v>304</v>
      </c>
      <c r="B19" s="1285">
        <f t="shared" si="0"/>
        <v>18</v>
      </c>
      <c r="C19" s="1285">
        <v>4</v>
      </c>
      <c r="D19" s="1285">
        <v>2021</v>
      </c>
      <c r="E19" s="1300">
        <f>(IF('Section Load'!F22&gt;0,'Section Load'!F22,0))</f>
        <v>3524.640000000014</v>
      </c>
      <c r="F19" s="1300">
        <f>(IF('Section Load'!G22&gt;0,'Section Load'!G22,0))</f>
        <v>1640.260000000002</v>
      </c>
      <c r="G19" s="1300">
        <f>(IF('Section Load'!H22&gt;0,'Section Load'!H22,0))</f>
        <v>1769.359999999986</v>
      </c>
      <c r="H19" s="1300">
        <f>(IF('Section Load'!I22&gt;0,'Section Load'!I22,0))</f>
        <v>4365.3999999999651</v>
      </c>
      <c r="I19" s="1300">
        <f>(IF('Section Load'!J22&gt;0,'Section Load'!J22,0))</f>
        <v>6598.2730000000229</v>
      </c>
      <c r="J19" s="1300">
        <f>(IF('Section Load'!K22&gt;0,'Section Load'!K22,0))</f>
        <v>2617.359999999986</v>
      </c>
      <c r="K19" s="1300">
        <f>(IF('Section Load'!L22&gt;0,'Section Load'!L22,0))</f>
        <v>1567.9200000000419</v>
      </c>
      <c r="L19" s="1300">
        <f>(IF('Section Load'!M22&gt;0,'Section Load'!M22,0))</f>
        <v>789.30999999999767</v>
      </c>
      <c r="M19" s="1300">
        <f>(IF('Section Load'!N22&gt;0,'Section Load'!N22,0))</f>
        <v>86</v>
      </c>
      <c r="N19" s="1300">
        <f>(IF('Section Load'!O22&gt;0,'Section Load'!O22,0))</f>
        <v>1</v>
      </c>
      <c r="O19" s="1300">
        <f>(IF('Section Load'!P22&gt;0,'Section Load'!P22,0))</f>
        <v>20.089999999999918</v>
      </c>
      <c r="P19" s="1300">
        <f>(IF('Section Load'!Q22&gt;0,'Section Load'!Q22,0))</f>
        <v>171.1899999999996</v>
      </c>
      <c r="Q19" s="1300">
        <f>(IF('Section Load'!R22&gt;0,'Section Load'!R22,0))</f>
        <v>81.7199999999998</v>
      </c>
      <c r="R19" s="1300">
        <f>(IF('Section Load'!S22&gt;0,'Section Load'!S22,0))</f>
        <v>54</v>
      </c>
      <c r="S19" s="1300">
        <f>(IF('Section Load'!T22&gt;0,'Section Load'!T22,0))</f>
        <v>465</v>
      </c>
      <c r="T19" s="1300">
        <f>(IF('Section Load'!U22&gt;0,'Section Load'!U22,0))</f>
        <v>199</v>
      </c>
      <c r="U19" s="1300">
        <f>(IF('Section Load'!V22&gt;0,'Section Load'!V22,0))</f>
        <v>255.84000000002561</v>
      </c>
      <c r="V19" s="1300">
        <f>(IF('Section Load'!W22&gt;0,'Section Load'!W22,0))</f>
        <v>129.08000000007451</v>
      </c>
      <c r="W19" s="1300">
        <f>(IF('Section Load'!X22&gt;0,'Section Load'!X22,0))</f>
        <v>21.360000000000582</v>
      </c>
      <c r="X19" s="1300">
        <f>(IF('Section Load'!Y22&gt;0,'Section Load'!Y22,0))</f>
        <v>155.26000000000204</v>
      </c>
      <c r="Y19" s="1300">
        <f>(IF('Section Load'!Z22&gt;0,'Section Load'!Z22,0))</f>
        <v>239</v>
      </c>
      <c r="Z19" s="1300">
        <f>(IF('Section Load'!AA22&gt;0,'Section Load'!AA22,0))</f>
        <v>148.55999999999767</v>
      </c>
      <c r="AA19" s="1300">
        <f>(IF('Section Load'!AB22&gt;0,'Section Load'!AB22,0))</f>
        <v>38.899999999994179</v>
      </c>
      <c r="AB19" s="1300">
        <f>(IF('Section Load'!AC22&gt;0,'Section Load'!AC22,0))</f>
        <v>82.529999999998836</v>
      </c>
      <c r="AC19" s="1300">
        <f>(IF('Section Load'!AD22&gt;0,'Section Load'!AD22,0))</f>
        <v>42.999999999994088</v>
      </c>
      <c r="AD19" s="1300">
        <f>(IF('Section Load'!AE22&gt;0,'Section Load'!AE22,0))</f>
        <v>0</v>
      </c>
      <c r="AE19" s="1300">
        <f>(IF('Section Load'!AF22&gt;0,'Section Load'!AF22,0))</f>
        <v>12.480000000000018</v>
      </c>
      <c r="AF19" s="1300">
        <f>(IF('Section Load'!AG22&gt;0,'Section Load'!AG22,0))</f>
        <v>516.08999999999651</v>
      </c>
      <c r="AG19" s="1300">
        <f>(IF('Section Load'!AH22&gt;0,'Section Load'!AH22,0))</f>
        <v>385.02999999999884</v>
      </c>
      <c r="AH19" s="1300">
        <f>(IF('Section Load'!AI22&gt;0,'Section Load'!AI22,0))</f>
        <v>401.47000000000116</v>
      </c>
      <c r="AI19" s="1300">
        <f>(IF('Section Load'!AJ22&gt;0,'Section Load'!AJ22,0))</f>
        <v>737.87999999997555</v>
      </c>
      <c r="AJ19" s="1300">
        <f>(IF('Section Load'!AK22&gt;0,'Section Load'!AK22,0))</f>
        <v>335.4600000000064</v>
      </c>
      <c r="AK19" s="1300">
        <f>(IF('Section Load'!AL22&gt;0,'Section Load'!AL22,0))</f>
        <v>321.58999999999651</v>
      </c>
      <c r="AL19" s="1300">
        <f>(IF('Section Load'!AM22&gt;0,'Section Load'!AM22,0))</f>
        <v>727</v>
      </c>
      <c r="AM19" s="1301">
        <f>(IF('Water Report'!$U$7&gt;0,'Water Report'!$U$7,0))</f>
        <v>59</v>
      </c>
      <c r="AN19" s="1301">
        <f>(IF('Water Report'!$U$8&gt;0,'Water Report'!$U$8,0))</f>
        <v>117</v>
      </c>
      <c r="AO19" s="1301">
        <f>(IF('Water Report'!$U$9&gt;0,'Water Report'!$U$9,0))</f>
        <v>71</v>
      </c>
      <c r="AP19" s="1301">
        <f>(IF('Water Report'!$U$10&gt;0,'Water Report'!$U$10,0))</f>
        <v>13</v>
      </c>
      <c r="AQ19" s="1301">
        <f>(IF('Water Report'!$U$11&gt;0,'Water Report'!$U$11,0))</f>
        <v>13</v>
      </c>
      <c r="AR19" s="1301">
        <f>(IF('Water Report'!$U$13&gt;0,'Water Report'!$U$13,0))</f>
        <v>16</v>
      </c>
      <c r="AS19" s="1301">
        <f>(IF('Water Report'!$U$14&gt;0,'Water Report'!$U$14,0))</f>
        <v>7</v>
      </c>
      <c r="AT19" s="1301">
        <f>(IF('Water Report'!$U$15&gt;0,'Water Report'!$U$15,0))</f>
        <v>6</v>
      </c>
      <c r="AU19" s="1301">
        <f>(IF('Water Report'!$U$17&gt;0,'Water Report'!$U$17,0))</f>
        <v>41</v>
      </c>
      <c r="AV19" s="1301">
        <f>(IF('Water Report'!$U$18&gt;0,'Water Report'!$U$18,0))</f>
        <v>7</v>
      </c>
      <c r="AW19" s="1301">
        <f>(IF('Water Report'!$U$19&gt;0,'Water Report'!$U$19,0))</f>
        <v>5</v>
      </c>
      <c r="AX19" s="1382">
        <f>(IF('Water Report'!$U$21&gt;0,'Water Report'!$U$21,0))</f>
        <v>76</v>
      </c>
      <c r="AY19" s="1382">
        <f>(IF('Water Report'!$U$22&gt;0,'Water Report'!$U$22,0))</f>
        <v>0</v>
      </c>
      <c r="AZ19" s="1382">
        <f>(IF('Water Report'!$U$23&gt;0,'Water Report'!$U$23,0))</f>
        <v>0</v>
      </c>
      <c r="BA19" s="1382">
        <f>(IF('Water Report'!$U$14&gt;0,'Water Report'!$U$14,0))</f>
        <v>7</v>
      </c>
      <c r="BB19" s="1382">
        <f>(IF('Water Report'!$U$15&gt;0,'Water Report'!$U$15,0))</f>
        <v>6</v>
      </c>
      <c r="BC19" s="1382">
        <f>(IF('Water Report'!$U$13&gt;0,'Water Report'!$U$13,0))</f>
        <v>16</v>
      </c>
      <c r="BD19" s="1382">
        <f>(IF('Water Report'!$U$24&gt;0,'Water Report'!$U$24,0))</f>
        <v>133</v>
      </c>
      <c r="BE19" s="1382">
        <f>(IF('Water Report'!$U$25&gt;0,'Water Report'!$U$25,0))</f>
        <v>110</v>
      </c>
      <c r="BF19" s="1382">
        <f>(IF('Water Report'!$U$27&gt;0,'Water Report'!$U$27,0))</f>
        <v>92</v>
      </c>
      <c r="BG19" s="1302">
        <f>(IF('Section Load'!AN22&gt;0,'Section Load'!AN22,0))</f>
        <v>810.4749999998603</v>
      </c>
      <c r="BH19" s="1302">
        <f>(IF('Section Load'!AO22&gt;0,'Section Load'!AO22,0))</f>
        <v>261.28000000002794</v>
      </c>
      <c r="BI19" s="1302">
        <f>(IF('Section Load'!AP22&gt;0,'Section Load'!AP22,0))</f>
        <v>0</v>
      </c>
      <c r="BJ19" s="1302">
        <f>(IF('Section Load'!AQ22&gt;0,'Section Load'!AQ22,0))</f>
        <v>73.050000000017462</v>
      </c>
      <c r="BK19" s="1302">
        <f>(IF('Section Load'!AR22&gt;0,'Section Load'!AR22,0))</f>
        <v>16.5</v>
      </c>
      <c r="BL19" s="1302">
        <f>(IF('Section Load'!AS22&gt;0,'Section Load'!AS22,0))</f>
        <v>1.3999999999996362</v>
      </c>
      <c r="BM19" s="1302">
        <f>(IF('Section Load'!AT22&gt;0,'Section Load'!AT22,0))</f>
        <v>458.24499999981526</v>
      </c>
    </row>
    <row r="20" spans="1:65">
      <c r="A20" s="1284" t="s">
        <v>304</v>
      </c>
      <c r="B20" s="1285">
        <f t="shared" si="0"/>
        <v>19</v>
      </c>
      <c r="C20" s="1285">
        <v>4</v>
      </c>
      <c r="D20" s="1285">
        <v>2021</v>
      </c>
      <c r="E20" s="1300">
        <f>(IF('Section Load'!F23&gt;0,'Section Load'!F23,0))</f>
        <v>3067.1999999999534</v>
      </c>
      <c r="F20" s="1300">
        <f>(IF('Section Load'!G23&gt;0,'Section Load'!G23,0))</f>
        <v>1459.4200000000055</v>
      </c>
      <c r="G20" s="1300">
        <f>(IF('Section Load'!H23&gt;0,'Section Load'!H23,0))</f>
        <v>1724.8999999999578</v>
      </c>
      <c r="H20" s="1300">
        <f>(IF('Section Load'!I23&gt;0,'Section Load'!I23,0))</f>
        <v>4021.5299999999988</v>
      </c>
      <c r="I20" s="1300">
        <f>(IF('Section Load'!J23&gt;0,'Section Load'!J23,0))</f>
        <v>4813.649999999936</v>
      </c>
      <c r="J20" s="1300">
        <f>(IF('Section Load'!K23&gt;0,'Section Load'!K23,0))</f>
        <v>2380.950000000028</v>
      </c>
      <c r="K20" s="1300">
        <f>(IF('Section Load'!L23&gt;0,'Section Load'!L23,0))</f>
        <v>1178.9599999999627</v>
      </c>
      <c r="L20" s="1300">
        <f>(IF('Section Load'!M23&gt;0,'Section Load'!M23,0))</f>
        <v>604.6699999999837</v>
      </c>
      <c r="M20" s="1300">
        <f>(IF('Section Load'!N23&gt;0,'Section Load'!N23,0))</f>
        <v>83</v>
      </c>
      <c r="N20" s="1300">
        <f>(IF('Section Load'!O23&gt;0,'Section Load'!O23,0))</f>
        <v>0</v>
      </c>
      <c r="O20" s="1300">
        <f>(IF('Section Load'!P23&gt;0,'Section Load'!P23,0))</f>
        <v>18.130000000000109</v>
      </c>
      <c r="P20" s="1300">
        <f>(IF('Section Load'!Q23&gt;0,'Section Load'!Q23,0))</f>
        <v>159.5</v>
      </c>
      <c r="Q20" s="1300">
        <f>(IF('Section Load'!R23&gt;0,'Section Load'!R23,0))</f>
        <v>83.010000000000218</v>
      </c>
      <c r="R20" s="1300">
        <f>(IF('Section Load'!S23&gt;0,'Section Load'!S23,0))</f>
        <v>56</v>
      </c>
      <c r="S20" s="1300">
        <f>(IF('Section Load'!T23&gt;0,'Section Load'!T23,0))</f>
        <v>466</v>
      </c>
      <c r="T20" s="1300">
        <f>(IF('Section Load'!U23&gt;0,'Section Load'!U23,0))</f>
        <v>200</v>
      </c>
      <c r="U20" s="1300">
        <f>(IF('Section Load'!V23&gt;0,'Section Load'!V23,0))</f>
        <v>440.03999999997905</v>
      </c>
      <c r="V20" s="1300">
        <f>(IF('Section Load'!W23&gt;0,'Section Load'!W23,0))</f>
        <v>107.07999999995809</v>
      </c>
      <c r="W20" s="1300">
        <f>(IF('Section Load'!X23&gt;0,'Section Load'!X23,0))</f>
        <v>20.720000000001164</v>
      </c>
      <c r="X20" s="1300">
        <f>(IF('Section Load'!Y23&gt;0,'Section Load'!Y23,0))</f>
        <v>165.06999999999971</v>
      </c>
      <c r="Y20" s="1300">
        <f>(IF('Section Load'!Z23&gt;0,'Section Load'!Z23,0))</f>
        <v>254</v>
      </c>
      <c r="Z20" s="1300">
        <f>(IF('Section Load'!AA23&gt;0,'Section Load'!AA23,0))</f>
        <v>170.47999999998137</v>
      </c>
      <c r="AA20" s="1300">
        <f>(IF('Section Load'!AB23&gt;0,'Section Load'!AB23,0))</f>
        <v>33.430000000007567</v>
      </c>
      <c r="AB20" s="1300">
        <f>(IF('Section Load'!AC23&gt;0,'Section Load'!AC23,0))</f>
        <v>90.279999999998836</v>
      </c>
      <c r="AC20" s="1300">
        <f>(IF('Section Load'!AD23&gt;0,'Section Load'!AD23,0))</f>
        <v>37.63000000000784</v>
      </c>
      <c r="AD20" s="1300">
        <f>(IF('Section Load'!AE23&gt;0,'Section Load'!AE23,0))</f>
        <v>2.0000000000436557E-2</v>
      </c>
      <c r="AE20" s="1300">
        <f>(IF('Section Load'!AF23&gt;0,'Section Load'!AF23,0))</f>
        <v>10.630000000000109</v>
      </c>
      <c r="AF20" s="1300">
        <f>(IF('Section Load'!AG23&gt;0,'Section Load'!AG23,0))</f>
        <v>499.66000000000349</v>
      </c>
      <c r="AG20" s="1300">
        <f>(IF('Section Load'!AH23&gt;0,'Section Load'!AH23,0))</f>
        <v>362.18000000002212</v>
      </c>
      <c r="AH20" s="1300">
        <f>(IF('Section Load'!AI23&gt;0,'Section Load'!AI23,0))</f>
        <v>338.5099999999984</v>
      </c>
      <c r="AI20" s="1300">
        <f>(IF('Section Load'!AJ23&gt;0,'Section Load'!AJ23,0))</f>
        <v>688.72000000000116</v>
      </c>
      <c r="AJ20" s="1300">
        <f>(IF('Section Load'!AK23&gt;0,'Section Load'!AK23,0))</f>
        <v>300.19999999999709</v>
      </c>
      <c r="AK20" s="1300">
        <f>(IF('Section Load'!AL23&gt;0,'Section Load'!AL23,0))</f>
        <v>294.54000000000815</v>
      </c>
      <c r="AL20" s="1300">
        <f>(IF('Section Load'!AM23&gt;0,'Section Load'!AM23,0))</f>
        <v>715</v>
      </c>
      <c r="AM20" s="1301">
        <f>(IF('Water Report'!$V$7&gt;0,'Water Report'!$V$7,0))</f>
        <v>70</v>
      </c>
      <c r="AN20" s="1301">
        <f>(IF('Water Report'!$V$8&gt;0,'Water Report'!$V$8,0))</f>
        <v>129</v>
      </c>
      <c r="AO20" s="1301">
        <f>(IF('Water Report'!$V$9&gt;0,'Water Report'!$V$9,0))</f>
        <v>76</v>
      </c>
      <c r="AP20" s="1301">
        <f>(IF('Water Report'!$V$10&gt;0,'Water Report'!$V$10,0))</f>
        <v>15</v>
      </c>
      <c r="AQ20" s="1301">
        <f>(IF('Water Report'!$V$11&gt;0,'Water Report'!$V$11,0))</f>
        <v>16</v>
      </c>
      <c r="AR20" s="1301">
        <f>(IF('Water Report'!$V$13&gt;0,'Water Report'!$V$13,0))</f>
        <v>32</v>
      </c>
      <c r="AS20" s="1301">
        <f>(IF('Water Report'!$V$14&gt;0,'Water Report'!$V$14,0))</f>
        <v>14</v>
      </c>
      <c r="AT20" s="1301">
        <f>(IF('Water Report'!$V$15&gt;0,'Water Report'!$V$15,0))</f>
        <v>3</v>
      </c>
      <c r="AU20" s="1301">
        <f>(IF('Water Report'!$V$17&gt;0,'Water Report'!$V$17,0))</f>
        <v>0</v>
      </c>
      <c r="AV20" s="1301">
        <f>(IF('Water Report'!$V$18&gt;0,'Water Report'!$V$18,0))</f>
        <v>7</v>
      </c>
      <c r="AW20" s="1301">
        <f>(IF('Water Report'!$V$19&gt;0,'Water Report'!$V$19,0))</f>
        <v>4</v>
      </c>
      <c r="AX20" s="1382">
        <f>(IF('Water Report'!$V$21&gt;0,'Water Report'!$V$21,0))</f>
        <v>107</v>
      </c>
      <c r="AY20" s="1382">
        <f>(IF('Water Report'!$V$22&gt;0,'Water Report'!$V$22,0))</f>
        <v>25</v>
      </c>
      <c r="AZ20" s="1382">
        <f>(IF('Water Report'!$V$23&gt;0,'Water Report'!$V$23,0))</f>
        <v>0</v>
      </c>
      <c r="BA20" s="1382">
        <f>(IF('Water Report'!$V$14&gt;0,'Water Report'!$V$14,0))</f>
        <v>14</v>
      </c>
      <c r="BB20" s="1382">
        <f>(IF('Water Report'!$V$15&gt;0,'Water Report'!$V$15,0))</f>
        <v>3</v>
      </c>
      <c r="BC20" s="1382">
        <f>(IF('Water Report'!$V$13&gt;0,'Water Report'!$V$13,0))</f>
        <v>32</v>
      </c>
      <c r="BD20" s="1382">
        <f>(IF('Water Report'!$V$24&gt;0,'Water Report'!$V$24,0))</f>
        <v>171</v>
      </c>
      <c r="BE20" s="1382">
        <f>(IF('Water Report'!$V$25&gt;0,'Water Report'!$V$25,0))</f>
        <v>124</v>
      </c>
      <c r="BF20" s="1382">
        <f>(IF('Water Report'!$V$27&gt;0,'Water Report'!$V$27,0))</f>
        <v>139</v>
      </c>
      <c r="BG20" s="1302">
        <f>(IF('Section Load'!AN23&gt;0,'Section Load'!AN23,0))</f>
        <v>806.65599999995902</v>
      </c>
      <c r="BH20" s="1302">
        <f>(IF('Section Load'!AO23&gt;0,'Section Load'!AO23,0))</f>
        <v>244.43999999994412</v>
      </c>
      <c r="BI20" s="1302">
        <f>(IF('Section Load'!AP23&gt;0,'Section Load'!AP23,0))</f>
        <v>0</v>
      </c>
      <c r="BJ20" s="1302">
        <f>(IF('Section Load'!AQ23&gt;0,'Section Load'!AQ23,0))</f>
        <v>75.649999999994179</v>
      </c>
      <c r="BK20" s="1302">
        <f>(IF('Section Load'!AR23&gt;0,'Section Load'!AR23,0))</f>
        <v>14.299999999995634</v>
      </c>
      <c r="BL20" s="1302">
        <f>(IF('Section Load'!AS23&gt;0,'Section Load'!AS23,0))</f>
        <v>1.6000000000003638</v>
      </c>
      <c r="BM20" s="1302">
        <f>(IF('Section Load'!AT23&gt;0,'Section Load'!AT23,0))</f>
        <v>471.0660000000189</v>
      </c>
    </row>
    <row r="21" spans="1:65">
      <c r="A21" s="1284" t="s">
        <v>304</v>
      </c>
      <c r="B21" s="1285">
        <f t="shared" si="0"/>
        <v>20</v>
      </c>
      <c r="C21" s="1285">
        <v>4</v>
      </c>
      <c r="D21" s="1285">
        <v>2021</v>
      </c>
      <c r="E21" s="1300">
        <f>(IF('Section Load'!F24&gt;0,'Section Load'!F24,0))</f>
        <v>3354</v>
      </c>
      <c r="F21" s="1300">
        <f>(IF('Section Load'!G24&gt;0,'Section Load'!G24,0))</f>
        <v>1568.4199999999983</v>
      </c>
      <c r="G21" s="1300">
        <f>(IF('Section Load'!H24&gt;0,'Section Load'!H24,0))</f>
        <v>1803.9100000000035</v>
      </c>
      <c r="H21" s="1300">
        <f>(IF('Section Load'!I24&gt;0,'Section Load'!I24,0))</f>
        <v>4428.9200000000128</v>
      </c>
      <c r="I21" s="1300">
        <f>(IF('Section Load'!J24&gt;0,'Section Load'!J24,0))</f>
        <v>5278.3600000000879</v>
      </c>
      <c r="J21" s="1300">
        <f>(IF('Section Load'!K24&gt;0,'Section Load'!K24,0))</f>
        <v>2443.9200000000419</v>
      </c>
      <c r="K21" s="1300">
        <f>(IF('Section Load'!L24&gt;0,'Section Load'!L24,0))</f>
        <v>1405.4800000000396</v>
      </c>
      <c r="L21" s="1300">
        <f>(IF('Section Load'!M24&gt;0,'Section Load'!M24,0))</f>
        <v>603.14000000001397</v>
      </c>
      <c r="M21" s="1300">
        <f>(IF('Section Load'!N24&gt;0,'Section Load'!N24,0))</f>
        <v>109</v>
      </c>
      <c r="N21" s="1300">
        <f>(IF('Section Load'!O24&gt;0,'Section Load'!O24,0))</f>
        <v>8</v>
      </c>
      <c r="O21" s="1300">
        <f>(IF('Section Load'!P24&gt;0,'Section Load'!P24,0))</f>
        <v>18.929999999999836</v>
      </c>
      <c r="P21" s="1300">
        <f>(IF('Section Load'!Q24&gt;0,'Section Load'!Q24,0))</f>
        <v>198</v>
      </c>
      <c r="Q21" s="1300">
        <f>(IF('Section Load'!R24&gt;0,'Section Load'!R24,0))</f>
        <v>78.109999999999673</v>
      </c>
      <c r="R21" s="1300">
        <f>(IF('Section Load'!S24&gt;0,'Section Load'!S24,0))</f>
        <v>49</v>
      </c>
      <c r="S21" s="1300">
        <f>(IF('Section Load'!T24&gt;0,'Section Load'!T24,0))</f>
        <v>519</v>
      </c>
      <c r="T21" s="1300">
        <f>(IF('Section Load'!U24&gt;0,'Section Load'!U24,0))</f>
        <v>187</v>
      </c>
      <c r="U21" s="1300">
        <f>(IF('Section Load'!V24&gt;0,'Section Load'!V24,0))</f>
        <v>396.51000000000931</v>
      </c>
      <c r="V21" s="1300">
        <f>(IF('Section Load'!W24&gt;0,'Section Load'!W24,0))</f>
        <v>94.800000000046566</v>
      </c>
      <c r="W21" s="1300">
        <f>(IF('Section Load'!X24&gt;0,'Section Load'!X24,0))</f>
        <v>21.089999999996508</v>
      </c>
      <c r="X21" s="1300">
        <f>(IF('Section Load'!Y24&gt;0,'Section Load'!Y24,0))</f>
        <v>182.08000000000175</v>
      </c>
      <c r="Y21" s="1300">
        <f>(IF('Section Load'!Z24&gt;0,'Section Load'!Z24,0))</f>
        <v>229</v>
      </c>
      <c r="Z21" s="1300">
        <f>(IF('Section Load'!AA24&gt;0,'Section Load'!AA24,0))</f>
        <v>93.320000000006985</v>
      </c>
      <c r="AA21" s="1300">
        <f>(IF('Section Load'!AB24&gt;0,'Section Load'!AB24,0))</f>
        <v>29.169999999998254</v>
      </c>
      <c r="AB21" s="1300">
        <f>(IF('Section Load'!AC24&gt;0,'Section Load'!AC24,0))</f>
        <v>82.779999999998836</v>
      </c>
      <c r="AC21" s="1300">
        <f>(IF('Section Load'!AD24&gt;0,'Section Load'!AD24,0))</f>
        <v>34.469999999998436</v>
      </c>
      <c r="AD21" s="1300">
        <f>(IF('Section Load'!AE24&gt;0,'Section Load'!AE24,0))</f>
        <v>0</v>
      </c>
      <c r="AE21" s="1300">
        <f>(IF('Section Load'!AF24&gt;0,'Section Load'!AF24,0))</f>
        <v>10.740000000000009</v>
      </c>
      <c r="AF21" s="1300">
        <f>(IF('Section Load'!AG24&gt;0,'Section Load'!AG24,0))</f>
        <v>499.85999999998603</v>
      </c>
      <c r="AG21" s="1300">
        <f>(IF('Section Load'!AH24&gt;0,'Section Load'!AH24,0))</f>
        <v>364.33999999999651</v>
      </c>
      <c r="AH21" s="1300">
        <f>(IF('Section Load'!AI24&gt;0,'Section Load'!AI24,0))</f>
        <v>343.39000000000306</v>
      </c>
      <c r="AI21" s="1300">
        <f>(IF('Section Load'!AJ24&gt;0,'Section Load'!AJ24,0))</f>
        <v>770</v>
      </c>
      <c r="AJ21" s="1300">
        <f>(IF('Section Load'!AK24&gt;0,'Section Load'!AK24,0))</f>
        <v>328.02999999999884</v>
      </c>
      <c r="AK21" s="1300">
        <f>(IF('Section Load'!AL24&gt;0,'Section Load'!AL24,0))</f>
        <v>314.08000000000175</v>
      </c>
      <c r="AL21" s="1300">
        <f>(IF('Section Load'!AM24&gt;0,'Section Load'!AM24,0))</f>
        <v>686</v>
      </c>
      <c r="AM21" s="1301">
        <f>(IF('Water Report'!$W$7&gt;0,'Water Report'!$W$7,0))</f>
        <v>77</v>
      </c>
      <c r="AN21" s="1301">
        <f>(IF('Water Report'!$W$8&gt;0,'Water Report'!$W$8,0))</f>
        <v>100</v>
      </c>
      <c r="AO21" s="1301">
        <f>(IF('Water Report'!$W$9&gt;0,'Water Report'!$W$9,0))</f>
        <v>77</v>
      </c>
      <c r="AP21" s="1301">
        <f>(IF('Water Report'!$W$10&gt;0,'Water Report'!$W$10,0))</f>
        <v>16</v>
      </c>
      <c r="AQ21" s="1301">
        <f>(IF('Water Report'!$W$11&gt;0,'Water Report'!$W$11,0))</f>
        <v>20</v>
      </c>
      <c r="AR21" s="1301">
        <f>(IF('Water Report'!$W$13&gt;0,'Water Report'!$W$13,0))</f>
        <v>19</v>
      </c>
      <c r="AS21" s="1301">
        <f>(IF('Water Report'!$W$14&gt;0,'Water Report'!$W$14,0))</f>
        <v>9</v>
      </c>
      <c r="AT21" s="1301">
        <f>(IF('Water Report'!$W$15&gt;0,'Water Report'!$W$15,0))</f>
        <v>9</v>
      </c>
      <c r="AU21" s="1301">
        <f>(IF('Water Report'!$W$17&gt;0,'Water Report'!$W$17,0))</f>
        <v>0</v>
      </c>
      <c r="AV21" s="1301">
        <f>(IF('Water Report'!$W$18&gt;0,'Water Report'!$W$18,0))</f>
        <v>10</v>
      </c>
      <c r="AW21" s="1301">
        <f>(IF('Water Report'!$W$19&gt;0,'Water Report'!$W$19,0))</f>
        <v>7</v>
      </c>
      <c r="AX21" s="1382">
        <f>(IF('Water Report'!$W$21&gt;0,'Water Report'!$W$21,0))</f>
        <v>43</v>
      </c>
      <c r="AY21" s="1382">
        <f>(IF('Water Report'!$W$22&gt;0,'Water Report'!$W$22,0))</f>
        <v>28</v>
      </c>
      <c r="AZ21" s="1382">
        <f>(IF('Water Report'!$W$23&gt;0,'Water Report'!$W$23,0))</f>
        <v>14</v>
      </c>
      <c r="BA21" s="1382">
        <f>(IF('Water Report'!$W$14&gt;0,'Water Report'!$W$14,0))</f>
        <v>9</v>
      </c>
      <c r="BB21" s="1382">
        <f>(IF('Water Report'!$W$15&gt;0,'Water Report'!$W$15,0))</f>
        <v>9</v>
      </c>
      <c r="BC21" s="1382">
        <f>(IF('Water Report'!$W$13&gt;0,'Water Report'!$W$13,0))</f>
        <v>19</v>
      </c>
      <c r="BD21" s="1382">
        <f>(IF('Water Report'!$W$24&gt;0,'Water Report'!$W$24,0))</f>
        <v>152</v>
      </c>
      <c r="BE21" s="1382">
        <f>(IF('Water Report'!$W$25&gt;0,'Water Report'!$W$25,0))</f>
        <v>131</v>
      </c>
      <c r="BF21" s="1382">
        <f>(IF('Water Report'!$W$27&gt;0,'Water Report'!$W$27,0))</f>
        <v>76</v>
      </c>
      <c r="BG21" s="1302">
        <f>(IF('Section Load'!AN24&gt;0,'Section Load'!AN24,0))</f>
        <v>922.34000000008382</v>
      </c>
      <c r="BH21" s="1302">
        <f>(IF('Section Load'!AO24&gt;0,'Section Load'!AO24,0))</f>
        <v>267.73999999999069</v>
      </c>
      <c r="BI21" s="1302">
        <f>(IF('Section Load'!AP24&gt;0,'Section Load'!AP24,0))</f>
        <v>0</v>
      </c>
      <c r="BJ21" s="1302">
        <f>(IF('Section Load'!AQ24&gt;0,'Section Load'!AQ24,0))</f>
        <v>76.880000000004657</v>
      </c>
      <c r="BK21" s="1302">
        <f>(IF('Section Load'!AR24&gt;0,'Section Load'!AR24,0))</f>
        <v>24.200000000004366</v>
      </c>
      <c r="BL21" s="1302">
        <f>(IF('Section Load'!AS24&gt;0,'Section Load'!AS24,0))</f>
        <v>4.5</v>
      </c>
      <c r="BM21" s="1302">
        <f>(IF('Section Load'!AT24&gt;0,'Section Load'!AT24,0))</f>
        <v>549.02000000008411</v>
      </c>
    </row>
    <row r="22" spans="1:65">
      <c r="A22" s="1284" t="s">
        <v>304</v>
      </c>
      <c r="B22" s="1285">
        <f t="shared" si="0"/>
        <v>21</v>
      </c>
      <c r="C22" s="1285">
        <v>4</v>
      </c>
      <c r="D22" s="1285">
        <v>2021</v>
      </c>
      <c r="E22" s="1300">
        <f>(IF('Section Load'!F25&gt;0,'Section Load'!F25,0))</f>
        <v>3387.0400000000373</v>
      </c>
      <c r="F22" s="1300">
        <f>(IF('Section Load'!G25&gt;0,'Section Load'!G25,0))</f>
        <v>1605.3700000000026</v>
      </c>
      <c r="G22" s="1300">
        <f>(IF('Section Load'!H25&gt;0,'Section Load'!H25,0))</f>
        <v>1861.4300000000003</v>
      </c>
      <c r="H22" s="1300">
        <f>(IF('Section Load'!I25&gt;0,'Section Load'!I25,0))</f>
        <v>4385.2799999999988</v>
      </c>
      <c r="I22" s="1300">
        <f>(IF('Section Load'!J25&gt;0,'Section Load'!J25,0))</f>
        <v>5380.7369999999719</v>
      </c>
      <c r="J22" s="1300">
        <f>(IF('Section Load'!K25&gt;0,'Section Load'!K25,0))</f>
        <v>2440.4499999999534</v>
      </c>
      <c r="K22" s="1300">
        <f>(IF('Section Load'!L25&gt;0,'Section Load'!L25,0))</f>
        <v>1212.4799999999814</v>
      </c>
      <c r="L22" s="1300">
        <f>(IF('Section Load'!M25&gt;0,'Section Load'!M25,0))</f>
        <v>605.14000000001397</v>
      </c>
      <c r="M22" s="1300">
        <f>(IF('Section Load'!N25&gt;0,'Section Load'!N25,0))</f>
        <v>90</v>
      </c>
      <c r="N22" s="1300">
        <f>(IF('Section Load'!O25&gt;0,'Section Load'!O25,0))</f>
        <v>2</v>
      </c>
      <c r="O22" s="1300">
        <f>(IF('Section Load'!P25&gt;0,'Section Load'!P25,0))</f>
        <v>38.600000000000136</v>
      </c>
      <c r="P22" s="1300">
        <f>(IF('Section Load'!Q25&gt;0,'Section Load'!Q25,0))</f>
        <v>158.55000000000018</v>
      </c>
      <c r="Q22" s="1300">
        <f>(IF('Section Load'!R25&gt;0,'Section Load'!R25,0))</f>
        <v>77.440000000000055</v>
      </c>
      <c r="R22" s="1300">
        <f>(IF('Section Load'!S25&gt;0,'Section Load'!S25,0))</f>
        <v>48</v>
      </c>
      <c r="S22" s="1300">
        <f>(IF('Section Load'!T25&gt;0,'Section Load'!T25,0))</f>
        <v>411</v>
      </c>
      <c r="T22" s="1300">
        <f>(IF('Section Load'!U25&gt;0,'Section Load'!U25,0))</f>
        <v>169</v>
      </c>
      <c r="U22" s="1300">
        <f>(IF('Section Load'!V25&gt;0,'Section Load'!V25,0))</f>
        <v>383.21000000002095</v>
      </c>
      <c r="V22" s="1300">
        <f>(IF('Section Load'!W25&gt;0,'Section Load'!W25,0))</f>
        <v>114.88000000000466</v>
      </c>
      <c r="W22" s="1300">
        <f>(IF('Section Load'!X25&gt;0,'Section Load'!X25,0))</f>
        <v>21.030000000013388</v>
      </c>
      <c r="X22" s="1300">
        <f>(IF('Section Load'!Y25&gt;0,'Section Load'!Y25,0))</f>
        <v>183.41999999999825</v>
      </c>
      <c r="Y22" s="1300">
        <f>(IF('Section Load'!Z25&gt;0,'Section Load'!Z25,0))</f>
        <v>252</v>
      </c>
      <c r="Z22" s="1300">
        <f>(IF('Section Load'!AA25&gt;0,'Section Load'!AA25,0))</f>
        <v>51.480000000039581</v>
      </c>
      <c r="AA22" s="1300">
        <f>(IF('Section Load'!AB25&gt;0,'Section Load'!AB25,0))</f>
        <v>22.30000000000291</v>
      </c>
      <c r="AB22" s="1300">
        <f>(IF('Section Load'!AC25&gt;0,'Section Load'!AC25,0))</f>
        <v>31.220000000001164</v>
      </c>
      <c r="AC22" s="1300">
        <f>(IF('Section Load'!AD25&gt;0,'Section Load'!AD25,0))</f>
        <v>29.200000000003001</v>
      </c>
      <c r="AD22" s="1300">
        <f>(IF('Section Load'!AE25&gt;0,'Section Load'!AE25,0))</f>
        <v>0</v>
      </c>
      <c r="AE22" s="1300">
        <f>(IF('Section Load'!AF25&gt;0,'Section Load'!AF25,0))</f>
        <v>10.680000000000064</v>
      </c>
      <c r="AF22" s="1300">
        <f>(IF('Section Load'!AG25&gt;0,'Section Load'!AG25,0))</f>
        <v>499.63000000000466</v>
      </c>
      <c r="AG22" s="1300">
        <f>(IF('Section Load'!AH25&gt;0,'Section Load'!AH25,0))</f>
        <v>386.33999999999651</v>
      </c>
      <c r="AH22" s="1300">
        <f>(IF('Section Load'!AI25&gt;0,'Section Load'!AI25,0))</f>
        <v>393.30999999999767</v>
      </c>
      <c r="AI22" s="1300">
        <f>(IF('Section Load'!AJ25&gt;0,'Section Load'!AJ25,0))</f>
        <v>671.34000000002561</v>
      </c>
      <c r="AJ22" s="1300">
        <f>(IF('Section Load'!AK25&gt;0,'Section Load'!AK25,0))</f>
        <v>337.57000000000698</v>
      </c>
      <c r="AK22" s="1300">
        <f>(IF('Section Load'!AL25&gt;0,'Section Load'!AL25,0))</f>
        <v>318.8799999999901</v>
      </c>
      <c r="AL22" s="1300">
        <f>(IF('Section Load'!AM25&gt;0,'Section Load'!AM25,0))</f>
        <v>683</v>
      </c>
      <c r="AM22" s="1301">
        <f>(IF('Water Report'!$X$7&gt;0,'Water Report'!$X$7,0))</f>
        <v>115</v>
      </c>
      <c r="AN22" s="1301">
        <f>(IF('Water Report'!$X$8&gt;0,'Water Report'!$X$8,0))</f>
        <v>151</v>
      </c>
      <c r="AO22" s="1301">
        <f>(IF('Water Report'!$X$9&gt;0,'Water Report'!$X$9,0))</f>
        <v>80</v>
      </c>
      <c r="AP22" s="1301">
        <f>(IF('Water Report'!$X$10&gt;0,'Water Report'!$X$10,0))</f>
        <v>26</v>
      </c>
      <c r="AQ22" s="1301">
        <f>(IF('Water Report'!$X$11&gt;0,'Water Report'!$X$11,0))</f>
        <v>28</v>
      </c>
      <c r="AR22" s="1301">
        <f>(IF('Water Report'!$X$13&gt;0,'Water Report'!$X$13,0))</f>
        <v>37</v>
      </c>
      <c r="AS22" s="1301">
        <f>(IF('Water Report'!$X$14&gt;0,'Water Report'!$X$14,0))</f>
        <v>17</v>
      </c>
      <c r="AT22" s="1301">
        <f>(IF('Water Report'!$X$15&gt;0,'Water Report'!$X$15,0))</f>
        <v>4</v>
      </c>
      <c r="AU22" s="1301">
        <f>(IF('Water Report'!$X$17&gt;0,'Water Report'!$X$17,0))</f>
        <v>0</v>
      </c>
      <c r="AV22" s="1301">
        <f>(IF('Water Report'!$X$18&gt;0,'Water Report'!$X$18,0))</f>
        <v>9</v>
      </c>
      <c r="AW22" s="1301">
        <f>(IF('Water Report'!$X$19&gt;0,'Water Report'!$X$19,0))</f>
        <v>6</v>
      </c>
      <c r="AX22" s="1382">
        <f>(IF('Water Report'!$X$21&gt;0,'Water Report'!$X$21,0))</f>
        <v>95</v>
      </c>
      <c r="AY22" s="1382">
        <f>(IF('Water Report'!$X$22&gt;0,'Water Report'!$X$22,0))</f>
        <v>22</v>
      </c>
      <c r="AZ22" s="1382">
        <f>(IF('Water Report'!$X$23&gt;0,'Water Report'!$X$23,0))</f>
        <v>0</v>
      </c>
      <c r="BA22" s="1382">
        <f>(IF('Water Report'!$X$14&gt;0,'Water Report'!$X$14,0))</f>
        <v>17</v>
      </c>
      <c r="BB22" s="1382">
        <f>(IF('Water Report'!$X$15&gt;0,'Water Report'!$X$15,0))</f>
        <v>4</v>
      </c>
      <c r="BC22" s="1382">
        <f>(IF('Water Report'!$X$13&gt;0,'Water Report'!$X$13,0))</f>
        <v>37</v>
      </c>
      <c r="BD22" s="1382">
        <f>(IF('Water Report'!$X$24&gt;0,'Water Report'!$X$24,0))</f>
        <v>203</v>
      </c>
      <c r="BE22" s="1382">
        <f>(IF('Water Report'!$X$25&gt;0,'Water Report'!$X$25,0))</f>
        <v>155</v>
      </c>
      <c r="BF22" s="1382">
        <f>(IF('Water Report'!$X$27&gt;0,'Water Report'!$X$27,0))</f>
        <v>132</v>
      </c>
      <c r="BG22" s="1302">
        <f>(IF('Section Load'!AN25&gt;0,'Section Load'!AN25,0))</f>
        <v>979.96999999997206</v>
      </c>
      <c r="BH22" s="1302">
        <f>(IF('Section Load'!AO25&gt;0,'Section Load'!AO25,0))</f>
        <v>300.25</v>
      </c>
      <c r="BI22" s="1302">
        <f>(IF('Section Load'!AP25&gt;0,'Section Load'!AP25,0))</f>
        <v>0</v>
      </c>
      <c r="BJ22" s="1302">
        <f>(IF('Section Load'!AQ25&gt;0,'Section Load'!AQ25,0))</f>
        <v>73.279999999998836</v>
      </c>
      <c r="BK22" s="1302">
        <f>(IF('Section Load'!AR25&gt;0,'Section Load'!AR25,0))</f>
        <v>29.799999999995634</v>
      </c>
      <c r="BL22" s="1302">
        <f>(IF('Section Load'!AS25&gt;0,'Section Load'!AS25,0))</f>
        <v>2.5</v>
      </c>
      <c r="BM22" s="1302">
        <f>(IF('Section Load'!AT25&gt;0,'Section Load'!AT25,0))</f>
        <v>574.13999999997759</v>
      </c>
    </row>
    <row r="23" spans="1:65">
      <c r="A23" s="1284" t="s">
        <v>304</v>
      </c>
      <c r="B23" s="1285">
        <f t="shared" si="0"/>
        <v>22</v>
      </c>
      <c r="C23" s="1285">
        <v>4</v>
      </c>
      <c r="D23" s="1285">
        <v>2021</v>
      </c>
      <c r="E23" s="1300">
        <f>(IF('Section Load'!F26&gt;0,'Section Load'!F26,0))</f>
        <v>3337.8399999999674</v>
      </c>
      <c r="F23" s="1300">
        <f>(IF('Section Load'!G26&gt;0,'Section Load'!G26,0))</f>
        <v>1553.1800000000003</v>
      </c>
      <c r="G23" s="1300">
        <f>(IF('Section Load'!H26&gt;0,'Section Load'!H26,0))</f>
        <v>1793.5399999999936</v>
      </c>
      <c r="H23" s="1300">
        <f>(IF('Section Load'!I26&gt;0,'Section Load'!I26,0))</f>
        <v>4335.3999999999796</v>
      </c>
      <c r="I23" s="1300">
        <f>(IF('Section Load'!J26&gt;0,'Section Load'!J26,0))</f>
        <v>5689.2200000000012</v>
      </c>
      <c r="J23" s="1300">
        <f>(IF('Section Load'!K26&gt;0,'Section Load'!K26,0))</f>
        <v>2399.4699999999721</v>
      </c>
      <c r="K23" s="1300">
        <f>(IF('Section Load'!L26&gt;0,'Section Load'!L26,0))</f>
        <v>1248.4400000000023</v>
      </c>
      <c r="L23" s="1300">
        <f>(IF('Section Load'!M26&gt;0,'Section Load'!M26,0))</f>
        <v>664.15999999997439</v>
      </c>
      <c r="M23" s="1300">
        <f>(IF('Section Load'!N26&gt;0,'Section Load'!N26,0))</f>
        <v>103</v>
      </c>
      <c r="N23" s="1300">
        <f>(IF('Section Load'!O26&gt;0,'Section Load'!O26,0))</f>
        <v>1</v>
      </c>
      <c r="O23" s="1300">
        <f>(IF('Section Load'!P26&gt;0,'Section Load'!P26,0))</f>
        <v>18.509999999999991</v>
      </c>
      <c r="P23" s="1300">
        <f>(IF('Section Load'!Q26&gt;0,'Section Load'!Q26,0))</f>
        <v>159.42000000000007</v>
      </c>
      <c r="Q23" s="1300">
        <f>(IF('Section Load'!R26&gt;0,'Section Load'!R26,0))</f>
        <v>77.990000000000236</v>
      </c>
      <c r="R23" s="1300">
        <f>(IF('Section Load'!S26&gt;0,'Section Load'!S26,0))</f>
        <v>50</v>
      </c>
      <c r="S23" s="1300">
        <f>(IF('Section Load'!T26&gt;0,'Section Load'!T26,0))</f>
        <v>405</v>
      </c>
      <c r="T23" s="1300">
        <f>(IF('Section Load'!U26&gt;0,'Section Load'!U26,0))</f>
        <v>169</v>
      </c>
      <c r="U23" s="1300">
        <f>(IF('Section Load'!V26&gt;0,'Section Load'!V26,0))</f>
        <v>337.88000000000466</v>
      </c>
      <c r="V23" s="1300">
        <f>(IF('Section Load'!W26&gt;0,'Section Load'!W26,0))</f>
        <v>123.8399999999674</v>
      </c>
      <c r="W23" s="1300">
        <f>(IF('Section Load'!X26&gt;0,'Section Load'!X26,0))</f>
        <v>22.299999999988358</v>
      </c>
      <c r="X23" s="1300">
        <f>(IF('Section Load'!Y26&gt;0,'Section Load'!Y26,0))</f>
        <v>192.76000000000204</v>
      </c>
      <c r="Y23" s="1300">
        <f>(IF('Section Load'!Z26&gt;0,'Section Load'!Z26,0))</f>
        <v>242</v>
      </c>
      <c r="Z23" s="1300">
        <f>(IF('Section Load'!AA26&gt;0,'Section Load'!AA26,0))</f>
        <v>197.61999999999534</v>
      </c>
      <c r="AA23" s="1300">
        <f>(IF('Section Load'!AB26&gt;0,'Section Load'!AB26,0))</f>
        <v>31.399999999994179</v>
      </c>
      <c r="AB23" s="1300">
        <f>(IF('Section Load'!AC26&gt;0,'Section Load'!AC26,0))</f>
        <v>102.58999999999651</v>
      </c>
      <c r="AC23" s="1300">
        <f>(IF('Section Load'!AD26&gt;0,'Section Load'!AD26,0))</f>
        <v>41.699999999994361</v>
      </c>
      <c r="AD23" s="1300">
        <f>(IF('Section Load'!AE26&gt;0,'Section Load'!AE26,0))</f>
        <v>0</v>
      </c>
      <c r="AE23" s="1300">
        <f>(IF('Section Load'!AF26&gt;0,'Section Load'!AF26,0))</f>
        <v>10.669999999999845</v>
      </c>
      <c r="AF23" s="1300">
        <f>(IF('Section Load'!AG26&gt;0,'Section Load'!AG26,0))</f>
        <v>558</v>
      </c>
      <c r="AG23" s="1300">
        <f>(IF('Section Load'!AH26&gt;0,'Section Load'!AH26,0))</f>
        <v>383.07999999998719</v>
      </c>
      <c r="AH23" s="1300">
        <f>(IF('Section Load'!AI26&gt;0,'Section Load'!AI26,0))</f>
        <v>392.26000000000204</v>
      </c>
      <c r="AI23" s="1300">
        <f>(IF('Section Load'!AJ26&gt;0,'Section Load'!AJ26,0))</f>
        <v>690.51999999998952</v>
      </c>
      <c r="AJ23" s="1300">
        <f>(IF('Section Load'!AK26&gt;0,'Section Load'!AK26,0))</f>
        <v>308</v>
      </c>
      <c r="AK23" s="1300">
        <f>(IF('Section Load'!AL26&gt;0,'Section Load'!AL26,0))</f>
        <v>309.82000000000698</v>
      </c>
      <c r="AL23" s="1300">
        <f>(IF('Section Load'!AM26&gt;0,'Section Load'!AM26,0))</f>
        <v>675</v>
      </c>
      <c r="AM23" s="1301">
        <f>(IF('Water Report'!$Y$7&gt;0,'Water Report'!$Y$7,0))</f>
        <v>84</v>
      </c>
      <c r="AN23" s="1301">
        <f>(IF('Water Report'!$Y$8&gt;0,'Water Report'!$Y$8,0))</f>
        <v>105</v>
      </c>
      <c r="AO23" s="1301">
        <f>(IF('Water Report'!$Y$9&gt;0,'Water Report'!$Y$9,0))</f>
        <v>85</v>
      </c>
      <c r="AP23" s="1301">
        <f>(IF('Water Report'!$Y$10&gt;0,'Water Report'!$Y$10,0))</f>
        <v>17</v>
      </c>
      <c r="AQ23" s="1301">
        <f>(IF('Water Report'!$Y$11&gt;0,'Water Report'!$Y$11,0))</f>
        <v>21</v>
      </c>
      <c r="AR23" s="1301">
        <f>(IF('Water Report'!$Y$13&gt;0,'Water Report'!$Y$13,0))</f>
        <v>36</v>
      </c>
      <c r="AS23" s="1301">
        <f>(IF('Water Report'!$Y$14&gt;0,'Water Report'!$Y$14,0))</f>
        <v>14</v>
      </c>
      <c r="AT23" s="1301">
        <f>(IF('Water Report'!$Y$15&gt;0,'Water Report'!$Y$15,0))</f>
        <v>16</v>
      </c>
      <c r="AU23" s="1301">
        <f>(IF('Water Report'!$Y$17&gt;0,'Water Report'!$Y$17,0))</f>
        <v>0</v>
      </c>
      <c r="AV23" s="1301">
        <f>(IF('Water Report'!$Y$18&gt;0,'Water Report'!$Y$18,0))</f>
        <v>10</v>
      </c>
      <c r="AW23" s="1301">
        <f>(IF('Water Report'!$Y$19&gt;0,'Water Report'!$Y$19,0))</f>
        <v>6</v>
      </c>
      <c r="AX23" s="1382">
        <f>(IF('Water Report'!$Y$21&gt;0,'Water Report'!$Y$21,0))</f>
        <v>85</v>
      </c>
      <c r="AY23" s="1382">
        <f>(IF('Water Report'!$Y$22&gt;0,'Water Report'!$Y$22,0))</f>
        <v>36</v>
      </c>
      <c r="AZ23" s="1382">
        <f>(IF('Water Report'!$Y$23&gt;0,'Water Report'!$Y$23,0))</f>
        <v>8</v>
      </c>
      <c r="BA23" s="1382">
        <f>(IF('Water Report'!$Y$14&gt;0,'Water Report'!$Y$14,0))</f>
        <v>14</v>
      </c>
      <c r="BB23" s="1382">
        <f>(IF('Water Report'!$Y$15&gt;0,'Water Report'!$Y$15,0))</f>
        <v>16</v>
      </c>
      <c r="BC23" s="1382">
        <f>(IF('Water Report'!$Y$13&gt;0,'Water Report'!$Y$13,0))</f>
        <v>36</v>
      </c>
      <c r="BD23" s="1382">
        <f>(IF('Water Report'!$Y$24&gt;0,'Water Report'!$Y$24,0))</f>
        <v>174</v>
      </c>
      <c r="BE23" s="1382">
        <f>(IF('Water Report'!$Y$25&gt;0,'Water Report'!$Y$25,0))</f>
        <v>153</v>
      </c>
      <c r="BF23" s="1382">
        <f>(IF('Water Report'!$Y$27&gt;0,'Water Report'!$Y$27,0))</f>
        <v>129</v>
      </c>
      <c r="BG23" s="1302">
        <f>(IF('Section Load'!AN26&gt;0,'Section Load'!AN26,0))</f>
        <v>949.80000000004657</v>
      </c>
      <c r="BH23" s="1302">
        <f>(IF('Section Load'!AO26&gt;0,'Section Load'!AO26,0))</f>
        <v>281.96000000007916</v>
      </c>
      <c r="BI23" s="1302">
        <f>(IF('Section Load'!AP26&gt;0,'Section Load'!AP26,0))</f>
        <v>0</v>
      </c>
      <c r="BJ23" s="1302">
        <f>(IF('Section Load'!AQ26&gt;0,'Section Load'!AQ26,0))</f>
        <v>65.190000000002328</v>
      </c>
      <c r="BK23" s="1302">
        <f>(IF('Section Load'!AR26&gt;0,'Section Load'!AR26,0))</f>
        <v>16.599999999998545</v>
      </c>
      <c r="BL23" s="1302">
        <f>(IF('Section Load'!AS26&gt;0,'Section Load'!AS26,0))</f>
        <v>1.6000000000003638</v>
      </c>
      <c r="BM23" s="1302">
        <f>(IF('Section Load'!AT26&gt;0,'Section Load'!AT26,0))</f>
        <v>584.44999999996617</v>
      </c>
    </row>
    <row r="24" spans="1:65">
      <c r="A24" s="1284" t="s">
        <v>304</v>
      </c>
      <c r="B24" s="1285">
        <f t="shared" si="0"/>
        <v>23</v>
      </c>
      <c r="C24" s="1285">
        <v>4</v>
      </c>
      <c r="D24" s="1285">
        <v>2021</v>
      </c>
      <c r="E24" s="1300">
        <f>(IF('Section Load'!F27&gt;0,'Section Load'!F27,0))</f>
        <v>3280.4000000000233</v>
      </c>
      <c r="F24" s="1300">
        <f>(IF('Section Load'!G27&gt;0,'Section Load'!G27,0))</f>
        <v>1487.9199999999983</v>
      </c>
      <c r="G24" s="1300">
        <f>(IF('Section Load'!H27&gt;0,'Section Load'!H27,0))</f>
        <v>1823.2300000000541</v>
      </c>
      <c r="H24" s="1300">
        <f>(IF('Section Load'!I27&gt;0,'Section Load'!I27,0))</f>
        <v>4120.7899999999936</v>
      </c>
      <c r="I24" s="1300">
        <f>(IF('Section Load'!J27&gt;0,'Section Load'!J27,0))</f>
        <v>5237.7799999999697</v>
      </c>
      <c r="J24" s="1300">
        <f>(IF('Section Load'!K27&gt;0,'Section Load'!K27,0))</f>
        <v>2358.5300000000279</v>
      </c>
      <c r="K24" s="1300">
        <f>(IF('Section Load'!L27&gt;0,'Section Load'!L27,0))</f>
        <v>1181.25</v>
      </c>
      <c r="L24" s="1300">
        <f>(IF('Section Load'!M27&gt;0,'Section Load'!M27,0))</f>
        <v>620.89000000001397</v>
      </c>
      <c r="M24" s="1300">
        <f>(IF('Section Load'!N27&gt;0,'Section Load'!N27,0))</f>
        <v>100</v>
      </c>
      <c r="N24" s="1300">
        <f>(IF('Section Load'!O27&gt;0,'Section Load'!O27,0))</f>
        <v>0</v>
      </c>
      <c r="O24" s="1300">
        <f>(IF('Section Load'!P27&gt;0,'Section Load'!P27,0))</f>
        <v>17.789999999999964</v>
      </c>
      <c r="P24" s="1300">
        <f>(IF('Section Load'!Q27&gt;0,'Section Load'!Q27,0))</f>
        <v>154.02999999999975</v>
      </c>
      <c r="Q24" s="1300">
        <f>(IF('Section Load'!R27&gt;0,'Section Load'!R27,0))</f>
        <v>75.099999999999909</v>
      </c>
      <c r="R24" s="1300">
        <f>(IF('Section Load'!S27&gt;0,'Section Load'!S27,0))</f>
        <v>50</v>
      </c>
      <c r="S24" s="1300">
        <f>(IF('Section Load'!T27&gt;0,'Section Load'!T27,0))</f>
        <v>415</v>
      </c>
      <c r="T24" s="1300">
        <f>(IF('Section Load'!U27&gt;0,'Section Load'!U27,0))</f>
        <v>199</v>
      </c>
      <c r="U24" s="1300">
        <f>(IF('Section Load'!V27&gt;0,'Section Load'!V27,0))</f>
        <v>354.35999999998603</v>
      </c>
      <c r="V24" s="1300">
        <f>(IF('Section Load'!W27&gt;0,'Section Load'!W27,0))</f>
        <v>118.35999999998603</v>
      </c>
      <c r="W24" s="1300">
        <f>(IF('Section Load'!X27&gt;0,'Section Load'!X27,0))</f>
        <v>19.990000000005239</v>
      </c>
      <c r="X24" s="1300">
        <f>(IF('Section Load'!Y27&gt;0,'Section Load'!Y27,0))</f>
        <v>190.56999999999971</v>
      </c>
      <c r="Y24" s="1300">
        <f>(IF('Section Load'!Z27&gt;0,'Section Load'!Z27,0))</f>
        <v>295</v>
      </c>
      <c r="Z24" s="1300">
        <f>(IF('Section Load'!AA27&gt;0,'Section Load'!AA27,0))</f>
        <v>113.85999999998603</v>
      </c>
      <c r="AA24" s="1300">
        <f>(IF('Section Load'!AB27&gt;0,'Section Load'!AB27,0))</f>
        <v>37</v>
      </c>
      <c r="AB24" s="1300">
        <f>(IF('Section Load'!AC27&gt;0,'Section Load'!AC27,0))</f>
        <v>88.899999999994179</v>
      </c>
      <c r="AC24" s="1300">
        <f>(IF('Section Load'!AD27&gt;0,'Section Load'!AD27,0))</f>
        <v>42</v>
      </c>
      <c r="AD24" s="1300">
        <f>(IF('Section Load'!AE27&gt;0,'Section Load'!AE27,0))</f>
        <v>0</v>
      </c>
      <c r="AE24" s="1300">
        <f>(IF('Section Load'!AF27&gt;0,'Section Load'!AF27,0))</f>
        <v>10.700000000000045</v>
      </c>
      <c r="AF24" s="1300">
        <f>(IF('Section Load'!AG27&gt;0,'Section Load'!AG27,0))</f>
        <v>497</v>
      </c>
      <c r="AG24" s="1300">
        <f>(IF('Section Load'!AH27&gt;0,'Section Load'!AH27,0))</f>
        <v>372.29000000000815</v>
      </c>
      <c r="AH24" s="1300">
        <f>(IF('Section Load'!AI27&gt;0,'Section Load'!AI27,0))</f>
        <v>379.62999999999738</v>
      </c>
      <c r="AI24" s="1300">
        <f>(IF('Section Load'!AJ27&gt;0,'Section Load'!AJ27,0))</f>
        <v>701.30999999999767</v>
      </c>
      <c r="AJ24" s="1300">
        <f>(IF('Section Load'!AK27&gt;0,'Section Load'!AK27,0))</f>
        <v>9626</v>
      </c>
      <c r="AK24" s="1300">
        <f>(IF('Section Load'!AL27&gt;0,'Section Load'!AL27,0))</f>
        <v>314.58999999999651</v>
      </c>
      <c r="AL24" s="1300">
        <f>(IF('Section Load'!AM27&gt;0,'Section Load'!AM27,0))</f>
        <v>708</v>
      </c>
      <c r="AM24" s="1301">
        <f>(IF('Water Report'!$Z$7&gt;0,'Water Report'!$Z$7,0))</f>
        <v>88</v>
      </c>
      <c r="AN24" s="1301">
        <f>(IF('Water Report'!$Z$8&gt;0,'Water Report'!$Z$8,0))</f>
        <v>123</v>
      </c>
      <c r="AO24" s="1301">
        <f>(IF('Water Report'!$Z$9&gt;0,'Water Report'!$Z$9,0))</f>
        <v>76</v>
      </c>
      <c r="AP24" s="1301">
        <f>(IF('Water Report'!$Z$10&gt;0,'Water Report'!$Z$10,0))</f>
        <v>16</v>
      </c>
      <c r="AQ24" s="1301">
        <f>(IF('Water Report'!$Z$11&gt;0,'Water Report'!$Z$11,0))</f>
        <v>14</v>
      </c>
      <c r="AR24" s="1301">
        <f>(IF('Water Report'!$Z$13&gt;0,'Water Report'!$Z$13,0))</f>
        <v>46</v>
      </c>
      <c r="AS24" s="1301">
        <f>(IF('Water Report'!$Z$14&gt;0,'Water Report'!$Z$14,0))</f>
        <v>12</v>
      </c>
      <c r="AT24" s="1301">
        <f>(IF('Water Report'!$Z$15&gt;0,'Water Report'!$Z$15,0))</f>
        <v>16</v>
      </c>
      <c r="AU24" s="1301">
        <f>(IF('Water Report'!$Z$17&gt;0,'Water Report'!$Z$17,0))</f>
        <v>3</v>
      </c>
      <c r="AV24" s="1301">
        <f>(IF('Water Report'!$Z$18&gt;0,'Water Report'!$Z$18,0))</f>
        <v>10</v>
      </c>
      <c r="AW24" s="1301">
        <f>(IF('Water Report'!$Z$19&gt;0,'Water Report'!$Z$19,0))</f>
        <v>6</v>
      </c>
      <c r="AX24" s="1382">
        <f>(IF('Water Report'!$Z$21&gt;0,'Water Report'!$Z$21,0))</f>
        <v>85</v>
      </c>
      <c r="AY24" s="1382">
        <f>(IF('Water Report'!$Z$22&gt;0,'Water Report'!$Z$22,0))</f>
        <v>58</v>
      </c>
      <c r="AZ24" s="1382">
        <f>(IF('Water Report'!$Z$23&gt;0,'Water Report'!$Z$23,0))</f>
        <v>11</v>
      </c>
      <c r="BA24" s="1382">
        <f>(IF('Water Report'!$Z$14&gt;0,'Water Report'!$Z$14,0))</f>
        <v>12</v>
      </c>
      <c r="BB24" s="1382">
        <f>(IF('Water Report'!$Z$15&gt;0,'Water Report'!$Z$15,0))</f>
        <v>16</v>
      </c>
      <c r="BC24" s="1382">
        <f>(IF('Water Report'!$Z$13&gt;0,'Water Report'!$Z$13,0))</f>
        <v>46</v>
      </c>
      <c r="BD24" s="1382">
        <f>(IF('Water Report'!$Z$24&gt;0,'Water Report'!$Z$24,0))</f>
        <v>152</v>
      </c>
      <c r="BE24" s="1382">
        <f>(IF('Water Report'!$Z$25&gt;0,'Water Report'!$Z$25,0))</f>
        <v>134</v>
      </c>
      <c r="BF24" s="1382">
        <f>(IF('Water Report'!$Z$27&gt;0,'Water Report'!$Z$27,0))</f>
        <v>142</v>
      </c>
      <c r="BG24" s="1302">
        <f>(IF('Section Load'!AN27&gt;0,'Section Load'!AN27,0))</f>
        <v>913.22999999998137</v>
      </c>
      <c r="BH24" s="1302">
        <f>(IF('Section Load'!AO27&gt;0,'Section Load'!AO27,0))</f>
        <v>273.31999999994878</v>
      </c>
      <c r="BI24" s="1302">
        <f>(IF('Section Load'!AP27&gt;0,'Section Load'!AP27,0))</f>
        <v>0</v>
      </c>
      <c r="BJ24" s="1302">
        <f>(IF('Section Load'!AQ27&gt;0,'Section Load'!AQ27,0))</f>
        <v>78.519999999989523</v>
      </c>
      <c r="BK24" s="1302">
        <f>(IF('Section Load'!AR27&gt;0,'Section Load'!AR27,0))</f>
        <v>22.80000000000291</v>
      </c>
      <c r="BL24" s="1302">
        <f>(IF('Section Load'!AS27&gt;0,'Section Load'!AS27,0))</f>
        <v>1.5</v>
      </c>
      <c r="BM24" s="1302">
        <f>(IF('Section Load'!AT27&gt;0,'Section Load'!AT27,0))</f>
        <v>537.09000000004016</v>
      </c>
    </row>
    <row r="25" spans="1:65">
      <c r="A25" s="1284" t="s">
        <v>304</v>
      </c>
      <c r="B25" s="1285">
        <f t="shared" si="0"/>
        <v>24</v>
      </c>
      <c r="C25" s="1285">
        <v>4</v>
      </c>
      <c r="D25" s="1285">
        <v>2021</v>
      </c>
      <c r="E25" s="1300">
        <f>(IF('Section Load'!F28&gt;0,'Section Load'!F28,0))</f>
        <v>3119</v>
      </c>
      <c r="F25" s="1300">
        <f>(IF('Section Load'!G28&gt;0,'Section Load'!G28,0))</f>
        <v>1480.1300000000047</v>
      </c>
      <c r="G25" s="1300">
        <f>(IF('Section Load'!H28&gt;0,'Section Load'!H28,0))</f>
        <v>1763</v>
      </c>
      <c r="H25" s="1300">
        <f>(IF('Section Load'!I28&gt;0,'Section Load'!I28,0))</f>
        <v>4090.5300000000279</v>
      </c>
      <c r="I25" s="1300">
        <f>(IF('Section Load'!J28&gt;0,'Section Load'!J28,0))</f>
        <v>5174.8500000000131</v>
      </c>
      <c r="J25" s="1300">
        <f>(IF('Section Load'!K28&gt;0,'Section Load'!K28,0))</f>
        <v>2354</v>
      </c>
      <c r="K25" s="1300">
        <f>(IF('Section Load'!L28&gt;0,'Section Load'!L28,0))</f>
        <v>1818</v>
      </c>
      <c r="L25" s="1300">
        <f>(IF('Section Load'!M28&gt;0,'Section Load'!M28,0))</f>
        <v>598</v>
      </c>
      <c r="M25" s="1300">
        <f>(IF('Section Load'!N28&gt;0,'Section Load'!N28,0))</f>
        <v>85</v>
      </c>
      <c r="N25" s="1300">
        <f>(IF('Section Load'!O28&gt;0,'Section Load'!O28,0))</f>
        <v>1</v>
      </c>
      <c r="O25" s="1300">
        <f>(IF('Section Load'!P28&gt;0,'Section Load'!P28,0))</f>
        <v>19</v>
      </c>
      <c r="P25" s="1300">
        <f>(IF('Section Load'!Q28&gt;0,'Section Load'!Q28,0))</f>
        <v>174</v>
      </c>
      <c r="Q25" s="1300">
        <f>(IF('Section Load'!R28&gt;0,'Section Load'!R28,0))</f>
        <v>82</v>
      </c>
      <c r="R25" s="1300">
        <f>(IF('Section Load'!S28&gt;0,'Section Load'!S28,0))</f>
        <v>49</v>
      </c>
      <c r="S25" s="1300">
        <f>(IF('Section Load'!T28&gt;0,'Section Load'!T28,0))</f>
        <v>409</v>
      </c>
      <c r="T25" s="1300">
        <f>(IF('Section Load'!U28&gt;0,'Section Load'!U28,0))</f>
        <v>183</v>
      </c>
      <c r="U25" s="1300">
        <f>(IF('Section Load'!V28&gt;0,'Section Load'!V28,0))</f>
        <v>408</v>
      </c>
      <c r="V25" s="1300">
        <f>(IF('Section Load'!W28&gt;0,'Section Load'!W28,0))</f>
        <v>137</v>
      </c>
      <c r="W25" s="1300">
        <f>(IF('Section Load'!X28&gt;0,'Section Load'!X28,0))</f>
        <v>22</v>
      </c>
      <c r="X25" s="1300">
        <f>(IF('Section Load'!Y28&gt;0,'Section Load'!Y28,0))</f>
        <v>205</v>
      </c>
      <c r="Y25" s="1300">
        <f>(IF('Section Load'!Z28&gt;0,'Section Load'!Z28,0))</f>
        <v>237</v>
      </c>
      <c r="Z25" s="1300">
        <f>(IF('Section Load'!AA28&gt;0,'Section Load'!AA28,0))</f>
        <v>167</v>
      </c>
      <c r="AA25" s="1300">
        <f>(IF('Section Load'!AB28&gt;0,'Section Load'!AB28,0))</f>
        <v>45</v>
      </c>
      <c r="AB25" s="1300">
        <f>(IF('Section Load'!AC28&gt;0,'Section Load'!AC28,0))</f>
        <v>80</v>
      </c>
      <c r="AC25" s="1300">
        <f>(IF('Section Load'!AD28&gt;0,'Section Load'!AD28,0))</f>
        <v>49</v>
      </c>
      <c r="AD25" s="1300">
        <f>(IF('Section Load'!AE28&gt;0,'Section Load'!AE28,0))</f>
        <v>0</v>
      </c>
      <c r="AE25" s="1300">
        <f>(IF('Section Load'!AF28&gt;0,'Section Load'!AF28,0))</f>
        <v>12</v>
      </c>
      <c r="AF25" s="1300">
        <f>(IF('Section Load'!AG28&gt;0,'Section Load'!AG28,0))</f>
        <v>490</v>
      </c>
      <c r="AG25" s="1300">
        <f>(IF('Section Load'!AH28&gt;0,'Section Load'!AH28,0))</f>
        <v>393</v>
      </c>
      <c r="AH25" s="1300">
        <f>(IF('Section Load'!AI28&gt;0,'Section Load'!AI28,0))</f>
        <v>376</v>
      </c>
      <c r="AI25" s="1300">
        <f>(IF('Section Load'!AJ28&gt;0,'Section Load'!AJ28,0))</f>
        <v>716</v>
      </c>
      <c r="AJ25" s="1300">
        <f>(IF('Section Load'!AK28&gt;0,'Section Load'!AK28,0))</f>
        <v>347</v>
      </c>
      <c r="AK25" s="1300">
        <f>(IF('Section Load'!AL28&gt;0,'Section Load'!AL28,0))</f>
        <v>317</v>
      </c>
      <c r="AL25" s="1300">
        <f>(IF('Section Load'!AM28&gt;0,'Section Load'!AM28,0))</f>
        <v>738</v>
      </c>
      <c r="AM25" s="1301">
        <f>(IF('Water Report'!$AA$7&gt;0,'Water Report'!$AA$7,0))</f>
        <v>79</v>
      </c>
      <c r="AN25" s="1301">
        <f>(IF('Water Report'!$AA$8&gt;0,'Water Report'!$AA$8,0))</f>
        <v>114</v>
      </c>
      <c r="AO25" s="1301">
        <f>(IF('Water Report'!$AA$9&gt;0,'Water Report'!$AA$9,0))</f>
        <v>85</v>
      </c>
      <c r="AP25" s="1301">
        <f>(IF('Water Report'!$AA$10&gt;0,'Water Report'!$AA$10,0))</f>
        <v>15</v>
      </c>
      <c r="AQ25" s="1301">
        <f>(IF('Water Report'!$AA$11&gt;0,'Water Report'!$AA$11,0))</f>
        <v>13</v>
      </c>
      <c r="AR25" s="1301">
        <f>(IF('Water Report'!$AA$13&gt;0,'Water Report'!$AA$13,0))</f>
        <v>58</v>
      </c>
      <c r="AS25" s="1301">
        <f>(IF('Water Report'!$AA$14&gt;0,'Water Report'!$AA$14,0))</f>
        <v>10</v>
      </c>
      <c r="AT25" s="1301">
        <f>(IF('Water Report'!$AA$15&gt;0,'Water Report'!$AA$15,0))</f>
        <v>13</v>
      </c>
      <c r="AU25" s="1301">
        <f>(IF('Water Report'!$AA$17&gt;0,'Water Report'!$AA$17,0))</f>
        <v>3</v>
      </c>
      <c r="AV25" s="1301">
        <f>(IF('Water Report'!$AA$18&gt;0,'Water Report'!$AA$18,0))</f>
        <v>7</v>
      </c>
      <c r="AW25" s="1301">
        <f>(IF('Water Report'!$AA$19&gt;0,'Water Report'!$AA$19,0))</f>
        <v>7</v>
      </c>
      <c r="AX25" s="1382">
        <f>(IF('Water Report'!$AA$21&gt;0,'Water Report'!$AA$21,0))</f>
        <v>63</v>
      </c>
      <c r="AY25" s="1382">
        <f>(IF('Water Report'!$AA$22&gt;0,'Water Report'!$AA$22,0))</f>
        <v>38</v>
      </c>
      <c r="AZ25" s="1382">
        <f>(IF('Water Report'!$AA$23&gt;0,'Water Report'!$AA$23,0))</f>
        <v>0</v>
      </c>
      <c r="BA25" s="1382">
        <f>(IF('Water Report'!$AA$14&gt;0,'Water Report'!$AA$14,0))</f>
        <v>10</v>
      </c>
      <c r="BB25" s="1382">
        <f>(IF('Water Report'!$AA$15&gt;0,'Water Report'!$AA$15,0))</f>
        <v>13</v>
      </c>
      <c r="BC25" s="1382">
        <f>(IF('Water Report'!$AA$13&gt;0,'Water Report'!$AA$13,0))</f>
        <v>58</v>
      </c>
      <c r="BD25" s="1382">
        <f>(IF('Water Report'!$AA$24&gt;0,'Water Report'!$AA$24,0))</f>
        <v>194</v>
      </c>
      <c r="BE25" s="1382">
        <f>(IF('Water Report'!$AA$25&gt;0,'Water Report'!$AA$25,0))</f>
        <v>136</v>
      </c>
      <c r="BF25" s="1382">
        <f>(IF('Water Report'!$AA$27&gt;0,'Water Report'!$AA$27,0))</f>
        <v>121</v>
      </c>
      <c r="BG25" s="1302">
        <f>(IF('Section Load'!AN28&gt;0,'Section Load'!AN28,0))</f>
        <v>296</v>
      </c>
      <c r="BH25" s="1302">
        <f>(IF('Section Load'!AO28&gt;0,'Section Load'!AO28,0))</f>
        <v>101</v>
      </c>
      <c r="BI25" s="1302">
        <f>(IF('Section Load'!AP28&gt;0,'Section Load'!AP28,0))</f>
        <v>0</v>
      </c>
      <c r="BJ25" s="1302">
        <f>(IF('Section Load'!AQ28&gt;0,'Section Load'!AQ28,0))</f>
        <v>23.579999999987194</v>
      </c>
      <c r="BK25" s="1302">
        <f>(IF('Section Load'!AR28&gt;0,'Section Load'!AR28,0))</f>
        <v>3</v>
      </c>
      <c r="BL25" s="1302">
        <f>(IF('Section Load'!AS28&gt;0,'Section Load'!AS28,0))</f>
        <v>0</v>
      </c>
      <c r="BM25" s="1302">
        <f>(IF('Section Load'!AT28&gt;0,'Section Load'!AT28,0))</f>
        <v>168.42000000001281</v>
      </c>
    </row>
    <row r="26" spans="1:65">
      <c r="A26" s="1284" t="s">
        <v>304</v>
      </c>
      <c r="B26" s="1285">
        <f>B25+1</f>
        <v>25</v>
      </c>
      <c r="C26" s="1285">
        <v>4</v>
      </c>
      <c r="D26" s="1285">
        <v>2021</v>
      </c>
      <c r="E26" s="1300">
        <f>(IF('Section Load'!F29&gt;0,'Section Load'!F29,0))</f>
        <v>3118.8399999999674</v>
      </c>
      <c r="F26" s="1300">
        <f>(IF('Section Load'!G29&gt;0,'Section Load'!G29,0))</f>
        <v>1471.3299999999945</v>
      </c>
      <c r="G26" s="1300">
        <f>(IF('Section Load'!H29&gt;0,'Section Load'!H29,0))</f>
        <v>1912.5699999999488</v>
      </c>
      <c r="H26" s="1300">
        <f>(IF('Section Load'!I29&gt;0,'Section Load'!I29,0))</f>
        <v>4667.8899999999994</v>
      </c>
      <c r="I26" s="1300">
        <f>(IF('Section Load'!J29&gt;0,'Section Load'!J29,0))</f>
        <v>4700.8300000000309</v>
      </c>
      <c r="J26" s="1300">
        <f>(IF('Section Load'!K29&gt;0,'Section Load'!K29,0))</f>
        <v>2330.1899999999441</v>
      </c>
      <c r="K26" s="1300">
        <f>(IF('Section Load'!L29&gt;0,'Section Load'!L29,0))</f>
        <v>1385.3499999999767</v>
      </c>
      <c r="L26" s="1300">
        <f>(IF('Section Load'!M29&gt;0,'Section Load'!M29,0))</f>
        <v>683.71000000002095</v>
      </c>
      <c r="M26" s="1300">
        <f>(IF('Section Load'!N29&gt;0,'Section Load'!N29,0))</f>
        <v>77</v>
      </c>
      <c r="N26" s="1300">
        <f>(IF('Section Load'!O29&gt;0,'Section Load'!O29,0))</f>
        <v>2</v>
      </c>
      <c r="O26" s="1300">
        <f>(IF('Section Load'!P29&gt;0,'Section Load'!P29,0))</f>
        <v>19.670000000000073</v>
      </c>
      <c r="P26" s="1300">
        <f>(IF('Section Load'!Q29&gt;0,'Section Load'!Q29,0))</f>
        <v>155.93000000000029</v>
      </c>
      <c r="Q26" s="1300">
        <f>(IF('Section Load'!R29&gt;0,'Section Load'!R29,0))</f>
        <v>81.070000000000164</v>
      </c>
      <c r="R26" s="1300">
        <f>(IF('Section Load'!S29&gt;0,'Section Load'!S29,0))</f>
        <v>58</v>
      </c>
      <c r="S26" s="1300">
        <f>(IF('Section Load'!T29&gt;0,'Section Load'!T29,0))</f>
        <v>446</v>
      </c>
      <c r="T26" s="1300">
        <f>(IF('Section Load'!U29&gt;0,'Section Load'!U29,0))</f>
        <v>182</v>
      </c>
      <c r="U26" s="1300">
        <f>(IF('Section Load'!V29&gt;0,'Section Load'!V29,0))</f>
        <v>333.52000000001863</v>
      </c>
      <c r="V26" s="1300">
        <f>(IF('Section Load'!W29&gt;0,'Section Load'!W29,0))</f>
        <v>131.8399999999674</v>
      </c>
      <c r="W26" s="1300">
        <f>(IF('Section Load'!X29&gt;0,'Section Load'!X29,0))</f>
        <v>22.759999999994761</v>
      </c>
      <c r="X26" s="1300">
        <f>(IF('Section Load'!Y29&gt;0,'Section Load'!Y29,0))</f>
        <v>180.65000000000146</v>
      </c>
      <c r="Y26" s="1300">
        <f>(IF('Section Load'!Z29&gt;0,'Section Load'!Z29,0))</f>
        <v>362</v>
      </c>
      <c r="Z26" s="1300">
        <f>(IF('Section Load'!AA29&gt;0,'Section Load'!AA29,0))</f>
        <v>216.84000000002561</v>
      </c>
      <c r="AA26" s="1300">
        <f>(IF('Section Load'!AB29&gt;0,'Section Load'!AB29,0))</f>
        <v>38.399999999994179</v>
      </c>
      <c r="AB26" s="1300">
        <f>(IF('Section Load'!AC29&gt;0,'Section Load'!AC29,0))</f>
        <v>72.989999999990687</v>
      </c>
      <c r="AC26" s="1300">
        <f>(IF('Section Load'!AD29&gt;0,'Section Load'!AD29,0))</f>
        <v>43.099999999993997</v>
      </c>
      <c r="AD26" s="1300">
        <f>(IF('Section Load'!AE29&gt;0,'Section Load'!AE29,0))</f>
        <v>0</v>
      </c>
      <c r="AE26" s="1300">
        <f>(IF('Section Load'!AF29&gt;0,'Section Load'!AF29,0))</f>
        <v>12.200000000000045</v>
      </c>
      <c r="AF26" s="1300">
        <f>(IF('Section Load'!AG29&gt;0,'Section Load'!AG29,0))</f>
        <v>474.76000000000931</v>
      </c>
      <c r="AG26" s="1300">
        <f>(IF('Section Load'!AH29&gt;0,'Section Load'!AH29,0))</f>
        <v>357.20000000001164</v>
      </c>
      <c r="AH26" s="1300">
        <f>(IF('Section Load'!AI29&gt;0,'Section Load'!AI29,0))</f>
        <v>384.26000000000204</v>
      </c>
      <c r="AI26" s="1300">
        <f>(IF('Section Load'!AJ29&gt;0,'Section Load'!AJ29,0))</f>
        <v>721.51000000000931</v>
      </c>
      <c r="AJ26" s="1300">
        <f>(IF('Section Load'!AK29&gt;0,'Section Load'!AK29,0))</f>
        <v>355.5</v>
      </c>
      <c r="AK26" s="1300">
        <f>(IF('Section Load'!AL29&gt;0,'Section Load'!AL29,0))</f>
        <v>315.77999999999884</v>
      </c>
      <c r="AL26" s="1300">
        <f>(IF('Section Load'!AM29&gt;0,'Section Load'!AM29,0))</f>
        <v>758</v>
      </c>
      <c r="AM26" s="1301">
        <f>(IF('Water Report'!$AB$7&gt;0,'Water Report'!$AB$7,0))</f>
        <v>97</v>
      </c>
      <c r="AN26" s="1301">
        <f>(IF('Water Report'!$AB$8&gt;0,'Water Report'!$AB$8,0))</f>
        <v>121</v>
      </c>
      <c r="AO26" s="1301">
        <f>(IF('Water Report'!$AB$9&gt;0,'Water Report'!$AB$9,0))</f>
        <v>88</v>
      </c>
      <c r="AP26" s="1301">
        <f>(IF('Water Report'!$AB$10&gt;0,'Water Report'!$AB$10,0))</f>
        <v>17</v>
      </c>
      <c r="AQ26" s="1301">
        <f>(IF('Water Report'!$AB$11&gt;0,'Water Report'!$AB$11,0))</f>
        <v>16</v>
      </c>
      <c r="AR26" s="1301">
        <f>(IF('Water Report'!$AB$13&gt;0,'Water Report'!$AB$13,0))</f>
        <v>19</v>
      </c>
      <c r="AS26" s="1301">
        <f>(IF('Water Report'!$AB$14&gt;0,'Water Report'!$AB$14,0))</f>
        <v>16</v>
      </c>
      <c r="AT26" s="1301">
        <f>(IF('Water Report'!$AB$15&gt;0,'Water Report'!$AB$15,0))</f>
        <v>5</v>
      </c>
      <c r="AU26" s="1301">
        <f>(IF('Water Report'!$AB$17&gt;0,'Water Report'!$AB$17,0))</f>
        <v>0</v>
      </c>
      <c r="AV26" s="1301">
        <f>(IF('Water Report'!$AB$18&gt;0,'Water Report'!$AB$18,0))</f>
        <v>7</v>
      </c>
      <c r="AW26" s="1301">
        <f>(IF('Water Report'!$AB$19&gt;0,'Water Report'!$AB$19,0))</f>
        <v>5</v>
      </c>
      <c r="AX26" s="1382">
        <f>(IF('Water Report'!$AB$21&gt;0,'Water Report'!$AB$21,0))</f>
        <v>59</v>
      </c>
      <c r="AY26" s="1382">
        <f>(IF('Water Report'!$AB$22&gt;0,'Water Report'!$AB$22,0))</f>
        <v>18</v>
      </c>
      <c r="AZ26" s="1382">
        <f>(IF('Water Report'!$AB$23&gt;0,'Water Report'!$AB$23,0))</f>
        <v>13</v>
      </c>
      <c r="BA26" s="1382">
        <f>(IF('Water Report'!$AB$14&gt;0,'Water Report'!$AB$14,0))</f>
        <v>16</v>
      </c>
      <c r="BB26" s="1382">
        <f>(IF('Water Report'!$AB$15&gt;0,'Water Report'!$AB$15,0))</f>
        <v>5</v>
      </c>
      <c r="BC26" s="1382">
        <f>(IF('Water Report'!$AB$13&gt;0,'Water Report'!$AB$13,0))</f>
        <v>19</v>
      </c>
      <c r="BD26" s="1382">
        <f>(IF('Water Report'!$AB$24&gt;0,'Water Report'!$AB$24,0))</f>
        <v>195</v>
      </c>
      <c r="BE26" s="1382">
        <f>(IF('Water Report'!$AB$25&gt;0,'Water Report'!$AB$25,0))</f>
        <v>142</v>
      </c>
      <c r="BF26" s="1382">
        <f>(IF('Water Report'!$AB$27&gt;0,'Water Report'!$AB$27,0))</f>
        <v>91</v>
      </c>
      <c r="BG26" s="1302">
        <f>(IF('Section Load'!AN29&gt;0,'Section Load'!AN29,0))</f>
        <v>923.00300000002608</v>
      </c>
      <c r="BH26" s="1302">
        <f>(IF('Section Load'!AO29&gt;0,'Section Load'!AO29,0))</f>
        <v>259</v>
      </c>
      <c r="BI26" s="1302">
        <f>(IF('Section Load'!AP29&gt;0,'Section Load'!AP29,0))</f>
        <v>0.39999999999417923</v>
      </c>
      <c r="BJ26" s="1302">
        <f>(IF('Section Load'!AQ29&gt;0,'Section Load'!AQ29,0))</f>
        <v>73.230000000010477</v>
      </c>
      <c r="BK26" s="1302">
        <f>(IF('Section Load'!AR29&gt;0,'Section Load'!AR29,0))</f>
        <v>30.599999999998545</v>
      </c>
      <c r="BL26" s="1302">
        <f>(IF('Section Load'!AS29&gt;0,'Section Load'!AS29,0))</f>
        <v>1.7999999999992724</v>
      </c>
      <c r="BM26" s="1302">
        <f>(IF('Section Load'!AT29&gt;0,'Section Load'!AT29,0))</f>
        <v>557.9730000000236</v>
      </c>
    </row>
    <row r="27" spans="1:65">
      <c r="A27" s="1284" t="s">
        <v>304</v>
      </c>
      <c r="B27" s="1285">
        <f t="shared" si="0"/>
        <v>26</v>
      </c>
      <c r="C27" s="1285">
        <v>4</v>
      </c>
      <c r="D27" s="1285">
        <v>2021</v>
      </c>
      <c r="E27" s="1300">
        <f>(IF('Section Load'!F30&gt;0,'Section Load'!F30,0))</f>
        <v>3342.4799999999814</v>
      </c>
      <c r="F27" s="1300">
        <f>(IF('Section Load'!G30&gt;0,'Section Load'!G30,0))</f>
        <v>1534.6100000000006</v>
      </c>
      <c r="G27" s="1300">
        <f>(IF('Section Load'!H30&gt;0,'Section Load'!H30,0))</f>
        <v>2108.9000000000015</v>
      </c>
      <c r="H27" s="1300">
        <f>(IF('Section Load'!I30&gt;0,'Section Load'!I30,0))</f>
        <v>4355.5100000000239</v>
      </c>
      <c r="I27" s="1300">
        <f>(IF('Section Load'!J30&gt;0,'Section Load'!J30,0))</f>
        <v>4900.4330000000045</v>
      </c>
      <c r="J27" s="1300">
        <f>(IF('Section Load'!K30&gt;0,'Section Load'!K30,0))</f>
        <v>2357.6000000000931</v>
      </c>
      <c r="K27" s="1300">
        <f>(IF('Section Load'!L30&gt;0,'Section Load'!L30,0))</f>
        <v>1439.2200000000303</v>
      </c>
      <c r="L27" s="1300">
        <f>(IF('Section Load'!M30&gt;0,'Section Load'!M30,0))</f>
        <v>682.11999999999534</v>
      </c>
      <c r="M27" s="1300">
        <f>(IF('Section Load'!N30&gt;0,'Section Load'!N30,0))</f>
        <v>86</v>
      </c>
      <c r="N27" s="1300">
        <f>(IF('Section Load'!O30&gt;0,'Section Load'!O30,0))</f>
        <v>1</v>
      </c>
      <c r="O27" s="1300">
        <f>(IF('Section Load'!P30&gt;0,'Section Load'!P30,0))</f>
        <v>19.629999999999882</v>
      </c>
      <c r="P27" s="1300">
        <f>(IF('Section Load'!Q30&gt;0,'Section Load'!Q30,0))</f>
        <v>173.67000000000007</v>
      </c>
      <c r="Q27" s="1300">
        <f>(IF('Section Load'!R30&gt;0,'Section Load'!R30,0))</f>
        <v>85.210000000000036</v>
      </c>
      <c r="R27" s="1300">
        <f>(IF('Section Load'!S30&gt;0,'Section Load'!S30,0))</f>
        <v>57</v>
      </c>
      <c r="S27" s="1300">
        <f>(IF('Section Load'!T30&gt;0,'Section Load'!T30,0))</f>
        <v>407</v>
      </c>
      <c r="T27" s="1300">
        <f>(IF('Section Load'!U30&gt;0,'Section Load'!U30,0))</f>
        <v>188</v>
      </c>
      <c r="U27" s="1300">
        <f>(IF('Section Load'!V30&gt;0,'Section Load'!V30,0))</f>
        <v>325.11999999999534</v>
      </c>
      <c r="V27" s="1300">
        <f>(IF('Section Load'!W30&gt;0,'Section Load'!W30,0))</f>
        <v>136.1600000000326</v>
      </c>
      <c r="W27" s="1300">
        <f>(IF('Section Load'!X30&gt;0,'Section Load'!X30,0))</f>
        <v>22.870000000009895</v>
      </c>
      <c r="X27" s="1300">
        <f>(IF('Section Load'!Y30&gt;0,'Section Load'!Y30,0))</f>
        <v>166.22999999999593</v>
      </c>
      <c r="Y27" s="1300">
        <f>(IF('Section Load'!Z30&gt;0,'Section Load'!Z30,0))</f>
        <v>405</v>
      </c>
      <c r="Z27" s="1300">
        <f>(IF('Section Load'!AA30&gt;0,'Section Load'!AA30,0))</f>
        <v>197.71999999997206</v>
      </c>
      <c r="AA27" s="1300">
        <f>(IF('Section Load'!AB30&gt;0,'Section Load'!AB30,0))</f>
        <v>37.5</v>
      </c>
      <c r="AB27" s="1300">
        <f>(IF('Section Load'!AC30&gt;0,'Section Load'!AC30,0))</f>
        <v>95.64000000001397</v>
      </c>
      <c r="AC27" s="1300">
        <f>(IF('Section Load'!AD30&gt;0,'Section Load'!AD30,0))</f>
        <v>38.700000000000273</v>
      </c>
      <c r="AD27" s="1300">
        <f>(IF('Section Load'!AE30&gt;0,'Section Load'!AE30,0))</f>
        <v>0</v>
      </c>
      <c r="AE27" s="1300">
        <f>(IF('Section Load'!AF30&gt;0,'Section Load'!AF30,0))</f>
        <v>11.369999999999891</v>
      </c>
      <c r="AF27" s="1300">
        <f>(IF('Section Load'!AG30&gt;0,'Section Load'!AG30,0))</f>
        <v>466.55999999999767</v>
      </c>
      <c r="AG27" s="1300">
        <f>(IF('Section Load'!AH30&gt;0,'Section Load'!AH30,0))</f>
        <v>363.76999999998952</v>
      </c>
      <c r="AH27" s="1300">
        <f>(IF('Section Load'!AI30&gt;0,'Section Load'!AI30,0))</f>
        <v>414.73999999999796</v>
      </c>
      <c r="AI27" s="1300">
        <f>(IF('Section Load'!AJ30&gt;0,'Section Load'!AJ30,0))</f>
        <v>721.51999999998952</v>
      </c>
      <c r="AJ27" s="1300">
        <f>(IF('Section Load'!AK30&gt;0,'Section Load'!AK30,0))</f>
        <v>351.5399999999936</v>
      </c>
      <c r="AK27" s="1300">
        <f>(IF('Section Load'!AL30&gt;0,'Section Load'!AL30,0))</f>
        <v>320.29000000000815</v>
      </c>
      <c r="AL27" s="1300">
        <f>(IF('Section Load'!AM30&gt;0,'Section Load'!AM30,0))</f>
        <v>741</v>
      </c>
      <c r="AM27" s="1301">
        <f>(IF('Water Report'!$AC$7&gt;0,'Water Report'!$AC$7,0))</f>
        <v>130</v>
      </c>
      <c r="AN27" s="1301">
        <f>(IF('Water Report'!$AC$8&gt;0,'Water Report'!$AC$8,0))</f>
        <v>132</v>
      </c>
      <c r="AO27" s="1301">
        <f>(IF('Water Report'!$AC$9&gt;0,'Water Report'!$AC$9,0))</f>
        <v>108</v>
      </c>
      <c r="AP27" s="1301">
        <f>(IF('Water Report'!$AC$10&gt;0,'Water Report'!$AC$10,0))</f>
        <v>18</v>
      </c>
      <c r="AQ27" s="1301">
        <f>(IF('Water Report'!$AC$11&gt;0,'Water Report'!$AC$11,0))</f>
        <v>19</v>
      </c>
      <c r="AR27" s="1301">
        <f>(IF('Water Report'!$AC$13&gt;0,'Water Report'!$AC$13,0))</f>
        <v>44</v>
      </c>
      <c r="AS27" s="1301">
        <f>(IF('Water Report'!$AC$14&gt;0,'Water Report'!$AC$14,0))</f>
        <v>19</v>
      </c>
      <c r="AT27" s="1301">
        <f>(IF('Water Report'!$AC$15&gt;0,'Water Report'!$AC$15,0))</f>
        <v>33</v>
      </c>
      <c r="AU27" s="1301">
        <f>(IF('Water Report'!$AC$17&gt;0,'Water Report'!$AC$17,0))</f>
        <v>0</v>
      </c>
      <c r="AV27" s="1301">
        <f>(IF('Water Report'!$AC$18&gt;0,'Water Report'!$AC$18,0))</f>
        <v>7</v>
      </c>
      <c r="AW27" s="1301">
        <f>(IF('Water Report'!$AC$19&gt;0,'Water Report'!$AC$19,0))</f>
        <v>5</v>
      </c>
      <c r="AX27" s="1382">
        <f>(IF('Water Report'!$AC$21&gt;0,'Water Report'!$AC$21,0))</f>
        <v>124</v>
      </c>
      <c r="AY27" s="1382">
        <f>(IF('Water Report'!$AC$22&gt;0,'Water Report'!$AC$22,0))</f>
        <v>0</v>
      </c>
      <c r="AZ27" s="1382">
        <f>(IF('Water Report'!$AC$23&gt;0,'Water Report'!$AC$23,0))</f>
        <v>0</v>
      </c>
      <c r="BA27" s="1382">
        <f>(IF('Water Report'!$AC$14&gt;0,'Water Report'!$AC$14,0))</f>
        <v>19</v>
      </c>
      <c r="BB27" s="1382">
        <f>(IF('Water Report'!$AC$15&gt;0,'Water Report'!$AC$15,0))</f>
        <v>33</v>
      </c>
      <c r="BC27" s="1382">
        <f>(IF('Water Report'!$AC$13&gt;0,'Water Report'!$AC$13,0))</f>
        <v>44</v>
      </c>
      <c r="BD27" s="1382">
        <f>(IF('Water Report'!$AC$24&gt;0,'Water Report'!$AC$24,0))</f>
        <v>243</v>
      </c>
      <c r="BE27" s="1382">
        <f>(IF('Water Report'!$AC$25&gt;0,'Water Report'!$AC$25,0))</f>
        <v>197</v>
      </c>
      <c r="BF27" s="1382">
        <f>(IF('Water Report'!$AC$27&gt;0,'Water Report'!$AC$27,0))</f>
        <v>168</v>
      </c>
      <c r="BG27" s="1302">
        <f>(IF('Section Load'!AN30&gt;0,'Section Load'!AN30,0))</f>
        <v>869.26799999992363</v>
      </c>
      <c r="BH27" s="1302">
        <f>(IF('Section Load'!AO30&gt;0,'Section Load'!AO30,0))</f>
        <v>280.9100000000326</v>
      </c>
      <c r="BI27" s="1302">
        <f>(IF('Section Load'!AP30&gt;0,'Section Load'!AP30,0))</f>
        <v>0</v>
      </c>
      <c r="BJ27" s="1302">
        <f>(IF('Section Load'!AQ30&gt;0,'Section Load'!AQ30,0))</f>
        <v>61.010000000009313</v>
      </c>
      <c r="BK27" s="1302">
        <f>(IF('Section Load'!AR30&gt;0,'Section Load'!AR30,0))</f>
        <v>21.80000000000291</v>
      </c>
      <c r="BL27" s="1302">
        <f>(IF('Section Load'!AS30&gt;0,'Section Load'!AS30,0))</f>
        <v>1.6000000000003638</v>
      </c>
      <c r="BM27" s="1302">
        <f>(IF('Section Load'!AT30&gt;0,'Section Load'!AT30,0))</f>
        <v>504.24799999986681</v>
      </c>
    </row>
    <row r="28" spans="1:65">
      <c r="A28" s="1284" t="s">
        <v>304</v>
      </c>
      <c r="B28" s="1285">
        <f t="shared" si="0"/>
        <v>27</v>
      </c>
      <c r="C28" s="1285">
        <v>4</v>
      </c>
      <c r="D28" s="1285">
        <v>2021</v>
      </c>
      <c r="E28" s="1300">
        <f>(IF('Section Load'!F31&gt;0,'Section Load'!F31,0))</f>
        <v>3242.640000000014</v>
      </c>
      <c r="F28" s="1300">
        <f>(IF('Section Load'!G31&gt;0,'Section Load'!G31,0))</f>
        <v>1541.5699999999997</v>
      </c>
      <c r="G28" s="1300">
        <f>(IF('Section Load'!H31&gt;0,'Section Load'!H31,0))</f>
        <v>1886.6800000000003</v>
      </c>
      <c r="H28" s="1300">
        <f>(IF('Section Load'!I31&gt;0,'Section Load'!I31,0))</f>
        <v>4275.5499999999884</v>
      </c>
      <c r="I28" s="1300">
        <f>(IF('Section Load'!J31&gt;0,'Section Load'!J31,0))</f>
        <v>5004.2999999999156</v>
      </c>
      <c r="J28" s="1300">
        <f>(IF('Section Load'!K31&gt;0,'Section Load'!K31,0))</f>
        <v>2270.3999999999069</v>
      </c>
      <c r="K28" s="1300">
        <f>(IF('Section Load'!L31&gt;0,'Section Load'!L31,0))</f>
        <v>1307.0599999999977</v>
      </c>
      <c r="L28" s="1300">
        <f>(IF('Section Load'!M31&gt;0,'Section Load'!M31,0))</f>
        <v>734.85999999998603</v>
      </c>
      <c r="M28" s="1300">
        <f>(IF('Section Load'!N31&gt;0,'Section Load'!N31,0))</f>
        <v>55</v>
      </c>
      <c r="N28" s="1300">
        <f>(IF('Section Load'!O31&gt;0,'Section Load'!O31,0))</f>
        <v>2</v>
      </c>
      <c r="O28" s="1300">
        <f>(IF('Section Load'!P31&gt;0,'Section Load'!P31,0))</f>
        <v>19.630000000000109</v>
      </c>
      <c r="P28" s="1300">
        <f>(IF('Section Load'!Q31&gt;0,'Section Load'!Q31,0))</f>
        <v>208.13999999999942</v>
      </c>
      <c r="Q28" s="1300">
        <f>(IF('Section Load'!R31&gt;0,'Section Load'!R31,0))</f>
        <v>79.019999999999982</v>
      </c>
      <c r="R28" s="1300">
        <f>(IF('Section Load'!S31&gt;0,'Section Load'!S31,0))</f>
        <v>49</v>
      </c>
      <c r="S28" s="1300">
        <f>(IF('Section Load'!T31&gt;0,'Section Load'!T31,0))</f>
        <v>376</v>
      </c>
      <c r="T28" s="1300">
        <f>(IF('Section Load'!U31&gt;0,'Section Load'!U31,0))</f>
        <v>190</v>
      </c>
      <c r="U28" s="1300">
        <f>(IF('Section Load'!V31&gt;0,'Section Load'!V31,0))</f>
        <v>361.9199999999837</v>
      </c>
      <c r="V28" s="1300">
        <f>(IF('Section Load'!W31&gt;0,'Section Load'!W31,0))</f>
        <v>189.80000000004657</v>
      </c>
      <c r="W28" s="1300">
        <f>(IF('Section Load'!X31&gt;0,'Section Load'!X31,0))</f>
        <v>20.709999999991851</v>
      </c>
      <c r="X28" s="1300">
        <f>(IF('Section Load'!Y31&gt;0,'Section Load'!Y31,0))</f>
        <v>177.39500000000407</v>
      </c>
      <c r="Y28" s="1300">
        <f>(IF('Section Load'!Z31&gt;0,'Section Load'!Z31,0))</f>
        <v>266</v>
      </c>
      <c r="Z28" s="1300">
        <f>(IF('Section Load'!AA31&gt;0,'Section Load'!AA31,0))</f>
        <v>165.59999999997672</v>
      </c>
      <c r="AA28" s="1300">
        <f>(IF('Section Load'!AB31&gt;0,'Section Load'!AB31,0))</f>
        <v>24.600000000005821</v>
      </c>
      <c r="AB28" s="1300">
        <f>(IF('Section Load'!AC31&gt;0,'Section Load'!AC31,0))</f>
        <v>53.660000000003492</v>
      </c>
      <c r="AC28" s="1300">
        <f>(IF('Section Load'!AD31&gt;0,'Section Load'!AD31,0))</f>
        <v>25.70000000000573</v>
      </c>
      <c r="AD28" s="1300">
        <f>(IF('Section Load'!AE31&gt;0,'Section Load'!AE31,0))</f>
        <v>0</v>
      </c>
      <c r="AE28" s="1300">
        <f>(IF('Section Load'!AF31&gt;0,'Section Load'!AF31,0))</f>
        <v>11.410000000000082</v>
      </c>
      <c r="AF28" s="1300">
        <f>(IF('Section Load'!AG31&gt;0,'Section Load'!AG31,0))</f>
        <v>466.19999999998254</v>
      </c>
      <c r="AG28" s="1300">
        <f>(IF('Section Load'!AH31&gt;0,'Section Load'!AH31,0))</f>
        <v>369.80999999999767</v>
      </c>
      <c r="AH28" s="1300">
        <f>(IF('Section Load'!AI31&gt;0,'Section Load'!AI31,0))</f>
        <v>438.18000000000029</v>
      </c>
      <c r="AI28" s="1300">
        <f>(IF('Section Load'!AJ31&gt;0,'Section Load'!AJ31,0))</f>
        <v>699.33999999999651</v>
      </c>
      <c r="AJ28" s="1300">
        <f>(IF('Section Load'!AK31&gt;0,'Section Load'!AK31,0))</f>
        <v>321.12700000000768</v>
      </c>
      <c r="AK28" s="1300">
        <f>(IF('Section Load'!AL31&gt;0,'Section Load'!AL31,0))</f>
        <v>311.63999999999942</v>
      </c>
      <c r="AL28" s="1300">
        <f>(IF('Section Load'!AM31&gt;0,'Section Load'!AM31,0))</f>
        <v>694</v>
      </c>
      <c r="AM28" s="1301">
        <f>(IF('Water Report'!$AD$7&gt;0,'Water Report'!$AD$7,0))</f>
        <v>113</v>
      </c>
      <c r="AN28" s="1301">
        <f>(IF('Water Report'!$AD$8&gt;0,'Water Report'!$AD$8,0))</f>
        <v>150</v>
      </c>
      <c r="AO28" s="1301">
        <f>(IF('Water Report'!$AD$9&gt;0,'Water Report'!$AD$9,0))</f>
        <v>87</v>
      </c>
      <c r="AP28" s="1301">
        <f>(IF('Water Report'!$AD$10&gt;0,'Water Report'!AD$10,0))</f>
        <v>21</v>
      </c>
      <c r="AQ28" s="1301">
        <f>(IF('Water Report'!$AD$11&gt;0,'Water Report'!AE$11,0))</f>
        <v>36</v>
      </c>
      <c r="AR28" s="1301">
        <f>(IF('Water Report'!$AD$13&gt;0,'Water Report'!AF$13,0))</f>
        <v>31</v>
      </c>
      <c r="AS28" s="1301">
        <f>(IF('Water Report'!$AD$14&gt;0,'Water Report'!AG$14,0))</f>
        <v>27</v>
      </c>
      <c r="AT28" s="1301">
        <f>(IF('Water Report'!$AD$15&gt;0,'Water Report'!AH$15,0))</f>
        <v>6</v>
      </c>
      <c r="AU28" s="1301">
        <f>(IF('Water Report'!$AD$17&gt;0,'Water Report'!AI$17,0))</f>
        <v>0</v>
      </c>
      <c r="AV28" s="1301">
        <f>(IF('Water Report'!$AD$18&gt;0,'Water Report'!AJ$18,0))</f>
        <v>0</v>
      </c>
      <c r="AW28" s="1301">
        <f>(IF('Water Report'!$AD$19&gt;0,'Water Report'!AK$19,0))</f>
        <v>0</v>
      </c>
      <c r="AX28" s="1382">
        <f>(IF('Water Report'!$AD$21&gt;0,'Water Report'!AL$21,0))</f>
        <v>0</v>
      </c>
      <c r="AY28" s="1382">
        <f>(IF('Water Report'!$AD$22&gt;0,'Water Report'!AM$22,0))</f>
        <v>0</v>
      </c>
      <c r="AZ28" s="1382">
        <f>(IF('Water Report'!$AD$23&gt;0,'Water Report'!AN$23,0))</f>
        <v>0</v>
      </c>
      <c r="BA28" s="1382">
        <f>(IF('Water Report'!$AD$14&gt;0,'Water Report'!AO$14,0))</f>
        <v>0</v>
      </c>
      <c r="BB28" s="1382">
        <f>(IF('Water Report'!$AD$15&gt;0,'Water Report'!AP$15,0))</f>
        <v>0</v>
      </c>
      <c r="BC28" s="1382">
        <f>(IF('Water Report'!$AD$13&gt;0,'Water Report'!AQ$13,0))</f>
        <v>0</v>
      </c>
      <c r="BD28" s="1382">
        <f>(IF('Water Report'!$AD$24&gt;0,'Water Report'!AR$24,0))</f>
        <v>0</v>
      </c>
      <c r="BE28" s="1382">
        <f>(IF('Water Report'!$AD$25&gt;0,'Water Report'!AS$25,0))</f>
        <v>0</v>
      </c>
      <c r="BF28" s="1382">
        <f>(IF('Water Report'!$AD$27&gt;0,'Water Report'!AT$27,0))</f>
        <v>0</v>
      </c>
      <c r="BG28" s="1302">
        <f>(IF('Section Load'!AN31&gt;0,'Section Load'!AN31,0))</f>
        <v>882.58100000000559</v>
      </c>
      <c r="BH28" s="1302">
        <f>(IF('Section Load'!AO31&gt;0,'Section Load'!AO31,0))</f>
        <v>283.76000000000931</v>
      </c>
      <c r="BI28" s="1302">
        <f>(IF('Section Load'!AP31&gt;0,'Section Load'!AP31,0))</f>
        <v>0.29999999998835847</v>
      </c>
      <c r="BJ28" s="1302">
        <f>(IF('Section Load'!AQ31&gt;0,'Section Load'!AQ31,0))</f>
        <v>88.139999999984866</v>
      </c>
      <c r="BK28" s="1302">
        <f>(IF('Section Load'!AR31&gt;0,'Section Load'!AR31,0))</f>
        <v>6.6999999999970896</v>
      </c>
      <c r="BL28" s="1302">
        <f>(IF('Section Load'!AS31&gt;0,'Section Load'!AS31,0))</f>
        <v>4</v>
      </c>
      <c r="BM28" s="1302">
        <f>(IF('Section Load'!AT31&gt;0,'Section Load'!AT31,0))</f>
        <v>499.68100000002596</v>
      </c>
    </row>
    <row r="29" spans="1:65">
      <c r="A29" s="1284" t="s">
        <v>304</v>
      </c>
      <c r="B29" s="1285">
        <f t="shared" si="0"/>
        <v>28</v>
      </c>
      <c r="C29" s="1285">
        <v>4</v>
      </c>
      <c r="D29" s="1285">
        <v>2021</v>
      </c>
      <c r="E29" s="1300">
        <f>(IF('Section Load'!F32&gt;0,'Section Load'!F32,0))</f>
        <v>3608.5600000000559</v>
      </c>
      <c r="F29" s="1300">
        <f>(IF('Section Load'!G32&gt;0,'Section Load'!G32,0))</f>
        <v>1542.9599999999991</v>
      </c>
      <c r="G29" s="1300">
        <f>(IF('Section Load'!H32&gt;0,'Section Load'!H32,0))</f>
        <v>1893.5200000000477</v>
      </c>
      <c r="H29" s="1300">
        <f>(IF('Section Load'!I32&gt;0,'Section Load'!I32,0))</f>
        <v>4231.6100000000151</v>
      </c>
      <c r="I29" s="1300">
        <f>(IF('Section Load'!J32&gt;0,'Section Load'!J32,0))</f>
        <v>7013.1270000000804</v>
      </c>
      <c r="J29" s="1300">
        <f>(IF('Section Load'!K32&gt;0,'Section Load'!K32,0))</f>
        <v>2666.7200000000885</v>
      </c>
      <c r="K29" s="1300">
        <f>(IF('Section Load'!L32&gt;0,'Section Load'!L32,0))</f>
        <v>1291.0800000000163</v>
      </c>
      <c r="L29" s="1300">
        <f>(IF('Section Load'!M32&gt;0,'Section Load'!M32,0))</f>
        <v>730.03999999997905</v>
      </c>
      <c r="M29" s="1300">
        <f>(IF('Section Load'!N32&gt;0,'Section Load'!N32,0))</f>
        <v>18</v>
      </c>
      <c r="N29" s="1300">
        <f>(IF('Section Load'!O32&gt;0,'Section Load'!O32,0))</f>
        <v>1</v>
      </c>
      <c r="O29" s="1300">
        <f>(IF('Section Load'!P32&gt;0,'Section Load'!P32,0))</f>
        <v>31.629999999999882</v>
      </c>
      <c r="P29" s="1300">
        <f>(IF('Section Load'!Q32&gt;0,'Section Load'!Q32,0))</f>
        <v>167.01000000000022</v>
      </c>
      <c r="Q29" s="1300">
        <f>(IF('Section Load'!R32&gt;0,'Section Load'!R32,0))</f>
        <v>81.9399999999996</v>
      </c>
      <c r="R29" s="1300">
        <f>(IF('Section Load'!S32&gt;0,'Section Load'!S32,0))</f>
        <v>46</v>
      </c>
      <c r="S29" s="1300">
        <f>(IF('Section Load'!T32&gt;0,'Section Load'!T32,0))</f>
        <v>367</v>
      </c>
      <c r="T29" s="1300">
        <f>(IF('Section Load'!U32&gt;0,'Section Load'!U32,0))</f>
        <v>185</v>
      </c>
      <c r="U29" s="1300">
        <f>(IF('Section Load'!V32&gt;0,'Section Load'!V32,0))</f>
        <v>335.47999999998137</v>
      </c>
      <c r="V29" s="1300">
        <f>(IF('Section Load'!W32&gt;0,'Section Load'!W32,0))</f>
        <v>287.15999999991618</v>
      </c>
      <c r="W29" s="1300">
        <f>(IF('Section Load'!X32&gt;0,'Section Load'!X32,0))</f>
        <v>22.570000000006985</v>
      </c>
      <c r="X29" s="1300">
        <f>(IF('Section Load'!Y32&gt;0,'Section Load'!Y32,0))</f>
        <v>176.80500000000029</v>
      </c>
      <c r="Y29" s="1300">
        <f>(IF('Section Load'!Z32&gt;0,'Section Load'!Z32,0))</f>
        <v>283</v>
      </c>
      <c r="Z29" s="1300">
        <f>(IF('Section Load'!AA32&gt;0,'Section Load'!AA32,0))</f>
        <v>116.28000000002794</v>
      </c>
      <c r="AA29" s="1300">
        <f>(IF('Section Load'!AB32&gt;0,'Section Load'!AB32,0))</f>
        <v>31</v>
      </c>
      <c r="AB29" s="1300">
        <f>(IF('Section Load'!AC32&gt;0,'Section Load'!AC32,0))</f>
        <v>32.160000000003492</v>
      </c>
      <c r="AC29" s="1300">
        <f>(IF('Section Load'!AD32&gt;0,'Section Load'!AD32,0))</f>
        <v>32.199999999999818</v>
      </c>
      <c r="AD29" s="1300">
        <f>(IF('Section Load'!AE32&gt;0,'Section Load'!AE32,0))</f>
        <v>0</v>
      </c>
      <c r="AE29" s="1300">
        <f>(IF('Section Load'!AF32&gt;0,'Section Load'!AF32,0))</f>
        <v>12.019999999999982</v>
      </c>
      <c r="AF29" s="1300">
        <f>(IF('Section Load'!AG32&gt;0,'Section Load'!AG32,0))</f>
        <v>462.52000000001863</v>
      </c>
      <c r="AG29" s="1300">
        <f>(IF('Section Load'!AH32&gt;0,'Section Load'!AH32,0))</f>
        <v>389.88000000000466</v>
      </c>
      <c r="AH29" s="1300">
        <f>(IF('Section Load'!AI32&gt;0,'Section Load'!AI32,0))</f>
        <v>425.94000000000233</v>
      </c>
      <c r="AI29" s="1300">
        <f>(IF('Section Load'!AJ32&gt;0,'Section Load'!AJ32,0))</f>
        <v>678.44000000000233</v>
      </c>
      <c r="AJ29" s="1300">
        <f>(IF('Section Load'!AK32&gt;0,'Section Load'!AK32,0))</f>
        <v>313.66300000000047</v>
      </c>
      <c r="AK29" s="1300">
        <f>(IF('Section Load'!AL32&gt;0,'Section Load'!AL32,0))</f>
        <v>322.55999999999767</v>
      </c>
      <c r="AL29" s="1300">
        <f>(IF('Section Load'!AM32&gt;0,'Section Load'!AM32,0))</f>
        <v>846</v>
      </c>
      <c r="AM29" s="1301">
        <f>(IF('Water Report'!$AE$7&gt;0,'Water Report'!$AE$7,0))</f>
        <v>125</v>
      </c>
      <c r="AN29" s="1301">
        <f>(IF('Water Report'!$AE$8&gt;0,'Water Report'!$AE$8,0))</f>
        <v>155</v>
      </c>
      <c r="AO29" s="1301">
        <f>(IF('Water Report'!$AE$9&gt;0,'Water Report'!$AE$9,0))</f>
        <v>98</v>
      </c>
      <c r="AP29" s="1301">
        <f>(IF('Water Report'!$AE$10&gt;0,'Water Report'!$AE$10,0))</f>
        <v>25</v>
      </c>
      <c r="AQ29" s="1301">
        <f>(IF('Water Report'!$AE$11&gt;0,'Water Report'!$AE$11,0))</f>
        <v>36</v>
      </c>
      <c r="AR29" s="1301">
        <f>(IF('Water Report'!$AE$13&gt;0,'Water Report'!$AE$13,0))</f>
        <v>51</v>
      </c>
      <c r="AS29" s="1301">
        <f>(IF('Water Report'!$AE$14&gt;0,'Water Report'!$AE$14,0))</f>
        <v>23</v>
      </c>
      <c r="AT29" s="1301">
        <f>(IF('Water Report'!$AE$15&gt;0,'Water Report'!$AE$15,0))</f>
        <v>9</v>
      </c>
      <c r="AU29" s="1301">
        <f>(IF('Water Report'!$AE$17&gt;0,'Water Report'!$AE$17,0))</f>
        <v>0</v>
      </c>
      <c r="AV29" s="1301">
        <f>(IF('Water Report'!$AE$18&gt;0,'Water Report'!$AE$18,0))</f>
        <v>12</v>
      </c>
      <c r="AW29" s="1301">
        <f>(IF('Water Report'!$AE$19&gt;0,'Water Report'!$AE$19,0))</f>
        <v>5</v>
      </c>
      <c r="AX29" s="1382">
        <f>(IF('Water Report'!$AE$21&gt;0,'Water Report'!$AE$21,0))</f>
        <v>98</v>
      </c>
      <c r="AY29" s="1382">
        <f>(IF('Water Report'!$AE$22&gt;0,'Water Report'!$AE$22,0))</f>
        <v>48</v>
      </c>
      <c r="AZ29" s="1382">
        <f>(IF('Water Report'!$AE$23&gt;0,'Water Report'!$AE$23,0))</f>
        <v>0</v>
      </c>
      <c r="BA29" s="1382">
        <f>(IF('Water Report'!$AE$14&gt;0,'Water Report'!$AE$14,0))</f>
        <v>23</v>
      </c>
      <c r="BB29" s="1382">
        <f>(IF('Water Report'!$AE$15&gt;0,'Water Report'!$AE$15,0))</f>
        <v>9</v>
      </c>
      <c r="BC29" s="1382">
        <f>(IF('Water Report'!$AE$13&gt;0,'Water Report'!$AE$13,0))</f>
        <v>51</v>
      </c>
      <c r="BD29" s="1382">
        <f>(IF('Water Report'!$AE$24&gt;0,'Water Report'!$AE$24,0))</f>
        <v>232</v>
      </c>
      <c r="BE29" s="1382">
        <f>(IF('Water Report'!$AE$25&gt;0,'Water Report'!$AE$25,0))</f>
        <v>191</v>
      </c>
      <c r="BF29" s="1382">
        <f>(IF('Water Report'!$AE$27&gt;0,'Water Report'!$AE$27,0))</f>
        <v>149</v>
      </c>
      <c r="BG29" s="1302">
        <f>(IF('Section Load'!AN32&gt;0,'Section Load'!AN32,0))</f>
        <v>933.62800000002608</v>
      </c>
      <c r="BH29" s="1302">
        <f>(IF('Section Load'!AO32&gt;0,'Section Load'!AO32,0))</f>
        <v>252.80999999993946</v>
      </c>
      <c r="BI29" s="1302">
        <f>(IF('Section Load'!AP32&gt;0,'Section Load'!AP32,0))</f>
        <v>0</v>
      </c>
      <c r="BJ29" s="1302">
        <f>(IF('Section Load'!AQ32&gt;0,'Section Load'!AQ32,0))</f>
        <v>77.760000000009313</v>
      </c>
      <c r="BK29" s="1302">
        <f>(IF('Section Load'!AR32&gt;0,'Section Load'!AR32,0))</f>
        <v>3.7000000000043656</v>
      </c>
      <c r="BL29" s="1302">
        <f>(IF('Section Load'!AS32&gt;0,'Section Load'!AS32,0))</f>
        <v>1.5</v>
      </c>
      <c r="BM29" s="1302">
        <f>(IF('Section Load'!AT32&gt;0,'Section Load'!AT32,0))</f>
        <v>597.85800000007293</v>
      </c>
    </row>
    <row r="30" spans="1:65">
      <c r="A30" s="1284" t="s">
        <v>304</v>
      </c>
      <c r="B30" s="1285">
        <f t="shared" si="0"/>
        <v>29</v>
      </c>
      <c r="C30" s="1285">
        <v>4</v>
      </c>
      <c r="D30" s="1285">
        <v>2021</v>
      </c>
      <c r="E30" s="1300">
        <f>(IF('Section Load'!F33&gt;0,'Section Load'!F33,0))</f>
        <v>3387.4399999999441</v>
      </c>
      <c r="F30" s="1300">
        <f>(IF('Section Load'!G33&gt;0,'Section Load'!G33,0))</f>
        <v>1476.8100000000049</v>
      </c>
      <c r="G30" s="1300">
        <f>(IF('Section Load'!H33&gt;0,'Section Load'!H33,0))</f>
        <v>1793.1799999999494</v>
      </c>
      <c r="H30" s="1300">
        <f>(IF('Section Load'!I33&gt;0,'Section Load'!I33,0))</f>
        <v>4050.1299999999464</v>
      </c>
      <c r="I30" s="1300">
        <f>(IF('Section Load'!J33&gt;0,'Section Load'!J33,0))</f>
        <v>7749.2230000000127</v>
      </c>
      <c r="J30" s="1300">
        <f>(IF('Section Load'!K33&gt;0,'Section Load'!K33,0))</f>
        <v>2759.2799999999115</v>
      </c>
      <c r="K30" s="1300">
        <f>(IF('Section Load'!L33&gt;0,'Section Load'!L33,0))</f>
        <v>1050.7999999999884</v>
      </c>
      <c r="L30" s="1300">
        <f>(IF('Section Load'!M33&gt;0,'Section Load'!M33,0))</f>
        <v>817.92000000004191</v>
      </c>
      <c r="M30" s="1300">
        <f>(IF('Section Load'!N33&gt;0,'Section Load'!N33,0))</f>
        <v>23</v>
      </c>
      <c r="N30" s="1300">
        <f>(IF('Section Load'!O33&gt;0,'Section Load'!O33,0))</f>
        <v>1</v>
      </c>
      <c r="O30" s="1300">
        <f>(IF('Section Load'!P33&gt;0,'Section Load'!P33,0))</f>
        <v>21.809999999999945</v>
      </c>
      <c r="P30" s="1300">
        <f>(IF('Section Load'!Q33&gt;0,'Section Load'!Q33,0))</f>
        <v>164.55999999999949</v>
      </c>
      <c r="Q30" s="1300">
        <f>(IF('Section Load'!R33&gt;0,'Section Load'!R33,0))</f>
        <v>80.020000000000437</v>
      </c>
      <c r="R30" s="1300">
        <f>(IF('Section Load'!S33&gt;0,'Section Load'!S33,0))</f>
        <v>48</v>
      </c>
      <c r="S30" s="1300">
        <f>(IF('Section Load'!T33&gt;0,'Section Load'!T33,0))</f>
        <v>308</v>
      </c>
      <c r="T30" s="1300">
        <f>(IF('Section Load'!U33&gt;0,'Section Load'!U33,0))</f>
        <v>181</v>
      </c>
      <c r="U30" s="1300">
        <f>(IF('Section Load'!V33&gt;0,'Section Load'!V33,0))</f>
        <v>335.72000000003027</v>
      </c>
      <c r="V30" s="1300">
        <f>(IF('Section Load'!W33&gt;0,'Section Load'!W33,0))</f>
        <v>204.47999999998137</v>
      </c>
      <c r="W30" s="1300">
        <f>(IF('Section Load'!X33&gt;0,'Section Load'!X33,0))</f>
        <v>26.029999999998836</v>
      </c>
      <c r="X30" s="1300">
        <f>(IF('Section Load'!Y33&gt;0,'Section Load'!Y33,0))</f>
        <v>184.84999999999854</v>
      </c>
      <c r="Y30" s="1300">
        <f>(IF('Section Load'!Z33&gt;0,'Section Load'!Z33,0))</f>
        <v>268</v>
      </c>
      <c r="Z30" s="1300">
        <f>(IF('Section Load'!AA33&gt;0,'Section Load'!AA33,0))</f>
        <v>140.20000000001164</v>
      </c>
      <c r="AA30" s="1300">
        <f>(IF('Section Load'!AB33&gt;0,'Section Load'!AB33,0))</f>
        <v>30.899999999994179</v>
      </c>
      <c r="AB30" s="1300">
        <f>(IF('Section Load'!AC33&gt;0,'Section Load'!AC33,0))</f>
        <v>33.409999999974389</v>
      </c>
      <c r="AC30" s="1300">
        <f>(IF('Section Load'!AD33&gt;0,'Section Load'!AD33,0))</f>
        <v>31.999999999994543</v>
      </c>
      <c r="AD30" s="1300">
        <f>(IF('Section Load'!AE33&gt;0,'Section Load'!AE33,0))</f>
        <v>0</v>
      </c>
      <c r="AE30" s="1300">
        <f>(IF('Section Load'!AF33&gt;0,'Section Load'!AF33,0))</f>
        <v>13.460000000000036</v>
      </c>
      <c r="AF30" s="1300">
        <f>(IF('Section Load'!AG33&gt;0,'Section Load'!AG33,0))</f>
        <v>452.33999999999651</v>
      </c>
      <c r="AG30" s="1300">
        <f>(IF('Section Load'!AH33&gt;0,'Section Load'!AH33,0))</f>
        <v>390.98999999999069</v>
      </c>
      <c r="AH30" s="1300">
        <f>(IF('Section Load'!AI33&gt;0,'Section Load'!AI33,0))</f>
        <v>402.30999999999767</v>
      </c>
      <c r="AI30" s="1300">
        <f>(IF('Section Load'!AJ33&gt;0,'Section Load'!AJ33,0))</f>
        <v>623.77999999999884</v>
      </c>
      <c r="AJ30" s="1300">
        <f>(IF('Section Load'!AK33&gt;0,'Section Load'!AK33,0))</f>
        <v>285.47999999999593</v>
      </c>
      <c r="AK30" s="1300">
        <f>(IF('Section Load'!AL33&gt;0,'Section Load'!AL33,0))</f>
        <v>309.72999999999593</v>
      </c>
      <c r="AL30" s="1300">
        <f>(IF('Section Load'!AM33&gt;0,'Section Load'!AM33,0))</f>
        <v>905</v>
      </c>
      <c r="AM30" s="1301">
        <f>(IF('Water Report'!$AF$7&gt;0,'Water Report'!$AF$7,0))</f>
        <v>118</v>
      </c>
      <c r="AN30" s="1301">
        <f>(IF('Water Report'!$AF$8&gt;0,'Water Report'!$AF$8,0))</f>
        <v>164</v>
      </c>
      <c r="AO30" s="1301">
        <f>(IF('Water Report'!$AF$9&gt;0,'Water Report'!$AF$9,0))</f>
        <v>69</v>
      </c>
      <c r="AP30" s="1301">
        <f>(IF('Water Report'!$AF$10&gt;0,'Water Report'!$AF$10,0))</f>
        <v>19</v>
      </c>
      <c r="AQ30" s="1301">
        <f>(IF('Water Report'!$AF$11&gt;0,'Water Report'!$AF$11,0))</f>
        <v>35</v>
      </c>
      <c r="AR30" s="1301">
        <f>(IF('Water Report'!$AF$13&gt;0,'Water Report'!$AF$13,0))</f>
        <v>31</v>
      </c>
      <c r="AS30" s="1301">
        <f>(IF('Water Report'!$AF$14&gt;0,'Water Report'!$AF$14,0))</f>
        <v>29</v>
      </c>
      <c r="AT30" s="1301">
        <f>(IF('Water Report'!$AF$15&gt;0,'Water Report'!$AF$15,0))</f>
        <v>10</v>
      </c>
      <c r="AU30" s="1301">
        <f>(IF('Water Report'!$AF$17&gt;0,'Water Report'!$AF$17,0))</f>
        <v>0</v>
      </c>
      <c r="AV30" s="1301">
        <f>(IF('Water Report'!$AF$18&gt;0,'Water Report'!$AF$18,0))</f>
        <v>11</v>
      </c>
      <c r="AW30" s="1301">
        <f>(IF('Water Report'!$AF$19&gt;0,'Water Report'!$AF$19,0))</f>
        <v>6</v>
      </c>
      <c r="AX30" s="1382">
        <f>(IF('Water Report'!$AF$21&gt;0,'Water Report'!$AF$21,0))</f>
        <v>122</v>
      </c>
      <c r="AY30" s="1382">
        <f>(IF('Water Report'!$AF$22&gt;0,'Water Report'!$AF$22,0))</f>
        <v>25</v>
      </c>
      <c r="AZ30" s="1382">
        <f>(IF('Water Report'!$AF$23&gt;0,'Water Report'!$AF$23,0))</f>
        <v>10</v>
      </c>
      <c r="BA30" s="1382">
        <f>(IF('Water Report'!$AF$14&gt;0,'Water Report'!$AF$14,0))</f>
        <v>29</v>
      </c>
      <c r="BB30" s="1382">
        <f>(IF('Water Report'!$AF$15&gt;0,'Water Report'!$AF$15,0))</f>
        <v>10</v>
      </c>
      <c r="BC30" s="1382">
        <f>(IF('Water Report'!$AF$13&gt;0,'Water Report'!$AF$13,0))</f>
        <v>31</v>
      </c>
      <c r="BD30" s="1382">
        <f>(IF('Water Report'!$AF$24&gt;0,'Water Report'!$AF$24,0))</f>
        <v>213</v>
      </c>
      <c r="BE30" s="1382">
        <f>(IF('Water Report'!$AF$25&gt;0,'Water Report'!$AF$25,0))</f>
        <v>162</v>
      </c>
      <c r="BF30" s="1382">
        <f>(IF('Water Report'!$AF$27&gt;0,'Water Report'!$AF$27,0))</f>
        <v>163</v>
      </c>
      <c r="BG30" s="1302">
        <f>(IF('Section Load'!AN33&gt;0,'Section Load'!AN33,0))</f>
        <v>941.48999999999069</v>
      </c>
      <c r="BH30" s="1302">
        <f>(IF('Section Load'!AO33&gt;0,'Section Load'!AO33,0))</f>
        <v>263.92000000004191</v>
      </c>
      <c r="BI30" s="1302">
        <f>(IF('Section Load'!AP33&gt;0,'Section Load'!AP33,0))</f>
        <v>0</v>
      </c>
      <c r="BJ30" s="1302">
        <f>(IF('Section Load'!AQ33&gt;0,'Section Load'!AQ33,0))</f>
        <v>83.309999999997672</v>
      </c>
      <c r="BK30" s="1302">
        <f>(IF('Section Load'!AR33&gt;0,'Section Load'!AR33,0))</f>
        <v>1.3999999999941792</v>
      </c>
      <c r="BL30" s="1302">
        <f>(IF('Section Load'!AS33&gt;0,'Section Load'!AS33,0))</f>
        <v>1</v>
      </c>
      <c r="BM30" s="1302">
        <f>(IF('Section Load'!AT33&gt;0,'Section Load'!AT33,0))</f>
        <v>591.85999999995693</v>
      </c>
    </row>
    <row r="31" spans="1:65">
      <c r="A31" s="1284" t="s">
        <v>304</v>
      </c>
      <c r="B31" s="1285">
        <f t="shared" si="0"/>
        <v>30</v>
      </c>
      <c r="C31" s="1285">
        <v>4</v>
      </c>
      <c r="D31" s="1285">
        <v>2021</v>
      </c>
      <c r="E31" s="1300">
        <f>(IF('Section Load'!F34&gt;0,'Section Load'!F34,0))</f>
        <v>0</v>
      </c>
      <c r="F31" s="1300">
        <f>(IF('Section Load'!G34&gt;0,'Section Load'!G34,0))</f>
        <v>0.26000000000931323</v>
      </c>
      <c r="G31" s="1300">
        <f>(IF('Section Load'!H34&gt;0,'Section Load'!H34,0))</f>
        <v>3.8600000001024455</v>
      </c>
      <c r="H31" s="1300">
        <f>(IF('Section Load'!I34&gt;0,'Section Load'!I34,0))</f>
        <v>416.42000000004191</v>
      </c>
      <c r="I31" s="1300">
        <f>(IF('Section Load'!J34&gt;0,'Section Load'!J34,0))</f>
        <v>7171.2070000000385</v>
      </c>
      <c r="J31" s="1300">
        <f>(IF('Section Load'!K34&gt;0,'Section Load'!K34,0))</f>
        <v>0</v>
      </c>
      <c r="K31" s="1300">
        <f>(IF('Section Load'!L34&gt;0,'Section Load'!L34,0))</f>
        <v>1178.4899999999907</v>
      </c>
      <c r="L31" s="1300">
        <f>(IF('Section Load'!M34&gt;0,'Section Load'!M34,0))</f>
        <v>882.34999999997672</v>
      </c>
      <c r="M31" s="1300">
        <f>(IF('Section Load'!N34&gt;0,'Section Load'!N34,0))</f>
        <v>62</v>
      </c>
      <c r="N31" s="1300">
        <f>(IF('Section Load'!O34&gt;0,'Section Load'!O34,0))</f>
        <v>2</v>
      </c>
      <c r="O31" s="1300">
        <f>(IF('Section Load'!P34&gt;0,'Section Load'!P34,0))</f>
        <v>22.630000000000109</v>
      </c>
      <c r="P31" s="1300">
        <f>(IF('Section Load'!Q34&gt;0,'Section Load'!Q34,0))</f>
        <v>164.69000000000051</v>
      </c>
      <c r="Q31" s="1300">
        <f>(IF('Section Load'!R34&gt;0,'Section Load'!R34,0))</f>
        <v>79.739999999999782</v>
      </c>
      <c r="R31" s="1300">
        <f>(IF('Section Load'!S34&gt;0,'Section Load'!S34,0))</f>
        <v>51</v>
      </c>
      <c r="S31" s="1300">
        <f>(IF('Section Load'!T34&gt;0,'Section Load'!T34,0))</f>
        <v>330</v>
      </c>
      <c r="T31" s="1300">
        <f>(IF('Section Load'!U34&gt;0,'Section Load'!U34,0))</f>
        <v>186</v>
      </c>
      <c r="U31" s="1300">
        <f>(IF('Section Load'!V34&gt;0,'Section Load'!V34,0))</f>
        <v>368.23999999999069</v>
      </c>
      <c r="V31" s="1300">
        <f>(IF('Section Load'!W34&gt;0,'Section Load'!W34,0))</f>
        <v>395.56000000005588</v>
      </c>
      <c r="W31" s="1300">
        <f>(IF('Section Load'!X34&gt;0,'Section Load'!X34,0))</f>
        <v>27.059999999997672</v>
      </c>
      <c r="X31" s="1300">
        <f>(IF('Section Load'!Y34&gt;0,'Section Load'!Y34,0))</f>
        <v>178.06999999999971</v>
      </c>
      <c r="Y31" s="1300">
        <f>(IF('Section Load'!Z34&gt;0,'Section Load'!Z34,0))</f>
        <v>269</v>
      </c>
      <c r="Z31" s="1300">
        <f>(IF('Section Load'!AA34&gt;0,'Section Load'!AA34,0))</f>
        <v>183.35999999998603</v>
      </c>
      <c r="AA31" s="1300">
        <f>(IF('Section Load'!AB34&gt;0,'Section Load'!AB34,0))</f>
        <v>48.600000000005821</v>
      </c>
      <c r="AB31" s="1300">
        <f>(IF('Section Load'!AC34&gt;0,'Section Load'!AC34,0))</f>
        <v>94.14000000001397</v>
      </c>
      <c r="AC31" s="1300">
        <f>(IF('Section Load'!AD34&gt;0,'Section Load'!AD34,0))</f>
        <v>51.400000000006003</v>
      </c>
      <c r="AD31" s="1300">
        <f>(IF('Section Load'!AE34&gt;0,'Section Load'!AE34,0))</f>
        <v>0</v>
      </c>
      <c r="AE31" s="1300">
        <f>(IF('Section Load'!AF34&gt;0,'Section Load'!AF34,0))</f>
        <v>11.539999999999964</v>
      </c>
      <c r="AF31" s="1300">
        <f>(IF('Section Load'!AG34&gt;0,'Section Load'!AG34,0))</f>
        <v>476.61999999999534</v>
      </c>
      <c r="AG31" s="1300">
        <f>(IF('Section Load'!AH34&gt;0,'Section Load'!AH34,0))</f>
        <v>375.35000000000582</v>
      </c>
      <c r="AH31" s="1300">
        <f>(IF('Section Load'!AI34&gt;0,'Section Load'!AI34,0))</f>
        <v>413.56999999999971</v>
      </c>
      <c r="AI31" s="1300">
        <f>(IF('Section Load'!AJ34&gt;0,'Section Load'!AJ34,0))</f>
        <v>662.41000000000349</v>
      </c>
      <c r="AJ31" s="1300">
        <f>(IF('Section Load'!AK34&gt;0,'Section Load'!AK34,0))</f>
        <v>337.69000000000233</v>
      </c>
      <c r="AK31" s="1300">
        <f>(IF('Section Load'!AL34&gt;0,'Section Load'!AL34,0))</f>
        <v>313</v>
      </c>
      <c r="AL31" s="1300">
        <f>(IF('Section Load'!AM34&gt;0,'Section Load'!AM34,0))</f>
        <v>922</v>
      </c>
      <c r="AM31" s="1301">
        <f>(IF('Water Report'!$AG$7&gt;0,'Water Report'!$AG$7,0))</f>
        <v>94</v>
      </c>
      <c r="AN31" s="1301">
        <f>(IF('Water Report'!$AG$8&gt;0,'Water Report'!$AG$8,0))</f>
        <v>150</v>
      </c>
      <c r="AO31" s="1301">
        <f>(IF('Water Report'!$AG$9&gt;0,'Water Report'!$AG$9,0))</f>
        <v>71</v>
      </c>
      <c r="AP31" s="1301">
        <f>(IF('Water Report'!$AG$10&gt;0,'Water Report'!$DAG$10,0))</f>
        <v>0</v>
      </c>
      <c r="AQ31" s="1301">
        <f>(IF('Water Report'!$AG$11&gt;0,'Water Report'!$DAG$11,0))</f>
        <v>0</v>
      </c>
      <c r="AR31" s="1301">
        <f>(IF('Water Report'!$AG$13&gt;0,'Water Report'!$DAG$13,0))</f>
        <v>0</v>
      </c>
      <c r="AS31" s="1301">
        <f>(IF('Water Report'!$AG$14&gt;0,'Water Report'!$DAG$14,0))</f>
        <v>0</v>
      </c>
      <c r="AT31" s="1301">
        <f>(IF('Water Report'!$AG$15&gt;0,'Water Report'!$DAG$15,0))</f>
        <v>0</v>
      </c>
      <c r="AU31" s="1301">
        <f>(IF('Water Report'!$AG$17&gt;0,'Water Report'!$DAG$17,0))</f>
        <v>0</v>
      </c>
      <c r="AV31" s="1301">
        <f>(IF('Water Report'!$AG$18&gt;0,'Water Report'!$DAG$18,0))</f>
        <v>0</v>
      </c>
      <c r="AW31" s="1301">
        <f>(IF('Water Report'!$AG$19&gt;0,'Water Report'!$DAG$19,0))</f>
        <v>0</v>
      </c>
      <c r="AX31" s="1382">
        <f>(IF('Water Report'!$AG$21&gt;0,'Water Report'!$DAG$21,0))</f>
        <v>0</v>
      </c>
      <c r="AY31" s="1382">
        <f>(IF('Water Report'!$AG$22&gt;0,'Water Report'!$DAG$22,0))</f>
        <v>0</v>
      </c>
      <c r="AZ31" s="1382">
        <f>(IF('Water Report'!$AG$23&gt;0,'Water Report'!$DAG$23,0))</f>
        <v>0</v>
      </c>
      <c r="BA31" s="1382">
        <f>(IF('Water Report'!$AG$14&gt;0,'Water Report'!$DAG$14,0))</f>
        <v>0</v>
      </c>
      <c r="BB31" s="1382">
        <f>(IF('Water Report'!$AG$15&gt;0,'Water Report'!$DAG$15,0))</f>
        <v>0</v>
      </c>
      <c r="BC31" s="1382">
        <f>(IF('Water Report'!$AG$13&gt;0,'Water Report'!$DAG$13,0))</f>
        <v>0</v>
      </c>
      <c r="BD31" s="1382">
        <f>(IF('Water Report'!$AG$24&gt;0,'Water Report'!$DAG$24,0))</f>
        <v>0</v>
      </c>
      <c r="BE31" s="1382">
        <f>(IF('Water Report'!$AG$25&gt;0,'Water Report'!$DAG$25,0))</f>
        <v>0</v>
      </c>
      <c r="BF31" s="1382">
        <f>(IF('Water Report'!$AG$27&gt;0,'Water Report'!$DAG$27,0))</f>
        <v>0</v>
      </c>
      <c r="BG31" s="1302">
        <f>(IF('Section Load'!AN34&gt;0,'Section Load'!AN34,0))</f>
        <v>927.03000000002794</v>
      </c>
      <c r="BH31" s="1302">
        <f>(IF('Section Load'!AO34&gt;0,'Section Load'!AO34,0))</f>
        <v>234.59999999997672</v>
      </c>
      <c r="BI31" s="1302">
        <f>(IF('Section Load'!AP34&gt;0,'Section Load'!AP34,0))</f>
        <v>0</v>
      </c>
      <c r="BJ31" s="1302">
        <f>(IF('Section Load'!AQ34&gt;0,'Section Load'!AQ34,0))</f>
        <v>97.970000000001164</v>
      </c>
      <c r="BK31" s="1302">
        <f>(IF('Section Load'!AR34&gt;0,'Section Load'!AR34,0))</f>
        <v>0.80000000000291038</v>
      </c>
      <c r="BL31" s="1302">
        <f>(IF('Section Load'!AS34&gt;0,'Section Load'!AS34,0))</f>
        <v>1.1000000000003638</v>
      </c>
      <c r="BM31" s="1302">
        <f>(IF('Section Load'!AT34&gt;0,'Section Load'!AT34,0))</f>
        <v>592.56000000004678</v>
      </c>
    </row>
    <row r="32" spans="1:65">
      <c r="A32" s="1284" t="s">
        <v>304</v>
      </c>
      <c r="B32" s="1285">
        <f t="shared" si="0"/>
        <v>31</v>
      </c>
      <c r="C32" s="1285">
        <v>4</v>
      </c>
      <c r="D32" s="1285">
        <v>2021</v>
      </c>
      <c r="E32" s="1300">
        <f>(IF('Section Load'!F35&gt;0,'Section Load'!F35,0))</f>
        <v>3524.8699999999953</v>
      </c>
      <c r="F32" s="1300">
        <f>(IF('Section Load'!G35&gt;0,'Section Load'!G35,0))</f>
        <v>1490</v>
      </c>
      <c r="G32" s="1300">
        <f>(IF('Section Load'!H35&gt;0,'Section Load'!H35,0))</f>
        <v>1893</v>
      </c>
      <c r="H32" s="1300">
        <f>(IF('Section Load'!I35&gt;0,'Section Load'!I35,0))</f>
        <v>4237</v>
      </c>
      <c r="I32" s="1300">
        <f>(IF('Section Load'!J35&gt;0,'Section Load'!J35,0))</f>
        <v>6923</v>
      </c>
      <c r="J32" s="1300">
        <f>(IF('Section Load'!K35&gt;0,'Section Load'!K35,0))</f>
        <v>2693</v>
      </c>
      <c r="K32" s="1300">
        <f>(IF('Section Load'!L35&gt;0,'Section Load'!L35,0))</f>
        <v>1154</v>
      </c>
      <c r="L32" s="1300">
        <f>(IF('Section Load'!M35&gt;0,'Section Load'!M35,0))</f>
        <v>910</v>
      </c>
      <c r="M32" s="1300">
        <f>(IF('Section Load'!N35&gt;0,'Section Load'!N35,0))</f>
        <v>118</v>
      </c>
      <c r="N32" s="1300">
        <f>(IF('Section Load'!O35&gt;0,'Section Load'!O35,0))</f>
        <v>1</v>
      </c>
      <c r="O32" s="1300">
        <f>(IF('Section Load'!P35&gt;0,'Section Load'!P35,0))</f>
        <v>21</v>
      </c>
      <c r="P32" s="1300">
        <f>(IF('Section Load'!Q35&gt;0,'Section Load'!Q35,0))</f>
        <v>21</v>
      </c>
      <c r="Q32" s="1300">
        <f>(IF('Section Load'!R35&gt;0,'Section Load'!R35,0))</f>
        <v>99</v>
      </c>
      <c r="R32" s="1300">
        <f>(IF('Section Load'!S35&gt;0,'Section Load'!S35,0))</f>
        <v>51</v>
      </c>
      <c r="S32" s="1300">
        <f>(IF('Section Load'!T35&gt;0,'Section Load'!T35,0))</f>
        <v>347</v>
      </c>
      <c r="T32" s="1300">
        <f>(IF('Section Load'!U35&gt;0,'Section Load'!U35,0))</f>
        <v>194</v>
      </c>
      <c r="U32" s="1300">
        <f>(IF('Section Load'!V35&gt;0,'Section Load'!V35,0))</f>
        <v>360</v>
      </c>
      <c r="V32" s="1300">
        <f>(IF('Section Load'!W35&gt;0,'Section Load'!W35,0))</f>
        <v>235</v>
      </c>
      <c r="W32" s="1300">
        <f>(IF('Section Load'!X35&gt;0,'Section Load'!X35,0))</f>
        <v>21</v>
      </c>
      <c r="X32" s="1300">
        <f>(IF('Section Load'!Y35&gt;0,'Section Load'!Y35,0))</f>
        <v>199</v>
      </c>
      <c r="Y32" s="1300">
        <f>(IF('Section Load'!Z35&gt;0,'Section Load'!Z35,0))</f>
        <v>290</v>
      </c>
      <c r="Z32" s="1300">
        <f>(IF('Section Load'!AA35&gt;0,'Section Load'!AA35,0))</f>
        <v>170</v>
      </c>
      <c r="AA32" s="1300">
        <f>(IF('Section Load'!AB35&gt;0,'Section Load'!AB35,0))</f>
        <v>103</v>
      </c>
      <c r="AB32" s="1300">
        <f>(IF('Section Load'!AC35&gt;0,'Section Load'!AC35,0))</f>
        <v>45</v>
      </c>
      <c r="AC32" s="1300">
        <f>(IF('Section Load'!AD35&gt;0,'Section Load'!AD35,0))</f>
        <v>38.800000000000182</v>
      </c>
      <c r="AD32" s="1300">
        <f>(IF('Section Load'!AE35&gt;0,'Section Load'!AE35,0))</f>
        <v>0</v>
      </c>
      <c r="AE32" s="1300">
        <f>(IF('Section Load'!AF35&gt;0,'Section Load'!AF35,0))</f>
        <v>12</v>
      </c>
      <c r="AF32" s="1300">
        <f>(IF('Section Load'!AG35&gt;0,'Section Load'!AG35,0))</f>
        <v>474</v>
      </c>
      <c r="AG32" s="1300">
        <f>(IF('Section Load'!AH35&gt;0,'Section Load'!AH35,0))</f>
        <v>379</v>
      </c>
      <c r="AH32" s="1300">
        <f>(IF('Section Load'!AI35&gt;0,'Section Load'!AI35,0))</f>
        <v>405</v>
      </c>
      <c r="AI32" s="1300">
        <f>(IF('Section Load'!AJ35&gt;0,'Section Load'!AJ35,0))</f>
        <v>665</v>
      </c>
      <c r="AJ32" s="1300">
        <f>(IF('Section Load'!AK35&gt;0,'Section Load'!AK35,0))</f>
        <v>356</v>
      </c>
      <c r="AK32" s="1300">
        <f>(IF('Section Load'!AL35&gt;0,'Section Load'!AL35,0))</f>
        <v>312</v>
      </c>
      <c r="AL32" s="1300">
        <f>(IF('Section Load'!AM35&gt;0,'Section Load'!AM35,0))</f>
        <v>853</v>
      </c>
      <c r="AM32" s="1301">
        <f>(IF('Water Report'!$AH$7&gt;0,'Water Report'!$AH$7,0))</f>
        <v>106</v>
      </c>
      <c r="AN32" s="1301">
        <f>(IF('Water Report'!$AH$8&gt;0,'Water Report'!$AH$8,0))</f>
        <v>156</v>
      </c>
      <c r="AO32" s="1301">
        <f>(IF('Water Report'!$AH$9&gt;0,'Water Report'!$AH$9,0))</f>
        <v>100</v>
      </c>
      <c r="AP32" s="1301">
        <f>(IF('Water Report'!$AH$10&gt;0,'Water Report'!$DAH$10,0))</f>
        <v>0</v>
      </c>
      <c r="AQ32" s="1301">
        <f>(IF('Water Report'!$AH$11&gt;0,'Water Report'!$DAH$11,0))</f>
        <v>0</v>
      </c>
      <c r="AR32" s="1301">
        <f>(IF('Water Report'!$AH$13&gt;0,'Water Report'!$DAH$13,0))</f>
        <v>0</v>
      </c>
      <c r="AS32" s="1301">
        <f>(IF('Water Report'!$AH$14&gt;0,'Water Report'!$DAH$14,0))</f>
        <v>0</v>
      </c>
      <c r="AT32" s="1301">
        <f>(IF('Water Report'!$AH$15&gt;0,'Water Report'!$DAH$15,0))</f>
        <v>0</v>
      </c>
      <c r="AU32" s="1301">
        <f>(IF('Water Report'!$AH$17&gt;0,'Water Report'!$DAH$17,0))</f>
        <v>0</v>
      </c>
      <c r="AV32" s="1301">
        <f>(IF('Water Report'!$AH$18&gt;0,'Water Report'!$DAH$18,0))</f>
        <v>0</v>
      </c>
      <c r="AW32" s="1301">
        <f>(IF('Water Report'!$AH$19&gt;0,'Water Report'!$DAH$19,0))</f>
        <v>0</v>
      </c>
      <c r="AX32" s="1382">
        <f>(IF('Water Report'!$AH$21&gt;0,'Water Report'!$DAH$21,0))</f>
        <v>0</v>
      </c>
      <c r="AY32" s="1382">
        <f>(IF('Water Report'!$AH$22&gt;0,'Water Report'!$DAH$22,0))</f>
        <v>0</v>
      </c>
      <c r="AZ32" s="1382">
        <f>(IF('Water Report'!$AH$23&gt;0,'Water Report'!$DAH$23,0))</f>
        <v>0</v>
      </c>
      <c r="BA32" s="1382">
        <f>(IF('Water Report'!$AH$14&gt;0,'Water Report'!$DAH$14,0))</f>
        <v>0</v>
      </c>
      <c r="BB32" s="1382">
        <f>(IF('Water Report'!$AH$15&gt;0,'Water Report'!$DAH$15,0))</f>
        <v>0</v>
      </c>
      <c r="BC32" s="1382">
        <f>(IF('Water Report'!$AH$13&gt;0,'Water Report'!$DAH$13,0))</f>
        <v>0</v>
      </c>
      <c r="BD32" s="1382">
        <f>(IF('Water Report'!$AH$24&gt;0,'Water Report'!$DAH$24,0))</f>
        <v>0</v>
      </c>
      <c r="BE32" s="1382">
        <f>(IF('Water Report'!$AH$25&gt;0,'Water Report'!$DAH$25,0))</f>
        <v>0</v>
      </c>
      <c r="BF32" s="1382">
        <f>(IF('Water Report'!$AH$27&gt;0,'Water Report'!$DAH$27,0))</f>
        <v>0</v>
      </c>
      <c r="BG32" s="1302">
        <f>(IF('Section Load'!AN35&gt;0,'Section Load'!AN35,0))</f>
        <v>1034</v>
      </c>
      <c r="BH32" s="1302">
        <f>(IF('Section Load'!AO35&gt;0,'Section Load'!AO35,0))</f>
        <v>248</v>
      </c>
      <c r="BI32" s="1302">
        <f>(IF('Section Load'!AP35&gt;0,'Section Load'!AP35,0))</f>
        <v>0</v>
      </c>
      <c r="BJ32" s="1302">
        <f>(IF('Section Load'!AQ35&gt;0,'Section Load'!AQ35,0))</f>
        <v>106</v>
      </c>
      <c r="BK32" s="1302">
        <f>(IF('Section Load'!AR35&gt;0,'Section Load'!AR35,0))</f>
        <v>0</v>
      </c>
      <c r="BL32" s="1302">
        <f>(IF('Section Load'!AS35&gt;0,'Section Load'!AS35,0))</f>
        <v>7</v>
      </c>
      <c r="BM32" s="1302">
        <f>(IF('Section Load'!AT35&gt;0,'Section Load'!AT35,0))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J38" sqref="J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93"/>
      <c r="B1" s="1393"/>
      <c r="C1" s="1393"/>
      <c r="D1" s="1393"/>
      <c r="E1" s="1393"/>
      <c r="F1" s="1393"/>
      <c r="G1" s="1393"/>
      <c r="H1" s="1393"/>
      <c r="I1" s="1393"/>
      <c r="J1" s="1393"/>
      <c r="K1" s="1393"/>
      <c r="L1" s="1393"/>
      <c r="M1" s="1393"/>
      <c r="N1" s="1393"/>
      <c r="O1" s="1393"/>
      <c r="P1" s="1393"/>
      <c r="Q1" s="1393"/>
      <c r="R1" s="1393"/>
      <c r="S1" s="1393"/>
      <c r="T1" s="1393"/>
      <c r="U1" s="1393"/>
      <c r="V1" s="1393"/>
      <c r="W1" s="1393"/>
      <c r="X1" s="1393"/>
      <c r="Y1" s="1393"/>
      <c r="Z1" s="1393"/>
      <c r="AA1" s="1393"/>
      <c r="AB1" s="1393"/>
      <c r="AC1" s="1393"/>
      <c r="AD1" s="1393"/>
      <c r="AE1" s="1393"/>
      <c r="AF1" s="1393"/>
      <c r="AG1" s="1393"/>
      <c r="AH1" s="1393"/>
      <c r="AI1" s="1393"/>
      <c r="AJ1" s="1393"/>
      <c r="AK1" s="1393"/>
      <c r="AL1" s="1393"/>
      <c r="AM1" s="1393"/>
      <c r="AN1" s="1393"/>
      <c r="AO1" s="1393"/>
      <c r="AP1" s="1393"/>
      <c r="AQ1" s="1393"/>
      <c r="AR1" s="1393"/>
      <c r="AS1" s="1393"/>
      <c r="AT1" s="1393"/>
      <c r="AU1" s="1393"/>
      <c r="AV1" s="1393"/>
      <c r="AW1" s="1393"/>
      <c r="AX1" s="1393"/>
      <c r="AY1" s="1393"/>
      <c r="AZ1" s="1393"/>
      <c r="BA1" s="1393"/>
      <c r="BB1" s="1393"/>
      <c r="BC1" s="1393"/>
      <c r="BD1" s="1393"/>
      <c r="BE1" s="1393"/>
      <c r="BF1" s="1393"/>
      <c r="BG1" s="1393"/>
      <c r="BH1" s="1393"/>
      <c r="BI1" s="1393"/>
      <c r="BJ1" s="1393"/>
      <c r="BK1" s="1393"/>
      <c r="BL1" s="1393"/>
      <c r="BM1" s="1393"/>
      <c r="BN1" s="1393"/>
      <c r="BO1" s="1393"/>
    </row>
    <row r="2" spans="1:70" ht="28.5" customHeight="1">
      <c r="A2" s="1" t="s">
        <v>0</v>
      </c>
      <c r="B2" s="1" t="s">
        <v>0</v>
      </c>
      <c r="C2" s="1119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94" t="s">
        <v>6</v>
      </c>
      <c r="J2" s="1394"/>
      <c r="K2" s="1394"/>
      <c r="L2" s="237"/>
      <c r="M2" s="1395" t="s">
        <v>7</v>
      </c>
      <c r="N2" s="1395"/>
      <c r="O2" s="1395"/>
      <c r="P2" s="1396" t="s">
        <v>8</v>
      </c>
      <c r="Q2" s="1396"/>
      <c r="R2" s="1396"/>
      <c r="S2" s="237" t="s">
        <v>9</v>
      </c>
      <c r="T2" s="1397" t="s">
        <v>10</v>
      </c>
      <c r="U2" s="1397"/>
      <c r="V2" s="1397"/>
      <c r="W2" s="1398" t="s">
        <v>11</v>
      </c>
      <c r="X2" s="1399"/>
      <c r="Y2" s="1400"/>
      <c r="Z2" s="1118"/>
      <c r="AA2" s="1401" t="s">
        <v>12</v>
      </c>
      <c r="AB2" s="1401"/>
      <c r="AC2" s="1401"/>
      <c r="AD2" s="1401"/>
      <c r="AE2" s="1119"/>
      <c r="AF2" s="1119" t="s">
        <v>13</v>
      </c>
      <c r="AG2" s="1119" t="s">
        <v>14</v>
      </c>
      <c r="AH2" s="1401" t="s">
        <v>15</v>
      </c>
      <c r="AI2" s="1401"/>
      <c r="AJ2" s="1401"/>
      <c r="AK2" s="1119" t="s">
        <v>16</v>
      </c>
      <c r="AL2" s="1401" t="s">
        <v>17</v>
      </c>
      <c r="AM2" s="1401"/>
      <c r="AN2" s="1401"/>
      <c r="AO2" s="1119" t="s">
        <v>18</v>
      </c>
      <c r="AP2" s="5" t="s">
        <v>19</v>
      </c>
      <c r="AQ2" s="1402" t="s">
        <v>20</v>
      </c>
      <c r="AR2" s="1403"/>
      <c r="AS2" s="1403"/>
      <c r="AT2" s="1403"/>
      <c r="AU2" s="1403"/>
      <c r="AV2" s="1403"/>
      <c r="AW2" s="1403"/>
      <c r="AX2" s="1403"/>
      <c r="AY2" s="1403"/>
      <c r="AZ2" s="1404"/>
      <c r="BA2" s="1402" t="s">
        <v>21</v>
      </c>
      <c r="BB2" s="1403"/>
      <c r="BC2" s="1403"/>
      <c r="BD2" s="1403"/>
      <c r="BE2" s="1403"/>
      <c r="BF2" s="1403"/>
      <c r="BG2" s="1403"/>
      <c r="BH2" s="1403"/>
      <c r="BI2" s="1403"/>
      <c r="BJ2" s="438"/>
      <c r="BK2" s="420"/>
      <c r="BL2" s="232"/>
      <c r="BM2" s="232"/>
      <c r="BN2" s="232"/>
      <c r="BO2" s="1119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33</v>
      </c>
      <c r="E4" s="256">
        <f>'1'!D4</f>
        <v>0.8</v>
      </c>
      <c r="F4" s="256">
        <f>'1'!D2</f>
        <v>0.65</v>
      </c>
      <c r="G4" s="19">
        <f>'1'!G8</f>
        <v>23784</v>
      </c>
      <c r="H4" s="19">
        <f>'1'!G8</f>
        <v>23784</v>
      </c>
      <c r="I4" s="19">
        <f>'1'!G7</f>
        <v>23696</v>
      </c>
      <c r="J4" s="19">
        <f>'1'!F27</f>
        <v>9</v>
      </c>
      <c r="K4" s="242">
        <f>H4*J4</f>
        <v>214056</v>
      </c>
      <c r="L4" s="238">
        <f>I4/202</f>
        <v>117.3069306930693</v>
      </c>
      <c r="M4" s="19">
        <f>'1'!G15</f>
        <v>969</v>
      </c>
      <c r="N4" s="19">
        <v>35</v>
      </c>
      <c r="O4" s="238">
        <f>M4*N4</f>
        <v>33915</v>
      </c>
      <c r="P4" s="19">
        <f>'1'!G20</f>
        <v>193</v>
      </c>
      <c r="Q4" s="19">
        <v>134</v>
      </c>
      <c r="R4" s="239">
        <f t="shared" ref="R4:R34" si="0">P4*Q4</f>
        <v>25862</v>
      </c>
      <c r="S4" s="240">
        <f t="shared" ref="S4:S34" si="1">P4/(F4*202/100)</f>
        <v>146.99162223914698</v>
      </c>
      <c r="T4" s="19">
        <f>'1'!G24</f>
        <v>0</v>
      </c>
      <c r="U4" s="19">
        <v>69</v>
      </c>
      <c r="V4" s="241">
        <f>T4*U4</f>
        <v>0</v>
      </c>
      <c r="W4" s="22">
        <f>'1'!G95</f>
        <v>77</v>
      </c>
      <c r="X4" s="22">
        <f>'1'!G96</f>
        <v>17</v>
      </c>
      <c r="Y4" s="22">
        <f>'1'!G97</f>
        <v>20</v>
      </c>
      <c r="Z4" s="22">
        <f>W4+X4+Y4</f>
        <v>114</v>
      </c>
      <c r="AA4" s="19">
        <f>'1'!G132</f>
        <v>24</v>
      </c>
      <c r="AB4" s="19">
        <f>'1'!G133</f>
        <v>0</v>
      </c>
      <c r="AC4" s="19">
        <f>'1'!G134</f>
        <v>7</v>
      </c>
      <c r="AD4" s="19">
        <f>'1'!G135</f>
        <v>0</v>
      </c>
      <c r="AE4" s="19">
        <f>AA4+AB4+AC4+AD4</f>
        <v>31</v>
      </c>
      <c r="AF4" s="23">
        <f t="shared" ref="AF4:AF34" si="2">AV4+AW4+BF4+BG4</f>
        <v>6956.8399999999965</v>
      </c>
      <c r="AG4" s="23">
        <f>AF4/AE4</f>
        <v>224.41419354838698</v>
      </c>
      <c r="AH4" s="19">
        <f>'1'!G136</f>
        <v>10.239999999997963</v>
      </c>
      <c r="AI4" s="19">
        <f>'1'!G137</f>
        <v>0.18000000000029104</v>
      </c>
      <c r="AJ4" s="19">
        <f>'1'!G138</f>
        <v>2.5400000000081491</v>
      </c>
      <c r="AK4" s="19">
        <f>AH4+AI4+AJ4</f>
        <v>12.960000000006403</v>
      </c>
      <c r="AL4" s="19">
        <f>'1'!G139</f>
        <v>0</v>
      </c>
      <c r="AM4" s="19">
        <f>'1'!G140</f>
        <v>8.3599999999996726</v>
      </c>
      <c r="AN4" s="19"/>
      <c r="AO4" s="19">
        <f>AL4+AM4</f>
        <v>8.3599999999996726</v>
      </c>
      <c r="AP4" s="258">
        <f>'1'!G123</f>
        <v>257</v>
      </c>
      <c r="AQ4" s="261">
        <f>'1'!G35</f>
        <v>3430</v>
      </c>
      <c r="AR4" s="19">
        <f>'1'!G37</f>
        <v>1448</v>
      </c>
      <c r="AS4" s="19">
        <f>'1'!G38</f>
        <v>1779</v>
      </c>
      <c r="AT4" s="19">
        <f>'1'!G39</f>
        <v>4092</v>
      </c>
      <c r="AU4" s="19">
        <f>'1'!G40</f>
        <v>0</v>
      </c>
      <c r="AV4" s="19">
        <f>'1'!G41</f>
        <v>5511</v>
      </c>
      <c r="AW4" s="19">
        <f>'1'!G42</f>
        <v>-0.16000000000349246</v>
      </c>
      <c r="AX4" s="19">
        <f>'1'!G43</f>
        <v>2596</v>
      </c>
      <c r="AY4" s="19">
        <f>'1'!G44</f>
        <v>0</v>
      </c>
      <c r="AZ4" s="262">
        <f>'1'!G36</f>
        <v>1016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521</v>
      </c>
      <c r="BE4" s="19">
        <f>'1'!G54</f>
        <v>66</v>
      </c>
      <c r="BF4" s="19">
        <f>'1'!G55</f>
        <v>1428</v>
      </c>
      <c r="BG4" s="19">
        <f>'1'!G56</f>
        <v>18</v>
      </c>
      <c r="BH4" s="19">
        <f>'1'!G57</f>
        <v>0</v>
      </c>
      <c r="BI4" s="262">
        <f>'1'!G50</f>
        <v>1486</v>
      </c>
      <c r="BJ4" s="370">
        <f>SUM(AV4,AW4,BF4,BG4)</f>
        <v>6956.8399999999965</v>
      </c>
      <c r="BK4" s="370">
        <f>'1'!G84</f>
        <v>915</v>
      </c>
      <c r="BL4" s="23">
        <f>SUM(AQ4,AV4,AW4,AX4,BA4,BF4,BG4,BH4)/I4%</f>
        <v>54.789162727886549</v>
      </c>
      <c r="BM4" s="23">
        <f>SUM(AT4,BD4)/I4%</f>
        <v>19.467420661715057</v>
      </c>
      <c r="BN4" s="24">
        <f>(AS4+BC4)/I4</f>
        <v>7.5075962187711009E-2</v>
      </c>
      <c r="BO4" s="25">
        <f>K4+O4+R4+V4</f>
        <v>273833</v>
      </c>
      <c r="BP4" s="213">
        <f>SUM(AV4,AW4,AX4,BF4,BG4,BH4,BK4)</f>
        <v>10467.839999999997</v>
      </c>
      <c r="BQ4">
        <f>BP4/(AE4*280)</f>
        <v>1.2059723502304143</v>
      </c>
      <c r="BR4" s="213">
        <f>SUM(AV4,AW4,BF4,BG4)/(AE4*400)</f>
        <v>0.56103548387096747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0.97</v>
      </c>
      <c r="G5" s="19">
        <f>'2'!G8</f>
        <v>22270</v>
      </c>
      <c r="H5" s="19">
        <f>'2'!G8</f>
        <v>22270</v>
      </c>
      <c r="I5" s="19">
        <f>'2'!G7</f>
        <v>22156</v>
      </c>
      <c r="J5" s="19">
        <v>10</v>
      </c>
      <c r="K5" s="242">
        <f t="shared" ref="K5:K34" si="3">H5*J5</f>
        <v>222700</v>
      </c>
      <c r="L5" s="238">
        <f t="shared" ref="L5:L34" si="4">I5/202</f>
        <v>109.68316831683168</v>
      </c>
      <c r="M5" s="19">
        <f>'2'!G15</f>
        <v>982</v>
      </c>
      <c r="N5" s="19">
        <v>35</v>
      </c>
      <c r="O5" s="238">
        <f t="shared" ref="O5:O34" si="5">M5*N5</f>
        <v>34370</v>
      </c>
      <c r="P5" s="19">
        <f>'2'!G20</f>
        <v>173</v>
      </c>
      <c r="Q5" s="19">
        <v>134</v>
      </c>
      <c r="R5" s="239">
        <f t="shared" si="0"/>
        <v>23182</v>
      </c>
      <c r="S5" s="240">
        <f t="shared" si="1"/>
        <v>88.292334388077975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87</v>
      </c>
      <c r="X5" s="22">
        <f>'2'!G96</f>
        <v>19</v>
      </c>
      <c r="Y5" s="22">
        <f>'2'!G97</f>
        <v>14</v>
      </c>
      <c r="Z5" s="22">
        <f t="shared" ref="Z5:Z34" si="7">W5+X5+Y5</f>
        <v>120</v>
      </c>
      <c r="AA5" s="19">
        <f>'2'!G132</f>
        <v>24.25</v>
      </c>
      <c r="AB5" s="19">
        <f>'2'!G133</f>
        <v>0</v>
      </c>
      <c r="AC5" s="19">
        <f>'2'!G134</f>
        <v>7.3700000000026193</v>
      </c>
      <c r="AD5" s="19">
        <f>'2'!G135</f>
        <v>0</v>
      </c>
      <c r="AE5" s="19">
        <f t="shared" ref="AE5:AE34" si="8">AA5+AB5+AC5+AD5</f>
        <v>31.620000000002619</v>
      </c>
      <c r="AF5" s="23">
        <f t="shared" si="2"/>
        <v>6251</v>
      </c>
      <c r="AG5" s="23">
        <f t="shared" ref="AG5:AG34" si="9">AF5/AE5</f>
        <v>197.6913345983391</v>
      </c>
      <c r="AH5" s="19">
        <f>'2'!G136</f>
        <v>10.479999999999563</v>
      </c>
      <c r="AI5" s="19">
        <f>'2'!G137</f>
        <v>0</v>
      </c>
      <c r="AJ5" s="19">
        <f>'2'!G138</f>
        <v>6.0899999999965075</v>
      </c>
      <c r="AK5" s="19">
        <f t="shared" ref="AK5:AK34" si="10">AH5+AI5+AJ5</f>
        <v>16.569999999996071</v>
      </c>
      <c r="AL5" s="19">
        <f>'2'!G139</f>
        <v>0</v>
      </c>
      <c r="AM5" s="19">
        <f>'2'!G140</f>
        <v>7.5399999999999636</v>
      </c>
      <c r="AN5" s="19"/>
      <c r="AO5" s="19">
        <f t="shared" ref="AO5:AO34" si="11">AL5+AM5</f>
        <v>7.5399999999999636</v>
      </c>
      <c r="AP5" s="258">
        <f>'2'!G123</f>
        <v>231</v>
      </c>
      <c r="AQ5" s="261">
        <f>'2'!G35</f>
        <v>3377</v>
      </c>
      <c r="AR5" s="19">
        <f>'2'!G37</f>
        <v>1445</v>
      </c>
      <c r="AS5" s="19">
        <f>'2'!G38</f>
        <v>1823</v>
      </c>
      <c r="AT5" s="19">
        <f>'2'!G39</f>
        <v>3883</v>
      </c>
      <c r="AU5" s="19">
        <f>'2'!G40</f>
        <v>0</v>
      </c>
      <c r="AV5" s="19">
        <f>'2'!G41</f>
        <v>5066</v>
      </c>
      <c r="AW5" s="19">
        <f>'2'!G42</f>
        <v>0</v>
      </c>
      <c r="AX5" s="19">
        <f>'2'!G43</f>
        <v>2688</v>
      </c>
      <c r="AY5" s="19">
        <f>'2'!G44</f>
        <v>0</v>
      </c>
      <c r="AZ5" s="262">
        <f>'2'!G36</f>
        <v>922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75</v>
      </c>
      <c r="BF5" s="19">
        <f>'2'!G55</f>
        <v>1185</v>
      </c>
      <c r="BG5" s="19">
        <f>'2'!G56</f>
        <v>0</v>
      </c>
      <c r="BH5" s="19">
        <f>'2'!G57</f>
        <v>0</v>
      </c>
      <c r="BI5" s="262">
        <f>'2'!G50</f>
        <v>1086</v>
      </c>
      <c r="BJ5" s="370">
        <f t="shared" ref="BJ5:BJ32" si="12">SUM(AV5,AW5,BF5,BG5)</f>
        <v>6251</v>
      </c>
      <c r="BK5" s="370">
        <f>'2'!G84</f>
        <v>920</v>
      </c>
      <c r="BL5" s="23">
        <f t="shared" ref="BL5:BL34" si="13">SUM(AQ5,AV5,AW5,AX5,BA5,BF5,BG5,BH5)/I5%</f>
        <v>55.588237949088303</v>
      </c>
      <c r="BM5" s="23">
        <f t="shared" ref="BM5:BM34" si="14">SUM(AT5,BD5)/I5%</f>
        <v>17.525726665463079</v>
      </c>
      <c r="BN5" s="24">
        <f t="shared" ref="BN5:BN34" si="15">(AS5+BC5)/I5</f>
        <v>8.2280194981043511E-2</v>
      </c>
      <c r="BO5" s="25">
        <f t="shared" ref="BO5:BO34" si="16">K5+O5+R5+V5</f>
        <v>280252</v>
      </c>
      <c r="BP5" s="213">
        <f t="shared" ref="BP5:BP35" si="17">SUM(AV5,AW5,AX5,BF5,BG5,BH5,BK5)</f>
        <v>9859</v>
      </c>
      <c r="BQ5">
        <f t="shared" ref="BQ5:BQ35" si="18">BP5/(AE5*280)</f>
        <v>1.1135583265563367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1</v>
      </c>
      <c r="G6" s="19">
        <f>'3'!G8</f>
        <v>21169</v>
      </c>
      <c r="H6" s="19">
        <f>'3'!G8</f>
        <v>21169</v>
      </c>
      <c r="I6" s="19">
        <f>'3'!G7</f>
        <v>21071</v>
      </c>
      <c r="J6" s="19">
        <v>10</v>
      </c>
      <c r="K6" s="242">
        <f t="shared" si="3"/>
        <v>211690</v>
      </c>
      <c r="L6" s="238">
        <f t="shared" si="4"/>
        <v>104.31188118811882</v>
      </c>
      <c r="M6" s="19">
        <f>'3'!G15</f>
        <v>1003</v>
      </c>
      <c r="N6" s="19">
        <v>35</v>
      </c>
      <c r="O6" s="238">
        <f t="shared" si="5"/>
        <v>35105</v>
      </c>
      <c r="P6" s="19">
        <f>'3'!G20</f>
        <v>153</v>
      </c>
      <c r="Q6" s="19">
        <v>134</v>
      </c>
      <c r="R6" s="239">
        <f t="shared" si="0"/>
        <v>20502</v>
      </c>
      <c r="S6" s="240">
        <f t="shared" si="1"/>
        <v>75.742574257425744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72</v>
      </c>
      <c r="X6" s="22">
        <f>'3'!G96</f>
        <v>20</v>
      </c>
      <c r="Y6" s="22">
        <f>'3'!G97</f>
        <v>18</v>
      </c>
      <c r="Z6" s="22">
        <f>W6+X6+Y6</f>
        <v>110</v>
      </c>
      <c r="AA6" s="19">
        <f>'3'!G132</f>
        <v>23.94999999999709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23.94999999999709</v>
      </c>
      <c r="AF6" s="23">
        <f t="shared" si="2"/>
        <v>5680</v>
      </c>
      <c r="AG6" s="23">
        <f t="shared" si="9"/>
        <v>237.16075156579083</v>
      </c>
      <c r="AH6" s="19">
        <f>'3'!G136</f>
        <v>10.159999999999854</v>
      </c>
      <c r="AI6" s="19">
        <f>'3'!G137</f>
        <v>0</v>
      </c>
      <c r="AJ6" s="19">
        <f>'3'!G138</f>
        <v>4.2399999999906868</v>
      </c>
      <c r="AK6" s="19">
        <f t="shared" si="10"/>
        <v>14.399999999990541</v>
      </c>
      <c r="AL6" s="19">
        <f>'3'!G139</f>
        <v>0</v>
      </c>
      <c r="AM6" s="19">
        <f>'3'!G140</f>
        <v>8.8100000000004002</v>
      </c>
      <c r="AN6" s="19"/>
      <c r="AO6" s="19">
        <f t="shared" si="11"/>
        <v>8.8100000000004002</v>
      </c>
      <c r="AP6" s="258">
        <f>'3'!G123</f>
        <v>272</v>
      </c>
      <c r="AQ6" s="261">
        <f>'3'!G35</f>
        <v>3065</v>
      </c>
      <c r="AR6" s="19">
        <f>'3'!G37</f>
        <v>1432</v>
      </c>
      <c r="AS6" s="19">
        <f>'3'!G38</f>
        <v>1736</v>
      </c>
      <c r="AT6" s="19">
        <f>'3'!G39</f>
        <v>3855</v>
      </c>
      <c r="AU6" s="19">
        <f>'3'!G40</f>
        <v>0</v>
      </c>
      <c r="AV6" s="19">
        <f>'3'!G41</f>
        <v>5680</v>
      </c>
      <c r="AW6" s="19">
        <f>'3'!G42</f>
        <v>0</v>
      </c>
      <c r="AX6" s="19">
        <f>'3'!G43</f>
        <v>2426</v>
      </c>
      <c r="AY6" s="19">
        <f>'3'!G44</f>
        <v>0</v>
      </c>
      <c r="AZ6" s="262">
        <f>'3'!G36</f>
        <v>975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77</v>
      </c>
      <c r="BF6" s="19">
        <f>'3'!G55</f>
        <v>0</v>
      </c>
      <c r="BG6" s="19">
        <f>'3'!G56</f>
        <v>0</v>
      </c>
      <c r="BH6" s="19">
        <f>'3'!G57</f>
        <v>0.32999999999992724</v>
      </c>
      <c r="BI6" s="262">
        <f>'3'!G50</f>
        <v>1064</v>
      </c>
      <c r="BJ6" s="370">
        <f t="shared" si="12"/>
        <v>5680</v>
      </c>
      <c r="BK6" s="370">
        <f>'3'!G84</f>
        <v>814</v>
      </c>
      <c r="BL6" s="23">
        <f t="shared" si="13"/>
        <v>53.017559679179911</v>
      </c>
      <c r="BM6" s="23">
        <f t="shared" si="14"/>
        <v>18.29528736177685</v>
      </c>
      <c r="BN6" s="24">
        <f t="shared" si="15"/>
        <v>8.2388116368468517E-2</v>
      </c>
      <c r="BO6" s="25">
        <f t="shared" si="16"/>
        <v>267297</v>
      </c>
      <c r="BP6" s="213">
        <f t="shared" si="17"/>
        <v>8920.33</v>
      </c>
      <c r="BQ6">
        <f t="shared" si="18"/>
        <v>1.3302013122578413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0.8</v>
      </c>
      <c r="G7" s="19">
        <f>'4'!G8</f>
        <v>21837</v>
      </c>
      <c r="H7" s="19">
        <f>'4'!G8</f>
        <v>21837</v>
      </c>
      <c r="I7" s="19">
        <f>'4'!G7</f>
        <v>21717</v>
      </c>
      <c r="J7" s="19">
        <v>10</v>
      </c>
      <c r="K7" s="242">
        <f t="shared" si="3"/>
        <v>218370</v>
      </c>
      <c r="L7" s="238">
        <f t="shared" si="4"/>
        <v>107.50990099009901</v>
      </c>
      <c r="M7" s="19">
        <f>'4'!G15</f>
        <v>978</v>
      </c>
      <c r="N7" s="19">
        <v>35</v>
      </c>
      <c r="O7" s="238">
        <f t="shared" si="5"/>
        <v>34230</v>
      </c>
      <c r="P7" s="19">
        <f>'4'!G20</f>
        <v>174</v>
      </c>
      <c r="Q7" s="19">
        <v>134</v>
      </c>
      <c r="R7" s="239">
        <f t="shared" si="0"/>
        <v>23316</v>
      </c>
      <c r="S7" s="240">
        <f t="shared" si="1"/>
        <v>107.67326732673266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71</v>
      </c>
      <c r="X7" s="22">
        <f>'4'!G96</f>
        <v>19</v>
      </c>
      <c r="Y7" s="22">
        <f>'4'!G97</f>
        <v>18</v>
      </c>
      <c r="Z7" s="22">
        <f t="shared" si="7"/>
        <v>108</v>
      </c>
      <c r="AA7" s="19">
        <f>'4'!G132</f>
        <v>23.80000000000291</v>
      </c>
      <c r="AB7" s="19">
        <f>'4'!G133</f>
        <v>0</v>
      </c>
      <c r="AC7" s="19">
        <f>'4'!G134</f>
        <v>1.6299999999973807</v>
      </c>
      <c r="AD7" s="19">
        <f>'4'!G135</f>
        <v>0</v>
      </c>
      <c r="AE7" s="19">
        <f t="shared" si="8"/>
        <v>25.430000000000291</v>
      </c>
      <c r="AF7" s="23">
        <f t="shared" si="2"/>
        <v>6033</v>
      </c>
      <c r="AG7" s="23">
        <f t="shared" si="9"/>
        <v>237.23948092803502</v>
      </c>
      <c r="AH7" s="19">
        <f>'4'!G136</f>
        <v>10.159999999999854</v>
      </c>
      <c r="AI7" s="19">
        <f>'4'!G137</f>
        <v>0</v>
      </c>
      <c r="AJ7" s="19">
        <f>'4'!G138</f>
        <v>3.25</v>
      </c>
      <c r="AK7" s="19">
        <f t="shared" si="10"/>
        <v>13.409999999999854</v>
      </c>
      <c r="AL7" s="19">
        <f>'4'!G139</f>
        <v>0</v>
      </c>
      <c r="AM7" s="19">
        <f>'4'!G140</f>
        <v>8.6000000000003638</v>
      </c>
      <c r="AN7" s="19"/>
      <c r="AO7" s="19">
        <f t="shared" si="11"/>
        <v>8.6000000000003638</v>
      </c>
      <c r="AP7" s="258">
        <f>'4'!G123</f>
        <v>264</v>
      </c>
      <c r="AQ7" s="261">
        <f>'4'!G35</f>
        <v>3476</v>
      </c>
      <c r="AR7" s="19">
        <f>'4'!G37</f>
        <v>1390</v>
      </c>
      <c r="AS7" s="19">
        <f>'4'!G38</f>
        <v>1683.6999999999971</v>
      </c>
      <c r="AT7" s="19">
        <f>'4'!G39</f>
        <v>3932</v>
      </c>
      <c r="AU7" s="19">
        <f>'4'!G40</f>
        <v>0</v>
      </c>
      <c r="AV7" s="19">
        <f>'4'!G41</f>
        <v>5776</v>
      </c>
      <c r="AW7" s="19">
        <f>'4'!G42</f>
        <v>0</v>
      </c>
      <c r="AX7" s="19">
        <f>'4'!G43</f>
        <v>2476</v>
      </c>
      <c r="AY7" s="19">
        <f>'4'!G44</f>
        <v>0</v>
      </c>
      <c r="AZ7" s="262">
        <f>'4'!G36</f>
        <v>857</v>
      </c>
      <c r="BA7" s="261">
        <f>'4'!G49</f>
        <v>-0.13000000000465661</v>
      </c>
      <c r="BB7" s="19">
        <f>'4'!G51</f>
        <v>0</v>
      </c>
      <c r="BC7" s="19">
        <f>'4'!G52</f>
        <v>0</v>
      </c>
      <c r="BD7" s="19">
        <f>'4'!G53</f>
        <v>339</v>
      </c>
      <c r="BE7" s="19">
        <f>'4'!G54</f>
        <v>67</v>
      </c>
      <c r="BF7" s="19">
        <f>'4'!G55</f>
        <v>229</v>
      </c>
      <c r="BG7" s="19">
        <f>'4'!G56</f>
        <v>28</v>
      </c>
      <c r="BH7" s="19">
        <f>'4'!G57</f>
        <v>-0.32999999999992724</v>
      </c>
      <c r="BI7" s="262">
        <f>'4'!G50</f>
        <v>1054</v>
      </c>
      <c r="BJ7" s="370">
        <f t="shared" si="12"/>
        <v>6033</v>
      </c>
      <c r="BK7" s="370">
        <f>'3'!G84</f>
        <v>814</v>
      </c>
      <c r="BL7" s="23">
        <f t="shared" si="13"/>
        <v>55.185062393516581</v>
      </c>
      <c r="BM7" s="23">
        <f t="shared" si="14"/>
        <v>19.666620619790947</v>
      </c>
      <c r="BN7" s="24">
        <f t="shared" si="15"/>
        <v>7.7529124648892445E-2</v>
      </c>
      <c r="BO7" s="25">
        <f t="shared" si="16"/>
        <v>275916</v>
      </c>
      <c r="BP7" s="213">
        <f t="shared" si="17"/>
        <v>9322.67</v>
      </c>
      <c r="BQ7">
        <f t="shared" si="18"/>
        <v>1.3092902084152427</v>
      </c>
    </row>
    <row r="8" spans="1:70">
      <c r="A8" s="16">
        <v>5</v>
      </c>
      <c r="B8" s="27">
        <v>5</v>
      </c>
      <c r="C8" s="27"/>
      <c r="D8" s="19">
        <f>'5'!D3</f>
        <v>32</v>
      </c>
      <c r="E8" s="256">
        <f>'5'!D4</f>
        <v>0.78</v>
      </c>
      <c r="F8" s="256">
        <f>'5'!D2</f>
        <v>0.85</v>
      </c>
      <c r="G8" s="19">
        <f>'5'!G8</f>
        <v>21683</v>
      </c>
      <c r="H8" s="19">
        <f>'5'!G8</f>
        <v>21683</v>
      </c>
      <c r="I8" s="19">
        <f>'5'!G7</f>
        <v>21598</v>
      </c>
      <c r="J8" s="19">
        <v>10</v>
      </c>
      <c r="K8" s="242">
        <f t="shared" si="3"/>
        <v>216830</v>
      </c>
      <c r="L8" s="238">
        <f t="shared" si="4"/>
        <v>106.92079207920793</v>
      </c>
      <c r="M8" s="19">
        <f>'5'!G15</f>
        <v>935</v>
      </c>
      <c r="N8" s="19">
        <v>35</v>
      </c>
      <c r="O8" s="238">
        <f t="shared" si="5"/>
        <v>32725</v>
      </c>
      <c r="P8" s="19">
        <f>'5'!G20</f>
        <v>178</v>
      </c>
      <c r="Q8" s="19">
        <v>134</v>
      </c>
      <c r="R8" s="239">
        <f t="shared" si="0"/>
        <v>23852</v>
      </c>
      <c r="S8" s="240">
        <f t="shared" si="1"/>
        <v>103.66919044845662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68</v>
      </c>
      <c r="X8" s="22">
        <f>'5'!G96</f>
        <v>15</v>
      </c>
      <c r="Y8" s="22">
        <f>'5'!G97</f>
        <v>22</v>
      </c>
      <c r="Z8" s="22">
        <f t="shared" si="7"/>
        <v>105</v>
      </c>
      <c r="AA8" s="19">
        <f>'5'!G132</f>
        <v>18</v>
      </c>
      <c r="AB8" s="19">
        <f>'5'!G133</f>
        <v>0</v>
      </c>
      <c r="AC8" s="19">
        <f>'5'!G134</f>
        <v>6</v>
      </c>
      <c r="AD8" s="19">
        <f>'5'!G135</f>
        <v>0</v>
      </c>
      <c r="AE8" s="19">
        <f t="shared" si="8"/>
        <v>24</v>
      </c>
      <c r="AF8" s="23">
        <f t="shared" si="2"/>
        <v>5790</v>
      </c>
      <c r="AG8" s="23">
        <f t="shared" si="9"/>
        <v>241.25</v>
      </c>
      <c r="AH8" s="19">
        <f>'5'!G136</f>
        <v>10.400000000001455</v>
      </c>
      <c r="AI8" s="19">
        <f>'5'!G137</f>
        <v>0</v>
      </c>
      <c r="AJ8" s="19">
        <f>'5'!G138</f>
        <v>1.3700000000098953</v>
      </c>
      <c r="AK8" s="19">
        <f t="shared" si="10"/>
        <v>11.77000000001135</v>
      </c>
      <c r="AL8" s="19">
        <f>'5'!G139</f>
        <v>0</v>
      </c>
      <c r="AM8" s="19">
        <f>'5'!G140</f>
        <v>8.1199999999998909</v>
      </c>
      <c r="AN8" s="19"/>
      <c r="AO8" s="19">
        <f t="shared" si="11"/>
        <v>8.1199999999998909</v>
      </c>
      <c r="AP8" s="258">
        <f>'5'!G123</f>
        <v>244</v>
      </c>
      <c r="AQ8" s="261">
        <f>'5'!G35</f>
        <v>3595</v>
      </c>
      <c r="AR8" s="19">
        <f>'5'!G37</f>
        <v>1361</v>
      </c>
      <c r="AS8" s="19">
        <f>'5'!G38</f>
        <v>1731.3000000000029</v>
      </c>
      <c r="AT8" s="19">
        <f>'5'!G39</f>
        <v>3871</v>
      </c>
      <c r="AU8" s="19">
        <f>'5'!G40</f>
        <v>0</v>
      </c>
      <c r="AV8" s="19">
        <f>'5'!G41</f>
        <v>4300</v>
      </c>
      <c r="AW8" s="19">
        <f>'5'!G42</f>
        <v>0</v>
      </c>
      <c r="AX8" s="19">
        <f>'5'!G43</f>
        <v>2428</v>
      </c>
      <c r="AY8" s="19">
        <f>'5'!G44</f>
        <v>0</v>
      </c>
      <c r="AZ8" s="262">
        <f>'5'!G36</f>
        <v>869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215</v>
      </c>
      <c r="BE8" s="19">
        <f>'5'!G54</f>
        <v>76</v>
      </c>
      <c r="BF8" s="19">
        <f>'5'!G55</f>
        <v>1481</v>
      </c>
      <c r="BG8" s="19">
        <f>'5'!G56</f>
        <v>9</v>
      </c>
      <c r="BH8" s="19">
        <f>'5'!G57</f>
        <v>0</v>
      </c>
      <c r="BI8" s="262">
        <f>'5'!G50</f>
        <v>1047</v>
      </c>
      <c r="BJ8" s="370">
        <f t="shared" si="12"/>
        <v>5790</v>
      </c>
      <c r="BK8" s="370">
        <f>'5'!G84</f>
        <v>1005</v>
      </c>
      <c r="BL8" s="23">
        <f t="shared" si="13"/>
        <v>54.694879155477359</v>
      </c>
      <c r="BM8" s="23">
        <f t="shared" si="14"/>
        <v>18.918418372071489</v>
      </c>
      <c r="BN8" s="24">
        <f t="shared" si="15"/>
        <v>8.0160200018520367E-2</v>
      </c>
      <c r="BO8" s="25">
        <f t="shared" si="16"/>
        <v>273407</v>
      </c>
      <c r="BP8" s="213">
        <f t="shared" si="17"/>
        <v>9223</v>
      </c>
      <c r="BQ8">
        <f t="shared" si="18"/>
        <v>1.372470238095238</v>
      </c>
    </row>
    <row r="9" spans="1:70">
      <c r="A9" s="16">
        <v>6</v>
      </c>
      <c r="B9" s="17">
        <v>6</v>
      </c>
      <c r="C9" s="26"/>
      <c r="D9" s="19">
        <f>'6'!D3</f>
        <v>33</v>
      </c>
      <c r="E9" s="256">
        <f>'6'!D4</f>
        <v>0.8</v>
      </c>
      <c r="F9" s="256">
        <f>'6'!D2</f>
        <v>0.8</v>
      </c>
      <c r="G9" s="19">
        <f>'6'!G8</f>
        <v>20841</v>
      </c>
      <c r="H9" s="19">
        <f>'6'!G8</f>
        <v>20841</v>
      </c>
      <c r="I9" s="19">
        <f>'6'!G7</f>
        <v>20745</v>
      </c>
      <c r="J9" s="19">
        <v>10</v>
      </c>
      <c r="K9" s="242">
        <f t="shared" si="3"/>
        <v>208410</v>
      </c>
      <c r="L9" s="238">
        <f t="shared" si="4"/>
        <v>102.69801980198019</v>
      </c>
      <c r="M9" s="19">
        <f>'6'!G15</f>
        <v>883</v>
      </c>
      <c r="N9" s="19">
        <v>35</v>
      </c>
      <c r="O9" s="238">
        <f t="shared" si="5"/>
        <v>30905</v>
      </c>
      <c r="P9" s="19">
        <f>'6'!G20</f>
        <v>156</v>
      </c>
      <c r="Q9" s="19">
        <v>134</v>
      </c>
      <c r="R9" s="239">
        <f t="shared" si="0"/>
        <v>20904</v>
      </c>
      <c r="S9" s="240">
        <f t="shared" si="1"/>
        <v>96.534653465346508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68</v>
      </c>
      <c r="X9" s="22">
        <f>'6'!G96</f>
        <v>17</v>
      </c>
      <c r="Y9" s="22">
        <f>'6'!G97</f>
        <v>19</v>
      </c>
      <c r="Z9" s="22">
        <f t="shared" si="7"/>
        <v>104</v>
      </c>
      <c r="AA9" s="19">
        <f>'6'!G132</f>
        <v>2</v>
      </c>
      <c r="AB9" s="19">
        <f>'6'!G133</f>
        <v>0</v>
      </c>
      <c r="AC9" s="19">
        <f>'6'!G134</f>
        <v>24</v>
      </c>
      <c r="AD9" s="19">
        <f>'6'!G135</f>
        <v>-0.43999999999869033</v>
      </c>
      <c r="AE9" s="19">
        <f t="shared" si="8"/>
        <v>25.56000000000131</v>
      </c>
      <c r="AF9" s="23">
        <f t="shared" si="2"/>
        <v>5482</v>
      </c>
      <c r="AG9" s="23">
        <f t="shared" si="9"/>
        <v>214.4757433489718</v>
      </c>
      <c r="AH9" s="19">
        <f>'6'!G136</f>
        <v>9.6100000000005821</v>
      </c>
      <c r="AI9" s="19">
        <f>'6'!G137</f>
        <v>0</v>
      </c>
      <c r="AJ9" s="19">
        <f>'6'!G138</f>
        <v>2.4199999999982538</v>
      </c>
      <c r="AK9" s="19">
        <f t="shared" si="10"/>
        <v>12.029999999998836</v>
      </c>
      <c r="AL9" s="19">
        <f>'6'!G139</f>
        <v>0</v>
      </c>
      <c r="AM9" s="19">
        <f>'6'!G140</f>
        <v>8.1300000000001091</v>
      </c>
      <c r="AN9" s="19"/>
      <c r="AO9" s="19">
        <f t="shared" si="11"/>
        <v>8.1300000000001091</v>
      </c>
      <c r="AP9" s="258">
        <f>'6'!G123</f>
        <v>254</v>
      </c>
      <c r="AQ9" s="261">
        <f>'6'!G35</f>
        <v>3323</v>
      </c>
      <c r="AR9" s="19">
        <f>'6'!G37</f>
        <v>1356</v>
      </c>
      <c r="AS9" s="19">
        <f>'6'!G38</f>
        <v>1685</v>
      </c>
      <c r="AT9" s="19">
        <f>'6'!G39</f>
        <v>3819</v>
      </c>
      <c r="AU9" s="19">
        <f>'6'!G40</f>
        <v>0</v>
      </c>
      <c r="AV9" s="19">
        <f>'6'!G41</f>
        <v>311</v>
      </c>
      <c r="AW9" s="19">
        <f>'6'!G42</f>
        <v>0</v>
      </c>
      <c r="AX9" s="19">
        <f>'6'!G43</f>
        <v>2432</v>
      </c>
      <c r="AY9" s="19">
        <f>'6'!G44</f>
        <v>0</v>
      </c>
      <c r="AZ9" s="262">
        <f>'6'!G36</f>
        <v>700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212</v>
      </c>
      <c r="BE9" s="19">
        <f>'6'!G54</f>
        <v>72</v>
      </c>
      <c r="BF9" s="19">
        <f>'6'!G55</f>
        <v>5162</v>
      </c>
      <c r="BG9" s="19">
        <f>'6'!G56</f>
        <v>9</v>
      </c>
      <c r="BH9" s="19">
        <f>'6'!G57</f>
        <v>0</v>
      </c>
      <c r="BI9" s="262">
        <f>'6'!G50</f>
        <v>1085</v>
      </c>
      <c r="BJ9" s="370">
        <f t="shared" si="12"/>
        <v>5482</v>
      </c>
      <c r="BK9" s="370">
        <f>'6'!G84</f>
        <v>982</v>
      </c>
      <c r="BL9" s="23">
        <f t="shared" si="13"/>
        <v>54.167269221499161</v>
      </c>
      <c r="BM9" s="23">
        <f t="shared" si="14"/>
        <v>19.431188238129671</v>
      </c>
      <c r="BN9" s="24">
        <f t="shared" si="15"/>
        <v>8.122439141961918E-2</v>
      </c>
      <c r="BO9" s="25">
        <f t="shared" si="16"/>
        <v>260219</v>
      </c>
      <c r="BP9" s="213">
        <f t="shared" si="17"/>
        <v>8896</v>
      </c>
      <c r="BQ9">
        <f t="shared" si="18"/>
        <v>1.2430136373797709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0.81</v>
      </c>
      <c r="G10" s="19">
        <f>'7'!G8</f>
        <v>22052</v>
      </c>
      <c r="H10" s="19">
        <f>'7'!G8</f>
        <v>22052</v>
      </c>
      <c r="I10" s="19">
        <f>'7'!G7</f>
        <v>21932</v>
      </c>
      <c r="J10" s="19">
        <v>10</v>
      </c>
      <c r="K10" s="242">
        <f t="shared" si="3"/>
        <v>220520</v>
      </c>
      <c r="L10" s="238">
        <f t="shared" si="4"/>
        <v>108.57425742574257</v>
      </c>
      <c r="M10" s="19">
        <f>'7'!G15</f>
        <v>898</v>
      </c>
      <c r="N10" s="19">
        <v>35</v>
      </c>
      <c r="O10" s="238">
        <f t="shared" si="5"/>
        <v>31430</v>
      </c>
      <c r="P10" s="19">
        <f>'7'!G20</f>
        <v>157</v>
      </c>
      <c r="Q10" s="19">
        <v>134</v>
      </c>
      <c r="R10" s="239">
        <f t="shared" si="0"/>
        <v>21038</v>
      </c>
      <c r="S10" s="240">
        <f t="shared" si="1"/>
        <v>95.954039848429275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79</v>
      </c>
      <c r="X10" s="22">
        <f>'7'!G96</f>
        <v>18</v>
      </c>
      <c r="Y10" s="22">
        <f>'7'!G97</f>
        <v>18</v>
      </c>
      <c r="Z10" s="22">
        <f t="shared" si="7"/>
        <v>115</v>
      </c>
      <c r="AA10" s="19">
        <f>'7'!G132</f>
        <v>2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26</v>
      </c>
      <c r="AF10" s="23">
        <f t="shared" si="2"/>
        <v>6293</v>
      </c>
      <c r="AG10" s="23">
        <f t="shared" si="9"/>
        <v>242.03846153846155</v>
      </c>
      <c r="AH10" s="19">
        <f>'7'!G136</f>
        <v>10.880000000001019</v>
      </c>
      <c r="AI10" s="19">
        <f>'7'!G137</f>
        <v>0</v>
      </c>
      <c r="AJ10" s="19">
        <f>'7'!G138</f>
        <v>0</v>
      </c>
      <c r="AK10" s="19">
        <f t="shared" si="10"/>
        <v>10.880000000001019</v>
      </c>
      <c r="AL10" s="19">
        <f>'7'!G139</f>
        <v>0</v>
      </c>
      <c r="AM10" s="19">
        <f>'7'!G140</f>
        <v>7.8999999999996362</v>
      </c>
      <c r="AN10" s="19"/>
      <c r="AO10" s="19">
        <f t="shared" si="11"/>
        <v>7.8999999999996362</v>
      </c>
      <c r="AP10" s="258">
        <f>'7'!G123</f>
        <v>244</v>
      </c>
      <c r="AQ10" s="261">
        <f>'7'!G35</f>
        <v>3389</v>
      </c>
      <c r="AR10" s="19">
        <f>'7'!G37</f>
        <v>1397</v>
      </c>
      <c r="AS10" s="19">
        <f>'7'!G38</f>
        <v>1757</v>
      </c>
      <c r="AT10" s="19">
        <f>'7'!G39</f>
        <v>3506</v>
      </c>
      <c r="AU10" s="19">
        <f>'7'!G40</f>
        <v>0</v>
      </c>
      <c r="AV10" s="19">
        <f>'7'!G41</f>
        <v>456</v>
      </c>
      <c r="AW10" s="19">
        <f>'7'!G42</f>
        <v>0</v>
      </c>
      <c r="AX10" s="19">
        <f>'7'!G43</f>
        <v>2494</v>
      </c>
      <c r="AY10" s="19">
        <f>'7'!G44</f>
        <v>0</v>
      </c>
      <c r="AZ10" s="262">
        <f>'7'!G36</f>
        <v>797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563</v>
      </c>
      <c r="BE10" s="19">
        <f>'7'!G54</f>
        <v>69</v>
      </c>
      <c r="BF10" s="19">
        <f>'7'!G55</f>
        <v>5837</v>
      </c>
      <c r="BG10" s="19">
        <f>'7'!G56</f>
        <v>0</v>
      </c>
      <c r="BH10" s="19">
        <f>'7'!G57</f>
        <v>0</v>
      </c>
      <c r="BI10" s="262">
        <f>'7'!G50</f>
        <v>1163</v>
      </c>
      <c r="BJ10" s="370">
        <f t="shared" si="12"/>
        <v>6293</v>
      </c>
      <c r="BK10" s="370">
        <f>'7'!G84</f>
        <v>910</v>
      </c>
      <c r="BL10" s="23">
        <f t="shared" si="13"/>
        <v>55.517052708371331</v>
      </c>
      <c r="BM10" s="23">
        <f t="shared" si="14"/>
        <v>18.552799562283422</v>
      </c>
      <c r="BN10" s="24">
        <f t="shared" si="15"/>
        <v>8.0111252963705998E-2</v>
      </c>
      <c r="BO10" s="25">
        <f t="shared" si="16"/>
        <v>272988</v>
      </c>
      <c r="BP10" s="213">
        <f t="shared" si="17"/>
        <v>9697</v>
      </c>
      <c r="BQ10">
        <f t="shared" si="18"/>
        <v>1.3320054945054944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21696</v>
      </c>
      <c r="H11" s="19">
        <f>'8'!G8</f>
        <v>21696</v>
      </c>
      <c r="I11" s="19">
        <f>'8'!G7</f>
        <v>21591</v>
      </c>
      <c r="J11" s="19">
        <v>10</v>
      </c>
      <c r="K11" s="242">
        <f t="shared" si="3"/>
        <v>216960</v>
      </c>
      <c r="L11" s="238">
        <f t="shared" si="4"/>
        <v>106.88613861386139</v>
      </c>
      <c r="M11" s="19">
        <f>'8'!G15</f>
        <v>952.0319999998901</v>
      </c>
      <c r="N11" s="19">
        <v>35</v>
      </c>
      <c r="O11" s="238">
        <f t="shared" si="5"/>
        <v>33321.119999996154</v>
      </c>
      <c r="P11" s="19">
        <f>'8'!G20</f>
        <v>156</v>
      </c>
      <c r="Q11" s="19">
        <v>134</v>
      </c>
      <c r="R11" s="239">
        <f t="shared" si="0"/>
        <v>20904</v>
      </c>
      <c r="S11" s="240">
        <f t="shared" si="1"/>
        <v>188.36029944457863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78</v>
      </c>
      <c r="X11" s="22">
        <f>'8'!G96</f>
        <v>17</v>
      </c>
      <c r="Y11" s="22">
        <f>'8'!G97</f>
        <v>18</v>
      </c>
      <c r="Z11" s="22">
        <f t="shared" si="7"/>
        <v>113</v>
      </c>
      <c r="AA11" s="19">
        <f>'8'!G132</f>
        <v>0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24</v>
      </c>
      <c r="AF11" s="23">
        <f t="shared" si="2"/>
        <v>6203.3729999999632</v>
      </c>
      <c r="AG11" s="23">
        <f t="shared" si="9"/>
        <v>258.47387499999849</v>
      </c>
      <c r="AH11" s="19">
        <f>'8'!G136</f>
        <v>9.8799999999973807</v>
      </c>
      <c r="AI11" s="19">
        <f>'8'!G137</f>
        <v>0</v>
      </c>
      <c r="AJ11" s="19">
        <f>'8'!G138</f>
        <v>3.2399999999906868</v>
      </c>
      <c r="AK11" s="19">
        <f t="shared" si="10"/>
        <v>13.119999999988067</v>
      </c>
      <c r="AL11" s="19">
        <f>'8'!G139</f>
        <v>0</v>
      </c>
      <c r="AM11" s="19">
        <f>'8'!G140</f>
        <v>8.2299999999995634</v>
      </c>
      <c r="AN11" s="19"/>
      <c r="AO11" s="19">
        <f t="shared" si="11"/>
        <v>8.2299999999995634</v>
      </c>
      <c r="AP11" s="258">
        <f>'8'!G123</f>
        <v>247.19999999995343</v>
      </c>
      <c r="AQ11" s="261">
        <f>'8'!G35</f>
        <v>3315.109999999986</v>
      </c>
      <c r="AR11" s="19">
        <f>'8'!G37</f>
        <v>1388.3629999999976</v>
      </c>
      <c r="AS11" s="19">
        <f>'8'!G38</f>
        <v>1689.4100000000035</v>
      </c>
      <c r="AT11" s="19">
        <f>'8'!G39</f>
        <v>3493.2900000000081</v>
      </c>
      <c r="AU11" s="19">
        <f>'8'!G40</f>
        <v>0.17</v>
      </c>
      <c r="AV11" s="19">
        <f>'8'!G41</f>
        <v>236.20999999999185</v>
      </c>
      <c r="AW11" s="19">
        <f>'8'!G42</f>
        <v>0.16300000000046566</v>
      </c>
      <c r="AX11" s="19">
        <f>'8'!G43</f>
        <v>2486.2299999999814</v>
      </c>
      <c r="AY11" s="23">
        <f>'8'!G44</f>
        <v>0</v>
      </c>
      <c r="AZ11" s="262">
        <f>'8'!G36</f>
        <v>833.46999999997206</v>
      </c>
      <c r="BA11" s="261">
        <f>'8'!G49</f>
        <v>0.13000000000465661</v>
      </c>
      <c r="BB11" s="19">
        <f>'8'!G51</f>
        <v>-0.13000000000465661</v>
      </c>
      <c r="BC11" s="19">
        <f>'8'!G52</f>
        <v>0</v>
      </c>
      <c r="BD11" s="19">
        <f>'8'!G53</f>
        <v>630.34999999997672</v>
      </c>
      <c r="BE11" s="19">
        <f>'8'!G54</f>
        <v>1541.0400000000009</v>
      </c>
      <c r="BF11" s="19">
        <f>'8'!G55</f>
        <v>5948.4100000000035</v>
      </c>
      <c r="BG11" s="19">
        <f>'8'!G56</f>
        <v>18.589999999967404</v>
      </c>
      <c r="BH11" s="19">
        <f>'8'!G57</f>
        <v>0</v>
      </c>
      <c r="BI11" s="262">
        <f>'8'!G50</f>
        <v>1108.75</v>
      </c>
      <c r="BJ11" s="370">
        <f t="shared" si="12"/>
        <v>6203.3729999999632</v>
      </c>
      <c r="BK11" s="370">
        <f>'8'!G84</f>
        <v>1021</v>
      </c>
      <c r="BL11" s="23">
        <f t="shared" si="13"/>
        <v>55.601143995182881</v>
      </c>
      <c r="BM11" s="23">
        <f t="shared" si="14"/>
        <v>19.098883794173428</v>
      </c>
      <c r="BN11" s="24">
        <f t="shared" si="15"/>
        <v>7.8246028437775159E-2</v>
      </c>
      <c r="BO11" s="25">
        <f t="shared" si="16"/>
        <v>271185.11999999615</v>
      </c>
      <c r="BP11" s="213">
        <f t="shared" si="17"/>
        <v>9710.6029999999446</v>
      </c>
      <c r="BQ11">
        <f t="shared" si="18"/>
        <v>1.4450302083333251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-653241</v>
      </c>
      <c r="H12" s="19">
        <f>'9'!G8</f>
        <v>-653241</v>
      </c>
      <c r="I12" s="19">
        <f>'9'!G7</f>
        <v>-650369</v>
      </c>
      <c r="J12" s="19">
        <v>10</v>
      </c>
      <c r="K12" s="242">
        <f t="shared" si="3"/>
        <v>-6532410</v>
      </c>
      <c r="L12" s="238">
        <f t="shared" si="4"/>
        <v>-3219.6485148514853</v>
      </c>
      <c r="M12" s="19">
        <f>'9'!G15</f>
        <v>-26414.161999999778</v>
      </c>
      <c r="N12" s="19">
        <v>35</v>
      </c>
      <c r="O12" s="238">
        <f t="shared" si="5"/>
        <v>-924495.66999999224</v>
      </c>
      <c r="P12" s="19">
        <f>'9'!G20</f>
        <v>-1480</v>
      </c>
      <c r="Q12" s="19">
        <v>134</v>
      </c>
      <c r="R12" s="239">
        <f t="shared" si="0"/>
        <v>-198320</v>
      </c>
      <c r="S12" s="240">
        <f t="shared" si="1"/>
        <v>-1628.162816281628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-2409</v>
      </c>
      <c r="X12" s="22">
        <f>'9'!G96</f>
        <v>-494</v>
      </c>
      <c r="Y12" s="22">
        <f>'9'!G97</f>
        <v>-457</v>
      </c>
      <c r="Z12" s="22">
        <f t="shared" si="7"/>
        <v>-3360</v>
      </c>
      <c r="AA12" s="19">
        <f>'9'!G132</f>
        <v>-431.65000000000146</v>
      </c>
      <c r="AB12" s="19">
        <f>'9'!G133</f>
        <v>-1</v>
      </c>
      <c r="AC12" s="19">
        <f>'9'!G134</f>
        <v>-354.58000000000175</v>
      </c>
      <c r="AD12" s="19">
        <f>'9'!G135</f>
        <v>0</v>
      </c>
      <c r="AE12" s="19">
        <f t="shared" si="8"/>
        <v>-787.2300000000032</v>
      </c>
      <c r="AF12" s="23">
        <f t="shared" si="2"/>
        <v>-171588.37299999996</v>
      </c>
      <c r="AG12" s="23">
        <f t="shared" si="9"/>
        <v>217.96472822427913</v>
      </c>
      <c r="AH12" s="19">
        <f>'9'!G136</f>
        <v>-268.62999999999738</v>
      </c>
      <c r="AI12" s="19">
        <f>'9'!G137</f>
        <v>-4.9700000000011642</v>
      </c>
      <c r="AJ12" s="19">
        <f>'9'!G138</f>
        <v>-90.35999999998603</v>
      </c>
      <c r="AK12" s="19">
        <f t="shared" si="10"/>
        <v>-363.95999999998457</v>
      </c>
      <c r="AL12" s="19">
        <f>'9'!G139</f>
        <v>-46.519999999999982</v>
      </c>
      <c r="AM12" s="19">
        <f>'9'!G140</f>
        <v>-200.22999999999956</v>
      </c>
      <c r="AN12" s="19"/>
      <c r="AO12" s="19">
        <f t="shared" si="11"/>
        <v>-246.74999999999955</v>
      </c>
      <c r="AP12" s="258">
        <f>'9'!G123</f>
        <v>-7503.1999999999534</v>
      </c>
      <c r="AQ12" s="261">
        <f>'9'!G35</f>
        <v>-101941.10999999999</v>
      </c>
      <c r="AR12" s="19">
        <f>'9'!G37</f>
        <v>-30847.362999999998</v>
      </c>
      <c r="AS12" s="19">
        <f>'9'!G38</f>
        <v>-37859.410000000003</v>
      </c>
      <c r="AT12" s="19">
        <f>'9'!G39</f>
        <v>-83207.290000000008</v>
      </c>
      <c r="AU12" s="19">
        <f>'9'!G40</f>
        <v>0</v>
      </c>
      <c r="AV12" s="19">
        <f>'9'!G41</f>
        <v>-95710.209999999992</v>
      </c>
      <c r="AW12" s="19">
        <f>'9'!G42</f>
        <v>-0.16300000000046566</v>
      </c>
      <c r="AX12" s="19">
        <f>'9'!G43</f>
        <v>-74176.229999999981</v>
      </c>
      <c r="AY12" s="23">
        <f>'9'!G44</f>
        <v>0</v>
      </c>
      <c r="AZ12" s="262">
        <f>'9'!G36</f>
        <v>-22127.469999999972</v>
      </c>
      <c r="BA12" s="261">
        <f>'9'!G49</f>
        <v>-0.13000000000465661</v>
      </c>
      <c r="BB12" s="19">
        <f>'9'!G51</f>
        <v>-14344.869999999995</v>
      </c>
      <c r="BC12" s="19">
        <f>'9'!G52</f>
        <v>-17245</v>
      </c>
      <c r="BD12" s="19">
        <f>'9'!G53</f>
        <v>-42866.349999999977</v>
      </c>
      <c r="BE12" s="19">
        <f>'9'!G54</f>
        <v>0</v>
      </c>
      <c r="BF12" s="19">
        <f>'9'!G55</f>
        <v>-75589.41</v>
      </c>
      <c r="BG12" s="19">
        <f>'9'!G56</f>
        <v>-288.5899999999674</v>
      </c>
      <c r="BH12" s="19">
        <f>'9'!G57</f>
        <v>0</v>
      </c>
      <c r="BI12" s="262">
        <f>'9'!G50</f>
        <v>-36681.75</v>
      </c>
      <c r="BJ12" s="370">
        <f t="shared" si="12"/>
        <v>-171588.37299999996</v>
      </c>
      <c r="BK12" s="370">
        <f>'8'!G84</f>
        <v>1021</v>
      </c>
      <c r="BL12" s="23">
        <f t="shared" si="13"/>
        <v>53.462856163193514</v>
      </c>
      <c r="BM12" s="23">
        <f t="shared" si="14"/>
        <v>19.384939934098949</v>
      </c>
      <c r="BN12" s="24">
        <f t="shared" si="15"/>
        <v>8.4727915998456263E-2</v>
      </c>
      <c r="BO12" s="25">
        <f t="shared" si="16"/>
        <v>-7655225.6699999925</v>
      </c>
      <c r="BP12" s="213">
        <f t="shared" si="17"/>
        <v>-244743.60299999994</v>
      </c>
      <c r="BQ12">
        <f t="shared" si="18"/>
        <v>1.1103289971527606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1021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8527</v>
      </c>
      <c r="BQ13">
        <f t="shared" si="18"/>
        <v>1.2683703218895812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20548</v>
      </c>
      <c r="H28" s="19">
        <f>'25'!G8</f>
        <v>20548</v>
      </c>
      <c r="I28" s="19">
        <f>'25'!G7</f>
        <v>20465</v>
      </c>
      <c r="J28" s="19">
        <v>10</v>
      </c>
      <c r="K28" s="242">
        <f t="shared" si="3"/>
        <v>205480</v>
      </c>
      <c r="L28" s="238">
        <f t="shared" si="4"/>
        <v>101.31188118811882</v>
      </c>
      <c r="M28" s="19">
        <f>'25'!G15</f>
        <v>923.00300000002608</v>
      </c>
      <c r="N28" s="19">
        <v>35</v>
      </c>
      <c r="O28" s="234">
        <f t="shared" si="5"/>
        <v>32305.105000000913</v>
      </c>
      <c r="P28" s="19">
        <f>'25'!G20</f>
        <v>195</v>
      </c>
      <c r="Q28" s="19">
        <v>134</v>
      </c>
      <c r="R28" s="239">
        <f t="shared" si="0"/>
        <v>26130</v>
      </c>
      <c r="S28" s="240">
        <f t="shared" si="1"/>
        <v>178.76787678767874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88</v>
      </c>
      <c r="X28" s="22">
        <f>'25'!G96</f>
        <v>17</v>
      </c>
      <c r="Y28" s="22">
        <f>'25'!G97</f>
        <v>16</v>
      </c>
      <c r="Z28" s="22">
        <f t="shared" si="7"/>
        <v>121</v>
      </c>
      <c r="AA28" s="19">
        <f>'25'!G132</f>
        <v>23.75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23.75</v>
      </c>
      <c r="AF28" s="23">
        <f t="shared" si="2"/>
        <v>4700.8300000000309</v>
      </c>
      <c r="AG28" s="23">
        <f t="shared" si="9"/>
        <v>197.92968421052763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259</v>
      </c>
      <c r="AQ28" s="261">
        <f>'25'!G35</f>
        <v>3118.7099999999627</v>
      </c>
      <c r="AR28" s="19">
        <f>'25'!G37</f>
        <v>1471.4599999999991</v>
      </c>
      <c r="AS28" s="19">
        <f>'25'!G38</f>
        <v>1912.5</v>
      </c>
      <c r="AT28" s="19">
        <f>'25'!G39</f>
        <v>4059.0200000000041</v>
      </c>
      <c r="AU28" s="19">
        <f>'25'!G40</f>
        <v>0</v>
      </c>
      <c r="AV28" s="19">
        <f>'25'!G41</f>
        <v>4673.4900000000052</v>
      </c>
      <c r="AW28" s="19"/>
      <c r="AX28" s="19">
        <f>'25'!G43</f>
        <v>2330.1899999999441</v>
      </c>
      <c r="AY28" s="23">
        <f>'25'!G44</f>
        <v>0</v>
      </c>
      <c r="AZ28" s="262">
        <f>'25'!G36</f>
        <v>683.71000000002095</v>
      </c>
      <c r="BA28" s="261">
        <f>'25'!G49</f>
        <v>0.13000000000465661</v>
      </c>
      <c r="BB28" s="19">
        <f>'25'!G51</f>
        <v>-0.13000000000465661</v>
      </c>
      <c r="BC28" s="19">
        <f>'25'!G52</f>
        <v>6.9999999948777258E-2</v>
      </c>
      <c r="BD28" s="19">
        <f>'25'!G53</f>
        <v>608.86999999999534</v>
      </c>
      <c r="BE28" s="19">
        <f>'24'!G54</f>
        <v>70</v>
      </c>
      <c r="BF28" s="19">
        <f>'25'!G55</f>
        <v>-0.45000000001164153</v>
      </c>
      <c r="BG28" s="19">
        <f>'25'!G56</f>
        <v>27.790000000037253</v>
      </c>
      <c r="BH28" s="19">
        <f>'25'!G57</f>
        <v>0</v>
      </c>
      <c r="BI28" s="262">
        <f>'25'!G50</f>
        <v>1385.3499999999767</v>
      </c>
      <c r="BJ28" s="370">
        <f t="shared" si="12"/>
        <v>4700.8300000000309</v>
      </c>
      <c r="BK28" s="370">
        <f>'25'!G84</f>
        <v>758</v>
      </c>
      <c r="BL28" s="23">
        <f t="shared" si="13"/>
        <v>49.596188614707756</v>
      </c>
      <c r="BM28" s="23">
        <f t="shared" si="14"/>
        <v>22.809137551917907</v>
      </c>
      <c r="BN28" s="24">
        <f t="shared" si="15"/>
        <v>9.3455655998042939E-2</v>
      </c>
      <c r="BO28" s="25">
        <f t="shared" si="16"/>
        <v>263915.10500000091</v>
      </c>
      <c r="BP28" s="213">
        <f t="shared" si="17"/>
        <v>7789.019999999975</v>
      </c>
      <c r="BQ28">
        <f t="shared" si="18"/>
        <v>1.171281203007515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21460</v>
      </c>
      <c r="H29" s="19">
        <f>'26'!G8</f>
        <v>21460</v>
      </c>
      <c r="I29" s="19">
        <f>'26'!G7</f>
        <v>21360</v>
      </c>
      <c r="J29" s="19">
        <v>10</v>
      </c>
      <c r="K29" s="242">
        <f t="shared" si="3"/>
        <v>214600</v>
      </c>
      <c r="L29" s="238">
        <f t="shared" si="4"/>
        <v>105.74257425742574</v>
      </c>
      <c r="M29" s="19">
        <f>'26'!G15</f>
        <v>869.26799999992363</v>
      </c>
      <c r="N29" s="19">
        <v>35</v>
      </c>
      <c r="O29" s="234">
        <f t="shared" si="5"/>
        <v>30424.379999997327</v>
      </c>
      <c r="P29" s="19">
        <f>'26'!G20</f>
        <v>243</v>
      </c>
      <c r="Q29" s="19">
        <v>134</v>
      </c>
      <c r="R29" s="239">
        <f t="shared" si="0"/>
        <v>32562</v>
      </c>
      <c r="S29" s="240">
        <f t="shared" si="1"/>
        <v>222.77227722772273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108</v>
      </c>
      <c r="X29" s="22">
        <f>'26'!G96</f>
        <v>18</v>
      </c>
      <c r="Y29" s="22">
        <f>'26'!G97</f>
        <v>19</v>
      </c>
      <c r="Z29" s="22">
        <f t="shared" si="7"/>
        <v>145</v>
      </c>
      <c r="AA29" s="19">
        <f>'26'!G132</f>
        <v>24.30000000000291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24.30000000000291</v>
      </c>
      <c r="AF29" s="23">
        <f t="shared" si="2"/>
        <v>4900.4330000000045</v>
      </c>
      <c r="AG29" s="23">
        <f t="shared" si="9"/>
        <v>201.66390946499661</v>
      </c>
      <c r="AH29" s="19">
        <f>'26'!G136</f>
        <v>8.8400000000001455</v>
      </c>
      <c r="AI29" s="19">
        <f>'26'!G137</f>
        <v>0</v>
      </c>
      <c r="AJ29" s="19">
        <f>'26'!G138</f>
        <v>0.70999999999185093</v>
      </c>
      <c r="AK29" s="19">
        <f t="shared" si="10"/>
        <v>9.5499999999919964</v>
      </c>
      <c r="AL29" s="19">
        <f>'26'!G139</f>
        <v>-0.2680000000000291</v>
      </c>
      <c r="AM29" s="19">
        <f>'26'!G140</f>
        <v>9.1700000000000728</v>
      </c>
      <c r="AN29" s="19"/>
      <c r="AO29" s="19">
        <f t="shared" si="11"/>
        <v>8.9020000000000437</v>
      </c>
      <c r="AP29" s="258">
        <f>'26'!G123</f>
        <v>280.9100000000326</v>
      </c>
      <c r="AQ29" s="261">
        <f>'26'!G35</f>
        <v>3342.4799999999814</v>
      </c>
      <c r="AR29" s="19">
        <f>'26'!G37</f>
        <v>1534.6100000000006</v>
      </c>
      <c r="AS29" s="19">
        <f>'26'!G38</f>
        <v>2108.9000000000015</v>
      </c>
      <c r="AT29" s="19">
        <f>'26'!G39</f>
        <v>4153.8700000000099</v>
      </c>
      <c r="AU29" s="19">
        <f>'26'!G40</f>
        <v>0</v>
      </c>
      <c r="AV29" s="19">
        <f>'26'!G41</f>
        <v>4891.6299999999901</v>
      </c>
      <c r="AW29" s="19">
        <f>'26'!G42</f>
        <v>-0.83699999999953434</v>
      </c>
      <c r="AX29" s="19">
        <f>'26'!G43</f>
        <v>2357.6000000000931</v>
      </c>
      <c r="AY29" s="23">
        <f>'26'!G44</f>
        <v>0</v>
      </c>
      <c r="AZ29" s="262">
        <f>'26'!G36</f>
        <v>682.11999999999534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201.64000000001397</v>
      </c>
      <c r="BE29" s="19">
        <f>'26'!G54</f>
        <v>75.280000000000655</v>
      </c>
      <c r="BF29" s="19">
        <f>'26'!G55</f>
        <v>0</v>
      </c>
      <c r="BG29" s="19">
        <f>'26'!G56</f>
        <v>9.6400000000139698</v>
      </c>
      <c r="BH29" s="19">
        <f>'26'!G57</f>
        <v>0</v>
      </c>
      <c r="BI29" s="262">
        <f>'26'!G50</f>
        <v>1439.2200000000303</v>
      </c>
      <c r="BJ29" s="370">
        <f t="shared" si="12"/>
        <v>4900.4330000000045</v>
      </c>
      <c r="BK29" s="370">
        <f>'26'!G84</f>
        <v>741</v>
      </c>
      <c r="BL29" s="23">
        <f t="shared" si="13"/>
        <v>49.627869850187636</v>
      </c>
      <c r="BM29" s="23">
        <f t="shared" si="14"/>
        <v>20.390964419475768</v>
      </c>
      <c r="BN29" s="24">
        <f t="shared" si="15"/>
        <v>9.873127340823977E-2</v>
      </c>
      <c r="BO29" s="25">
        <f t="shared" si="16"/>
        <v>277586.37999999733</v>
      </c>
      <c r="BP29" s="213">
        <f t="shared" si="17"/>
        <v>7999.0330000000977</v>
      </c>
      <c r="BQ29">
        <f t="shared" si="18"/>
        <v>1.1756368312755938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20975</v>
      </c>
      <c r="H30" s="19">
        <f>'27'!G8</f>
        <v>20975</v>
      </c>
      <c r="I30" s="19">
        <f>'27'!G7</f>
        <v>20883</v>
      </c>
      <c r="J30" s="19">
        <v>10</v>
      </c>
      <c r="K30" s="242">
        <f t="shared" si="3"/>
        <v>209750</v>
      </c>
      <c r="L30" s="238">
        <f t="shared" si="4"/>
        <v>103.38118811881188</v>
      </c>
      <c r="M30" s="19">
        <f>'27'!G15</f>
        <v>882.58100000000559</v>
      </c>
      <c r="N30" s="19">
        <v>35</v>
      </c>
      <c r="O30" s="234">
        <f t="shared" si="5"/>
        <v>30890.335000000196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87</v>
      </c>
      <c r="X30" s="22">
        <f>'27'!G96</f>
        <v>21</v>
      </c>
      <c r="Y30" s="22">
        <f>'27'!G97</f>
        <v>23</v>
      </c>
      <c r="Z30" s="22">
        <f t="shared" si="7"/>
        <v>131</v>
      </c>
      <c r="AA30" s="19">
        <f>'27'!G132</f>
        <v>23.989999999997963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23.989999999997963</v>
      </c>
      <c r="AF30" s="23">
        <f t="shared" si="2"/>
        <v>5004.2999999999156</v>
      </c>
      <c r="AG30" s="23">
        <f t="shared" si="9"/>
        <v>208.59941642352399</v>
      </c>
      <c r="AH30" s="19">
        <f>'27'!G136</f>
        <v>9.2599999999983993</v>
      </c>
      <c r="AI30" s="19">
        <f>'27'!G137</f>
        <v>0</v>
      </c>
      <c r="AJ30" s="19">
        <f>'27'!G138</f>
        <v>1.8200000000069849</v>
      </c>
      <c r="AK30" s="19">
        <f t="shared" si="10"/>
        <v>11.080000000005384</v>
      </c>
      <c r="AL30" s="19">
        <f>'27'!G139</f>
        <v>0.2680000000000291</v>
      </c>
      <c r="AM30" s="19">
        <f>'27'!G140</f>
        <v>9.3299999999999272</v>
      </c>
      <c r="AN30" s="19"/>
      <c r="AO30" s="19">
        <f t="shared" si="11"/>
        <v>9.5979999999999563</v>
      </c>
      <c r="AP30" s="258">
        <f>'27'!G123</f>
        <v>283.76000000000931</v>
      </c>
      <c r="AQ30" s="261">
        <f>'27'!G35</f>
        <v>3242.640000000014</v>
      </c>
      <c r="AR30" s="19">
        <f>'27'!G37</f>
        <v>1541.5699999999997</v>
      </c>
      <c r="AS30" s="19">
        <f>'27'!G38</f>
        <v>1886.6800000000003</v>
      </c>
      <c r="AT30" s="19">
        <f>'27'!G39</f>
        <v>4075.25</v>
      </c>
      <c r="AU30" s="19">
        <f>'27'!G40</f>
        <v>0</v>
      </c>
      <c r="AV30" s="19">
        <f>'27'!G41</f>
        <v>4995.0200000000041</v>
      </c>
      <c r="AW30" s="19">
        <f>'27'!G42</f>
        <v>0</v>
      </c>
      <c r="AX30" s="19">
        <f>'27'!G43</f>
        <v>2270.3999999999069</v>
      </c>
      <c r="AY30" s="23">
        <f>'27'!G44</f>
        <v>0</v>
      </c>
      <c r="AZ30" s="262">
        <f>'27'!G36</f>
        <v>734.85999999998603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200.29999999998836</v>
      </c>
      <c r="BE30" s="19">
        <f>'27'!G54</f>
        <v>73.149999999999636</v>
      </c>
      <c r="BF30" s="19">
        <f>'27'!G55</f>
        <v>0</v>
      </c>
      <c r="BG30" s="19">
        <f>'27'!G56</f>
        <v>9.2799999999115244</v>
      </c>
      <c r="BH30" s="19">
        <f>'27'!G57</f>
        <v>0</v>
      </c>
      <c r="BI30" s="262">
        <f>'27'!G50</f>
        <v>1307.0599999999977</v>
      </c>
      <c r="BJ30" s="370">
        <f t="shared" si="12"/>
        <v>5004.2999999999156</v>
      </c>
      <c r="BK30" s="370">
        <f>'27'!G84</f>
        <v>694</v>
      </c>
      <c r="BL30" s="23">
        <f t="shared" si="13"/>
        <v>50.363166211750396</v>
      </c>
      <c r="BM30" s="23">
        <f t="shared" si="14"/>
        <v>20.473830388354106</v>
      </c>
      <c r="BN30" s="24">
        <f t="shared" si="15"/>
        <v>9.0345256907532451E-2</v>
      </c>
      <c r="BO30" s="25">
        <f t="shared" si="16"/>
        <v>271996.3350000002</v>
      </c>
      <c r="BP30" s="213">
        <f t="shared" si="17"/>
        <v>7968.6999999998225</v>
      </c>
      <c r="BQ30">
        <f t="shared" si="18"/>
        <v>1.1863127493599266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23670</v>
      </c>
      <c r="H31" s="19">
        <f>'28'!G8</f>
        <v>23670</v>
      </c>
      <c r="I31" s="19">
        <f>'28'!G7</f>
        <v>23587</v>
      </c>
      <c r="J31" s="19">
        <v>10</v>
      </c>
      <c r="K31" s="242">
        <f t="shared" si="3"/>
        <v>236700</v>
      </c>
      <c r="L31" s="238">
        <f t="shared" si="4"/>
        <v>116.76732673267327</v>
      </c>
      <c r="M31" s="19">
        <f>'28'!G15</f>
        <v>933.62800000002608</v>
      </c>
      <c r="N31" s="19">
        <v>35</v>
      </c>
      <c r="O31" s="234">
        <f t="shared" si="5"/>
        <v>32676.980000000913</v>
      </c>
      <c r="P31" s="19">
        <f>'28'!G20</f>
        <v>232</v>
      </c>
      <c r="Q31" s="19">
        <v>134</v>
      </c>
      <c r="R31" s="239">
        <f t="shared" si="0"/>
        <v>31088</v>
      </c>
      <c r="S31" s="240">
        <f t="shared" si="1"/>
        <v>220.86824067022087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98</v>
      </c>
      <c r="X31" s="22">
        <f>'28'!G96</f>
        <v>25</v>
      </c>
      <c r="Y31" s="22">
        <f>'28'!G97</f>
        <v>36</v>
      </c>
      <c r="Z31" s="22">
        <f t="shared" si="7"/>
        <v>159</v>
      </c>
      <c r="AA31" s="19">
        <f>'28'!G132</f>
        <v>23.680000000000291</v>
      </c>
      <c r="AB31" s="19">
        <f>'28'!G133</f>
        <v>0.48000000000001819</v>
      </c>
      <c r="AC31" s="19">
        <f>'28'!G134</f>
        <v>8.5100000000020373</v>
      </c>
      <c r="AD31" s="19">
        <f>'28'!G135</f>
        <v>6.9999999999708962E-2</v>
      </c>
      <c r="AE31" s="19">
        <f t="shared" si="8"/>
        <v>32.740000000002055</v>
      </c>
      <c r="AF31" s="23">
        <f t="shared" si="2"/>
        <v>7013.1270000000804</v>
      </c>
      <c r="AG31" s="23">
        <f t="shared" si="9"/>
        <v>214.20668906535249</v>
      </c>
      <c r="AH31" s="19">
        <f>'28'!G136</f>
        <v>7.4399999999986903</v>
      </c>
      <c r="AI31" s="19">
        <f>'28'!G137</f>
        <v>0</v>
      </c>
      <c r="AJ31" s="19">
        <f>'28'!G138</f>
        <v>4.3799999999901047</v>
      </c>
      <c r="AK31" s="19">
        <f t="shared" si="10"/>
        <v>11.819999999988795</v>
      </c>
      <c r="AL31" s="19">
        <f>'28'!G139</f>
        <v>0</v>
      </c>
      <c r="AM31" s="19">
        <f>'28'!G140</f>
        <v>4.2899999999999636</v>
      </c>
      <c r="AN31" s="19"/>
      <c r="AO31" s="19">
        <f t="shared" si="11"/>
        <v>4.2899999999999636</v>
      </c>
      <c r="AP31" s="258">
        <f>'28'!G123</f>
        <v>252.80999999993946</v>
      </c>
      <c r="AQ31" s="261">
        <f>'28'!G35</f>
        <v>3608.5600000000559</v>
      </c>
      <c r="AR31" s="19">
        <f>'28'!G37</f>
        <v>1542.9599999999991</v>
      </c>
      <c r="AS31" s="19">
        <f>'28'!G38</f>
        <v>1893.5899999999965</v>
      </c>
      <c r="AT31" s="19">
        <f>'28'!G39</f>
        <v>4033.0299999999988</v>
      </c>
      <c r="AU31" s="19">
        <f>'28'!G40</f>
        <v>0</v>
      </c>
      <c r="AV31" s="19">
        <f>'28'!G41</f>
        <v>5387.0099999999948</v>
      </c>
      <c r="AW31" s="19">
        <f>'28'!G42</f>
        <v>-2.9999999969732016E-3</v>
      </c>
      <c r="AX31" s="439">
        <f>'28'!G43</f>
        <v>2666.7200000000885</v>
      </c>
      <c r="AY31" s="23">
        <f>'28'!G44</f>
        <v>0</v>
      </c>
      <c r="AZ31" s="262">
        <f>'28'!G36</f>
        <v>730.03999999997905</v>
      </c>
      <c r="BA31" s="261">
        <f>'28'!G49</f>
        <v>0</v>
      </c>
      <c r="BB31" s="19">
        <f>'28'!G51</f>
        <v>0</v>
      </c>
      <c r="BC31" s="19">
        <f>'28'!G52</f>
        <v>-6.9999999948777258E-2</v>
      </c>
      <c r="BD31" s="19">
        <f>'28'!G53</f>
        <v>198.5800000000163</v>
      </c>
      <c r="BE31" s="19">
        <f>'28'!G54</f>
        <v>71.219999999999345</v>
      </c>
      <c r="BF31" s="19">
        <f>'28'!G55</f>
        <v>1617.1600000000035</v>
      </c>
      <c r="BG31" s="19">
        <f>'28'!G56</f>
        <v>8.9600000000791624</v>
      </c>
      <c r="BH31" s="19">
        <f>'28'!G57</f>
        <v>0</v>
      </c>
      <c r="BI31" s="262">
        <f>'28'!G50</f>
        <v>1291.0800000000163</v>
      </c>
      <c r="BJ31" s="370">
        <f t="shared" si="12"/>
        <v>7013.1270000000804</v>
      </c>
      <c r="BK31" s="370">
        <f>'28'!G84</f>
        <v>846</v>
      </c>
      <c r="BL31" s="23">
        <f>SUM(AQ31,AV31,AW31,AX31,BA31,BF31,BG31,BH31)/I31%</f>
        <v>56.33784287955325</v>
      </c>
      <c r="BM31" s="23">
        <f t="shared" si="14"/>
        <v>17.940433289523956</v>
      </c>
      <c r="BN31" s="24">
        <f t="shared" si="15"/>
        <v>8.0278119303007919E-2</v>
      </c>
      <c r="BO31" s="25">
        <f t="shared" si="16"/>
        <v>300464.98000000091</v>
      </c>
      <c r="BP31" s="213">
        <f t="shared" si="17"/>
        <v>10525.847000000169</v>
      </c>
      <c r="BQ31">
        <f t="shared" si="18"/>
        <v>1.1482074133868039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23758</v>
      </c>
      <c r="H32" s="19">
        <f>'29'!G8</f>
        <v>23758</v>
      </c>
      <c r="I32" s="19">
        <f>'29'!G7</f>
        <v>23666</v>
      </c>
      <c r="J32" s="19">
        <v>10</v>
      </c>
      <c r="K32" s="242">
        <f t="shared" si="3"/>
        <v>237580</v>
      </c>
      <c r="L32" s="238">
        <f t="shared" si="4"/>
        <v>117.15841584158416</v>
      </c>
      <c r="M32" s="19">
        <f>'29'!G15</f>
        <v>941.48999999999069</v>
      </c>
      <c r="N32" s="19">
        <v>35</v>
      </c>
      <c r="O32" s="234">
        <f t="shared" si="5"/>
        <v>32952.149999999674</v>
      </c>
      <c r="P32" s="19">
        <f>'29'!G20</f>
        <v>213</v>
      </c>
      <c r="Q32" s="19">
        <v>134</v>
      </c>
      <c r="R32" s="239">
        <f t="shared" si="0"/>
        <v>28542</v>
      </c>
      <c r="S32" s="240">
        <f t="shared" si="1"/>
        <v>159.76597659765977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69</v>
      </c>
      <c r="X32" s="22">
        <f>'29'!G96</f>
        <v>19</v>
      </c>
      <c r="Y32" s="22">
        <f>'29'!G97</f>
        <v>35</v>
      </c>
      <c r="Z32" s="22">
        <f t="shared" si="7"/>
        <v>123</v>
      </c>
      <c r="AA32" s="19">
        <f>'29'!G132</f>
        <v>24.190000000002328</v>
      </c>
      <c r="AB32" s="19">
        <f>'29'!G133</f>
        <v>0</v>
      </c>
      <c r="AC32" s="19">
        <f>'29'!G134</f>
        <v>9.4899999999979627</v>
      </c>
      <c r="AD32" s="19">
        <f>'29'!G135</f>
        <v>0</v>
      </c>
      <c r="AE32" s="19">
        <f t="shared" si="8"/>
        <v>33.680000000000291</v>
      </c>
      <c r="AF32" s="23">
        <f t="shared" si="2"/>
        <v>7758.2629999999335</v>
      </c>
      <c r="AG32" s="23">
        <f t="shared" si="9"/>
        <v>230.35222684085113</v>
      </c>
      <c r="AH32" s="19">
        <f>'29'!G136</f>
        <v>9.0600000000013097</v>
      </c>
      <c r="AI32" s="19">
        <f>'29'!G137</f>
        <v>0</v>
      </c>
      <c r="AJ32" s="19">
        <f>'29'!G138</f>
        <v>2.8099999999976717</v>
      </c>
      <c r="AK32" s="19">
        <f t="shared" si="10"/>
        <v>11.869999999998981</v>
      </c>
      <c r="AL32" s="19">
        <f>'29'!G139</f>
        <v>0</v>
      </c>
      <c r="AM32" s="19">
        <f>'29'!G140</f>
        <v>12.619999999999891</v>
      </c>
      <c r="AN32" s="19"/>
      <c r="AO32" s="19">
        <f t="shared" si="11"/>
        <v>12.619999999999891</v>
      </c>
      <c r="AP32" s="258">
        <f>'29'!G123</f>
        <v>263.92000000004191</v>
      </c>
      <c r="AQ32" s="261">
        <f>'29'!G35</f>
        <v>3387.4399999999441</v>
      </c>
      <c r="AR32" s="19">
        <f>'29'!G37</f>
        <v>1476.8100000000049</v>
      </c>
      <c r="AS32" s="19">
        <f>'29'!G38</f>
        <v>1793.1100000000006</v>
      </c>
      <c r="AT32" s="19">
        <f>'29'!G39</f>
        <v>3853.7299999999814</v>
      </c>
      <c r="AU32" s="19">
        <f>'29'!G40</f>
        <v>0</v>
      </c>
      <c r="AV32" s="19">
        <f>'29'!G41</f>
        <v>5547.9600000000064</v>
      </c>
      <c r="AW32" s="19">
        <f>'29'!G42</f>
        <v>2.9999999969732016E-3</v>
      </c>
      <c r="AX32" s="19">
        <f>'29'!G43</f>
        <v>2759.2799999999115</v>
      </c>
      <c r="AY32" s="23">
        <f>'29'!G44</f>
        <v>0</v>
      </c>
      <c r="AZ32" s="262">
        <f>'29'!G36</f>
        <v>817.92000000004191</v>
      </c>
      <c r="BA32" s="261">
        <f>'29'!G49</f>
        <v>0</v>
      </c>
      <c r="BB32" s="19">
        <f>'29'!G51</f>
        <v>0</v>
      </c>
      <c r="BC32" s="19">
        <f>'29'!G52</f>
        <v>6.9999999948777258E-2</v>
      </c>
      <c r="BD32" s="19">
        <f>'29'!G53</f>
        <v>196.39999999996508</v>
      </c>
      <c r="BE32" s="19">
        <f>'29'!G54</f>
        <v>72.840000000000146</v>
      </c>
      <c r="BF32" s="19">
        <f>'29'!G55</f>
        <v>2201.2600000000093</v>
      </c>
      <c r="BG32" s="19">
        <f>'29'!G56</f>
        <v>9.0399999999208376</v>
      </c>
      <c r="BH32" s="19">
        <f>'29'!G57</f>
        <v>0</v>
      </c>
      <c r="BI32" s="262">
        <f>'29'!G50</f>
        <v>1050.7999999999884</v>
      </c>
      <c r="BJ32" s="370">
        <f t="shared" si="12"/>
        <v>7758.2629999999335</v>
      </c>
      <c r="BK32" s="370">
        <f>'29'!G84</f>
        <v>905</v>
      </c>
      <c r="BL32" s="23">
        <f t="shared" si="13"/>
        <v>58.755104369136269</v>
      </c>
      <c r="BM32" s="23">
        <f t="shared" si="14"/>
        <v>17.113707428378039</v>
      </c>
      <c r="BN32" s="24">
        <f t="shared" si="15"/>
        <v>7.5770303388825719E-2</v>
      </c>
      <c r="BO32" s="25">
        <f t="shared" si="16"/>
        <v>299074.14999999967</v>
      </c>
      <c r="BP32" s="213">
        <f t="shared" si="17"/>
        <v>11422.542999999845</v>
      </c>
      <c r="BQ32">
        <f t="shared" si="18"/>
        <v>1.2112469248387923</v>
      </c>
    </row>
    <row r="33" spans="1:69">
      <c r="A33" s="16">
        <v>30</v>
      </c>
      <c r="B33" s="27">
        <v>30</v>
      </c>
      <c r="C33" s="28"/>
      <c r="D33" s="19">
        <f>'30'!D3</f>
        <v>33</v>
      </c>
      <c r="E33" s="256">
        <f>'30'!D4</f>
        <v>0.8</v>
      </c>
      <c r="F33" s="256">
        <f>'30'!D2</f>
        <v>0.52</v>
      </c>
      <c r="G33" s="19">
        <f>'30'!G8</f>
        <v>23925</v>
      </c>
      <c r="H33" s="19">
        <f>'30'!G8</f>
        <v>23925</v>
      </c>
      <c r="I33" s="19">
        <f>'[1]31'!G7</f>
        <v>23482</v>
      </c>
      <c r="J33" s="19">
        <v>10</v>
      </c>
      <c r="K33" s="242">
        <f t="shared" si="3"/>
        <v>239250</v>
      </c>
      <c r="L33" s="238">
        <f t="shared" si="4"/>
        <v>116.24752475247524</v>
      </c>
      <c r="M33" s="19">
        <f>'30'!G15</f>
        <v>927.03000000002794</v>
      </c>
      <c r="N33" s="19">
        <v>35</v>
      </c>
      <c r="O33" s="234">
        <f t="shared" si="5"/>
        <v>32446.050000000978</v>
      </c>
      <c r="P33" s="19">
        <f>'30'!G20</f>
        <v>193</v>
      </c>
      <c r="Q33" s="19">
        <v>134</v>
      </c>
      <c r="R33" s="239">
        <f t="shared" si="0"/>
        <v>25862</v>
      </c>
      <c r="S33" s="240">
        <f t="shared" si="1"/>
        <v>183.73952779893375</v>
      </c>
      <c r="T33" s="19">
        <f>'30'!G24</f>
        <v>0</v>
      </c>
      <c r="U33" s="19">
        <v>69</v>
      </c>
      <c r="V33" s="241">
        <f t="shared" si="6"/>
        <v>0</v>
      </c>
      <c r="W33" s="22">
        <f>'[1]30'!G95</f>
        <v>71</v>
      </c>
      <c r="X33" s="22">
        <f>'[1]30'!G96</f>
        <v>15</v>
      </c>
      <c r="Y33" s="22">
        <f>'[1]30'!G97</f>
        <v>19</v>
      </c>
      <c r="Z33" s="22">
        <f t="shared" si="7"/>
        <v>105</v>
      </c>
      <c r="AA33" s="19">
        <f>'30'!G132</f>
        <v>23.809999999997672</v>
      </c>
      <c r="AB33" s="19">
        <f>'30'!G133</f>
        <v>0</v>
      </c>
      <c r="AC33" s="19">
        <f>'30'!G134</f>
        <v>11.589999999996508</v>
      </c>
      <c r="AD33" s="19">
        <f>'30'!G135</f>
        <v>0</v>
      </c>
      <c r="AE33" s="19">
        <f t="shared" si="8"/>
        <v>35.399999999994179</v>
      </c>
      <c r="AF33" s="23">
        <f t="shared" si="2"/>
        <v>7171.2070000000385</v>
      </c>
      <c r="AG33" s="23">
        <f t="shared" si="9"/>
        <v>202.57646892658806</v>
      </c>
      <c r="AH33" s="19">
        <f>'30'!G136</f>
        <v>11.029999999998836</v>
      </c>
      <c r="AI33" s="19">
        <f>'30'!G137</f>
        <v>0</v>
      </c>
      <c r="AJ33" s="19">
        <f>'30'!G138</f>
        <v>0</v>
      </c>
      <c r="AK33" s="19">
        <f t="shared" si="10"/>
        <v>11.029999999998836</v>
      </c>
      <c r="AL33" s="19">
        <f>'30'!G139</f>
        <v>0</v>
      </c>
      <c r="AM33" s="19">
        <f>'30'!G140</f>
        <v>7.7200000000002547</v>
      </c>
      <c r="AN33" s="19"/>
      <c r="AO33" s="19">
        <f t="shared" si="11"/>
        <v>7.7200000000002547</v>
      </c>
      <c r="AP33" s="258">
        <f>'[1]30'!G123</f>
        <v>234.59999999997672</v>
      </c>
      <c r="AQ33" s="261">
        <f>'30'!G35</f>
        <v>3494.1700000000419</v>
      </c>
      <c r="AR33" s="19">
        <f>'30'!G37</f>
        <v>1500.5899999999965</v>
      </c>
      <c r="AS33" s="19">
        <f>'30'!G38</f>
        <v>1815.2200000000012</v>
      </c>
      <c r="AT33" s="19">
        <f>'30'!G39</f>
        <v>4017.1000000000058</v>
      </c>
      <c r="AU33" s="19">
        <f>'30'!G40</f>
        <v>0</v>
      </c>
      <c r="AV33" s="19">
        <f>'30'!G41</f>
        <v>5320.8899999999994</v>
      </c>
      <c r="AW33" s="19">
        <f>'30'!G42</f>
        <v>-2.9999999969732016E-3</v>
      </c>
      <c r="AX33" s="19">
        <f>'30'!G43</f>
        <v>2809.8100000000559</v>
      </c>
      <c r="AY33" s="23">
        <f>'30'!G44</f>
        <v>0</v>
      </c>
      <c r="AZ33" s="262">
        <f>'30'!G36</f>
        <v>882.34999999997672</v>
      </c>
      <c r="BA33" s="261">
        <f>'30'!G49</f>
        <v>0</v>
      </c>
      <c r="BB33" s="19">
        <f>'30'!G51</f>
        <v>0.13000000000465661</v>
      </c>
      <c r="BC33" s="19">
        <f>'30'!G52</f>
        <v>1.9300000000512227</v>
      </c>
      <c r="BD33" s="19">
        <f>'30'!G53</f>
        <v>208.21000000002095</v>
      </c>
      <c r="BE33" s="19">
        <f>'30'!G54</f>
        <v>68.340000000000146</v>
      </c>
      <c r="BF33" s="19">
        <f>'30'!G55</f>
        <v>1842.0299999999988</v>
      </c>
      <c r="BG33" s="19">
        <f>'30'!G56</f>
        <v>8.2900000000372529</v>
      </c>
      <c r="BH33" s="19">
        <f>'30'!G57</f>
        <v>0</v>
      </c>
      <c r="BI33" s="262">
        <f>'30'!G50</f>
        <v>1178.4899999999907</v>
      </c>
      <c r="BJ33" s="370">
        <f t="shared" ref="BJ33:BJ34" si="19">SUM(AV33,AW33,BF33,BG33)</f>
        <v>7171.2070000000385</v>
      </c>
      <c r="BK33" s="370">
        <f>'30'!G84</f>
        <v>922</v>
      </c>
      <c r="BL33" s="23">
        <f t="shared" si="13"/>
        <v>57.385175879397565</v>
      </c>
      <c r="BM33" s="23">
        <f t="shared" si="14"/>
        <v>17.993825057490959</v>
      </c>
      <c r="BN33" s="24">
        <f t="shared" si="15"/>
        <v>7.738480538284867E-2</v>
      </c>
      <c r="BO33" s="25">
        <f t="shared" si="16"/>
        <v>297558.05000000098</v>
      </c>
      <c r="BP33" s="213">
        <f t="shared" si="17"/>
        <v>10903.017000000094</v>
      </c>
      <c r="BQ33">
        <f t="shared" si="18"/>
        <v>1.0999815375304567</v>
      </c>
    </row>
    <row r="34" spans="1:69">
      <c r="A34" s="16">
        <v>31</v>
      </c>
      <c r="B34" s="27">
        <v>31</v>
      </c>
      <c r="C34" s="28"/>
      <c r="D34" s="19">
        <f>'31'!D3</f>
        <v>33</v>
      </c>
      <c r="E34" s="256">
        <f>'31'!D4</f>
        <v>0.8</v>
      </c>
      <c r="F34" s="256">
        <f>'31'!D2</f>
        <v>0.66</v>
      </c>
      <c r="G34" s="19">
        <f>'31'!G8</f>
        <v>23605</v>
      </c>
      <c r="H34" s="19">
        <f>'31'!G8</f>
        <v>23605</v>
      </c>
      <c r="I34" s="19">
        <f>'[1]31'!G7</f>
        <v>23482</v>
      </c>
      <c r="J34" s="19">
        <v>10</v>
      </c>
      <c r="K34" s="242">
        <f t="shared" si="3"/>
        <v>236050</v>
      </c>
      <c r="L34" s="238">
        <f t="shared" si="4"/>
        <v>116.24752475247524</v>
      </c>
      <c r="M34" s="19">
        <f>'31'!G15</f>
        <v>1034</v>
      </c>
      <c r="N34" s="19">
        <v>35</v>
      </c>
      <c r="O34" s="234">
        <f t="shared" si="5"/>
        <v>36190</v>
      </c>
      <c r="P34" s="19">
        <f>'31'!G20</f>
        <v>197</v>
      </c>
      <c r="Q34" s="19">
        <v>134</v>
      </c>
      <c r="R34" s="239">
        <f t="shared" si="0"/>
        <v>26398</v>
      </c>
      <c r="S34" s="240">
        <f t="shared" si="1"/>
        <v>147.76477647764776</v>
      </c>
      <c r="T34" s="19">
        <f>'31'!G24</f>
        <v>0</v>
      </c>
      <c r="U34" s="19">
        <v>69</v>
      </c>
      <c r="V34" s="241">
        <f t="shared" si="6"/>
        <v>0</v>
      </c>
      <c r="W34" s="22">
        <f>'[1]30'!G95</f>
        <v>71</v>
      </c>
      <c r="X34" s="22">
        <f>'[1]30'!G96</f>
        <v>15</v>
      </c>
      <c r="Y34" s="22">
        <f>'[1]30'!G97</f>
        <v>19</v>
      </c>
      <c r="Z34" s="22">
        <f t="shared" si="7"/>
        <v>105</v>
      </c>
      <c r="AA34" s="19">
        <f>'31'!G132</f>
        <v>24</v>
      </c>
      <c r="AB34" s="19">
        <f>'31'!G133</f>
        <v>0</v>
      </c>
      <c r="AC34" s="19">
        <f>'31'!G134</f>
        <v>7.4100000000034925</v>
      </c>
      <c r="AD34" s="19">
        <f>'31'!G135</f>
        <v>0</v>
      </c>
      <c r="AE34" s="19">
        <f t="shared" si="8"/>
        <v>31.410000000003492</v>
      </c>
      <c r="AF34" s="23">
        <f t="shared" si="2"/>
        <v>6923</v>
      </c>
      <c r="AG34" s="23">
        <f t="shared" si="9"/>
        <v>220.4075135306982</v>
      </c>
      <c r="AH34" s="19">
        <f>'31'!G136</f>
        <v>10.620000000002619</v>
      </c>
      <c r="AI34" s="19">
        <f>'31'!G137</f>
        <v>-0.18000000000029104</v>
      </c>
      <c r="AJ34" s="19">
        <f>'31'!G138</f>
        <v>6.2400000000052387</v>
      </c>
      <c r="AK34" s="19">
        <f t="shared" si="10"/>
        <v>16.680000000007567</v>
      </c>
      <c r="AL34" s="19">
        <f>'31'!G139</f>
        <v>0</v>
      </c>
      <c r="AM34" s="19">
        <f>'31'!G140</f>
        <v>8.1300000000001091</v>
      </c>
      <c r="AN34" s="19"/>
      <c r="AO34" s="19">
        <f t="shared" si="11"/>
        <v>8.1300000000001091</v>
      </c>
      <c r="AP34" s="258">
        <f>'[1]31'!G123</f>
        <v>248</v>
      </c>
      <c r="AQ34" s="261">
        <f>'31'!G35</f>
        <v>3525</v>
      </c>
      <c r="AR34" s="19">
        <f>'31'!G37</f>
        <v>1490</v>
      </c>
      <c r="AS34" s="19">
        <f>'31'!G38</f>
        <v>1893</v>
      </c>
      <c r="AT34" s="19">
        <f>'31'!G39</f>
        <v>4020</v>
      </c>
      <c r="AU34" s="19">
        <f>'31'!G40</f>
        <v>0</v>
      </c>
      <c r="AV34" s="19">
        <f>'31'!G41</f>
        <v>5467</v>
      </c>
      <c r="AW34" s="19">
        <f>'31'!G42</f>
        <v>0</v>
      </c>
      <c r="AX34" s="19">
        <f>'31'!G43</f>
        <v>2693</v>
      </c>
      <c r="AY34" s="23">
        <f>'31'!G44</f>
        <v>0</v>
      </c>
      <c r="AZ34" s="262">
        <f>'31'!G36</f>
        <v>910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217</v>
      </c>
      <c r="BE34" s="19">
        <f>'31'!G54</f>
        <v>72</v>
      </c>
      <c r="BF34" s="19">
        <f>'31'!G55</f>
        <v>1456</v>
      </c>
      <c r="BG34" s="19">
        <f>'31'!G56</f>
        <v>0</v>
      </c>
      <c r="BH34" s="19">
        <f>'31'!G57</f>
        <v>0</v>
      </c>
      <c r="BI34" s="262">
        <f>'31'!G50</f>
        <v>1154</v>
      </c>
      <c r="BJ34" s="370">
        <f t="shared" si="19"/>
        <v>6923</v>
      </c>
      <c r="BK34" s="370">
        <f>'31'!G84</f>
        <v>853</v>
      </c>
      <c r="BL34" s="23">
        <f t="shared" si="13"/>
        <v>55.961459841580769</v>
      </c>
      <c r="BM34" s="23">
        <f t="shared" si="14"/>
        <v>18.043607869857762</v>
      </c>
      <c r="BN34" s="24">
        <f t="shared" si="15"/>
        <v>8.0614939102291117E-2</v>
      </c>
      <c r="BO34" s="25">
        <f t="shared" si="16"/>
        <v>298638</v>
      </c>
      <c r="BP34" s="213">
        <f t="shared" si="17"/>
        <v>10469</v>
      </c>
      <c r="BQ34">
        <f t="shared" si="18"/>
        <v>1.1903624869239591</v>
      </c>
    </row>
    <row r="35" spans="1:69">
      <c r="A35" s="16" t="s">
        <v>202</v>
      </c>
      <c r="B35" s="30"/>
      <c r="C35" s="31"/>
      <c r="D35" s="32">
        <f>AVERAGE(D4:D34)</f>
        <v>28.322580645161292</v>
      </c>
      <c r="E35" s="33"/>
      <c r="F35" s="384">
        <f>AVERAGE(F4:F34)</f>
        <v>0.59763548387096765</v>
      </c>
      <c r="G35" s="34">
        <f>SUM(G4:G34)</f>
        <v>0</v>
      </c>
      <c r="H35" s="34">
        <f>SUM(H4:H34)</f>
        <v>0</v>
      </c>
      <c r="I35" s="34">
        <f t="shared" ref="I35:BO35" si="20">SUM(I4:I34)</f>
        <v>-321</v>
      </c>
      <c r="J35" s="34">
        <f t="shared" si="20"/>
        <v>309</v>
      </c>
      <c r="K35" s="34">
        <f t="shared" si="20"/>
        <v>-23784</v>
      </c>
      <c r="L35" s="34">
        <f t="shared" si="20"/>
        <v>-1.5891089108907863</v>
      </c>
      <c r="M35" s="34">
        <f t="shared" si="20"/>
        <v>0</v>
      </c>
      <c r="N35" s="34">
        <f t="shared" si="20"/>
        <v>1085</v>
      </c>
      <c r="O35" s="34">
        <f t="shared" si="20"/>
        <v>0</v>
      </c>
      <c r="P35" s="34">
        <f t="shared" si="20"/>
        <v>3970</v>
      </c>
      <c r="Q35" s="34">
        <f t="shared" si="20"/>
        <v>4154</v>
      </c>
      <c r="R35" s="34">
        <f t="shared" si="20"/>
        <v>531980</v>
      </c>
      <c r="S35" s="34">
        <f t="shared" si="20"/>
        <v>3201.9527925986536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-29</v>
      </c>
      <c r="X35" s="34">
        <f t="shared" si="20"/>
        <v>-2</v>
      </c>
      <c r="Y35" s="34">
        <f t="shared" si="20"/>
        <v>-4</v>
      </c>
      <c r="Z35" s="34">
        <f t="shared" si="20"/>
        <v>-35</v>
      </c>
      <c r="AA35" s="34">
        <f t="shared" si="20"/>
        <v>-9.3300000000017462</v>
      </c>
      <c r="AB35" s="34">
        <f t="shared" si="20"/>
        <v>0</v>
      </c>
      <c r="AC35" s="34">
        <f t="shared" si="20"/>
        <v>0</v>
      </c>
      <c r="AD35" s="34">
        <f t="shared" si="20"/>
        <v>0</v>
      </c>
      <c r="AE35" s="34">
        <f t="shared" si="20"/>
        <v>-9.3300000000017462</v>
      </c>
      <c r="AF35" s="34">
        <f t="shared" si="20"/>
        <v>0</v>
      </c>
      <c r="AG35" s="34">
        <f t="shared" si="20"/>
        <v>6846.6214458487029</v>
      </c>
      <c r="AH35" s="34">
        <f t="shared" si="20"/>
        <v>-6.75</v>
      </c>
      <c r="AI35" s="34">
        <f t="shared" si="20"/>
        <v>4.6599999999998545</v>
      </c>
      <c r="AJ35" s="34">
        <f t="shared" si="20"/>
        <v>-7.0000000006984919E-2</v>
      </c>
      <c r="AK35" s="34">
        <f t="shared" si="20"/>
        <v>-2.1600000000071304</v>
      </c>
      <c r="AL35" s="34">
        <f t="shared" si="20"/>
        <v>0</v>
      </c>
      <c r="AM35" s="34">
        <f t="shared" si="20"/>
        <v>-0.1999999999998181</v>
      </c>
      <c r="AN35" s="34">
        <f t="shared" si="20"/>
        <v>0</v>
      </c>
      <c r="AO35" s="34">
        <f t="shared" si="20"/>
        <v>-0.1999999999998181</v>
      </c>
      <c r="AP35" s="34">
        <f t="shared" si="20"/>
        <v>0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0.34</v>
      </c>
      <c r="AV35" s="34">
        <f t="shared" si="20"/>
        <v>0</v>
      </c>
      <c r="AW35" s="34">
        <f t="shared" si="20"/>
        <v>0</v>
      </c>
      <c r="AX35" s="34">
        <f t="shared" si="20"/>
        <v>0</v>
      </c>
      <c r="AY35" s="34">
        <f t="shared" si="20"/>
        <v>0</v>
      </c>
      <c r="AZ35" s="34">
        <f t="shared" si="20"/>
        <v>0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-175.52000000001863</v>
      </c>
      <c r="BE35" s="34">
        <f t="shared" si="20"/>
        <v>3002.8700000000008</v>
      </c>
      <c r="BF35" s="34">
        <f t="shared" si="20"/>
        <v>0</v>
      </c>
      <c r="BG35" s="34">
        <f t="shared" si="20"/>
        <v>0</v>
      </c>
      <c r="BH35" s="34">
        <f t="shared" si="20"/>
        <v>0</v>
      </c>
      <c r="BI35" s="34">
        <f t="shared" si="20"/>
        <v>0</v>
      </c>
      <c r="BJ35" s="34">
        <f t="shared" si="20"/>
        <v>0</v>
      </c>
      <c r="BK35" s="34">
        <f t="shared" si="20"/>
        <v>25647</v>
      </c>
      <c r="BL35" s="34">
        <f t="shared" si="20"/>
        <v>1655.8177412414284</v>
      </c>
      <c r="BM35" s="34">
        <f t="shared" si="20"/>
        <v>601.54467537890935</v>
      </c>
      <c r="BN35" s="34">
        <f t="shared" si="20"/>
        <v>2.6335701440697457</v>
      </c>
      <c r="BO35" s="34">
        <f t="shared" si="20"/>
        <v>597206.00000000023</v>
      </c>
      <c r="BP35" s="213">
        <f t="shared" si="17"/>
        <v>25647</v>
      </c>
      <c r="BQ35">
        <f t="shared" si="18"/>
        <v>-9.8174092788222325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0.59763548387096765</v>
      </c>
      <c r="G37" s="213"/>
      <c r="H37" s="213"/>
      <c r="I37" s="213">
        <f>AVERAGE(I4:I35)</f>
        <v>-20.0625</v>
      </c>
    </row>
    <row r="38" spans="1:69">
      <c r="B38" s="36" t="s">
        <v>68</v>
      </c>
      <c r="F38" s="383">
        <f>AVERAGE(F4:F35)</f>
        <v>0.59763548387096765</v>
      </c>
      <c r="G38" s="383"/>
      <c r="H38" s="383"/>
    </row>
    <row r="41" spans="1:69">
      <c r="BJ41">
        <f>(BJ31+BK31)/400</f>
        <v>19.647817500000201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I13" sqref="I13"/>
    </sheetView>
  </sheetViews>
  <sheetFormatPr defaultRowHeight="15.75"/>
  <cols>
    <col min="2" max="2" width="9.109375" style="1165" customWidth="1"/>
    <col min="3" max="3" width="7.44140625" style="1165" customWidth="1"/>
    <col min="4" max="4" width="7.5546875" style="1165" customWidth="1"/>
    <col min="5" max="5" width="7.88671875" style="1165" customWidth="1"/>
    <col min="6" max="6" width="10.6640625" style="1165" customWidth="1"/>
  </cols>
  <sheetData>
    <row r="1" spans="1:7" ht="47.25">
      <c r="A1" s="1030"/>
      <c r="B1" s="1238" t="s">
        <v>309</v>
      </c>
      <c r="C1" s="1238" t="s">
        <v>307</v>
      </c>
      <c r="D1" s="1238" t="s">
        <v>308</v>
      </c>
      <c r="E1" s="1238" t="s">
        <v>311</v>
      </c>
      <c r="F1" s="1238" t="s">
        <v>310</v>
      </c>
      <c r="G1" s="1277" t="s">
        <v>318</v>
      </c>
    </row>
    <row r="2" spans="1:7">
      <c r="A2" s="1030">
        <v>1</v>
      </c>
      <c r="B2" s="1239"/>
      <c r="C2" s="1240">
        <v>129</v>
      </c>
      <c r="D2" s="1240">
        <v>19</v>
      </c>
      <c r="E2" s="1240">
        <f>SUM(C2:D2)/202%</f>
        <v>73.267326732673268</v>
      </c>
      <c r="F2" s="1276">
        <v>363</v>
      </c>
      <c r="G2" s="1276">
        <f>C2+D2</f>
        <v>148</v>
      </c>
    </row>
    <row r="3" spans="1:7">
      <c r="A3" s="1030">
        <v>2</v>
      </c>
      <c r="B3" s="1239"/>
      <c r="C3" s="1240">
        <v>159</v>
      </c>
      <c r="D3" s="1240">
        <v>19</v>
      </c>
      <c r="E3" s="1240">
        <f t="shared" ref="E3:E5" si="0">SUM(C3:D3)/202%</f>
        <v>88.118811881188122</v>
      </c>
      <c r="F3" s="1276">
        <v>232</v>
      </c>
      <c r="G3" s="1276">
        <f t="shared" ref="G3:G30" si="1">C3+D3</f>
        <v>178</v>
      </c>
    </row>
    <row r="4" spans="1:7">
      <c r="A4" s="1030">
        <v>3</v>
      </c>
      <c r="B4" s="1239"/>
      <c r="C4" s="1240">
        <v>176</v>
      </c>
      <c r="D4" s="1240">
        <v>18</v>
      </c>
      <c r="E4" s="1240">
        <f t="shared" si="0"/>
        <v>96.039603960396036</v>
      </c>
      <c r="F4" s="1276">
        <v>230</v>
      </c>
      <c r="G4" s="1276">
        <f t="shared" si="1"/>
        <v>194</v>
      </c>
    </row>
    <row r="5" spans="1:7">
      <c r="A5" s="1030">
        <v>4</v>
      </c>
      <c r="B5" s="1239"/>
      <c r="C5" s="1240">
        <v>167</v>
      </c>
      <c r="D5" s="1240">
        <v>28</v>
      </c>
      <c r="E5" s="1240">
        <f t="shared" si="0"/>
        <v>96.534653465346537</v>
      </c>
      <c r="F5" s="1276">
        <v>233</v>
      </c>
      <c r="G5" s="1276">
        <f t="shared" si="1"/>
        <v>195</v>
      </c>
    </row>
    <row r="6" spans="1:7">
      <c r="A6" s="1030">
        <v>5</v>
      </c>
      <c r="B6" s="1239"/>
      <c r="C6" s="1240">
        <v>164</v>
      </c>
      <c r="D6" s="1240">
        <v>29</v>
      </c>
      <c r="E6" s="1240">
        <f t="shared" ref="E6:E30" si="2">SUM(C6:D6)/202%</f>
        <v>95.544554455445549</v>
      </c>
      <c r="F6" s="1276">
        <v>157</v>
      </c>
      <c r="G6" s="1276">
        <f t="shared" si="1"/>
        <v>193</v>
      </c>
    </row>
    <row r="7" spans="1:7">
      <c r="A7" s="1030">
        <v>6</v>
      </c>
      <c r="B7" s="1239"/>
      <c r="C7" s="1240">
        <v>157</v>
      </c>
      <c r="D7" s="1240">
        <v>37</v>
      </c>
      <c r="E7" s="1240">
        <f t="shared" si="2"/>
        <v>96.039603960396036</v>
      </c>
      <c r="F7" s="1276">
        <v>142</v>
      </c>
      <c r="G7" s="1276">
        <f t="shared" si="1"/>
        <v>194</v>
      </c>
    </row>
    <row r="8" spans="1:7">
      <c r="A8" s="1030">
        <v>7</v>
      </c>
      <c r="B8" s="1239"/>
      <c r="C8" s="1240">
        <v>157</v>
      </c>
      <c r="D8" s="1240">
        <v>30</v>
      </c>
      <c r="E8" s="1240">
        <f t="shared" si="2"/>
        <v>92.574257425742573</v>
      </c>
      <c r="F8" s="1276">
        <v>128</v>
      </c>
      <c r="G8" s="1276">
        <f t="shared" si="1"/>
        <v>187</v>
      </c>
    </row>
    <row r="9" spans="1:7">
      <c r="A9" s="1030">
        <v>8</v>
      </c>
      <c r="B9" s="1239"/>
      <c r="C9" s="1240">
        <v>143</v>
      </c>
      <c r="D9" s="1240">
        <v>29</v>
      </c>
      <c r="E9" s="1240">
        <f t="shared" si="2"/>
        <v>85.148514851485146</v>
      </c>
      <c r="F9" s="1276">
        <v>89</v>
      </c>
      <c r="G9" s="1276">
        <f t="shared" si="1"/>
        <v>172</v>
      </c>
    </row>
    <row r="10" spans="1:7">
      <c r="A10" s="1030">
        <v>9</v>
      </c>
      <c r="B10" s="1239"/>
      <c r="C10" s="1240"/>
      <c r="D10" s="1240"/>
      <c r="E10" s="1240">
        <f t="shared" si="2"/>
        <v>0</v>
      </c>
      <c r="F10" s="1276"/>
      <c r="G10" s="1276">
        <f t="shared" si="1"/>
        <v>0</v>
      </c>
    </row>
    <row r="11" spans="1:7">
      <c r="A11" s="1030">
        <v>10</v>
      </c>
      <c r="B11" s="1239"/>
      <c r="C11" s="1240"/>
      <c r="D11" s="1240"/>
      <c r="E11" s="1240">
        <f t="shared" si="2"/>
        <v>0</v>
      </c>
      <c r="F11" s="1276"/>
      <c r="G11" s="1276">
        <f t="shared" si="1"/>
        <v>0</v>
      </c>
    </row>
    <row r="12" spans="1:7">
      <c r="A12" s="1030">
        <v>11</v>
      </c>
      <c r="B12" s="1239"/>
      <c r="C12" s="1240"/>
      <c r="D12" s="1240"/>
      <c r="E12" s="1240">
        <f t="shared" si="2"/>
        <v>0</v>
      </c>
      <c r="F12" s="1276"/>
      <c r="G12" s="1276">
        <f t="shared" si="1"/>
        <v>0</v>
      </c>
    </row>
    <row r="13" spans="1:7">
      <c r="A13" s="1030">
        <v>12</v>
      </c>
      <c r="B13" s="1239"/>
      <c r="C13" s="1240"/>
      <c r="D13" s="1240"/>
      <c r="E13" s="1240">
        <f t="shared" si="2"/>
        <v>0</v>
      </c>
      <c r="F13" s="1240"/>
      <c r="G13" s="1276">
        <f t="shared" si="1"/>
        <v>0</v>
      </c>
    </row>
    <row r="14" spans="1:7">
      <c r="A14" s="1030">
        <v>13</v>
      </c>
      <c r="B14" s="1239"/>
      <c r="C14" s="1240"/>
      <c r="D14" s="1240"/>
      <c r="E14" s="1240">
        <f t="shared" si="2"/>
        <v>0</v>
      </c>
      <c r="F14" s="1240"/>
      <c r="G14" s="1276">
        <f t="shared" si="1"/>
        <v>0</v>
      </c>
    </row>
    <row r="15" spans="1:7">
      <c r="A15" s="1030">
        <v>14</v>
      </c>
      <c r="B15" s="1239"/>
      <c r="C15" s="1240"/>
      <c r="D15" s="1240"/>
      <c r="E15" s="1240">
        <f t="shared" si="2"/>
        <v>0</v>
      </c>
      <c r="F15" s="1240"/>
      <c r="G15" s="1276">
        <f t="shared" si="1"/>
        <v>0</v>
      </c>
    </row>
    <row r="16" spans="1:7">
      <c r="A16" s="1030">
        <v>15</v>
      </c>
      <c r="B16" s="1239"/>
      <c r="C16" s="1240"/>
      <c r="D16" s="1240"/>
      <c r="E16" s="1240">
        <f t="shared" si="2"/>
        <v>0</v>
      </c>
      <c r="F16" s="1240"/>
      <c r="G16" s="1276">
        <f t="shared" si="1"/>
        <v>0</v>
      </c>
    </row>
    <row r="17" spans="1:7">
      <c r="A17" s="1030">
        <v>16</v>
      </c>
      <c r="B17" s="1239"/>
      <c r="C17" s="1240"/>
      <c r="D17" s="1240"/>
      <c r="E17" s="1240">
        <f t="shared" si="2"/>
        <v>0</v>
      </c>
      <c r="F17" s="1240"/>
      <c r="G17" s="1276">
        <f t="shared" si="1"/>
        <v>0</v>
      </c>
    </row>
    <row r="18" spans="1:7">
      <c r="A18" s="1030">
        <v>17</v>
      </c>
      <c r="B18" s="1239"/>
      <c r="C18" s="1240"/>
      <c r="D18" s="1240"/>
      <c r="E18" s="1240">
        <f t="shared" si="2"/>
        <v>0</v>
      </c>
      <c r="F18" s="1240"/>
      <c r="G18" s="1276">
        <f t="shared" si="1"/>
        <v>0</v>
      </c>
    </row>
    <row r="19" spans="1:7">
      <c r="A19" s="1030">
        <v>18</v>
      </c>
      <c r="B19" s="1239"/>
      <c r="E19" s="1240">
        <f t="shared" si="2"/>
        <v>0</v>
      </c>
      <c r="G19" s="1276">
        <f t="shared" si="1"/>
        <v>0</v>
      </c>
    </row>
    <row r="20" spans="1:7">
      <c r="A20" s="1030">
        <v>19</v>
      </c>
      <c r="B20" s="1239"/>
      <c r="C20" s="1240"/>
      <c r="D20" s="1240"/>
      <c r="E20" s="1240">
        <f t="shared" si="2"/>
        <v>0</v>
      </c>
      <c r="F20" s="1240"/>
      <c r="G20" s="1276">
        <f t="shared" si="1"/>
        <v>0</v>
      </c>
    </row>
    <row r="21" spans="1:7">
      <c r="A21" s="1030">
        <v>20</v>
      </c>
      <c r="B21" s="1239"/>
      <c r="C21" s="1240"/>
      <c r="D21" s="1240"/>
      <c r="E21" s="1240">
        <f t="shared" si="2"/>
        <v>0</v>
      </c>
      <c r="F21" s="1240"/>
      <c r="G21" s="1276">
        <f t="shared" si="1"/>
        <v>0</v>
      </c>
    </row>
    <row r="22" spans="1:7">
      <c r="A22" s="1030">
        <v>21</v>
      </c>
      <c r="B22" s="1239"/>
      <c r="C22" s="1240"/>
      <c r="D22" s="1240"/>
      <c r="E22" s="1240">
        <f t="shared" si="2"/>
        <v>0</v>
      </c>
      <c r="F22" s="1240"/>
      <c r="G22" s="1276">
        <f t="shared" si="1"/>
        <v>0</v>
      </c>
    </row>
    <row r="23" spans="1:7">
      <c r="A23" s="1030">
        <v>22</v>
      </c>
      <c r="B23" s="1239"/>
      <c r="C23" s="1240"/>
      <c r="D23" s="1240"/>
      <c r="E23" s="1240">
        <f t="shared" si="2"/>
        <v>0</v>
      </c>
      <c r="F23" s="1240"/>
      <c r="G23" s="1276">
        <f t="shared" si="1"/>
        <v>0</v>
      </c>
    </row>
    <row r="24" spans="1:7">
      <c r="A24" s="1030">
        <v>23</v>
      </c>
      <c r="B24" s="1239"/>
      <c r="C24" s="1240"/>
      <c r="D24" s="1240"/>
      <c r="E24" s="1240">
        <f t="shared" si="2"/>
        <v>0</v>
      </c>
      <c r="F24" s="1240"/>
      <c r="G24" s="1276">
        <f t="shared" si="1"/>
        <v>0</v>
      </c>
    </row>
    <row r="25" spans="1:7">
      <c r="A25" s="1030">
        <v>24</v>
      </c>
      <c r="B25" s="1239"/>
      <c r="C25" s="1240"/>
      <c r="D25" s="1240"/>
      <c r="E25" s="1240">
        <f t="shared" si="2"/>
        <v>0</v>
      </c>
      <c r="F25" s="1240"/>
      <c r="G25" s="1276">
        <f t="shared" si="1"/>
        <v>0</v>
      </c>
    </row>
    <row r="26" spans="1:7">
      <c r="A26" s="1030">
        <v>25</v>
      </c>
      <c r="B26" s="1239"/>
      <c r="C26" s="1240"/>
      <c r="D26" s="1240"/>
      <c r="E26" s="1240">
        <f t="shared" si="2"/>
        <v>0</v>
      </c>
      <c r="F26" s="1240"/>
      <c r="G26" s="1276">
        <f t="shared" si="1"/>
        <v>0</v>
      </c>
    </row>
    <row r="27" spans="1:7">
      <c r="A27" s="1030">
        <v>26</v>
      </c>
      <c r="B27" s="1239"/>
      <c r="C27" s="1240"/>
      <c r="D27" s="1240"/>
      <c r="E27" s="1240">
        <f t="shared" si="2"/>
        <v>0</v>
      </c>
      <c r="F27" s="1240"/>
      <c r="G27" s="1276">
        <f t="shared" si="1"/>
        <v>0</v>
      </c>
    </row>
    <row r="28" spans="1:7">
      <c r="A28" s="1030">
        <v>27</v>
      </c>
      <c r="B28" s="1239"/>
      <c r="C28" s="1240"/>
      <c r="D28" s="1240"/>
      <c r="E28" s="1240">
        <f t="shared" si="2"/>
        <v>0</v>
      </c>
      <c r="F28" s="1240"/>
      <c r="G28" s="1276">
        <f t="shared" si="1"/>
        <v>0</v>
      </c>
    </row>
    <row r="29" spans="1:7">
      <c r="A29" s="1030">
        <v>28</v>
      </c>
      <c r="B29" s="1239"/>
      <c r="C29" s="1240"/>
      <c r="D29" s="1240"/>
      <c r="E29" s="1240">
        <f t="shared" si="2"/>
        <v>0</v>
      </c>
      <c r="F29" s="1240"/>
      <c r="G29" s="1276">
        <f t="shared" si="1"/>
        <v>0</v>
      </c>
    </row>
    <row r="30" spans="1:7">
      <c r="A30" s="1030">
        <v>29</v>
      </c>
      <c r="B30" s="1239"/>
      <c r="C30" s="1240"/>
      <c r="D30" s="1240"/>
      <c r="E30" s="1240">
        <f t="shared" si="2"/>
        <v>0</v>
      </c>
      <c r="F30" s="1240"/>
      <c r="G30" s="1276">
        <f t="shared" si="1"/>
        <v>0</v>
      </c>
    </row>
    <row r="31" spans="1:7">
      <c r="A31" s="1030">
        <v>30</v>
      </c>
      <c r="B31" s="1240"/>
      <c r="C31" s="1240"/>
      <c r="D31" s="1240"/>
      <c r="E31" s="1240"/>
      <c r="F31" s="1240"/>
      <c r="G31" s="1325"/>
    </row>
    <row r="32" spans="1:7">
      <c r="A32" s="1030">
        <v>31</v>
      </c>
      <c r="B32" s="1240"/>
      <c r="C32" s="1240"/>
      <c r="D32" s="1240"/>
      <c r="E32" s="1240"/>
      <c r="F32" s="1240"/>
      <c r="G32" s="1325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D13" sqref="D13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140</v>
      </c>
      <c r="E5" s="450">
        <f>'2'!G18</f>
        <v>120</v>
      </c>
      <c r="F5" s="450">
        <f>'3'!G18</f>
        <v>100</v>
      </c>
      <c r="G5" s="450">
        <f>'4'!G18</f>
        <v>120</v>
      </c>
      <c r="H5" s="450">
        <f>'5'!G18</f>
        <v>120</v>
      </c>
      <c r="I5" s="450">
        <f>'6'!G18</f>
        <v>100</v>
      </c>
      <c r="J5" s="450">
        <f>'7'!G18</f>
        <v>100</v>
      </c>
      <c r="K5" s="450">
        <f>'8'!G18</f>
        <v>100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140</v>
      </c>
      <c r="AC5" s="450">
        <f>'26'!G18</f>
        <v>190</v>
      </c>
      <c r="AD5" s="450">
        <f>'27'!G18</f>
        <v>180</v>
      </c>
      <c r="AE5" s="450">
        <f>'28'!G18</f>
        <v>180</v>
      </c>
      <c r="AF5" s="450">
        <f>'29'!G18</f>
        <v>160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53</v>
      </c>
      <c r="E6" s="450">
        <f>'2'!G19</f>
        <v>53</v>
      </c>
      <c r="F6" s="450">
        <f>'3'!G19</f>
        <v>53</v>
      </c>
      <c r="G6" s="450">
        <f>'4'!G19</f>
        <v>54</v>
      </c>
      <c r="H6" s="450">
        <f>'5'!G19</f>
        <v>58</v>
      </c>
      <c r="I6" s="450">
        <f>'6'!G19</f>
        <v>56</v>
      </c>
      <c r="J6" s="450">
        <f>'7'!G19</f>
        <v>57</v>
      </c>
      <c r="K6" s="450">
        <f>'8'!G19</f>
        <v>56</v>
      </c>
      <c r="L6" s="450">
        <f>'9'!G19</f>
        <v>-1600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55</v>
      </c>
      <c r="AC6" s="450">
        <f>'26'!G19</f>
        <v>53</v>
      </c>
      <c r="AD6" s="450">
        <f>'27'!G19</f>
        <v>54</v>
      </c>
      <c r="AE6" s="450">
        <f>'28'!G19</f>
        <v>52</v>
      </c>
      <c r="AF6" s="450">
        <f>'29'!G19</f>
        <v>53</v>
      </c>
      <c r="AG6" s="450">
        <f>'30'!G19</f>
        <v>53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92</v>
      </c>
      <c r="E7" s="450">
        <f>'2'!G92</f>
        <v>83</v>
      </c>
      <c r="F7" s="450">
        <f>'3'!G92</f>
        <v>77</v>
      </c>
      <c r="G7" s="450">
        <f>'4'!G92</f>
        <v>76</v>
      </c>
      <c r="H7" s="450">
        <f>'5'!G92</f>
        <v>79</v>
      </c>
      <c r="I7" s="450">
        <f>'6'!G92</f>
        <v>62</v>
      </c>
      <c r="J7" s="450">
        <f>'7'!G92</f>
        <v>82</v>
      </c>
      <c r="K7" s="450">
        <f>'8'!G92</f>
        <v>76</v>
      </c>
      <c r="L7" s="450">
        <f>'9'!G92</f>
        <v>-2640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97</v>
      </c>
      <c r="AC7" s="450">
        <f>'26'!G92</f>
        <v>130</v>
      </c>
      <c r="AD7" s="450">
        <f>'27'!G92</f>
        <v>113</v>
      </c>
      <c r="AE7" s="450">
        <f>'28'!G92</f>
        <v>125</v>
      </c>
      <c r="AF7" s="450">
        <f>'29'!G92</f>
        <v>118</v>
      </c>
      <c r="AG7" s="450">
        <f>'30'!G92</f>
        <v>94</v>
      </c>
      <c r="AH7" s="450">
        <f>'31'!G92</f>
        <v>106</v>
      </c>
      <c r="AI7" s="448"/>
    </row>
    <row r="8" spans="2:35">
      <c r="B8" s="452"/>
      <c r="C8" s="448" t="s">
        <v>349</v>
      </c>
      <c r="D8" s="450">
        <f>'1'!G93</f>
        <v>127</v>
      </c>
      <c r="E8" s="450">
        <f>'2'!G93</f>
        <v>143</v>
      </c>
      <c r="F8" s="450">
        <f>'3'!G93</f>
        <v>158</v>
      </c>
      <c r="G8" s="450">
        <f>'4'!G93</f>
        <v>166</v>
      </c>
      <c r="H8" s="450">
        <f>'5'!G93</f>
        <v>168</v>
      </c>
      <c r="I8" s="450">
        <f>'6'!G93</f>
        <v>166</v>
      </c>
      <c r="J8" s="450">
        <f>'7'!G93</f>
        <v>151</v>
      </c>
      <c r="K8" s="450">
        <f>'8'!G93</f>
        <v>180</v>
      </c>
      <c r="L8" s="450">
        <f>'9'!G93</f>
        <v>-4067</v>
      </c>
      <c r="M8" s="450">
        <f>'10'!G93</f>
        <v>108</v>
      </c>
      <c r="N8" s="450">
        <f>'11'!G93</f>
        <v>113</v>
      </c>
      <c r="O8" s="450">
        <f>'12'!G93</f>
        <v>107</v>
      </c>
      <c r="P8" s="450">
        <f>'13'!G93</f>
        <v>115</v>
      </c>
      <c r="Q8" s="450">
        <f>'14'!G93</f>
        <v>105</v>
      </c>
      <c r="R8" s="450">
        <f>'15'!G93</f>
        <v>144</v>
      </c>
      <c r="S8" s="450">
        <f>'16'!G93</f>
        <v>145</v>
      </c>
      <c r="T8" s="450">
        <f>'17'!G93</f>
        <v>104</v>
      </c>
      <c r="U8" s="450">
        <f>'18'!G93</f>
        <v>117</v>
      </c>
      <c r="V8" s="450">
        <f>'19'!G93</f>
        <v>129</v>
      </c>
      <c r="W8" s="450">
        <f>'20'!G93</f>
        <v>100</v>
      </c>
      <c r="X8" s="450">
        <f>'21'!G93</f>
        <v>151</v>
      </c>
      <c r="Y8" s="450">
        <f>'22'!G93</f>
        <v>105</v>
      </c>
      <c r="Z8" s="450">
        <f>'23'!G93</f>
        <v>123</v>
      </c>
      <c r="AA8" s="450">
        <f>'24'!G93</f>
        <v>114</v>
      </c>
      <c r="AB8" s="450">
        <f>'25'!G93</f>
        <v>121</v>
      </c>
      <c r="AC8" s="450">
        <f>'26'!G93</f>
        <v>132</v>
      </c>
      <c r="AD8" s="450">
        <f>'27'!G93</f>
        <v>150</v>
      </c>
      <c r="AE8" s="450">
        <f>'28'!G93</f>
        <v>155</v>
      </c>
      <c r="AF8" s="450">
        <f>'29'!G93</f>
        <v>164</v>
      </c>
      <c r="AG8" s="450">
        <f>'30'!G93</f>
        <v>150</v>
      </c>
      <c r="AH8" s="450">
        <f>'31'!G93</f>
        <v>156</v>
      </c>
      <c r="AI8" s="448"/>
    </row>
    <row r="9" spans="2:35">
      <c r="B9" s="1405" t="s">
        <v>73</v>
      </c>
      <c r="C9" s="448" t="s">
        <v>33</v>
      </c>
      <c r="D9" s="450">
        <f>'1'!G95</f>
        <v>77</v>
      </c>
      <c r="E9" s="450">
        <f>'2'!G95</f>
        <v>87</v>
      </c>
      <c r="F9" s="450">
        <f>'3'!G95</f>
        <v>72</v>
      </c>
      <c r="G9" s="450">
        <f>'4'!G95</f>
        <v>71</v>
      </c>
      <c r="H9" s="450">
        <f>'5'!G95</f>
        <v>68</v>
      </c>
      <c r="I9" s="450">
        <f>'6'!G95</f>
        <v>68</v>
      </c>
      <c r="J9" s="450">
        <f>'7'!G95</f>
        <v>79</v>
      </c>
      <c r="K9" s="450">
        <f>'8'!G95</f>
        <v>78</v>
      </c>
      <c r="L9" s="450">
        <f>'9'!G95</f>
        <v>-2409</v>
      </c>
      <c r="M9" s="450">
        <f>'10'!G95</f>
        <v>68</v>
      </c>
      <c r="N9" s="450">
        <f>'11'!G95</f>
        <v>79</v>
      </c>
      <c r="O9" s="450">
        <f>'12'!G95</f>
        <v>71</v>
      </c>
      <c r="P9" s="450">
        <f>'13'!G95</f>
        <v>105</v>
      </c>
      <c r="Q9" s="450">
        <f>'14'!G95</f>
        <v>74</v>
      </c>
      <c r="R9" s="450">
        <f>'15'!G95</f>
        <v>72</v>
      </c>
      <c r="S9" s="450">
        <f>'16'!G95</f>
        <v>72</v>
      </c>
      <c r="T9" s="450">
        <f>'17'!G95</f>
        <v>97</v>
      </c>
      <c r="U9" s="450">
        <f>'18'!G95</f>
        <v>71</v>
      </c>
      <c r="V9" s="450">
        <f>'19'!G95</f>
        <v>76</v>
      </c>
      <c r="W9" s="450">
        <f>'20'!G95</f>
        <v>77</v>
      </c>
      <c r="X9" s="450">
        <f>'21'!G95</f>
        <v>80</v>
      </c>
      <c r="Y9" s="450">
        <f>'22'!G95</f>
        <v>85</v>
      </c>
      <c r="Z9" s="450">
        <f>'23'!G95</f>
        <v>76</v>
      </c>
      <c r="AA9" s="450">
        <f>'24'!G95</f>
        <v>85</v>
      </c>
      <c r="AB9" s="450">
        <f>'25'!G95</f>
        <v>88</v>
      </c>
      <c r="AC9" s="450">
        <f>'26'!G95</f>
        <v>108</v>
      </c>
      <c r="AD9" s="450">
        <f>'27'!G95</f>
        <v>87</v>
      </c>
      <c r="AE9" s="450">
        <f>'28'!G95</f>
        <v>98</v>
      </c>
      <c r="AF9" s="450">
        <f>'29'!G95</f>
        <v>69</v>
      </c>
      <c r="AG9" s="450">
        <f>'30'!G95</f>
        <v>71</v>
      </c>
      <c r="AH9" s="450">
        <f>'31'!G95</f>
        <v>100</v>
      </c>
      <c r="AI9" s="448"/>
    </row>
    <row r="10" spans="2:35">
      <c r="B10" s="1405"/>
      <c r="C10" s="448" t="s">
        <v>34</v>
      </c>
      <c r="D10" s="450">
        <f>'1'!G96</f>
        <v>17</v>
      </c>
      <c r="E10" s="450">
        <f>'2'!G96</f>
        <v>19</v>
      </c>
      <c r="F10" s="450">
        <f>'3'!G96</f>
        <v>20</v>
      </c>
      <c r="G10" s="450">
        <f>'4'!G96</f>
        <v>19</v>
      </c>
      <c r="H10" s="450">
        <f>'5'!G96</f>
        <v>15</v>
      </c>
      <c r="I10" s="450">
        <f>'6'!G96</f>
        <v>17</v>
      </c>
      <c r="J10" s="450">
        <f>'7'!G96</f>
        <v>18</v>
      </c>
      <c r="K10" s="450">
        <f>'8'!G96</f>
        <v>17</v>
      </c>
      <c r="L10" s="450">
        <f>'9'!G96</f>
        <v>-494</v>
      </c>
      <c r="M10" s="450">
        <f>'10'!G96</f>
        <v>11</v>
      </c>
      <c r="N10" s="450">
        <f>'11'!G96</f>
        <v>10</v>
      </c>
      <c r="O10" s="450">
        <f>'12'!G96</f>
        <v>8</v>
      </c>
      <c r="P10" s="450">
        <f>'13'!G96</f>
        <v>22</v>
      </c>
      <c r="Q10" s="450">
        <f>'14'!G96</f>
        <v>22</v>
      </c>
      <c r="R10" s="450">
        <f>'15'!G96</f>
        <v>8</v>
      </c>
      <c r="S10" s="450">
        <f>'16'!G96</f>
        <v>7</v>
      </c>
      <c r="T10" s="450">
        <f>'17'!G96</f>
        <v>14</v>
      </c>
      <c r="U10" s="450">
        <f>'18'!G96</f>
        <v>13</v>
      </c>
      <c r="V10" s="450">
        <f>'19'!G96</f>
        <v>15</v>
      </c>
      <c r="W10" s="450">
        <f>'20'!G96</f>
        <v>16</v>
      </c>
      <c r="X10" s="450">
        <f>'21'!G96</f>
        <v>26</v>
      </c>
      <c r="Y10" s="450">
        <f>'22'!G96</f>
        <v>17</v>
      </c>
      <c r="Z10" s="450">
        <f>'23'!G96</f>
        <v>16</v>
      </c>
      <c r="AA10" s="450">
        <f>'24'!G96</f>
        <v>15</v>
      </c>
      <c r="AB10" s="450">
        <f>'25'!G96</f>
        <v>17</v>
      </c>
      <c r="AC10" s="450">
        <f>'26'!G96</f>
        <v>18</v>
      </c>
      <c r="AD10" s="450">
        <f>'27'!G96</f>
        <v>21</v>
      </c>
      <c r="AE10" s="450">
        <f>'28'!G96</f>
        <v>25</v>
      </c>
      <c r="AF10" s="450">
        <f>'29'!G96</f>
        <v>19</v>
      </c>
      <c r="AG10" s="450">
        <f>'30'!G96</f>
        <v>15</v>
      </c>
      <c r="AH10" s="450">
        <f>'31'!G96</f>
        <v>17</v>
      </c>
      <c r="AI10" s="448"/>
    </row>
    <row r="11" spans="2:35">
      <c r="B11" s="1405"/>
      <c r="C11" s="448" t="s">
        <v>35</v>
      </c>
      <c r="D11" s="450">
        <f>'1'!G97</f>
        <v>20</v>
      </c>
      <c r="E11" s="450">
        <f>'2'!G97</f>
        <v>14</v>
      </c>
      <c r="F11" s="450">
        <f>'3'!G97</f>
        <v>18</v>
      </c>
      <c r="G11" s="450">
        <f>'4'!G97</f>
        <v>18</v>
      </c>
      <c r="H11" s="450">
        <f>'5'!G97</f>
        <v>22</v>
      </c>
      <c r="I11" s="450">
        <f>'6'!G97</f>
        <v>19</v>
      </c>
      <c r="J11" s="450">
        <f>'7'!G97</f>
        <v>18</v>
      </c>
      <c r="K11" s="450">
        <f>'8'!G97</f>
        <v>18</v>
      </c>
      <c r="L11" s="450">
        <f>'9'!G97</f>
        <v>-457</v>
      </c>
      <c r="M11" s="450">
        <f>'10'!G97</f>
        <v>18</v>
      </c>
      <c r="N11" s="450">
        <f>'11'!G97</f>
        <v>22</v>
      </c>
      <c r="O11" s="450">
        <f>'12'!G97</f>
        <v>18</v>
      </c>
      <c r="P11" s="450">
        <f>'13'!G97</f>
        <v>21</v>
      </c>
      <c r="Q11" s="450">
        <f>'14'!G97</f>
        <v>26</v>
      </c>
      <c r="R11" s="450">
        <f>'15'!G97</f>
        <v>0</v>
      </c>
      <c r="S11" s="450">
        <f>'16'!G97</f>
        <v>-91</v>
      </c>
      <c r="T11" s="450">
        <f>'17'!G97</f>
        <v>0</v>
      </c>
      <c r="U11" s="450">
        <f>'18'!G97</f>
        <v>13</v>
      </c>
      <c r="V11" s="450">
        <f>'19'!G97</f>
        <v>16</v>
      </c>
      <c r="W11" s="450">
        <f>'20'!G97</f>
        <v>20</v>
      </c>
      <c r="X11" s="450">
        <f>'21'!G97</f>
        <v>28</v>
      </c>
      <c r="Y11" s="450">
        <f>'22'!G97</f>
        <v>21</v>
      </c>
      <c r="Z11" s="450">
        <f>'23'!G97</f>
        <v>14</v>
      </c>
      <c r="AA11" s="450">
        <f>'24'!G97</f>
        <v>13</v>
      </c>
      <c r="AB11" s="450">
        <f>'25'!G97</f>
        <v>16</v>
      </c>
      <c r="AC11" s="450">
        <f>'26'!G97</f>
        <v>19</v>
      </c>
      <c r="AD11" s="450">
        <f>'27'!G97</f>
        <v>23</v>
      </c>
      <c r="AE11" s="450">
        <f>'28'!G97</f>
        <v>36</v>
      </c>
      <c r="AF11" s="450">
        <f>'29'!G97</f>
        <v>35</v>
      </c>
      <c r="AG11" s="450">
        <f>'30'!G97</f>
        <v>19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05" t="s">
        <v>74</v>
      </c>
      <c r="C13" s="448" t="s">
        <v>33</v>
      </c>
      <c r="D13" s="450">
        <f>'1'!G98</f>
        <v>28</v>
      </c>
      <c r="E13" s="450">
        <f>'2'!G98</f>
        <v>50</v>
      </c>
      <c r="F13" s="450">
        <f>'3'!G98</f>
        <v>56</v>
      </c>
      <c r="G13" s="450">
        <f>'4'!G98</f>
        <v>54</v>
      </c>
      <c r="H13" s="450">
        <f>'5'!G98</f>
        <v>28</v>
      </c>
      <c r="I13" s="450">
        <f>'6'!G98</f>
        <v>15</v>
      </c>
      <c r="J13" s="450">
        <f>'7'!G98</f>
        <v>34</v>
      </c>
      <c r="K13" s="450">
        <f>'8'!G98</f>
        <v>35</v>
      </c>
      <c r="L13" s="450">
        <f>'9'!G98</f>
        <v>-1093</v>
      </c>
      <c r="M13" s="450">
        <f>'10'!G98</f>
        <v>44</v>
      </c>
      <c r="N13" s="450">
        <f>'11'!G98</f>
        <v>72</v>
      </c>
      <c r="O13" s="450">
        <f>'12'!G98</f>
        <v>67</v>
      </c>
      <c r="P13" s="450">
        <f>'13'!G98</f>
        <v>48</v>
      </c>
      <c r="Q13" s="450">
        <f>'14'!G98</f>
        <v>29</v>
      </c>
      <c r="R13" s="450">
        <f>'15'!G98</f>
        <v>39</v>
      </c>
      <c r="S13" s="450">
        <f>'16'!G98</f>
        <v>10</v>
      </c>
      <c r="T13" s="450">
        <f>'17'!G98</f>
        <v>18</v>
      </c>
      <c r="U13" s="450">
        <f>'18'!G98</f>
        <v>16</v>
      </c>
      <c r="V13" s="450">
        <f>'19'!G98</f>
        <v>32</v>
      </c>
      <c r="W13" s="450">
        <f>'20'!G98</f>
        <v>19</v>
      </c>
      <c r="X13" s="450">
        <f>'21'!G98</f>
        <v>37</v>
      </c>
      <c r="Y13" s="450">
        <f>'22'!G98</f>
        <v>36</v>
      </c>
      <c r="Z13" s="450">
        <f>'23'!G98</f>
        <v>46</v>
      </c>
      <c r="AA13" s="450">
        <f>'24'!G98</f>
        <v>58</v>
      </c>
      <c r="AB13" s="450">
        <f>'25'!G98</f>
        <v>19</v>
      </c>
      <c r="AC13" s="450">
        <f>'26'!G98</f>
        <v>44</v>
      </c>
      <c r="AD13" s="450">
        <f>'27'!G98</f>
        <v>32</v>
      </c>
      <c r="AE13" s="450">
        <f>'28'!G98</f>
        <v>51</v>
      </c>
      <c r="AF13" s="450">
        <f>'29'!G98</f>
        <v>31</v>
      </c>
      <c r="AG13" s="450">
        <f>'30'!G98</f>
        <v>35</v>
      </c>
      <c r="AH13" s="450">
        <f>'31'!G98</f>
        <v>10</v>
      </c>
      <c r="AI13" s="448"/>
    </row>
    <row r="14" spans="2:35">
      <c r="B14" s="1405"/>
      <c r="C14" s="448" t="s">
        <v>34</v>
      </c>
      <c r="D14" s="450">
        <f>'1'!G114</f>
        <v>20</v>
      </c>
      <c r="E14" s="450">
        <f>'2'!G114</f>
        <v>14</v>
      </c>
      <c r="F14" s="450">
        <f>'3'!G114</f>
        <v>17</v>
      </c>
      <c r="G14" s="450">
        <f>'4'!G114</f>
        <v>21</v>
      </c>
      <c r="H14" s="450">
        <f>'5'!G114</f>
        <v>47</v>
      </c>
      <c r="I14" s="450">
        <f>'6'!G114</f>
        <v>21</v>
      </c>
      <c r="J14" s="450">
        <f>'7'!G114</f>
        <v>18</v>
      </c>
      <c r="K14" s="450">
        <f>'8'!G114</f>
        <v>12</v>
      </c>
      <c r="L14" s="450">
        <f>'9'!G114</f>
        <v>-526</v>
      </c>
      <c r="M14" s="450">
        <f>'10'!G114</f>
        <v>8</v>
      </c>
      <c r="N14" s="450">
        <f>'11'!G114</f>
        <v>14</v>
      </c>
      <c r="O14" s="450">
        <f>'12'!G114</f>
        <v>17</v>
      </c>
      <c r="P14" s="450">
        <f>'13'!G114</f>
        <v>8</v>
      </c>
      <c r="Q14" s="450">
        <f>'14'!G114</f>
        <v>26</v>
      </c>
      <c r="R14" s="450">
        <f>'15'!G114</f>
        <v>22</v>
      </c>
      <c r="S14" s="450">
        <f>'16'!G114</f>
        <v>32</v>
      </c>
      <c r="T14" s="450">
        <f>'17'!G114</f>
        <v>11</v>
      </c>
      <c r="U14" s="450">
        <f>'18'!G114</f>
        <v>7</v>
      </c>
      <c r="V14" s="450">
        <f>'19'!G114</f>
        <v>14</v>
      </c>
      <c r="W14" s="450">
        <f>'20'!G114</f>
        <v>9</v>
      </c>
      <c r="X14" s="450">
        <f>'21'!G114</f>
        <v>17</v>
      </c>
      <c r="Y14" s="450">
        <f>'22'!G114</f>
        <v>14</v>
      </c>
      <c r="Z14" s="450">
        <f>'23'!G114</f>
        <v>12</v>
      </c>
      <c r="AA14" s="450">
        <f>'24'!G114</f>
        <v>10</v>
      </c>
      <c r="AB14" s="450">
        <f>'25'!G114</f>
        <v>16</v>
      </c>
      <c r="AC14" s="450">
        <f>'26'!G114</f>
        <v>19</v>
      </c>
      <c r="AD14" s="450">
        <f>'27'!G114</f>
        <v>27</v>
      </c>
      <c r="AE14" s="450">
        <f>'28'!G114</f>
        <v>23</v>
      </c>
      <c r="AF14" s="450">
        <f>'29'!G114</f>
        <v>29</v>
      </c>
      <c r="AG14" s="450">
        <f>'30'!G114</f>
        <v>27</v>
      </c>
      <c r="AH14" s="450">
        <f>'31'!G114</f>
        <v>15</v>
      </c>
      <c r="AI14" s="448"/>
    </row>
    <row r="15" spans="2:35">
      <c r="B15" s="1405"/>
      <c r="C15" s="448" t="s">
        <v>35</v>
      </c>
      <c r="D15" s="450">
        <f>'1'!G115</f>
        <v>5</v>
      </c>
      <c r="E15" s="450">
        <f>'2'!G115</f>
        <v>4</v>
      </c>
      <c r="F15" s="450">
        <f>'3'!G115</f>
        <v>5</v>
      </c>
      <c r="G15" s="450">
        <f>'4'!G115</f>
        <v>6</v>
      </c>
      <c r="H15" s="450">
        <f>'5'!G115</f>
        <v>11</v>
      </c>
      <c r="I15" s="450">
        <f>'6'!G115</f>
        <v>6</v>
      </c>
      <c r="J15" s="450">
        <f>'7'!G115</f>
        <v>6</v>
      </c>
      <c r="K15" s="450">
        <f>'8'!G115</f>
        <v>907</v>
      </c>
      <c r="L15" s="450">
        <f>'9'!G115</f>
        <v>-1173</v>
      </c>
      <c r="M15" s="450">
        <f>'10'!G115</f>
        <v>3</v>
      </c>
      <c r="N15" s="450">
        <f>'11'!G115</f>
        <v>13</v>
      </c>
      <c r="O15" s="450">
        <f>'12'!G115</f>
        <v>8</v>
      </c>
      <c r="P15" s="450">
        <f>'13'!G115</f>
        <v>12</v>
      </c>
      <c r="Q15" s="450">
        <f>'14'!G115</f>
        <v>26</v>
      </c>
      <c r="R15" s="450">
        <f>'15'!G115</f>
        <v>17</v>
      </c>
      <c r="S15" s="450">
        <f>'16'!G115</f>
        <v>0</v>
      </c>
      <c r="T15" s="450">
        <f>'17'!G115</f>
        <v>6</v>
      </c>
      <c r="U15" s="450">
        <f>'18'!G115</f>
        <v>6</v>
      </c>
      <c r="V15" s="450">
        <f>'19'!G115</f>
        <v>3</v>
      </c>
      <c r="W15" s="450">
        <f>'20'!G115</f>
        <v>9</v>
      </c>
      <c r="X15" s="450">
        <f>'21'!G115</f>
        <v>4</v>
      </c>
      <c r="Y15" s="450">
        <f>'22'!G115</f>
        <v>16</v>
      </c>
      <c r="Z15" s="450">
        <f>'23'!G115</f>
        <v>16</v>
      </c>
      <c r="AA15" s="450">
        <f>'24'!G115</f>
        <v>13</v>
      </c>
      <c r="AB15" s="450">
        <f>'25'!G115</f>
        <v>5</v>
      </c>
      <c r="AC15" s="450">
        <f>'26'!G115</f>
        <v>33</v>
      </c>
      <c r="AD15" s="450">
        <f>'27'!G115</f>
        <v>5</v>
      </c>
      <c r="AE15" s="450">
        <f>'28'!G115</f>
        <v>9</v>
      </c>
      <c r="AF15" s="450">
        <f>'29'!G115</f>
        <v>10</v>
      </c>
      <c r="AG15" s="450">
        <f>'30'!G115</f>
        <v>9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05" t="s">
        <v>75</v>
      </c>
      <c r="C17" s="448" t="s">
        <v>76</v>
      </c>
      <c r="D17" s="448">
        <f>'1'!G104</f>
        <v>8</v>
      </c>
      <c r="E17" s="450">
        <f>'2'!G104</f>
        <v>0</v>
      </c>
      <c r="F17" s="450">
        <f>'3'!G104</f>
        <v>0</v>
      </c>
      <c r="G17" s="450">
        <f>'4'!G104</f>
        <v>0</v>
      </c>
      <c r="H17" s="450">
        <f>'5'!G104</f>
        <v>10</v>
      </c>
      <c r="I17" s="450">
        <f>'6'!G104</f>
        <v>1</v>
      </c>
      <c r="J17" s="450">
        <f>'7'!G104</f>
        <v>0</v>
      </c>
      <c r="K17" s="450">
        <f>'8'!G104</f>
        <v>0</v>
      </c>
      <c r="L17" s="450">
        <f>'9'!G104</f>
        <v>-189</v>
      </c>
      <c r="M17" s="450">
        <f>'10'!G104</f>
        <v>8</v>
      </c>
      <c r="N17" s="450">
        <f>'11'!G104</f>
        <v>0</v>
      </c>
      <c r="O17" s="450">
        <f>'12'!G104</f>
        <v>0</v>
      </c>
      <c r="P17" s="450">
        <f>'13'!G104</f>
        <v>3</v>
      </c>
      <c r="Q17" s="450">
        <f>'14'!G104</f>
        <v>4</v>
      </c>
      <c r="R17" s="450">
        <f>'15'!G104</f>
        <v>0</v>
      </c>
      <c r="S17" s="450">
        <f>'16'!G104</f>
        <v>0</v>
      </c>
      <c r="T17" s="450">
        <f>'17'!G104</f>
        <v>0</v>
      </c>
      <c r="U17" s="450">
        <f>'18'!G104</f>
        <v>41</v>
      </c>
      <c r="V17" s="450">
        <f>'19'!G104</f>
        <v>0</v>
      </c>
      <c r="W17" s="450">
        <f>'20'!G104</f>
        <v>0</v>
      </c>
      <c r="X17" s="450">
        <f>'21'!G104</f>
        <v>0</v>
      </c>
      <c r="Y17" s="450">
        <f>'22'!G104</f>
        <v>0</v>
      </c>
      <c r="Z17" s="450">
        <f>'23'!G104</f>
        <v>3</v>
      </c>
      <c r="AA17" s="450">
        <f>'24'!G104</f>
        <v>3</v>
      </c>
      <c r="AB17" s="450">
        <f>'25'!G104</f>
        <v>0</v>
      </c>
      <c r="AC17" s="450">
        <f>'26'!G104</f>
        <v>0</v>
      </c>
      <c r="AD17" s="450">
        <f>'27'!G104</f>
        <v>0</v>
      </c>
      <c r="AE17" s="450">
        <f>'28'!G104</f>
        <v>0</v>
      </c>
      <c r="AF17" s="450">
        <f>'29'!G104</f>
        <v>0</v>
      </c>
      <c r="AG17" s="450">
        <f>'30'!G104</f>
        <v>27</v>
      </c>
      <c r="AH17" s="450">
        <f>'31'!G104</f>
        <v>11</v>
      </c>
      <c r="AI17" s="448"/>
    </row>
    <row r="18" spans="2:35">
      <c r="B18" s="1405"/>
      <c r="C18" s="448" t="s">
        <v>77</v>
      </c>
      <c r="D18" s="448">
        <f>'1'!G105</f>
        <v>5</v>
      </c>
      <c r="E18" s="450">
        <f>'2'!G105</f>
        <v>8</v>
      </c>
      <c r="F18" s="450">
        <f>'3'!G105</f>
        <v>7</v>
      </c>
      <c r="G18" s="450">
        <f>'4'!G105</f>
        <v>5</v>
      </c>
      <c r="H18" s="450">
        <f>'5'!G105</f>
        <v>11</v>
      </c>
      <c r="I18" s="450">
        <f>'6'!G105</f>
        <v>4</v>
      </c>
      <c r="J18" s="450">
        <f>'7'!G105</f>
        <v>6</v>
      </c>
      <c r="K18" s="450">
        <f>'8'!G105</f>
        <v>6</v>
      </c>
      <c r="L18" s="450">
        <f>'9'!G105</f>
        <v>-222</v>
      </c>
      <c r="M18" s="450">
        <f>'10'!G105</f>
        <v>7</v>
      </c>
      <c r="N18" s="450">
        <f>'11'!G105</f>
        <v>6</v>
      </c>
      <c r="O18" s="450">
        <f>'12'!G105</f>
        <v>6</v>
      </c>
      <c r="P18" s="450">
        <f>'13'!G105</f>
        <v>8</v>
      </c>
      <c r="Q18" s="450">
        <f>'14'!G105</f>
        <v>7</v>
      </c>
      <c r="R18" s="450">
        <f>'15'!G105</f>
        <v>6</v>
      </c>
      <c r="S18" s="450">
        <f>'16'!G105</f>
        <v>8</v>
      </c>
      <c r="T18" s="450">
        <f>'17'!G105</f>
        <v>5</v>
      </c>
      <c r="U18" s="450">
        <f>'18'!G105</f>
        <v>7</v>
      </c>
      <c r="V18" s="450">
        <f>'19'!G105</f>
        <v>7</v>
      </c>
      <c r="W18" s="450">
        <f>'20'!G105</f>
        <v>10</v>
      </c>
      <c r="X18" s="450">
        <f>'21'!G105</f>
        <v>9</v>
      </c>
      <c r="Y18" s="450">
        <f>'22'!G105</f>
        <v>10</v>
      </c>
      <c r="Z18" s="450">
        <f>'23'!G105</f>
        <v>10</v>
      </c>
      <c r="AA18" s="450">
        <f>'24'!G105</f>
        <v>7</v>
      </c>
      <c r="AB18" s="450">
        <f>'25'!G105</f>
        <v>7</v>
      </c>
      <c r="AC18" s="450">
        <f>'26'!G105</f>
        <v>7</v>
      </c>
      <c r="AD18" s="450">
        <f>'27'!G105</f>
        <v>9</v>
      </c>
      <c r="AE18" s="450">
        <f>'28'!G105</f>
        <v>12</v>
      </c>
      <c r="AF18" s="450">
        <f>'29'!G105</f>
        <v>11</v>
      </c>
      <c r="AG18" s="450">
        <f>'30'!G105</f>
        <v>5</v>
      </c>
      <c r="AH18" s="450">
        <f>'31'!G105</f>
        <v>11</v>
      </c>
      <c r="AI18" s="448"/>
    </row>
    <row r="19" spans="2:35">
      <c r="B19" s="1405"/>
      <c r="C19" s="448" t="s">
        <v>78</v>
      </c>
      <c r="D19" s="448">
        <f>'1'!G106</f>
        <v>5</v>
      </c>
      <c r="E19" s="450">
        <f>'2'!G106</f>
        <v>7</v>
      </c>
      <c r="F19" s="450">
        <f>'3'!G106</f>
        <v>6</v>
      </c>
      <c r="G19" s="450">
        <f>'4'!G106</f>
        <v>7</v>
      </c>
      <c r="H19" s="450">
        <f>'5'!G106</f>
        <v>13</v>
      </c>
      <c r="I19" s="450">
        <f>'6'!G106</f>
        <v>7</v>
      </c>
      <c r="J19" s="450">
        <f>'7'!G106</f>
        <v>6</v>
      </c>
      <c r="K19" s="450">
        <f>'8'!G106</f>
        <v>9</v>
      </c>
      <c r="L19" s="450">
        <f>'9'!G106</f>
        <v>-179</v>
      </c>
      <c r="M19" s="450">
        <f>'10'!G106</f>
        <v>5</v>
      </c>
      <c r="N19" s="450">
        <f>'11'!G106</f>
        <v>11</v>
      </c>
      <c r="O19" s="450">
        <f>'12'!G106</f>
        <v>4</v>
      </c>
      <c r="P19" s="450">
        <f>'13'!G106</f>
        <v>6</v>
      </c>
      <c r="Q19" s="450">
        <f>'14'!G106</f>
        <v>5</v>
      </c>
      <c r="R19" s="450">
        <f>'15'!G106</f>
        <v>6</v>
      </c>
      <c r="S19" s="450">
        <f>'16'!G106</f>
        <v>7</v>
      </c>
      <c r="T19" s="450">
        <f>'17'!G106</f>
        <v>4</v>
      </c>
      <c r="U19" s="450">
        <f>'18'!G106</f>
        <v>5</v>
      </c>
      <c r="V19" s="450">
        <f>'19'!G106</f>
        <v>4</v>
      </c>
      <c r="W19" s="450">
        <f>'20'!G106</f>
        <v>7</v>
      </c>
      <c r="X19" s="450">
        <f>'21'!G106</f>
        <v>6</v>
      </c>
      <c r="Y19" s="450">
        <f>'22'!G106</f>
        <v>6</v>
      </c>
      <c r="Z19" s="450">
        <f>'23'!G106</f>
        <v>6</v>
      </c>
      <c r="AA19" s="450">
        <f>'24'!G106</f>
        <v>7</v>
      </c>
      <c r="AB19" s="450">
        <f>'25'!G106</f>
        <v>5</v>
      </c>
      <c r="AC19" s="450">
        <f>'26'!G106</f>
        <v>5</v>
      </c>
      <c r="AD19" s="450">
        <f>'27'!G106</f>
        <v>4</v>
      </c>
      <c r="AE19" s="450">
        <f>'28'!G106</f>
        <v>5</v>
      </c>
      <c r="AF19" s="450">
        <f>'29'!G106</f>
        <v>6</v>
      </c>
      <c r="AG19" s="450">
        <f>'30'!G106</f>
        <v>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05" t="s">
        <v>79</v>
      </c>
      <c r="C21" s="448" t="s">
        <v>80</v>
      </c>
      <c r="D21" s="448">
        <f>'1'!G109</f>
        <v>87</v>
      </c>
      <c r="E21" s="450">
        <f>'2'!G109</f>
        <v>94</v>
      </c>
      <c r="F21" s="450">
        <f>'3'!G109</f>
        <v>88</v>
      </c>
      <c r="G21" s="450">
        <f>'4'!G109</f>
        <v>62</v>
      </c>
      <c r="H21" s="450">
        <f>'5'!G109</f>
        <v>86</v>
      </c>
      <c r="I21" s="450">
        <f>'6'!G109</f>
        <v>85</v>
      </c>
      <c r="J21" s="450">
        <f>'7'!G109</f>
        <v>86</v>
      </c>
      <c r="K21" s="450">
        <f>'8'!G109</f>
        <v>104</v>
      </c>
      <c r="L21" s="450">
        <f>'9'!G109</f>
        <v>-2504</v>
      </c>
      <c r="M21" s="450">
        <f>'10'!G109</f>
        <v>83</v>
      </c>
      <c r="N21" s="450">
        <f>'11'!G109</f>
        <v>82</v>
      </c>
      <c r="O21" s="450">
        <f>'12'!G109</f>
        <v>41</v>
      </c>
      <c r="P21" s="450">
        <f>'13'!G109</f>
        <v>98</v>
      </c>
      <c r="Q21" s="450">
        <f>'14'!G109</f>
        <v>78</v>
      </c>
      <c r="R21" s="450">
        <f>'15'!G109</f>
        <v>81</v>
      </c>
      <c r="S21" s="450">
        <f>'16'!G109</f>
        <v>53</v>
      </c>
      <c r="T21" s="450">
        <f>'17'!G109</f>
        <v>64</v>
      </c>
      <c r="U21" s="450">
        <f>'18'!G109</f>
        <v>76</v>
      </c>
      <c r="V21" s="450">
        <f>'19'!G109</f>
        <v>107</v>
      </c>
      <c r="W21" s="450">
        <f>'20'!G109</f>
        <v>43</v>
      </c>
      <c r="X21" s="450">
        <f>'21'!G109</f>
        <v>95</v>
      </c>
      <c r="Y21" s="450">
        <f>'22'!G109</f>
        <v>85</v>
      </c>
      <c r="Z21" s="450">
        <f>'23'!G109</f>
        <v>85</v>
      </c>
      <c r="AA21" s="450">
        <f>'24'!G109</f>
        <v>63</v>
      </c>
      <c r="AB21" s="450">
        <f>'25'!G109</f>
        <v>59</v>
      </c>
      <c r="AC21" s="450">
        <f>'26'!G109</f>
        <v>124</v>
      </c>
      <c r="AD21" s="450">
        <f>'27'!G109</f>
        <v>82</v>
      </c>
      <c r="AE21" s="450">
        <f>'28'!G109</f>
        <v>98</v>
      </c>
      <c r="AF21" s="450">
        <f>'29'!G109</f>
        <v>122</v>
      </c>
      <c r="AG21" s="450">
        <f>'30'!G109</f>
        <v>77</v>
      </c>
      <c r="AH21" s="450">
        <f>'31'!G109</f>
        <v>116</v>
      </c>
      <c r="AI21" s="448"/>
    </row>
    <row r="22" spans="2:35">
      <c r="B22" s="1405"/>
      <c r="C22" s="448" t="s">
        <v>81</v>
      </c>
      <c r="D22" s="448">
        <f>'1'!G110</f>
        <v>30</v>
      </c>
      <c r="E22" s="450">
        <f>'2'!G110</f>
        <v>14</v>
      </c>
      <c r="F22" s="450">
        <f>'3'!G110</f>
        <v>71</v>
      </c>
      <c r="G22" s="450">
        <f>'4'!G110</f>
        <v>44</v>
      </c>
      <c r="H22" s="450">
        <f>'5'!G110</f>
        <v>73</v>
      </c>
      <c r="I22" s="450">
        <f>'6'!G110</f>
        <v>0</v>
      </c>
      <c r="J22" s="450">
        <f>'7'!G110</f>
        <v>0</v>
      </c>
      <c r="K22" s="450">
        <f>'8'!G110</f>
        <v>32</v>
      </c>
      <c r="L22" s="450">
        <f>'9'!G110</f>
        <v>-850</v>
      </c>
      <c r="M22" s="450">
        <f>'10'!G110</f>
        <v>38</v>
      </c>
      <c r="N22" s="450">
        <f>'11'!G110</f>
        <v>58</v>
      </c>
      <c r="O22" s="450">
        <f>'12'!G110</f>
        <v>31</v>
      </c>
      <c r="P22" s="450">
        <f>'13'!G110</f>
        <v>25</v>
      </c>
      <c r="Q22" s="450">
        <f>'14'!G110</f>
        <v>23</v>
      </c>
      <c r="R22" s="450">
        <f>'15'!G110</f>
        <v>21</v>
      </c>
      <c r="S22" s="450">
        <f>'16'!G110</f>
        <v>26</v>
      </c>
      <c r="T22" s="450">
        <f>'17'!G110</f>
        <v>0</v>
      </c>
      <c r="U22" s="450">
        <f>'18'!G110</f>
        <v>0</v>
      </c>
      <c r="V22" s="450">
        <f>'19'!G110</f>
        <v>25</v>
      </c>
      <c r="W22" s="450">
        <f>'20'!G110</f>
        <v>28</v>
      </c>
      <c r="X22" s="450">
        <f>'21'!G110</f>
        <v>22</v>
      </c>
      <c r="Y22" s="450">
        <f>'22'!G110</f>
        <v>36</v>
      </c>
      <c r="Z22" s="450">
        <f>'23'!G110</f>
        <v>58</v>
      </c>
      <c r="AA22" s="450">
        <f>'24'!G110</f>
        <v>38</v>
      </c>
      <c r="AB22" s="450">
        <f>'25'!G110</f>
        <v>18</v>
      </c>
      <c r="AC22" s="450">
        <f>'26'!G110</f>
        <v>0</v>
      </c>
      <c r="AD22" s="450">
        <f>'27'!G110</f>
        <v>0</v>
      </c>
      <c r="AE22" s="450">
        <f>'28'!G110</f>
        <v>48</v>
      </c>
      <c r="AF22" s="450">
        <f>'29'!G110</f>
        <v>25</v>
      </c>
      <c r="AG22" s="450">
        <f>'30'!G110</f>
        <v>53</v>
      </c>
      <c r="AH22" s="450">
        <f>'31'!G110</f>
        <v>13</v>
      </c>
      <c r="AI22" s="448"/>
    </row>
    <row r="23" spans="2:35">
      <c r="B23" s="1405"/>
      <c r="C23" s="448" t="s">
        <v>82</v>
      </c>
      <c r="D23" s="448">
        <f>'1'!G111</f>
        <v>21</v>
      </c>
      <c r="E23" s="450">
        <f>'2'!G111</f>
        <v>9</v>
      </c>
      <c r="F23" s="450">
        <f>'3'!G111</f>
        <v>12</v>
      </c>
      <c r="G23" s="450">
        <f>'4'!G111</f>
        <v>0</v>
      </c>
      <c r="H23" s="450">
        <f>'5'!G111</f>
        <v>10</v>
      </c>
      <c r="I23" s="450">
        <f>'6'!G111</f>
        <v>0</v>
      </c>
      <c r="J23" s="450">
        <f>'7'!G111</f>
        <v>0</v>
      </c>
      <c r="K23" s="450">
        <f>'8'!G111</f>
        <v>16</v>
      </c>
      <c r="L23" s="450">
        <f>'9'!G111</f>
        <v>-181</v>
      </c>
      <c r="M23" s="450">
        <f>'10'!G111</f>
        <v>4</v>
      </c>
      <c r="N23" s="450">
        <f>'11'!G111</f>
        <v>0</v>
      </c>
      <c r="O23" s="450">
        <f>'12'!G111</f>
        <v>7</v>
      </c>
      <c r="P23" s="450">
        <f>'13'!G111</f>
        <v>0</v>
      </c>
      <c r="Q23" s="450">
        <f>'14'!G111</f>
        <v>0</v>
      </c>
      <c r="R23" s="450">
        <f>'15'!G111</f>
        <v>10</v>
      </c>
      <c r="S23" s="450">
        <f>'16'!G111</f>
        <v>0</v>
      </c>
      <c r="T23" s="450">
        <f>'17'!G111</f>
        <v>20</v>
      </c>
      <c r="U23" s="450">
        <f>'18'!G111</f>
        <v>0</v>
      </c>
      <c r="V23" s="450">
        <f>'19'!G111</f>
        <v>0</v>
      </c>
      <c r="W23" s="450">
        <f>'20'!G111</f>
        <v>14</v>
      </c>
      <c r="X23" s="450">
        <f>'21'!G111</f>
        <v>0</v>
      </c>
      <c r="Y23" s="450">
        <f>'22'!G111</f>
        <v>8</v>
      </c>
      <c r="Z23" s="450">
        <f>'23'!G111</f>
        <v>11</v>
      </c>
      <c r="AA23" s="450">
        <f>'24'!G111</f>
        <v>0</v>
      </c>
      <c r="AB23" s="450">
        <f>'25'!G111</f>
        <v>13</v>
      </c>
      <c r="AC23" s="450">
        <f>'26'!G111</f>
        <v>0</v>
      </c>
      <c r="AD23" s="450">
        <f>'27'!G111</f>
        <v>16</v>
      </c>
      <c r="AE23" s="450">
        <f>'28'!G111</f>
        <v>0</v>
      </c>
      <c r="AF23" s="450">
        <f>'29'!G111</f>
        <v>10</v>
      </c>
      <c r="AG23" s="450">
        <f>'30'!G111</f>
        <v>0</v>
      </c>
      <c r="AH23" s="450">
        <f>'31'!G111</f>
        <v>0</v>
      </c>
      <c r="AI23" s="448"/>
    </row>
    <row r="24" spans="2:35" ht="30">
      <c r="B24" s="452" t="s">
        <v>351</v>
      </c>
      <c r="C24" s="448"/>
      <c r="D24" s="450">
        <f>SUM(D5:D6)</f>
        <v>193</v>
      </c>
      <c r="E24" s="450">
        <f t="shared" ref="E24:AH24" si="0">SUM(E5:E6)</f>
        <v>173</v>
      </c>
      <c r="F24" s="450">
        <f t="shared" si="0"/>
        <v>153</v>
      </c>
      <c r="G24" s="450">
        <f t="shared" si="0"/>
        <v>174</v>
      </c>
      <c r="H24" s="450">
        <f t="shared" si="0"/>
        <v>178</v>
      </c>
      <c r="I24" s="450">
        <f t="shared" si="0"/>
        <v>156</v>
      </c>
      <c r="J24" s="450">
        <f t="shared" si="0"/>
        <v>157</v>
      </c>
      <c r="K24" s="450">
        <f t="shared" si="0"/>
        <v>156</v>
      </c>
      <c r="L24" s="450">
        <f t="shared" si="0"/>
        <v>-1480</v>
      </c>
      <c r="M24" s="450">
        <f t="shared" si="0"/>
        <v>152</v>
      </c>
      <c r="N24" s="450">
        <f t="shared" si="0"/>
        <v>171</v>
      </c>
      <c r="O24" s="450">
        <f t="shared" si="0"/>
        <v>154</v>
      </c>
      <c r="P24" s="450">
        <f t="shared" si="0"/>
        <v>213</v>
      </c>
      <c r="Q24" s="450">
        <f t="shared" si="0"/>
        <v>232</v>
      </c>
      <c r="R24" s="450">
        <f t="shared" si="0"/>
        <v>175</v>
      </c>
      <c r="S24" s="450">
        <f t="shared" si="0"/>
        <v>154</v>
      </c>
      <c r="T24" s="450">
        <f t="shared" si="0"/>
        <v>173</v>
      </c>
      <c r="U24" s="450">
        <f t="shared" si="0"/>
        <v>133</v>
      </c>
      <c r="V24" s="450">
        <f t="shared" si="0"/>
        <v>171</v>
      </c>
      <c r="W24" s="450">
        <f t="shared" si="0"/>
        <v>152</v>
      </c>
      <c r="X24" s="450">
        <f t="shared" si="0"/>
        <v>203</v>
      </c>
      <c r="Y24" s="450">
        <f t="shared" si="0"/>
        <v>174</v>
      </c>
      <c r="Z24" s="450">
        <f t="shared" si="0"/>
        <v>152</v>
      </c>
      <c r="AA24" s="450">
        <f t="shared" si="0"/>
        <v>194</v>
      </c>
      <c r="AB24" s="450">
        <f t="shared" si="0"/>
        <v>195</v>
      </c>
      <c r="AC24" s="450">
        <f t="shared" si="0"/>
        <v>243</v>
      </c>
      <c r="AD24" s="450">
        <f t="shared" si="0"/>
        <v>234</v>
      </c>
      <c r="AE24" s="450">
        <f t="shared" si="0"/>
        <v>232</v>
      </c>
      <c r="AF24" s="450">
        <f t="shared" si="0"/>
        <v>213</v>
      </c>
      <c r="AG24" s="450">
        <f t="shared" si="0"/>
        <v>193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139</v>
      </c>
      <c r="E25" s="450">
        <f t="shared" ref="E25:AI25" si="1">SUM(E9:E11,E14:E15,)</f>
        <v>138</v>
      </c>
      <c r="F25" s="450">
        <f t="shared" si="1"/>
        <v>132</v>
      </c>
      <c r="G25" s="450">
        <f t="shared" si="1"/>
        <v>135</v>
      </c>
      <c r="H25" s="450">
        <f t="shared" si="1"/>
        <v>163</v>
      </c>
      <c r="I25" s="450">
        <f t="shared" si="1"/>
        <v>131</v>
      </c>
      <c r="J25" s="450">
        <f t="shared" si="1"/>
        <v>139</v>
      </c>
      <c r="K25" s="450">
        <f t="shared" si="1"/>
        <v>1032</v>
      </c>
      <c r="L25" s="450">
        <f t="shared" si="1"/>
        <v>-5059</v>
      </c>
      <c r="M25" s="450">
        <f t="shared" si="1"/>
        <v>108</v>
      </c>
      <c r="N25" s="450">
        <f t="shared" si="1"/>
        <v>138</v>
      </c>
      <c r="O25" s="450">
        <f t="shared" si="1"/>
        <v>122</v>
      </c>
      <c r="P25" s="450">
        <f t="shared" si="1"/>
        <v>168</v>
      </c>
      <c r="Q25" s="450">
        <f t="shared" si="1"/>
        <v>174</v>
      </c>
      <c r="R25" s="450">
        <f t="shared" si="1"/>
        <v>119</v>
      </c>
      <c r="S25" s="450">
        <f t="shared" si="1"/>
        <v>20</v>
      </c>
      <c r="T25" s="450">
        <f>SUM(T9:T11,T14:T15,)</f>
        <v>128</v>
      </c>
      <c r="U25" s="450">
        <f t="shared" si="1"/>
        <v>110</v>
      </c>
      <c r="V25" s="450">
        <f t="shared" si="1"/>
        <v>124</v>
      </c>
      <c r="W25" s="450">
        <f t="shared" si="1"/>
        <v>131</v>
      </c>
      <c r="X25" s="450">
        <f t="shared" si="1"/>
        <v>155</v>
      </c>
      <c r="Y25" s="450">
        <f t="shared" si="1"/>
        <v>153</v>
      </c>
      <c r="Z25" s="450">
        <f t="shared" si="1"/>
        <v>134</v>
      </c>
      <c r="AA25" s="450">
        <f t="shared" si="1"/>
        <v>136</v>
      </c>
      <c r="AB25" s="450">
        <f t="shared" si="1"/>
        <v>142</v>
      </c>
      <c r="AC25" s="450">
        <f t="shared" si="1"/>
        <v>197</v>
      </c>
      <c r="AD25" s="450">
        <f t="shared" si="1"/>
        <v>163</v>
      </c>
      <c r="AE25" s="450">
        <f t="shared" si="1"/>
        <v>191</v>
      </c>
      <c r="AF25" s="450">
        <f t="shared" si="1"/>
        <v>162</v>
      </c>
      <c r="AG25" s="450">
        <f t="shared" si="1"/>
        <v>141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136</v>
      </c>
      <c r="E27" s="450">
        <f t="shared" ref="E27:AH27" si="2">SUM(E13,E21,E23)</f>
        <v>153</v>
      </c>
      <c r="F27" s="450">
        <f>SUM(F13,F21,F23)</f>
        <v>156</v>
      </c>
      <c r="G27" s="450">
        <f t="shared" si="2"/>
        <v>116</v>
      </c>
      <c r="H27" s="450">
        <f t="shared" si="2"/>
        <v>124</v>
      </c>
      <c r="I27" s="450">
        <f t="shared" si="2"/>
        <v>100</v>
      </c>
      <c r="J27" s="450">
        <f t="shared" si="2"/>
        <v>120</v>
      </c>
      <c r="K27" s="450">
        <f t="shared" si="2"/>
        <v>155</v>
      </c>
      <c r="L27" s="450">
        <f t="shared" si="2"/>
        <v>-3778</v>
      </c>
      <c r="M27" s="450">
        <f t="shared" si="2"/>
        <v>131</v>
      </c>
      <c r="N27" s="450">
        <f t="shared" si="2"/>
        <v>154</v>
      </c>
      <c r="O27" s="450">
        <f t="shared" si="2"/>
        <v>115</v>
      </c>
      <c r="P27" s="450">
        <f t="shared" si="2"/>
        <v>146</v>
      </c>
      <c r="Q27" s="450">
        <f t="shared" si="2"/>
        <v>107</v>
      </c>
      <c r="R27" s="450">
        <f t="shared" si="2"/>
        <v>130</v>
      </c>
      <c r="S27" s="450">
        <f t="shared" si="2"/>
        <v>63</v>
      </c>
      <c r="T27" s="450">
        <f t="shared" si="2"/>
        <v>102</v>
      </c>
      <c r="U27" s="450">
        <f t="shared" si="2"/>
        <v>92</v>
      </c>
      <c r="V27" s="450">
        <f t="shared" si="2"/>
        <v>139</v>
      </c>
      <c r="W27" s="450">
        <f t="shared" si="2"/>
        <v>76</v>
      </c>
      <c r="X27" s="450">
        <f t="shared" si="2"/>
        <v>132</v>
      </c>
      <c r="Y27" s="450">
        <f t="shared" si="2"/>
        <v>129</v>
      </c>
      <c r="Z27" s="450">
        <f t="shared" si="2"/>
        <v>142</v>
      </c>
      <c r="AA27" s="450">
        <f t="shared" si="2"/>
        <v>121</v>
      </c>
      <c r="AB27" s="450">
        <f t="shared" si="2"/>
        <v>91</v>
      </c>
      <c r="AC27" s="450">
        <f t="shared" si="2"/>
        <v>168</v>
      </c>
      <c r="AD27" s="450">
        <f t="shared" si="2"/>
        <v>130</v>
      </c>
      <c r="AE27" s="450">
        <f t="shared" si="2"/>
        <v>149</v>
      </c>
      <c r="AF27" s="450">
        <f t="shared" si="2"/>
        <v>163</v>
      </c>
      <c r="AG27" s="450">
        <f t="shared" si="2"/>
        <v>112</v>
      </c>
      <c r="AH27" s="450">
        <f t="shared" si="2"/>
        <v>126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77</v>
      </c>
      <c r="E29" s="1031">
        <f t="shared" ref="E29:AH29" si="4">E9</f>
        <v>87</v>
      </c>
      <c r="F29" s="1031">
        <f t="shared" si="4"/>
        <v>72</v>
      </c>
      <c r="G29" s="1031">
        <f t="shared" si="4"/>
        <v>71</v>
      </c>
      <c r="H29" s="1031">
        <f t="shared" si="4"/>
        <v>68</v>
      </c>
      <c r="I29" s="1031">
        <f t="shared" si="4"/>
        <v>68</v>
      </c>
      <c r="J29" s="1031">
        <f t="shared" si="4"/>
        <v>79</v>
      </c>
      <c r="K29" s="1031">
        <f t="shared" si="4"/>
        <v>78</v>
      </c>
      <c r="L29" s="1031">
        <f t="shared" si="4"/>
        <v>-2409</v>
      </c>
      <c r="M29" s="1031">
        <f t="shared" si="4"/>
        <v>68</v>
      </c>
      <c r="N29" s="1031">
        <f t="shared" si="4"/>
        <v>79</v>
      </c>
      <c r="O29" s="1031">
        <f t="shared" si="4"/>
        <v>71</v>
      </c>
      <c r="P29" s="1031">
        <f t="shared" si="4"/>
        <v>105</v>
      </c>
      <c r="Q29" s="1031">
        <f t="shared" si="4"/>
        <v>74</v>
      </c>
      <c r="R29" s="1031">
        <f t="shared" si="4"/>
        <v>72</v>
      </c>
      <c r="S29" s="1031">
        <f t="shared" si="4"/>
        <v>72</v>
      </c>
      <c r="T29" s="1031">
        <f t="shared" si="4"/>
        <v>97</v>
      </c>
      <c r="U29" s="1031">
        <f t="shared" si="4"/>
        <v>71</v>
      </c>
      <c r="V29" s="1031">
        <f t="shared" si="4"/>
        <v>76</v>
      </c>
      <c r="W29" s="1031">
        <f t="shared" si="4"/>
        <v>77</v>
      </c>
      <c r="X29" s="1031">
        <f t="shared" si="4"/>
        <v>80</v>
      </c>
      <c r="Y29" s="1031">
        <f t="shared" si="4"/>
        <v>85</v>
      </c>
      <c r="Z29" s="1031">
        <f t="shared" si="4"/>
        <v>76</v>
      </c>
      <c r="AA29" s="1031">
        <f t="shared" si="4"/>
        <v>85</v>
      </c>
      <c r="AB29" s="1031">
        <f t="shared" si="4"/>
        <v>88</v>
      </c>
      <c r="AC29" s="1031">
        <f t="shared" si="4"/>
        <v>108</v>
      </c>
      <c r="AD29" s="1031">
        <f t="shared" si="4"/>
        <v>87</v>
      </c>
      <c r="AE29" s="1031">
        <f t="shared" si="4"/>
        <v>98</v>
      </c>
      <c r="AF29" s="1031">
        <f t="shared" si="4"/>
        <v>69</v>
      </c>
      <c r="AG29" s="1031">
        <f t="shared" si="4"/>
        <v>71</v>
      </c>
      <c r="AH29" s="1031">
        <f t="shared" si="4"/>
        <v>100</v>
      </c>
      <c r="AI29" s="1030"/>
    </row>
    <row r="30" spans="2:35">
      <c r="B30" s="1029" t="s">
        <v>86</v>
      </c>
      <c r="C30" s="1030"/>
      <c r="D30" s="1031">
        <f>SUM(D10:D11,D14:D15)</f>
        <v>62</v>
      </c>
      <c r="E30" s="1031">
        <f t="shared" ref="E30:AH30" si="5">SUM(E10:E11,E14:E15)</f>
        <v>51</v>
      </c>
      <c r="F30" s="1031">
        <f t="shared" si="5"/>
        <v>60</v>
      </c>
      <c r="G30" s="1031">
        <f t="shared" si="5"/>
        <v>64</v>
      </c>
      <c r="H30" s="1031">
        <f t="shared" si="5"/>
        <v>95</v>
      </c>
      <c r="I30" s="1031">
        <f t="shared" si="5"/>
        <v>63</v>
      </c>
      <c r="J30" s="1031">
        <f t="shared" si="5"/>
        <v>60</v>
      </c>
      <c r="K30" s="1031">
        <f t="shared" si="5"/>
        <v>954</v>
      </c>
      <c r="L30" s="1031">
        <f t="shared" si="5"/>
        <v>-2650</v>
      </c>
      <c r="M30" s="1031">
        <f t="shared" si="5"/>
        <v>40</v>
      </c>
      <c r="N30" s="1031">
        <f t="shared" si="5"/>
        <v>59</v>
      </c>
      <c r="O30" s="1031">
        <f t="shared" si="5"/>
        <v>51</v>
      </c>
      <c r="P30" s="1031">
        <f t="shared" si="5"/>
        <v>63</v>
      </c>
      <c r="Q30" s="1031">
        <f t="shared" si="5"/>
        <v>100</v>
      </c>
      <c r="R30" s="1031">
        <f t="shared" si="5"/>
        <v>47</v>
      </c>
      <c r="S30" s="1031">
        <f t="shared" si="5"/>
        <v>-52</v>
      </c>
      <c r="T30" s="1031">
        <f t="shared" si="5"/>
        <v>31</v>
      </c>
      <c r="U30" s="1031">
        <f t="shared" si="5"/>
        <v>39</v>
      </c>
      <c r="V30" s="1031">
        <f t="shared" si="5"/>
        <v>48</v>
      </c>
      <c r="W30" s="1031">
        <f t="shared" si="5"/>
        <v>54</v>
      </c>
      <c r="X30" s="1031">
        <f t="shared" si="5"/>
        <v>75</v>
      </c>
      <c r="Y30" s="1031">
        <f t="shared" si="5"/>
        <v>68</v>
      </c>
      <c r="Z30" s="1031">
        <f t="shared" si="5"/>
        <v>58</v>
      </c>
      <c r="AA30" s="1031">
        <f t="shared" si="5"/>
        <v>51</v>
      </c>
      <c r="AB30" s="1031">
        <f t="shared" si="5"/>
        <v>54</v>
      </c>
      <c r="AC30" s="1031">
        <f t="shared" si="5"/>
        <v>89</v>
      </c>
      <c r="AD30" s="1031">
        <f t="shared" si="5"/>
        <v>76</v>
      </c>
      <c r="AE30" s="1031">
        <f t="shared" si="5"/>
        <v>93</v>
      </c>
      <c r="AF30" s="1031">
        <f t="shared" si="5"/>
        <v>93</v>
      </c>
      <c r="AG30" s="1031">
        <f t="shared" si="5"/>
        <v>70</v>
      </c>
      <c r="AH30" s="1031">
        <f t="shared" si="5"/>
        <v>61</v>
      </c>
      <c r="AI30" s="1030"/>
    </row>
    <row r="31" spans="2:35">
      <c r="B31" s="1029" t="s">
        <v>87</v>
      </c>
      <c r="C31" s="1030"/>
      <c r="D31" s="1030">
        <f>D30/SUM(D29:D30)%</f>
        <v>44.60431654676259</v>
      </c>
      <c r="E31" s="1030">
        <f t="shared" ref="E31:AH31" si="6">E30/SUM(E29:E30)%</f>
        <v>36.956521739130437</v>
      </c>
      <c r="F31" s="1030">
        <f t="shared" si="6"/>
        <v>45.454545454545453</v>
      </c>
      <c r="G31" s="1030">
        <f t="shared" si="6"/>
        <v>47.407407407407405</v>
      </c>
      <c r="H31" s="1030">
        <f t="shared" si="6"/>
        <v>58.282208588957062</v>
      </c>
      <c r="I31" s="1030">
        <f t="shared" si="6"/>
        <v>48.091603053435115</v>
      </c>
      <c r="J31" s="1030">
        <f t="shared" si="6"/>
        <v>43.165467625899282</v>
      </c>
      <c r="K31" s="1030">
        <f t="shared" si="6"/>
        <v>92.441860465116278</v>
      </c>
      <c r="L31" s="1030">
        <f t="shared" si="6"/>
        <v>52.381893654872499</v>
      </c>
      <c r="M31" s="1030">
        <f t="shared" si="6"/>
        <v>37.037037037037038</v>
      </c>
      <c r="N31" s="1030">
        <f t="shared" si="6"/>
        <v>42.753623188405797</v>
      </c>
      <c r="O31" s="1030">
        <f t="shared" si="6"/>
        <v>41.803278688524593</v>
      </c>
      <c r="P31" s="1030">
        <f t="shared" si="6"/>
        <v>37.5</v>
      </c>
      <c r="Q31" s="1030">
        <f t="shared" si="6"/>
        <v>57.47126436781609</v>
      </c>
      <c r="R31" s="1030">
        <f t="shared" si="6"/>
        <v>39.495798319327733</v>
      </c>
      <c r="S31" s="1030">
        <f t="shared" si="6"/>
        <v>-260</v>
      </c>
      <c r="T31" s="1030">
        <f t="shared" si="6"/>
        <v>24.21875</v>
      </c>
      <c r="U31" s="1030">
        <f t="shared" si="6"/>
        <v>35.454545454545453</v>
      </c>
      <c r="V31" s="1030">
        <f t="shared" si="6"/>
        <v>38.70967741935484</v>
      </c>
      <c r="W31" s="1030">
        <f t="shared" si="6"/>
        <v>41.221374045801525</v>
      </c>
      <c r="X31" s="1030">
        <f t="shared" si="6"/>
        <v>48.387096774193544</v>
      </c>
      <c r="Y31" s="1030">
        <f t="shared" si="6"/>
        <v>44.444444444444443</v>
      </c>
      <c r="Z31" s="1030">
        <f t="shared" si="6"/>
        <v>43.283582089552233</v>
      </c>
      <c r="AA31" s="1030">
        <f t="shared" si="6"/>
        <v>37.5</v>
      </c>
      <c r="AB31" s="1030">
        <f t="shared" si="6"/>
        <v>38.028169014084511</v>
      </c>
      <c r="AC31" s="1030">
        <f t="shared" si="6"/>
        <v>45.17766497461929</v>
      </c>
      <c r="AD31" s="1030">
        <f t="shared" si="6"/>
        <v>46.625766871165645</v>
      </c>
      <c r="AE31" s="1030">
        <f t="shared" si="6"/>
        <v>48.691099476439796</v>
      </c>
      <c r="AF31" s="1030">
        <f t="shared" si="6"/>
        <v>57.407407407407405</v>
      </c>
      <c r="AG31" s="1030">
        <f t="shared" si="6"/>
        <v>49.645390070921991</v>
      </c>
      <c r="AH31" s="1030">
        <f t="shared" si="6"/>
        <v>37.888198757763973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zoomScale="85" zoomScaleNormal="85" workbookViewId="0">
      <pane xSplit="1" topLeftCell="B1" activePane="topRight" state="frozen"/>
      <selection activeCell="A3" sqref="A3"/>
      <selection pane="topRight" activeCell="H18" sqref="H18"/>
    </sheetView>
  </sheetViews>
  <sheetFormatPr defaultRowHeight="15.75"/>
  <cols>
    <col min="1" max="5" width="8.88671875" style="1040"/>
    <col min="6" max="6" width="8.109375" bestFit="1" customWidth="1"/>
    <col min="7" max="7" width="6.88671875" customWidth="1"/>
    <col min="8" max="9" width="7.55468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09" t="s">
        <v>363</v>
      </c>
      <c r="G2" s="1403"/>
      <c r="H2" s="1403"/>
      <c r="I2" s="1403"/>
      <c r="J2" s="1403"/>
      <c r="K2" s="1403"/>
      <c r="L2" s="1403"/>
      <c r="M2" s="1404"/>
      <c r="N2" s="1408" t="s">
        <v>88</v>
      </c>
      <c r="O2" s="1408"/>
      <c r="P2" s="1408"/>
      <c r="Q2" s="1408"/>
      <c r="R2" s="1408"/>
      <c r="S2" s="1408"/>
      <c r="T2" s="1408"/>
      <c r="U2" s="1408"/>
      <c r="V2" s="1408"/>
      <c r="W2" s="1408"/>
      <c r="X2" s="1408"/>
      <c r="Y2" s="1408"/>
      <c r="Z2" s="1408"/>
      <c r="AA2" s="1408"/>
      <c r="AB2" s="1408"/>
      <c r="AC2" s="1408"/>
      <c r="AD2" s="1408"/>
      <c r="AE2" s="1408"/>
      <c r="AF2" s="1408"/>
      <c r="AG2" s="1408"/>
      <c r="AH2" s="1408"/>
      <c r="AI2" s="1408"/>
      <c r="AJ2" s="1408"/>
      <c r="AK2" s="1408"/>
      <c r="AL2" s="1408"/>
      <c r="AM2" s="1408"/>
      <c r="AN2" s="1407"/>
      <c r="AO2" s="1407"/>
      <c r="AP2" s="1407"/>
      <c r="AQ2" s="1407"/>
      <c r="AR2" s="1407"/>
      <c r="AS2" s="1407"/>
      <c r="AT2" s="1407"/>
      <c r="AU2" s="1120"/>
      <c r="AV2" s="1406" t="s">
        <v>89</v>
      </c>
      <c r="AW2" s="1406"/>
      <c r="AX2" s="1406"/>
      <c r="AY2" s="1406"/>
    </row>
    <row r="3" spans="1:53">
      <c r="F3" s="1291"/>
      <c r="G3" s="438"/>
      <c r="H3" s="438"/>
      <c r="I3" s="438"/>
      <c r="J3" s="438"/>
      <c r="K3" s="438"/>
      <c r="L3" s="438"/>
      <c r="M3" s="1292"/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0"/>
      <c r="Z3" s="1290"/>
      <c r="AA3" s="1293"/>
      <c r="AB3" s="1293"/>
      <c r="AC3" s="1293"/>
      <c r="AD3" s="1293"/>
      <c r="AE3" s="1293"/>
      <c r="AF3" s="1293"/>
      <c r="AG3" s="1293"/>
      <c r="AH3" s="1293"/>
      <c r="AI3" s="1293"/>
      <c r="AJ3" s="1293"/>
      <c r="AK3" s="1293"/>
      <c r="AL3" s="1293"/>
      <c r="AM3" s="1290"/>
      <c r="AN3" s="1410" t="s">
        <v>140</v>
      </c>
      <c r="AO3" s="1410"/>
      <c r="AP3" s="1410"/>
      <c r="AQ3" s="1410"/>
      <c r="AR3" s="1410"/>
      <c r="AS3" s="1410"/>
      <c r="AT3" s="1410"/>
      <c r="AU3" s="1411" t="s">
        <v>329</v>
      </c>
      <c r="AV3" s="1411"/>
      <c r="AW3" s="1411"/>
      <c r="AX3" s="1411"/>
      <c r="AY3" s="1411"/>
    </row>
    <row r="4" spans="1:53" ht="34.5" customHeight="1">
      <c r="A4" s="1041"/>
      <c r="B4" s="1392" t="s">
        <v>358</v>
      </c>
      <c r="C4" s="1392" t="s">
        <v>359</v>
      </c>
      <c r="D4" s="1392" t="s">
        <v>362</v>
      </c>
      <c r="E4" s="1392" t="s">
        <v>361</v>
      </c>
      <c r="F4" s="1294" t="s">
        <v>330</v>
      </c>
      <c r="G4" s="1295" t="s">
        <v>331</v>
      </c>
      <c r="H4" s="1295" t="s">
        <v>332</v>
      </c>
      <c r="I4" s="1295" t="s">
        <v>333</v>
      </c>
      <c r="J4" s="1295" t="s">
        <v>328</v>
      </c>
      <c r="K4" s="1295" t="s">
        <v>53</v>
      </c>
      <c r="L4" s="1296" t="s">
        <v>62</v>
      </c>
      <c r="M4" s="1296" t="s">
        <v>55</v>
      </c>
      <c r="N4" s="1041" t="s">
        <v>90</v>
      </c>
      <c r="O4" s="1041" t="s">
        <v>91</v>
      </c>
      <c r="P4" s="1041" t="s">
        <v>106</v>
      </c>
      <c r="Q4" s="1041" t="s">
        <v>334</v>
      </c>
      <c r="R4" s="1041" t="s">
        <v>335</v>
      </c>
      <c r="S4" s="1041" t="s">
        <v>336</v>
      </c>
      <c r="T4" s="1041" t="s">
        <v>337</v>
      </c>
      <c r="U4" s="1041" t="s">
        <v>92</v>
      </c>
      <c r="V4" s="1041" t="s">
        <v>338</v>
      </c>
      <c r="W4" s="1041" t="s">
        <v>339</v>
      </c>
      <c r="X4" s="1041" t="s">
        <v>322</v>
      </c>
      <c r="Y4" s="1041" t="s">
        <v>77</v>
      </c>
      <c r="Z4" s="1041" t="s">
        <v>340</v>
      </c>
      <c r="AA4" s="1042" t="s">
        <v>341</v>
      </c>
      <c r="AB4" s="1042" t="s">
        <v>102</v>
      </c>
      <c r="AC4" s="1042" t="s">
        <v>96</v>
      </c>
      <c r="AD4" s="1042" t="s">
        <v>97</v>
      </c>
      <c r="AE4" s="433" t="s">
        <v>342</v>
      </c>
      <c r="AF4" s="434" t="s">
        <v>99</v>
      </c>
      <c r="AG4" s="434" t="s">
        <v>99</v>
      </c>
      <c r="AH4" s="434" t="s">
        <v>100</v>
      </c>
      <c r="AI4" s="434" t="s">
        <v>321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343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344</v>
      </c>
      <c r="AU4" s="1041" t="s">
        <v>105</v>
      </c>
      <c r="AV4" s="1041" t="s">
        <v>41</v>
      </c>
      <c r="AW4" s="1041" t="s">
        <v>42</v>
      </c>
      <c r="AX4" s="1041" t="s">
        <v>319</v>
      </c>
      <c r="AY4" s="1041" t="s">
        <v>110</v>
      </c>
    </row>
    <row r="5" spans="1:53">
      <c r="A5" s="1043">
        <v>43922</v>
      </c>
      <c r="B5" s="261">
        <f>'1'!G7</f>
        <v>23696</v>
      </c>
      <c r="C5" s="261">
        <f>'1'!G8</f>
        <v>23784</v>
      </c>
      <c r="D5" s="261">
        <f>'1'!G15</f>
        <v>969</v>
      </c>
      <c r="E5" s="261">
        <f>'1'!G20</f>
        <v>193</v>
      </c>
      <c r="F5" s="261">
        <f>SUM('1'!G35,'1'!G49)</f>
        <v>3430</v>
      </c>
      <c r="G5" s="261">
        <f>SUM('1'!H37,'1'!H51)</f>
        <v>1448</v>
      </c>
      <c r="H5" s="261">
        <f>SUM('1'!G38,'1'!G52)</f>
        <v>1779</v>
      </c>
      <c r="I5" s="261">
        <f>SUM('1'!G39,'1'!G53)</f>
        <v>4613</v>
      </c>
      <c r="J5" s="261">
        <f>SUM('1'!G41,'1'!G42,'1'!G55,'1'!G56)</f>
        <v>6956.8399999999965</v>
      </c>
      <c r="K5" s="261">
        <f>SUM('1'!G43,'1'!G57)</f>
        <v>2596</v>
      </c>
      <c r="L5" s="1044">
        <f>'1'!G50</f>
        <v>1486</v>
      </c>
      <c r="M5" s="1044">
        <f>'1'!G36</f>
        <v>1016</v>
      </c>
      <c r="N5" s="1044">
        <f>'1'!G72</f>
        <v>122</v>
      </c>
      <c r="O5" s="1044">
        <f>'1'!$G$73</f>
        <v>4</v>
      </c>
      <c r="P5" s="1044">
        <f>'1'!$G$74</f>
        <v>19</v>
      </c>
      <c r="Q5" s="1044">
        <f>'1'!$G$75</f>
        <v>150</v>
      </c>
      <c r="R5" s="1044">
        <f>'1'!$G$76</f>
        <v>59</v>
      </c>
      <c r="S5" s="1044">
        <f>'1'!$G$77</f>
        <v>50</v>
      </c>
      <c r="T5" s="1044">
        <f>'1'!$G$78</f>
        <v>395</v>
      </c>
      <c r="U5" s="1044">
        <f>'1'!$G$79</f>
        <v>194</v>
      </c>
      <c r="V5" s="1044">
        <f>'1'!$G$80</f>
        <v>380</v>
      </c>
      <c r="W5" s="1044">
        <f>'1'!$G$81</f>
        <v>198</v>
      </c>
      <c r="X5" s="1044">
        <f>'1'!$G$82</f>
        <v>23</v>
      </c>
      <c r="Y5" s="1044">
        <f>'1'!$G$58</f>
        <v>172</v>
      </c>
      <c r="Z5" s="1044">
        <f>'1'!$G$83</f>
        <v>239</v>
      </c>
      <c r="AA5" s="1044">
        <f>'1'!G86</f>
        <v>223</v>
      </c>
      <c r="AB5" s="1044">
        <f>'1'!G87</f>
        <v>34</v>
      </c>
      <c r="AC5" s="1044">
        <f>'1'!G88</f>
        <v>69</v>
      </c>
      <c r="AD5" s="1044">
        <f>'1'!G89+'1'!G90</f>
        <v>45</v>
      </c>
      <c r="AE5" s="1044">
        <f>'1'!$G$62</f>
        <v>0</v>
      </c>
      <c r="AF5" s="1044">
        <f>'1'!$G$63</f>
        <v>12</v>
      </c>
      <c r="AG5" s="1044">
        <f>'1'!$G$64</f>
        <v>463</v>
      </c>
      <c r="AH5" s="1044">
        <f>'1'!$G$65</f>
        <v>364</v>
      </c>
      <c r="AI5" s="1044">
        <f>'1'!$G$66</f>
        <v>392</v>
      </c>
      <c r="AJ5" s="1044">
        <f>'1'!$G$67</f>
        <v>695</v>
      </c>
      <c r="AK5" s="1044">
        <f>'1'!$G$68</f>
        <v>322</v>
      </c>
      <c r="AL5" s="1044">
        <f>'1'!$G$69</f>
        <v>307</v>
      </c>
      <c r="AM5" s="1044">
        <f>'1'!$G$84</f>
        <v>915</v>
      </c>
      <c r="AN5" s="1044">
        <f>'1'!$G$15</f>
        <v>969</v>
      </c>
      <c r="AO5" s="1044">
        <f>'1'!$G$123</f>
        <v>257</v>
      </c>
      <c r="AP5" s="1044">
        <f>'1'!$G$124</f>
        <v>0</v>
      </c>
      <c r="AQ5" s="1044">
        <f>'1'!$G$125</f>
        <v>96</v>
      </c>
      <c r="AR5" s="1044">
        <f>'1'!$G$126</f>
        <v>0</v>
      </c>
      <c r="AS5" s="1044">
        <f>'1'!$G$127</f>
        <v>1</v>
      </c>
      <c r="AT5" s="1044">
        <f>AN5-SUM(AO5:AS5)</f>
        <v>615</v>
      </c>
      <c r="AU5" s="1044">
        <f>SUM('1'!G139:G140)</f>
        <v>8.3599999999996726</v>
      </c>
      <c r="AV5" s="1044">
        <f>'1'!$G$136</f>
        <v>10.239999999997963</v>
      </c>
      <c r="AW5" s="1044">
        <f>'1'!$G$137</f>
        <v>0.18000000000029104</v>
      </c>
      <c r="AX5" s="1044">
        <f>'1'!$G$138</f>
        <v>2.5400000000081491</v>
      </c>
      <c r="AY5" s="1041">
        <f>SUM(AV5:AX5)</f>
        <v>12.960000000006403</v>
      </c>
    </row>
    <row r="6" spans="1:53">
      <c r="A6" s="1043">
        <v>43923</v>
      </c>
      <c r="B6" s="261">
        <f>'2'!G7</f>
        <v>22156</v>
      </c>
      <c r="C6" s="261">
        <f>'2'!G8</f>
        <v>22270</v>
      </c>
      <c r="D6" s="261">
        <f>'2'!G15</f>
        <v>982</v>
      </c>
      <c r="E6" s="261">
        <f>'2'!G20</f>
        <v>173</v>
      </c>
      <c r="F6" s="261">
        <f>SUM('2'!G35,'2'!G49)</f>
        <v>3377.1300000000047</v>
      </c>
      <c r="G6" s="261">
        <f>SUM('2'!G37,'2'!G51)</f>
        <v>1445</v>
      </c>
      <c r="H6" s="261">
        <f>SUM('2'!G38,'2'!G52)</f>
        <v>1823</v>
      </c>
      <c r="I6" s="261">
        <f>SUM('2'!G39,'2'!G53)</f>
        <v>3883</v>
      </c>
      <c r="J6" s="261">
        <f>SUM('2'!G41,'2'!G42,'2'!G55,'2'!G56)</f>
        <v>6251</v>
      </c>
      <c r="K6" s="261">
        <f>SUM('2'!G43,'2'!G57)</f>
        <v>2688</v>
      </c>
      <c r="L6" s="1044">
        <f>'2'!G50</f>
        <v>1086</v>
      </c>
      <c r="M6" s="1044">
        <f>'2'!G36</f>
        <v>922</v>
      </c>
      <c r="N6" s="1044">
        <f>'2'!G72</f>
        <v>108</v>
      </c>
      <c r="O6" s="1044">
        <f>'2'!$G$73</f>
        <v>1</v>
      </c>
      <c r="P6" s="1044">
        <f>'2'!$G$74</f>
        <v>20</v>
      </c>
      <c r="Q6" s="1044">
        <f>'2'!$G$75</f>
        <v>136</v>
      </c>
      <c r="R6" s="1044">
        <f>'2'!$G$76</f>
        <v>59</v>
      </c>
      <c r="S6" s="1044">
        <f>'2'!$G$77</f>
        <v>47</v>
      </c>
      <c r="T6" s="1044">
        <f>'2'!$G$78</f>
        <v>328</v>
      </c>
      <c r="U6" s="1044">
        <f>'2'!$G$79</f>
        <v>190</v>
      </c>
      <c r="V6" s="1044">
        <f>'2'!$G$80</f>
        <v>333</v>
      </c>
      <c r="W6" s="1035">
        <f>'2'!$G$81</f>
        <v>294</v>
      </c>
      <c r="X6" s="1035">
        <f>'2'!$G$82</f>
        <v>27</v>
      </c>
      <c r="Y6" s="1035">
        <f>'2'!$G$58</f>
        <v>218</v>
      </c>
      <c r="Z6" s="1035">
        <f>'2'!$G$83</f>
        <v>276</v>
      </c>
      <c r="AA6" s="1035">
        <f>'2'!G86</f>
        <v>154</v>
      </c>
      <c r="AB6" s="1044">
        <f>'2'!G87</f>
        <v>33</v>
      </c>
      <c r="AC6" s="1044">
        <f>'2'!G88</f>
        <v>107</v>
      </c>
      <c r="AD6" s="1044">
        <f>'2'!G89+'2'!G90</f>
        <v>43</v>
      </c>
      <c r="AE6" s="1044">
        <f>'2'!$G$62</f>
        <v>0</v>
      </c>
      <c r="AF6" s="1044">
        <f>'2'!$G$63</f>
        <v>10</v>
      </c>
      <c r="AG6" s="1044">
        <f>'2'!$G$64</f>
        <v>456</v>
      </c>
      <c r="AH6" s="1044">
        <f>'2'!$G$65</f>
        <v>362</v>
      </c>
      <c r="AI6" s="1044">
        <f>'2'!$G$66</f>
        <v>398</v>
      </c>
      <c r="AJ6" s="1044">
        <f>'2'!$G$67</f>
        <v>629</v>
      </c>
      <c r="AK6" s="1044">
        <f>'2'!$G$68</f>
        <v>306</v>
      </c>
      <c r="AL6" s="1044">
        <f>'2'!$G$69</f>
        <v>308</v>
      </c>
      <c r="AM6" s="1044">
        <f>'2'!$G$84</f>
        <v>920</v>
      </c>
      <c r="AN6" s="1044">
        <f>'2'!$G$15</f>
        <v>982</v>
      </c>
      <c r="AO6" s="1044">
        <f>'2'!$G$123</f>
        <v>231</v>
      </c>
      <c r="AP6" s="1044">
        <f>'2'!$G$124</f>
        <v>0</v>
      </c>
      <c r="AQ6" s="1044">
        <f>'2'!$G$125</f>
        <v>82</v>
      </c>
      <c r="AR6" s="1044">
        <f>'2'!$G$126</f>
        <v>0</v>
      </c>
      <c r="AS6" s="1044">
        <f>'2'!$G$127</f>
        <v>3</v>
      </c>
      <c r="AT6" s="1044">
        <f t="shared" ref="AT6:AT35" si="0">AN6-SUM(AO6:AS6)</f>
        <v>666</v>
      </c>
      <c r="AU6" s="1044">
        <f>SUM('2'!G139:G140)</f>
        <v>7.5399999999999636</v>
      </c>
      <c r="AV6" s="1044">
        <f>'2'!$G$136</f>
        <v>10.479999999999563</v>
      </c>
      <c r="AW6" s="1044">
        <f>'2'!$G$137</f>
        <v>0</v>
      </c>
      <c r="AX6" s="1044">
        <f>'2'!$G$138</f>
        <v>6.0899999999965075</v>
      </c>
      <c r="AY6" s="1041">
        <f t="shared" ref="AY6:AY35" si="1">SUM(AV6:AX6)</f>
        <v>16.569999999996071</v>
      </c>
    </row>
    <row r="7" spans="1:53" s="1046" customFormat="1">
      <c r="A7" s="1043">
        <v>43924</v>
      </c>
      <c r="B7" s="261">
        <f>'3'!G7</f>
        <v>21071</v>
      </c>
      <c r="C7" s="261">
        <f>'3'!G8</f>
        <v>21169</v>
      </c>
      <c r="D7" s="261">
        <f>'3'!G15</f>
        <v>1003</v>
      </c>
      <c r="E7" s="261">
        <f>'3'!G20</f>
        <v>153</v>
      </c>
      <c r="F7" s="261">
        <f>SUM('3'!G35,'3'!G49)</f>
        <v>3065</v>
      </c>
      <c r="G7" s="261">
        <f>SUM('3'!G37,'3'!G51)</f>
        <v>1432</v>
      </c>
      <c r="H7" s="261">
        <f>SUM('3'!G38,'3'!G52)</f>
        <v>1736</v>
      </c>
      <c r="I7" s="261">
        <f>SUM('3'!G39,'3'!G53)</f>
        <v>3855</v>
      </c>
      <c r="J7" s="261">
        <f>SUM('3'!G41,'3'!G42,'3'!G55,'3'!G56)</f>
        <v>5680</v>
      </c>
      <c r="K7" s="261">
        <f>SUM('3'!G43,'3'!G57)</f>
        <v>2426.33</v>
      </c>
      <c r="L7" s="1035">
        <f>'3'!G50</f>
        <v>1064</v>
      </c>
      <c r="M7" s="1035">
        <f>'3'!G36</f>
        <v>975</v>
      </c>
      <c r="N7" s="1035">
        <f>'3'!G72</f>
        <v>85</v>
      </c>
      <c r="O7" s="1035">
        <f>'3'!$G$73</f>
        <v>1</v>
      </c>
      <c r="P7" s="1035">
        <f>'3'!$G$74</f>
        <v>29</v>
      </c>
      <c r="Q7" s="1035">
        <f>'3'!$G$75</f>
        <v>105</v>
      </c>
      <c r="R7" s="1035">
        <f>'3'!$G$76</f>
        <v>69</v>
      </c>
      <c r="S7" s="1035">
        <f>'3'!$G$77</f>
        <v>44</v>
      </c>
      <c r="T7" s="1035">
        <f>'3'!$G$78</f>
        <v>290</v>
      </c>
      <c r="U7" s="1035">
        <f>'3'!$G$79</f>
        <v>192</v>
      </c>
      <c r="V7" s="1035">
        <f>'3'!$G$80</f>
        <v>315</v>
      </c>
      <c r="W7" s="1035">
        <f>'3'!$G$81</f>
        <v>240</v>
      </c>
      <c r="X7" s="1035">
        <f>'3'!$G$82</f>
        <v>20</v>
      </c>
      <c r="Y7" s="1035">
        <f>'3'!$G$58</f>
        <v>181</v>
      </c>
      <c r="Z7" s="1035">
        <f>'3'!$G$83</f>
        <v>255</v>
      </c>
      <c r="AA7" s="1044">
        <f>'3'!G86</f>
        <v>156</v>
      </c>
      <c r="AB7" s="1044">
        <f>'1'!G87</f>
        <v>34</v>
      </c>
      <c r="AC7" s="1044">
        <f>'3'!G88</f>
        <v>92</v>
      </c>
      <c r="AD7" s="1044">
        <f>'3'!G89+'3'!G90</f>
        <v>41</v>
      </c>
      <c r="AE7" s="1035">
        <f>'3'!$G$62</f>
        <v>0</v>
      </c>
      <c r="AF7" s="1035">
        <f>'3'!$G$63</f>
        <v>11</v>
      </c>
      <c r="AG7" s="1035">
        <f>'3'!$G$64</f>
        <v>453</v>
      </c>
      <c r="AH7" s="1035">
        <f>'3'!$G$65</f>
        <v>355</v>
      </c>
      <c r="AI7" s="1035">
        <f>'3'!$G$66</f>
        <v>433</v>
      </c>
      <c r="AJ7" s="785">
        <f>'3'!$G$67</f>
        <v>610</v>
      </c>
      <c r="AK7" s="785">
        <f>'3'!$G$68</f>
        <v>316</v>
      </c>
      <c r="AL7" s="1035">
        <f>'3'!$G$69</f>
        <v>308</v>
      </c>
      <c r="AM7" s="1035">
        <f>'3'!$G$84</f>
        <v>814</v>
      </c>
      <c r="AN7" s="1035">
        <f>'3'!$G$15</f>
        <v>1003</v>
      </c>
      <c r="AO7" s="1035">
        <f>'3'!$G$123</f>
        <v>272</v>
      </c>
      <c r="AP7" s="1035">
        <f>'3'!$G$124</f>
        <v>-0.39999999999417923</v>
      </c>
      <c r="AQ7" s="1035">
        <f>'3'!$G$125</f>
        <v>93</v>
      </c>
      <c r="AR7" s="1035">
        <f>'3'!$G$126</f>
        <v>10.5</v>
      </c>
      <c r="AS7" s="1035">
        <f>'3'!$G$127</f>
        <v>0</v>
      </c>
      <c r="AT7" s="1035">
        <f t="shared" si="0"/>
        <v>627.89999999999418</v>
      </c>
      <c r="AU7" s="1044">
        <f>SUM('3'!G139:G140)</f>
        <v>8.8100000000004002</v>
      </c>
      <c r="AV7" s="1035">
        <f>'3'!$G$136</f>
        <v>10.159999999999854</v>
      </c>
      <c r="AW7" s="1035">
        <f>'3'!$G$137</f>
        <v>0</v>
      </c>
      <c r="AX7" s="1035">
        <f>'3'!$G$138</f>
        <v>4.2399999999906868</v>
      </c>
      <c r="AY7" s="1045">
        <f t="shared" si="1"/>
        <v>14.399999999990541</v>
      </c>
    </row>
    <row r="8" spans="1:53">
      <c r="A8" s="1043">
        <v>43925</v>
      </c>
      <c r="B8" s="261">
        <f>'4'!G7</f>
        <v>21717</v>
      </c>
      <c r="C8" s="261">
        <f>'4'!G8</f>
        <v>21837</v>
      </c>
      <c r="D8" s="261">
        <f>'4'!G15</f>
        <v>978</v>
      </c>
      <c r="E8" s="261">
        <f>'4'!G20</f>
        <v>174</v>
      </c>
      <c r="F8" s="261">
        <f>SUM('4'!G35,'4'!G49)</f>
        <v>3475.8699999999953</v>
      </c>
      <c r="G8" s="261">
        <f>SUM('4'!G37,'4'!G51)</f>
        <v>1390</v>
      </c>
      <c r="H8" s="261">
        <f>SUM('4'!G38,'4'!G52)</f>
        <v>1683.6999999999971</v>
      </c>
      <c r="I8" s="261">
        <f>SUM('4'!G39,'4'!G53)</f>
        <v>4271</v>
      </c>
      <c r="J8" s="261">
        <f>SUM('4'!G41,'4'!G42,'4'!G55,'4'!G56)</f>
        <v>6033</v>
      </c>
      <c r="K8" s="261">
        <f>SUM('4'!G43,'4'!G57)</f>
        <v>2475.67</v>
      </c>
      <c r="L8" s="1044">
        <f>'4'!G50</f>
        <v>1054</v>
      </c>
      <c r="M8" s="1044">
        <f>'4'!G36</f>
        <v>857</v>
      </c>
      <c r="N8" s="1044">
        <f>'4'!G72</f>
        <v>99</v>
      </c>
      <c r="O8" s="1044">
        <f>'4'!$G$73</f>
        <v>2</v>
      </c>
      <c r="P8" s="1044">
        <f>'4'!$G$74</f>
        <v>18</v>
      </c>
      <c r="Q8" s="1044">
        <f>'4'!$G$74</f>
        <v>18</v>
      </c>
      <c r="R8" s="1044">
        <f>'4'!$G$76</f>
        <v>74</v>
      </c>
      <c r="S8" s="1044">
        <f>'4'!$G$77</f>
        <v>45</v>
      </c>
      <c r="T8" s="1044">
        <f>'4'!$G$78</f>
        <v>357</v>
      </c>
      <c r="U8" s="1044">
        <f>'4'!$G$79</f>
        <v>184</v>
      </c>
      <c r="V8" s="1035">
        <f>'4'!$G$80</f>
        <v>347.76000000000931</v>
      </c>
      <c r="W8" s="1035">
        <f>'4'!$G$81</f>
        <v>324</v>
      </c>
      <c r="X8" s="1044">
        <f>'4'!$G$82</f>
        <v>25</v>
      </c>
      <c r="Y8" s="1044">
        <f>'4'!$G$58</f>
        <v>214</v>
      </c>
      <c r="Z8" s="1044">
        <f>'4'!$G$83</f>
        <v>260</v>
      </c>
      <c r="AA8" s="1044">
        <f>'4'!G86</f>
        <v>123</v>
      </c>
      <c r="AB8" s="1044">
        <f>'4'!G87</f>
        <v>15</v>
      </c>
      <c r="AC8" s="1044">
        <f>'4'!G88</f>
        <v>36</v>
      </c>
      <c r="AD8" s="1044">
        <f>'4'!G89+'4'!G90</f>
        <v>46</v>
      </c>
      <c r="AE8" s="1044">
        <f>'4'!$G$62</f>
        <v>0</v>
      </c>
      <c r="AF8" s="1044">
        <f>'4'!$G$63</f>
        <v>11</v>
      </c>
      <c r="AG8" s="1044">
        <f>'4'!$G$64</f>
        <v>454</v>
      </c>
      <c r="AH8" s="1044">
        <f>'4'!$G$65</f>
        <v>376</v>
      </c>
      <c r="AI8" s="1044">
        <f>'4'!$G$66</f>
        <v>383</v>
      </c>
      <c r="AJ8" s="1044">
        <f>'4'!$G$67</f>
        <v>637</v>
      </c>
      <c r="AK8" s="1044">
        <f>'4'!$G$68</f>
        <v>355</v>
      </c>
      <c r="AL8" s="1044">
        <f>'4'!$G$69</f>
        <v>322.58000000000175</v>
      </c>
      <c r="AM8" s="1044">
        <f>'4'!$G$84</f>
        <v>962</v>
      </c>
      <c r="AN8" s="1044">
        <f>'4'!$G$15</f>
        <v>978</v>
      </c>
      <c r="AO8" s="1044">
        <f>'4'!$G$123</f>
        <v>264</v>
      </c>
      <c r="AP8" s="1044">
        <f>'4'!$G$124</f>
        <v>0</v>
      </c>
      <c r="AQ8" s="1044">
        <f>'4'!$G$125</f>
        <v>105</v>
      </c>
      <c r="AR8" s="1044">
        <f>'4'!$G$126</f>
        <v>23.799999999999272</v>
      </c>
      <c r="AS8" s="1044">
        <f>'4'!$G$127</f>
        <v>0</v>
      </c>
      <c r="AT8" s="1044">
        <f t="shared" si="0"/>
        <v>585.20000000000073</v>
      </c>
      <c r="AU8" s="1044">
        <f>SUM('4'!G139:G140)</f>
        <v>8.6000000000003638</v>
      </c>
      <c r="AV8" s="1044">
        <f>'4'!$G$136</f>
        <v>10.159999999999854</v>
      </c>
      <c r="AW8" s="1044">
        <f>'4'!$G$137</f>
        <v>0</v>
      </c>
      <c r="AX8" s="1044">
        <f>'4'!$G$138</f>
        <v>3.25</v>
      </c>
      <c r="AY8" s="1041">
        <f t="shared" si="1"/>
        <v>13.409999999999854</v>
      </c>
    </row>
    <row r="9" spans="1:53">
      <c r="A9" s="1043">
        <v>43926</v>
      </c>
      <c r="B9" s="261">
        <f>'5'!G7</f>
        <v>21598</v>
      </c>
      <c r="C9" s="261">
        <f>'5'!G8</f>
        <v>21683</v>
      </c>
      <c r="D9" s="261">
        <f>'5'!G15</f>
        <v>935</v>
      </c>
      <c r="E9" s="261">
        <f>'5'!G20</f>
        <v>178</v>
      </c>
      <c r="F9" s="261">
        <f>SUM('5'!G35,'5'!G49)</f>
        <v>3595</v>
      </c>
      <c r="G9" s="261">
        <f>SUM('5'!G37,'5'!G51)</f>
        <v>1361</v>
      </c>
      <c r="H9" s="261">
        <f>SUM('5'!G38,'5'!G52)</f>
        <v>1731.3000000000029</v>
      </c>
      <c r="I9" s="261">
        <f>SUM('5'!G39,'5'!G53)</f>
        <v>4086</v>
      </c>
      <c r="J9" s="261">
        <f>SUM('5'!G41,'5'!G42,'5'!G55,'5'!G56)</f>
        <v>5790</v>
      </c>
      <c r="K9" s="261">
        <f>SUM('5'!G43,'5'!G57)</f>
        <v>2428</v>
      </c>
      <c r="L9" s="1044">
        <f>'5'!G50</f>
        <v>1047</v>
      </c>
      <c r="M9" s="1044">
        <f>'5'!G36</f>
        <v>869</v>
      </c>
      <c r="N9" s="1044">
        <f>'5'!G72</f>
        <v>100</v>
      </c>
      <c r="O9" s="1044">
        <f>'5'!$G$73</f>
        <v>1</v>
      </c>
      <c r="P9" s="1044">
        <f>'5'!$G$74</f>
        <v>35</v>
      </c>
      <c r="Q9" s="1055">
        <f>'5'!$G$75</f>
        <v>112</v>
      </c>
      <c r="R9" s="1044">
        <f>'5'!$G$76</f>
        <v>67</v>
      </c>
      <c r="S9" s="1035">
        <f>'5'!$G$77</f>
        <v>42</v>
      </c>
      <c r="T9" s="1054">
        <f>'5'!$G$78</f>
        <v>325</v>
      </c>
      <c r="U9" s="1054">
        <f>'5'!$G$79</f>
        <v>187</v>
      </c>
      <c r="V9" s="1047">
        <f>'5'!$G$80</f>
        <v>322.23999999999069</v>
      </c>
      <c r="W9" s="1054">
        <f>'5'!$G$81</f>
        <v>223</v>
      </c>
      <c r="X9" s="1044">
        <f>'5'!$G$82</f>
        <v>23</v>
      </c>
      <c r="Y9" s="1044">
        <f>'5'!$G$58</f>
        <v>188</v>
      </c>
      <c r="Z9" s="1044">
        <f>'5'!$G$83</f>
        <v>278</v>
      </c>
      <c r="AA9" s="1054">
        <f>'5'!G86</f>
        <v>196</v>
      </c>
      <c r="AB9" s="1044">
        <f>'5'!G87</f>
        <v>35</v>
      </c>
      <c r="AC9" s="1044">
        <f>'5'!G88</f>
        <v>34</v>
      </c>
      <c r="AD9" s="1044">
        <f>'5'!G89+'5'!G90</f>
        <v>45</v>
      </c>
      <c r="AE9" s="1044">
        <f>'5'!$G$62</f>
        <v>0</v>
      </c>
      <c r="AF9" s="1044">
        <f>'5'!$G$63</f>
        <v>14</v>
      </c>
      <c r="AG9" s="1044">
        <f>'5'!$G$64</f>
        <v>475</v>
      </c>
      <c r="AH9" s="1044">
        <f>'5'!$G$65</f>
        <v>365</v>
      </c>
      <c r="AI9" s="1044">
        <f>'5'!$G$66</f>
        <v>400</v>
      </c>
      <c r="AJ9" s="1044">
        <f>'5'!$G$67</f>
        <v>621</v>
      </c>
      <c r="AK9" s="1044">
        <f>'5'!$G$68</f>
        <v>327</v>
      </c>
      <c r="AL9" s="1044">
        <f>'5'!$G$69</f>
        <v>302.41999999999825</v>
      </c>
      <c r="AM9" s="1044">
        <f>'5'!$G$84</f>
        <v>1005</v>
      </c>
      <c r="AN9" s="1054">
        <f>'5'!$G$15</f>
        <v>935</v>
      </c>
      <c r="AO9" s="1044">
        <f>'5'!$G$123</f>
        <v>244</v>
      </c>
      <c r="AP9" s="1044">
        <f>'5'!$G$124</f>
        <v>0</v>
      </c>
      <c r="AQ9" s="1044">
        <f>'5'!$G$125</f>
        <v>99</v>
      </c>
      <c r="AR9" s="1044">
        <f>'5'!$G$126</f>
        <v>17</v>
      </c>
      <c r="AS9" s="1044">
        <f>'5'!$G$127</f>
        <v>0</v>
      </c>
      <c r="AT9" s="1044">
        <f t="shared" si="0"/>
        <v>575</v>
      </c>
      <c r="AU9" s="1044">
        <f>SUM('5'!G139:G140)</f>
        <v>8.1199999999998909</v>
      </c>
      <c r="AV9" s="1044">
        <f>'5'!$G$136</f>
        <v>10.400000000001455</v>
      </c>
      <c r="AW9" s="1044">
        <f>'5'!$G$137</f>
        <v>0</v>
      </c>
      <c r="AX9" s="1044">
        <f>'5'!$G$138</f>
        <v>1.3700000000098953</v>
      </c>
      <c r="AY9" s="1041">
        <f t="shared" si="1"/>
        <v>11.77000000001135</v>
      </c>
    </row>
    <row r="10" spans="1:53">
      <c r="A10" s="1043">
        <v>43927</v>
      </c>
      <c r="B10" s="261">
        <f>'6'!G7</f>
        <v>20745</v>
      </c>
      <c r="C10" s="261">
        <f>'6'!G8</f>
        <v>20841</v>
      </c>
      <c r="D10" s="261">
        <f>'6'!G15</f>
        <v>883</v>
      </c>
      <c r="E10" s="261">
        <f>'6'!G20</f>
        <v>156</v>
      </c>
      <c r="F10" s="261">
        <f>SUM('6'!G35,'6'!G49)</f>
        <v>3323</v>
      </c>
      <c r="G10" s="261">
        <f>SUM('6'!G37,'6'!G51)</f>
        <v>1356</v>
      </c>
      <c r="H10" s="261">
        <f>SUM('6'!G38,'6'!G52)</f>
        <v>1685</v>
      </c>
      <c r="I10" s="261">
        <f>SUM('6'!G39,'6'!G53)</f>
        <v>4031</v>
      </c>
      <c r="J10" s="261">
        <f>SUM('6'!G41,'6'!G42,'6'!G55,'6'!G56)</f>
        <v>5482</v>
      </c>
      <c r="K10" s="261">
        <f>SUM('6'!G43,'6'!G57)</f>
        <v>2432</v>
      </c>
      <c r="L10" s="1044">
        <f>'6'!G50</f>
        <v>1085</v>
      </c>
      <c r="M10" s="1044">
        <f>'6'!G36</f>
        <v>700</v>
      </c>
      <c r="N10" s="1044">
        <f>'6'!G72</f>
        <v>87</v>
      </c>
      <c r="O10" s="1044">
        <f>'6'!$G$73</f>
        <v>1</v>
      </c>
      <c r="P10" s="1044">
        <f>'6'!$G$74</f>
        <v>29</v>
      </c>
      <c r="Q10" s="1044">
        <f>'6'!$G$75</f>
        <v>120</v>
      </c>
      <c r="R10" s="1044">
        <f>'6'!$G$76</f>
        <v>66</v>
      </c>
      <c r="S10" s="1044">
        <f>'6'!$G$77</f>
        <v>45</v>
      </c>
      <c r="T10" s="1035">
        <f>'6'!$G$78</f>
        <v>285</v>
      </c>
      <c r="U10" s="1035">
        <f>'6'!$G$79</f>
        <v>179</v>
      </c>
      <c r="V10" s="1035">
        <f>'6'!$G$80</f>
        <v>371</v>
      </c>
      <c r="W10" s="1035">
        <f>'6'!$G$81</f>
        <v>221</v>
      </c>
      <c r="X10" s="1035">
        <f>'6'!$G$82</f>
        <v>26</v>
      </c>
      <c r="Y10" s="1035">
        <f>'6'!$G$58</f>
        <v>183</v>
      </c>
      <c r="Z10" s="1035">
        <f>'6'!$G$83</f>
        <v>252</v>
      </c>
      <c r="AA10" s="1035">
        <f>'6'!G86</f>
        <v>216</v>
      </c>
      <c r="AB10" s="1035">
        <f>'6'!G87</f>
        <v>29</v>
      </c>
      <c r="AC10" s="1035">
        <f>'6'!G88</f>
        <v>34</v>
      </c>
      <c r="AD10" s="1035">
        <f>'6'!G89+'6'!G90</f>
        <v>43</v>
      </c>
      <c r="AE10" s="1044">
        <f>'6'!$G$62</f>
        <v>0</v>
      </c>
      <c r="AF10" s="1044">
        <f>'6'!$G$63</f>
        <v>12</v>
      </c>
      <c r="AG10" s="1044">
        <f>'6'!$G$64</f>
        <v>469</v>
      </c>
      <c r="AH10" s="1044">
        <f>'6'!$G$65</f>
        <v>359</v>
      </c>
      <c r="AI10" s="1044">
        <f>'6'!$G$66</f>
        <v>387</v>
      </c>
      <c r="AJ10" s="1044">
        <f>'6'!$G$67</f>
        <v>568</v>
      </c>
      <c r="AK10" s="1044">
        <f>'6'!$G$68</f>
        <v>321</v>
      </c>
      <c r="AL10" s="1044">
        <f>'6'!$G$69</f>
        <v>298</v>
      </c>
      <c r="AM10" s="1044">
        <f>'6'!$G$84</f>
        <v>982</v>
      </c>
      <c r="AN10" s="1044">
        <f>'6'!$G$15</f>
        <v>883</v>
      </c>
      <c r="AO10" s="1082">
        <f>'6'!$G$123</f>
        <v>254</v>
      </c>
      <c r="AP10" s="1044">
        <f>'6'!$G$124</f>
        <v>0</v>
      </c>
      <c r="AQ10" s="1044">
        <f>'6'!$G$125</f>
        <v>76</v>
      </c>
      <c r="AR10" s="1044">
        <f>'6'!$G$126</f>
        <v>14</v>
      </c>
      <c r="AS10" s="1044">
        <f>'6'!$G$127</f>
        <v>0</v>
      </c>
      <c r="AT10" s="1044">
        <f t="shared" si="0"/>
        <v>539</v>
      </c>
      <c r="AU10" s="1044">
        <f>SUM('6'!G139:G140)</f>
        <v>8.1300000000001091</v>
      </c>
      <c r="AV10" s="1044">
        <f>'6'!$G$136</f>
        <v>9.6100000000005821</v>
      </c>
      <c r="AW10" s="1044">
        <f>'6'!$G$137</f>
        <v>0</v>
      </c>
      <c r="AX10" s="1044">
        <f>'6'!$G$138</f>
        <v>2.4199999999982538</v>
      </c>
      <c r="AY10" s="1041">
        <f t="shared" si="1"/>
        <v>12.029999999998836</v>
      </c>
    </row>
    <row r="11" spans="1:53">
      <c r="A11" s="1043">
        <v>43928</v>
      </c>
      <c r="B11" s="261">
        <f>'7'!G7</f>
        <v>21932</v>
      </c>
      <c r="C11" s="261">
        <f>'7'!G8</f>
        <v>22052</v>
      </c>
      <c r="D11" s="261">
        <f>'7'!G15</f>
        <v>898</v>
      </c>
      <c r="E11" s="261">
        <f>'7'!G20</f>
        <v>157</v>
      </c>
      <c r="F11" s="261">
        <f>SUM('7'!G35,'7'!G49)</f>
        <v>3389</v>
      </c>
      <c r="G11" s="261">
        <f>SUM('7'!G37,'7'!G51)</f>
        <v>1397</v>
      </c>
      <c r="H11" s="261">
        <f>SUM('7'!G38,'7'!G52)</f>
        <v>1757</v>
      </c>
      <c r="I11" s="261">
        <f>SUM('7'!G39,'7'!G53)</f>
        <v>4069</v>
      </c>
      <c r="J11" s="261">
        <f>SUM('7'!G41,'7'!G42,'7'!G55,'7'!G56)</f>
        <v>6293</v>
      </c>
      <c r="K11" s="261">
        <f>SUM('7'!G43,'7'!G57)</f>
        <v>2494</v>
      </c>
      <c r="L11" s="1044">
        <f>'7'!G50</f>
        <v>1163</v>
      </c>
      <c r="M11" s="1044">
        <f>'7'!G36</f>
        <v>797</v>
      </c>
      <c r="N11" s="1044">
        <f>'7'!G72</f>
        <v>98</v>
      </c>
      <c r="O11" s="1044">
        <f>'7'!$G$73</f>
        <v>1</v>
      </c>
      <c r="P11" s="1044">
        <f>'7'!$G$74</f>
        <v>32</v>
      </c>
      <c r="Q11" s="1044">
        <f>'7'!$G$75</f>
        <v>122</v>
      </c>
      <c r="R11" s="1044">
        <f>'7'!$G$76</f>
        <v>65</v>
      </c>
      <c r="S11" s="1044">
        <f>'7'!$G$77</f>
        <v>45</v>
      </c>
      <c r="T11" s="1035">
        <f>'7'!$G$78</f>
        <v>307</v>
      </c>
      <c r="U11" s="1035">
        <f>'7'!$G$79</f>
        <v>169</v>
      </c>
      <c r="V11" s="1035">
        <f>'7'!$G$80</f>
        <v>361</v>
      </c>
      <c r="W11" s="1035">
        <f>'7'!$G$81</f>
        <v>288</v>
      </c>
      <c r="X11" s="1035">
        <f>'7'!$G$82</f>
        <v>22</v>
      </c>
      <c r="Y11" s="1035">
        <f>'7'!$G$58</f>
        <v>179</v>
      </c>
      <c r="Z11" s="1047">
        <f>'7'!$G$83</f>
        <v>233</v>
      </c>
      <c r="AA11" s="1070">
        <f>'7'!G86</f>
        <v>207</v>
      </c>
      <c r="AB11" s="1035">
        <f>'7'!G87</f>
        <v>35</v>
      </c>
      <c r="AC11" s="1035">
        <f>'7'!G88</f>
        <v>33</v>
      </c>
      <c r="AD11" s="1035">
        <f>'7'!G89+'7'!G90</f>
        <v>41</v>
      </c>
      <c r="AE11" s="1044">
        <f>'7'!$G$62</f>
        <v>0</v>
      </c>
      <c r="AF11" s="1044">
        <f>'7'!$G$63</f>
        <v>12</v>
      </c>
      <c r="AG11" s="1044">
        <f>'7'!$G$64</f>
        <v>473</v>
      </c>
      <c r="AH11" s="1044">
        <f>'7'!$G$65</f>
        <v>359</v>
      </c>
      <c r="AI11" s="1044">
        <f>'7'!$G$66</f>
        <v>386</v>
      </c>
      <c r="AJ11" s="1044">
        <f>'7'!$G$67</f>
        <v>618</v>
      </c>
      <c r="AK11" s="1047">
        <f>'7'!$G$68</f>
        <v>287</v>
      </c>
      <c r="AL11" s="1044">
        <f>'7'!$G$69</f>
        <v>300</v>
      </c>
      <c r="AM11" s="1044">
        <f>'7'!$G$84</f>
        <v>910</v>
      </c>
      <c r="AN11" s="1044">
        <f>'7'!$G$15</f>
        <v>898</v>
      </c>
      <c r="AO11" s="1082">
        <f>'7'!$G$123</f>
        <v>244</v>
      </c>
      <c r="AP11" s="1044">
        <f>'7'!$G$124</f>
        <v>0</v>
      </c>
      <c r="AQ11" s="1044">
        <f>'7'!$G$125</f>
        <v>94</v>
      </c>
      <c r="AR11" s="1044">
        <f>'7'!$G$126</f>
        <v>19</v>
      </c>
      <c r="AS11" s="1044">
        <f>'7'!$G$127</f>
        <v>0</v>
      </c>
      <c r="AT11" s="1044">
        <f t="shared" si="0"/>
        <v>541</v>
      </c>
      <c r="AU11" s="1044">
        <f>SUM('7'!G139:G140)</f>
        <v>7.8999999999996362</v>
      </c>
      <c r="AV11" s="1044">
        <f>'7'!$G$136</f>
        <v>10.880000000001019</v>
      </c>
      <c r="AW11" s="1044">
        <f>'7'!$G$137</f>
        <v>0</v>
      </c>
      <c r="AX11" s="1044">
        <f>'7'!$G$138</f>
        <v>0</v>
      </c>
      <c r="AY11" s="1041">
        <f t="shared" si="1"/>
        <v>10.880000000001019</v>
      </c>
    </row>
    <row r="12" spans="1:53">
      <c r="A12" s="1043">
        <v>43929</v>
      </c>
      <c r="B12" s="261">
        <f>'8'!G7</f>
        <v>21591</v>
      </c>
      <c r="C12" s="261">
        <f>'8'!G8</f>
        <v>21696</v>
      </c>
      <c r="D12" s="261">
        <f>'8'!G15</f>
        <v>952.0319999998901</v>
      </c>
      <c r="E12" s="261">
        <f>'8'!G20</f>
        <v>156</v>
      </c>
      <c r="F12" s="261">
        <f>SUM('8'!G35,'8'!G49)</f>
        <v>3315.2399999999907</v>
      </c>
      <c r="G12" s="261">
        <f>SUM('8'!G37,'8'!G51)</f>
        <v>1388.2329999999929</v>
      </c>
      <c r="H12" s="261">
        <f>SUM('8'!G38,'8'!G52)</f>
        <v>1689.4100000000035</v>
      </c>
      <c r="I12" s="261">
        <f>SUM('8'!G39,'8'!G53)</f>
        <v>4123.6399999999849</v>
      </c>
      <c r="J12" s="261">
        <f>SUM('8'!G41,'8'!G42,'8'!G55,'8'!G56)</f>
        <v>6203.3729999999632</v>
      </c>
      <c r="K12" s="261">
        <f>SUM('8'!G43,'8'!G57)</f>
        <v>2486.2299999999814</v>
      </c>
      <c r="L12" s="1044">
        <f>'8'!G50</f>
        <v>1108.75</v>
      </c>
      <c r="M12" s="1044">
        <f>'8'!G36</f>
        <v>833.46999999997206</v>
      </c>
      <c r="N12" s="1044">
        <f>'8'!G72</f>
        <v>92</v>
      </c>
      <c r="O12" s="1044">
        <f>'8'!$G$73</f>
        <v>1</v>
      </c>
      <c r="P12" s="1044">
        <f>'8'!$G$74</f>
        <v>32.650000000000091</v>
      </c>
      <c r="Q12" s="1044">
        <f>'8'!$G$75</f>
        <v>77.309999999999491</v>
      </c>
      <c r="R12" s="1044">
        <f>'8'!$G$76</f>
        <v>66.550000000000182</v>
      </c>
      <c r="S12" s="1044">
        <f>'8'!$G$77</f>
        <v>49</v>
      </c>
      <c r="T12" s="1035">
        <f>'8'!$G$78</f>
        <v>339</v>
      </c>
      <c r="U12" s="1035">
        <f>'8'!$G$79</f>
        <v>204</v>
      </c>
      <c r="V12" s="1035">
        <f>'8'!$G$80</f>
        <v>362.88000000000466</v>
      </c>
      <c r="W12" s="1035">
        <f>'8'!$G$81</f>
        <v>235.43999999994412</v>
      </c>
      <c r="X12" s="1035">
        <f>'8'!$G$82</f>
        <v>24.399999999994179</v>
      </c>
      <c r="Y12" s="1035">
        <f>'8'!$G$58</f>
        <v>198.2300000000032</v>
      </c>
      <c r="Z12" s="1035">
        <f>'8'!$G$83</f>
        <v>309</v>
      </c>
      <c r="AA12" s="1035">
        <f>'8'!G86</f>
        <v>186.52000000001863</v>
      </c>
      <c r="AB12" s="1035">
        <f>'8'!G87</f>
        <v>40.399999999994179</v>
      </c>
      <c r="AC12" s="1035">
        <f>'8'!G88</f>
        <v>33.529999999998836</v>
      </c>
      <c r="AD12" s="1035">
        <f>'8'!G89+'8'!G90</f>
        <v>43.400000000002819</v>
      </c>
      <c r="AE12" s="1044">
        <f>'8'!$G$62</f>
        <v>0</v>
      </c>
      <c r="AF12" s="1044">
        <f>'8'!$G$63</f>
        <v>11.579999999999927</v>
      </c>
      <c r="AG12" s="1044">
        <f>'8'!$G$64</f>
        <v>484.70999999999185</v>
      </c>
      <c r="AH12" s="1044">
        <f>'8'!$G$65</f>
        <v>364.55999999999767</v>
      </c>
      <c r="AI12" s="1044">
        <f>'8'!$G$66</f>
        <v>984.84999999999854</v>
      </c>
      <c r="AJ12" s="1044">
        <f>'8'!$G$67</f>
        <v>631.79000000000815</v>
      </c>
      <c r="AK12" s="1044">
        <f>'8'!$G$68</f>
        <v>0</v>
      </c>
      <c r="AL12" s="1044">
        <f>'8'!$G$69</f>
        <v>290.64999999999418</v>
      </c>
      <c r="AM12" s="1044">
        <f>'8'!$G$84</f>
        <v>1021</v>
      </c>
      <c r="AN12" s="1044">
        <f>'8'!$G$15</f>
        <v>952.0319999998901</v>
      </c>
      <c r="AO12" s="1044">
        <f>'8'!$G$123</f>
        <v>247.19999999995343</v>
      </c>
      <c r="AP12" s="1044">
        <f>'8'!$G$124</f>
        <v>0.39999999999417923</v>
      </c>
      <c r="AQ12" s="1044">
        <f>'8'!$G$125</f>
        <v>106.13000000000466</v>
      </c>
      <c r="AR12" s="1044">
        <f>'8'!$G$126</f>
        <v>1.2000000000007276</v>
      </c>
      <c r="AS12" s="1044">
        <f>'8'!$G$127</f>
        <v>0</v>
      </c>
      <c r="AT12" s="1044">
        <f t="shared" si="0"/>
        <v>597.10199999993711</v>
      </c>
      <c r="AU12" s="1044">
        <f>SUM('8'!G139:G140)</f>
        <v>8.2299999999995634</v>
      </c>
      <c r="AV12" s="1044">
        <f>'8'!$G$136</f>
        <v>9.8799999999973807</v>
      </c>
      <c r="AW12" s="1044">
        <f>'8'!$G$137</f>
        <v>0</v>
      </c>
      <c r="AX12" s="1044">
        <f>'8'!$G$138</f>
        <v>3.2399999999906868</v>
      </c>
      <c r="AY12" s="1041">
        <f t="shared" si="1"/>
        <v>13.119999999988067</v>
      </c>
    </row>
    <row r="13" spans="1:53">
      <c r="A13" s="1043">
        <v>43930</v>
      </c>
      <c r="B13" s="261">
        <f>'9'!G7</f>
        <v>-650369</v>
      </c>
      <c r="C13" s="261">
        <f>'9'!G8</f>
        <v>-653241</v>
      </c>
      <c r="D13" s="261">
        <f>'9'!G15</f>
        <v>-26414.161999999778</v>
      </c>
      <c r="E13" s="261">
        <f>'9'!G20</f>
        <v>-1480</v>
      </c>
      <c r="F13" s="261">
        <f>SUM('9'!G35,'9'!G49)</f>
        <v>-101941.23999999999</v>
      </c>
      <c r="G13" s="261">
        <f>SUM('9'!G37,'9'!G51)</f>
        <v>-45192.232999999993</v>
      </c>
      <c r="H13" s="261">
        <f>SUM('9'!G38,'9'!G52)</f>
        <v>-55104.41</v>
      </c>
      <c r="I13" s="261">
        <f>SUM('9'!G39,'9'!G53)</f>
        <v>-126073.63999999998</v>
      </c>
      <c r="J13" s="261">
        <f>SUM('9'!G41,'9'!G42,'9'!G55,'9'!G56)</f>
        <v>-171588.37299999996</v>
      </c>
      <c r="K13" s="261">
        <f>SUM('9'!G43,'9'!G57)</f>
        <v>-74176.229999999981</v>
      </c>
      <c r="L13" s="1044">
        <f>'9'!G50</f>
        <v>-36681.75</v>
      </c>
      <c r="M13" s="1044">
        <f>'9'!G36</f>
        <v>-22127.469999999972</v>
      </c>
      <c r="N13" s="1044">
        <f>'9'!G72</f>
        <v>-2619</v>
      </c>
      <c r="O13" s="1044">
        <f>'9'!$G$73</f>
        <v>-37</v>
      </c>
      <c r="P13" s="1044">
        <f>'9'!$G$74</f>
        <v>-737.65000000000009</v>
      </c>
      <c r="Q13" s="1044">
        <f>'9'!$G$75</f>
        <v>-4637.3099999999995</v>
      </c>
      <c r="R13" s="1044">
        <f>'9'!$G$76</f>
        <v>-2299.5500000000002</v>
      </c>
      <c r="S13" s="1044">
        <f>'9'!$G$77</f>
        <v>-1523</v>
      </c>
      <c r="T13" s="1035">
        <f>'9'!$G$78</f>
        <v>-11641</v>
      </c>
      <c r="U13" s="1035">
        <f>'9'!$G$79</f>
        <v>-5678</v>
      </c>
      <c r="V13" s="1035">
        <f>'9'!$G$80</f>
        <v>-10738.880000000005</v>
      </c>
      <c r="W13" s="1035">
        <f>'9'!$G$81</f>
        <v>-5280.4399999999441</v>
      </c>
      <c r="X13" s="1035">
        <f>'9'!$G$82</f>
        <v>-691.39999999999418</v>
      </c>
      <c r="Y13" s="1035">
        <f>'9'!$G$58</f>
        <v>-5434.2300000000032</v>
      </c>
      <c r="Z13" s="1035">
        <f>'9'!$G$83</f>
        <v>-8376</v>
      </c>
      <c r="AA13" s="1035">
        <f>'9'!G86</f>
        <v>-4648.5200000000186</v>
      </c>
      <c r="AB13" s="1035">
        <f>'9'!G87</f>
        <v>-943.39999999999418</v>
      </c>
      <c r="AC13" s="1035">
        <f>'9'!G88</f>
        <v>-2121.5299999999988</v>
      </c>
      <c r="AD13" s="1035">
        <f>'9'!G89+'9'!H90</f>
        <v>-1614.8000000000029</v>
      </c>
      <c r="AE13" s="1044">
        <f>'9'!$G$62</f>
        <v>0</v>
      </c>
      <c r="AF13" s="1044">
        <f>'9'!$G$63</f>
        <v>-364.57999999999993</v>
      </c>
      <c r="AG13" s="1044">
        <f>'9'!$G$64</f>
        <v>-14611.709999999992</v>
      </c>
      <c r="AH13" s="1054">
        <f>'9'!$G$65</f>
        <v>-11122.559999999998</v>
      </c>
      <c r="AI13" s="1054">
        <f>'9'!$G$66</f>
        <v>-12248.849999999999</v>
      </c>
      <c r="AJ13" s="1044">
        <f>'9'!$G$67</f>
        <v>-20131.790000000008</v>
      </c>
      <c r="AK13" s="1044">
        <f>'9'!$G$68</f>
        <v>-9570</v>
      </c>
      <c r="AL13" s="1044">
        <f>'9'!$G$69</f>
        <v>-9380.6499999999942</v>
      </c>
      <c r="AM13" s="1044">
        <f>'9'!$G$84</f>
        <v>-24638</v>
      </c>
      <c r="AN13" s="1044">
        <f>'9'!$G$15</f>
        <v>-26414.161999999778</v>
      </c>
      <c r="AO13" s="1044">
        <f>'9'!$G$123</f>
        <v>-7503.1999999999534</v>
      </c>
      <c r="AP13" s="1044">
        <f>'9'!$G$124</f>
        <v>0</v>
      </c>
      <c r="AQ13" s="1044">
        <f>'9'!$G$125</f>
        <v>-2317.1300000000047</v>
      </c>
      <c r="AR13" s="1044">
        <f>'9'!$G$126</f>
        <v>28194.799999999999</v>
      </c>
      <c r="AS13" s="1044">
        <f>'9'!$G$127</f>
        <v>-58</v>
      </c>
      <c r="AT13" s="1044">
        <f t="shared" si="0"/>
        <v>-44730.631999999823</v>
      </c>
      <c r="AU13" s="1044">
        <f>SUM('9'!G139:G140)</f>
        <v>-246.74999999999955</v>
      </c>
      <c r="AV13" s="1044">
        <f>'9'!$G$136</f>
        <v>-268.62999999999738</v>
      </c>
      <c r="AW13" s="1044">
        <f>'9'!$G$137</f>
        <v>-4.9700000000011642</v>
      </c>
      <c r="AX13" s="1044">
        <f>'9'!$G$138</f>
        <v>-90.35999999998603</v>
      </c>
      <c r="AY13" s="1041">
        <f t="shared" si="1"/>
        <v>-363.95999999998457</v>
      </c>
    </row>
    <row r="14" spans="1:53">
      <c r="A14" s="1043">
        <v>43931</v>
      </c>
      <c r="B14" s="261">
        <f>'10'!G7</f>
        <v>21790</v>
      </c>
      <c r="C14" s="261">
        <f>'10'!G8</f>
        <v>21940</v>
      </c>
      <c r="D14" s="261">
        <f>'10'!G15</f>
        <v>847.12999999988824</v>
      </c>
      <c r="E14" s="261">
        <f>'10'!G20</f>
        <v>152</v>
      </c>
      <c r="F14" s="261">
        <f>SUM('10'!G35,'10'!G49)</f>
        <v>3447</v>
      </c>
      <c r="G14" s="261">
        <f>SUM('10'!G37,'10'!G51)</f>
        <v>1549</v>
      </c>
      <c r="H14" s="261">
        <f>SUM('10'!G38,'10'!G52)</f>
        <v>2046</v>
      </c>
      <c r="I14" s="261">
        <f>SUM('10'!G39,'10'!G53)</f>
        <v>4185</v>
      </c>
      <c r="J14" s="261">
        <f>SUM('10'!G41,'10'!G42,'10'!G55,'10'!G56)</f>
        <v>4999</v>
      </c>
      <c r="K14" s="261">
        <f>SUM('10'!G43,'10'!G57)</f>
        <v>2507</v>
      </c>
      <c r="L14" s="1044">
        <f>'10'!G50</f>
        <v>1194</v>
      </c>
      <c r="M14" s="1044">
        <f>'10'!G36</f>
        <v>702</v>
      </c>
      <c r="N14" s="1044">
        <f>'10'!G72</f>
        <v>87</v>
      </c>
      <c r="O14" s="1044">
        <f>'10'!$G$73</f>
        <v>0</v>
      </c>
      <c r="P14" s="1044">
        <f>'10'!$G$74</f>
        <v>25</v>
      </c>
      <c r="Q14" s="1044">
        <f>'10'!$G$75</f>
        <v>161</v>
      </c>
      <c r="R14" s="1044">
        <f>'10'!$G$76</f>
        <v>90</v>
      </c>
      <c r="S14" s="1044">
        <f>'10'!$G$77</f>
        <v>56</v>
      </c>
      <c r="T14" s="1035">
        <f>'10'!$G$78</f>
        <v>409</v>
      </c>
      <c r="U14" s="1035">
        <f>'10'!$G$79</f>
        <v>205</v>
      </c>
      <c r="V14" s="1048">
        <f>'10'!$G$80</f>
        <v>517</v>
      </c>
      <c r="W14" s="1048">
        <f>'10'!$G$81</f>
        <v>89</v>
      </c>
      <c r="X14" s="1035">
        <f>'10'!$G$82</f>
        <v>25</v>
      </c>
      <c r="Y14" s="1035">
        <f>'10'!$G$58</f>
        <v>196</v>
      </c>
      <c r="Z14" s="1035">
        <f>'10'!$G$83</f>
        <v>491</v>
      </c>
      <c r="AA14" s="1035">
        <f>'10'!G86</f>
        <v>159</v>
      </c>
      <c r="AB14" s="1035">
        <f>'10'!G87</f>
        <v>27</v>
      </c>
      <c r="AC14" s="1035">
        <f>'10'!G88</f>
        <v>96</v>
      </c>
      <c r="AD14" s="1035">
        <f>'10'!G87+'10'!H90</f>
        <v>-36</v>
      </c>
      <c r="AE14" s="1044">
        <f>'10'!$G$62</f>
        <v>0</v>
      </c>
      <c r="AF14" s="1044">
        <f>'10'!$G$63</f>
        <v>14</v>
      </c>
      <c r="AG14" s="1044">
        <f>'10'!$G$64</f>
        <v>545</v>
      </c>
      <c r="AH14" s="1044">
        <f>'10'!$G$65</f>
        <v>371</v>
      </c>
      <c r="AI14" s="1044">
        <f>'10'!$G$66</f>
        <v>355</v>
      </c>
      <c r="AJ14" s="1044">
        <f>'10'!$G$67</f>
        <v>657</v>
      </c>
      <c r="AK14" s="1044">
        <f>'10'!$G$68</f>
        <v>328</v>
      </c>
      <c r="AL14" s="1044">
        <f>'10'!$G$69</f>
        <v>327</v>
      </c>
      <c r="AM14" s="1044">
        <f>'10'!$G$84</f>
        <v>885</v>
      </c>
      <c r="AN14" s="1044">
        <f>'10'!$G$15</f>
        <v>847.12999999988824</v>
      </c>
      <c r="AO14" s="1044">
        <f>'10'!$G$123</f>
        <v>247</v>
      </c>
      <c r="AP14" s="1044">
        <f>'10'!$G$124</f>
        <v>-0.39999999999417923</v>
      </c>
      <c r="AQ14" s="1044">
        <f>'10'!$G$125</f>
        <v>76</v>
      </c>
      <c r="AR14" s="1044">
        <f>'10'!$G$126</f>
        <v>51</v>
      </c>
      <c r="AS14" s="1044">
        <f>'10'!$G$127</f>
        <v>3</v>
      </c>
      <c r="AT14" s="1044">
        <f t="shared" si="0"/>
        <v>470.52999999988242</v>
      </c>
      <c r="AU14" s="1044">
        <f>SUM('10'!G139:G140)</f>
        <v>7</v>
      </c>
      <c r="AV14" s="1044">
        <f>'10'!$G$136</f>
        <v>8.1699999999982538</v>
      </c>
      <c r="AW14" s="1044">
        <f>'10'!$G$137</f>
        <v>0</v>
      </c>
      <c r="AX14" s="1044">
        <f>'10'!$G$138</f>
        <v>3.1799999999930151</v>
      </c>
      <c r="AY14" s="1041">
        <f t="shared" si="1"/>
        <v>11.349999999991269</v>
      </c>
    </row>
    <row r="15" spans="1:53">
      <c r="A15" s="1043">
        <v>43932</v>
      </c>
      <c r="B15" s="261">
        <f>'11'!G7</f>
        <v>21316</v>
      </c>
      <c r="C15" s="261">
        <f>'11'!G8</f>
        <v>21398</v>
      </c>
      <c r="D15" s="261">
        <f>'11'!G15</f>
        <v>852</v>
      </c>
      <c r="E15" s="261">
        <f>'11'!G20</f>
        <v>171</v>
      </c>
      <c r="F15" s="261">
        <f>SUM('11'!G35,'11'!G49)</f>
        <v>3850</v>
      </c>
      <c r="G15" s="261">
        <f>SUM('11'!G37,'11'!G51)</f>
        <v>1551</v>
      </c>
      <c r="H15" s="261">
        <f>SUM('11'!G38,'11'!G52)</f>
        <v>2085</v>
      </c>
      <c r="I15" s="261">
        <f>SUM('11'!G39,'11'!G53)</f>
        <v>4105</v>
      </c>
      <c r="J15" s="261">
        <f>SUM('11'!G41,'11'!G42,'11'!G55,'11'!G56)</f>
        <v>5075</v>
      </c>
      <c r="K15" s="261">
        <f>SUM('11'!G43,'11'!G57)</f>
        <v>2394</v>
      </c>
      <c r="L15" s="1044">
        <f>'11'!G50</f>
        <v>1135</v>
      </c>
      <c r="M15" s="1044">
        <f>'11'!G36</f>
        <v>598</v>
      </c>
      <c r="N15" s="1044">
        <f>'11'!G72</f>
        <v>95</v>
      </c>
      <c r="O15" s="1044">
        <f>'11'!$G$73</f>
        <v>0</v>
      </c>
      <c r="P15" s="1044">
        <f>'11'!$G$74</f>
        <v>26</v>
      </c>
      <c r="Q15" s="1044">
        <f>'11'!$G$75</f>
        <v>164</v>
      </c>
      <c r="R15" s="1044">
        <f>'11'!$G$76</f>
        <v>91</v>
      </c>
      <c r="S15" s="1044">
        <f>'11'!$G$77</f>
        <v>55</v>
      </c>
      <c r="T15" s="1035">
        <f>'11'!$G$78</f>
        <v>411</v>
      </c>
      <c r="U15" s="1035">
        <f>'11'!$G$79</f>
        <v>173</v>
      </c>
      <c r="V15" s="1035">
        <f>'11'!$G$80</f>
        <v>97</v>
      </c>
      <c r="W15" s="1035">
        <f>'11'!$G$81</f>
        <v>84</v>
      </c>
      <c r="X15" s="1035">
        <f>'11'!$G$82</f>
        <v>26</v>
      </c>
      <c r="Y15" s="1035">
        <f>'11'!$G$58</f>
        <v>161</v>
      </c>
      <c r="Z15" s="1035">
        <f>'11'!$G$83</f>
        <v>407</v>
      </c>
      <c r="AA15" s="1035">
        <f>'11'!G86</f>
        <v>169</v>
      </c>
      <c r="AB15" s="1035">
        <f>'11'!G87</f>
        <v>25</v>
      </c>
      <c r="AC15" s="1035">
        <f>'11'!G88</f>
        <v>83</v>
      </c>
      <c r="AD15" s="1035">
        <f>'11'!G87+'11'!H90</f>
        <v>30</v>
      </c>
      <c r="AE15" s="1044">
        <f>'11'!$G$62</f>
        <v>0</v>
      </c>
      <c r="AF15" s="1044">
        <f>'11'!$G$63</f>
        <v>14</v>
      </c>
      <c r="AG15" s="1044">
        <f>'11'!$G$64</f>
        <v>507</v>
      </c>
      <c r="AH15" s="1044">
        <f>'11'!$G$65</f>
        <v>354</v>
      </c>
      <c r="AI15" s="1044">
        <f>'11'!$G$66</f>
        <v>346</v>
      </c>
      <c r="AJ15" s="1044">
        <f>'11'!$G$67</f>
        <v>664</v>
      </c>
      <c r="AK15" s="1044">
        <f>'11'!$G$68</f>
        <v>302</v>
      </c>
      <c r="AL15" s="1044">
        <f>'11'!$G$69</f>
        <v>330</v>
      </c>
      <c r="AM15" s="1044">
        <f>'11'!$G$84</f>
        <v>998</v>
      </c>
      <c r="AN15" s="1044">
        <f>'11'!$G$15</f>
        <v>852</v>
      </c>
      <c r="AO15" s="1044">
        <f>'11'!$G$123</f>
        <v>233</v>
      </c>
      <c r="AP15" s="1044">
        <f>'11'!$G$124</f>
        <v>0</v>
      </c>
      <c r="AQ15" s="1044">
        <f>'11'!$G$125</f>
        <v>68</v>
      </c>
      <c r="AR15" s="1044">
        <f>'11'!$G$126</f>
        <v>17</v>
      </c>
      <c r="AS15" s="1044">
        <f>'11'!$G$127</f>
        <v>3</v>
      </c>
      <c r="AT15" s="1044">
        <f t="shared" si="0"/>
        <v>531</v>
      </c>
      <c r="AU15" s="1044">
        <f>SUM('11'!G139:G140)</f>
        <v>7</v>
      </c>
      <c r="AV15" s="1044">
        <f>'11'!$G$136</f>
        <v>8</v>
      </c>
      <c r="AW15" s="1044">
        <f>'11'!$G$137</f>
        <v>0.31000000000130967</v>
      </c>
      <c r="AX15" s="1044">
        <f>'11'!$G$138</f>
        <v>6</v>
      </c>
      <c r="AY15" s="1041">
        <f t="shared" si="1"/>
        <v>14.31000000000131</v>
      </c>
    </row>
    <row r="16" spans="1:53">
      <c r="A16" s="1043">
        <v>43933</v>
      </c>
      <c r="B16" s="261">
        <f>'12'!G7</f>
        <v>21182</v>
      </c>
      <c r="C16" s="261">
        <f>'12'!G8</f>
        <v>21271</v>
      </c>
      <c r="D16" s="261">
        <f>'12'!G15</f>
        <v>804.77000000001863</v>
      </c>
      <c r="E16" s="261">
        <f>'12'!G20</f>
        <v>154</v>
      </c>
      <c r="F16" s="261">
        <f>SUM('12'!G35,'12'!G49)</f>
        <v>3783</v>
      </c>
      <c r="G16" s="261">
        <f>SUM('12'!G37,'12'!G51)</f>
        <v>1569</v>
      </c>
      <c r="H16" s="261">
        <f>SUM('12'!G38,'12'!G52)</f>
        <v>1820</v>
      </c>
      <c r="I16" s="261">
        <f>SUM('12'!G39,'12'!G53)</f>
        <v>4165</v>
      </c>
      <c r="J16" s="261">
        <f>SUM('12'!G41,'12'!G42,'12'!G55,'12'!G56)</f>
        <v>5122</v>
      </c>
      <c r="K16" s="261">
        <f>SUM('12'!G43,'12'!G57)</f>
        <v>2392</v>
      </c>
      <c r="L16" s="1044">
        <f>'12'!G50</f>
        <v>1179</v>
      </c>
      <c r="M16" s="1044">
        <f>'12'!G36</f>
        <v>629</v>
      </c>
      <c r="N16" s="1044">
        <f>'12'!G72</f>
        <v>87</v>
      </c>
      <c r="O16" s="1044">
        <f>'12'!$G$73</f>
        <v>1</v>
      </c>
      <c r="P16" s="1044">
        <f>'12'!$G$74</f>
        <v>24</v>
      </c>
      <c r="Q16" s="1044">
        <f>'12'!$G$75</f>
        <v>168</v>
      </c>
      <c r="R16" s="1044">
        <f>'12'!$G$76</f>
        <v>87</v>
      </c>
      <c r="S16" s="1044">
        <f>'12'!$G$77</f>
        <v>53</v>
      </c>
      <c r="T16" s="1035">
        <f>'12'!$G$78</f>
        <v>407</v>
      </c>
      <c r="U16" s="1035">
        <f>'12'!$G$79</f>
        <v>190</v>
      </c>
      <c r="V16" s="1035">
        <f>'12'!$G$80</f>
        <v>576</v>
      </c>
      <c r="W16" s="1035">
        <f>'12'!$G$81</f>
        <v>88</v>
      </c>
      <c r="X16" s="1035">
        <f>'12'!$G$82</f>
        <v>23</v>
      </c>
      <c r="Y16" s="1035">
        <f>'12'!$G$58</f>
        <v>173</v>
      </c>
      <c r="Z16" s="1035">
        <f>'12'!$G$83</f>
        <v>211</v>
      </c>
      <c r="AA16" s="1035">
        <f>'12'!G86</f>
        <v>249</v>
      </c>
      <c r="AB16" s="1035">
        <f>'12'!G87</f>
        <v>28</v>
      </c>
      <c r="AC16" s="1035">
        <f>'12'!G88</f>
        <v>74</v>
      </c>
      <c r="AD16" s="1035">
        <f>'12'!G87+'12'!H90</f>
        <v>32</v>
      </c>
      <c r="AE16" s="1044">
        <f>'12'!$G$62</f>
        <v>0</v>
      </c>
      <c r="AF16" s="1044">
        <f>'12'!$G$63</f>
        <v>12</v>
      </c>
      <c r="AG16" s="1044">
        <f>'12'!$G$64</f>
        <v>514</v>
      </c>
      <c r="AH16" s="1044">
        <f>'12'!$G$65</f>
        <v>352</v>
      </c>
      <c r="AI16" s="1044">
        <f>'12'!$G$66</f>
        <v>366</v>
      </c>
      <c r="AJ16" s="1044">
        <f>'12'!$G$67</f>
        <v>675</v>
      </c>
      <c r="AK16" s="1044">
        <f>'12'!$G$68</f>
        <v>333</v>
      </c>
      <c r="AL16" s="1044">
        <f>'12'!$G$69</f>
        <v>328</v>
      </c>
      <c r="AM16" s="1044">
        <f>'12'!$G$84</f>
        <v>991</v>
      </c>
      <c r="AN16" s="1044">
        <f>'12'!$G$15</f>
        <v>804.77000000001863</v>
      </c>
      <c r="AO16" s="1082">
        <f>'12'!$G$123</f>
        <v>245</v>
      </c>
      <c r="AP16" s="1044">
        <f>'12'!$G$124</f>
        <v>0</v>
      </c>
      <c r="AQ16" s="1071">
        <f>'12'!$G$125</f>
        <v>60</v>
      </c>
      <c r="AR16" s="1044">
        <f>'12'!$G$126</f>
        <v>20</v>
      </c>
      <c r="AS16" s="1044">
        <f>'12'!$G$127</f>
        <v>3</v>
      </c>
      <c r="AT16" s="1044">
        <f t="shared" si="0"/>
        <v>476.77000000001863</v>
      </c>
      <c r="AU16" s="1044">
        <f>SUM('12'!G139:G140)</f>
        <v>7</v>
      </c>
      <c r="AV16" s="1044">
        <f>'12'!$G$136</f>
        <v>8</v>
      </c>
      <c r="AW16" s="1044">
        <f>'12'!$G$137</f>
        <v>0</v>
      </c>
      <c r="AX16" s="1044">
        <f>'12'!$G$138</f>
        <v>3.8600000000005821</v>
      </c>
      <c r="AY16" s="1041">
        <f t="shared" si="1"/>
        <v>11.860000000000582</v>
      </c>
      <c r="BA16" s="1049">
        <f>AO16-AQ16</f>
        <v>185</v>
      </c>
    </row>
    <row r="17" spans="1:53">
      <c r="A17" s="1043">
        <v>43934</v>
      </c>
      <c r="B17" s="261">
        <f>'13'!G7</f>
        <v>21531</v>
      </c>
      <c r="C17" s="261">
        <f>'13'!G8</f>
        <v>21585</v>
      </c>
      <c r="D17" s="261">
        <f>'13'!G15</f>
        <v>836.22999999998137</v>
      </c>
      <c r="E17" s="261">
        <f>'13'!G20</f>
        <v>213</v>
      </c>
      <c r="F17" s="261">
        <f>SUM('13'!G35,'13'!G49)</f>
        <v>3627</v>
      </c>
      <c r="G17" s="261">
        <f>SUM('13'!G37,'13'!G51)</f>
        <v>1606</v>
      </c>
      <c r="H17" s="261">
        <f>SUM('13'!G38,'13'!G52)</f>
        <v>2030</v>
      </c>
      <c r="I17" s="261">
        <f>SUM('13'!G39,'13'!G53)</f>
        <v>4243</v>
      </c>
      <c r="J17" s="261">
        <f>SUM('13'!G41,'13'!G42,'13'!G55,'13'!G56)</f>
        <v>5361</v>
      </c>
      <c r="K17" s="261">
        <f>SUM('13'!G43,'13'!G57)</f>
        <v>2397.33</v>
      </c>
      <c r="L17" s="1044">
        <f>'13'!G50</f>
        <v>1073</v>
      </c>
      <c r="M17" s="1044">
        <f>'13'!G36</f>
        <v>667</v>
      </c>
      <c r="N17" s="1044">
        <f>'13'!G72</f>
        <v>90</v>
      </c>
      <c r="O17" s="1044">
        <f>'13'!$G$73</f>
        <v>0</v>
      </c>
      <c r="P17" s="1044">
        <f>'13'!$G$74</f>
        <v>35</v>
      </c>
      <c r="Q17" s="1044">
        <f>'13'!$G$75</f>
        <v>176</v>
      </c>
      <c r="R17" s="1044">
        <f>'13'!$G$76</f>
        <v>83</v>
      </c>
      <c r="S17" s="1044">
        <f>'13'!$G$77</f>
        <v>53</v>
      </c>
      <c r="T17" s="1035">
        <f>'13'!$G$78</f>
        <v>472</v>
      </c>
      <c r="U17" s="1035">
        <f>'13'!$G$79</f>
        <v>198</v>
      </c>
      <c r="V17" s="1035">
        <f>'13'!$G$80</f>
        <v>362</v>
      </c>
      <c r="W17" s="1035">
        <f>'13'!$G$81</f>
        <v>104</v>
      </c>
      <c r="X17" s="1035">
        <f>'13'!$G$82</f>
        <v>24</v>
      </c>
      <c r="Y17" s="1035">
        <f>'13'!$G$58</f>
        <v>176</v>
      </c>
      <c r="Z17" s="1035">
        <f>'13'!$G$83</f>
        <v>264</v>
      </c>
      <c r="AA17" s="1035">
        <f>'13'!G86</f>
        <v>83</v>
      </c>
      <c r="AB17" s="1035">
        <f>'13'!G87</f>
        <v>25</v>
      </c>
      <c r="AC17" s="1035">
        <f>'13'!G88</f>
        <v>66</v>
      </c>
      <c r="AD17" s="1035">
        <f>'13'!G87+'13'!H90</f>
        <v>27</v>
      </c>
      <c r="AE17" s="1044">
        <f>'13'!$G$62</f>
        <v>0.18000000000029104</v>
      </c>
      <c r="AF17" s="1044">
        <f>'13'!$G$63</f>
        <v>12</v>
      </c>
      <c r="AG17" s="1044">
        <f>'13'!$G$64</f>
        <v>479</v>
      </c>
      <c r="AH17" s="1044">
        <f>'13'!$G$65</f>
        <v>358</v>
      </c>
      <c r="AI17" s="1044">
        <f>'13'!$G$66</f>
        <v>369</v>
      </c>
      <c r="AJ17" s="1044">
        <f>'13'!$G$67</f>
        <v>703</v>
      </c>
      <c r="AK17" s="1044">
        <f>'13'!$G$68</f>
        <v>354</v>
      </c>
      <c r="AL17" s="1044">
        <f>'13'!$G$69</f>
        <v>329</v>
      </c>
      <c r="AM17" s="1044">
        <f>'13'!$G$84</f>
        <v>758</v>
      </c>
      <c r="AN17" s="1044">
        <f>'13'!$G$15</f>
        <v>836.22999999998137</v>
      </c>
      <c r="AO17" s="1082">
        <f>'13'!$G$123</f>
        <v>246</v>
      </c>
      <c r="AP17" s="1044">
        <f>'13'!$G$124</f>
        <v>0.39999999999417923</v>
      </c>
      <c r="AQ17" s="1044">
        <f>'13'!$G$125</f>
        <v>63</v>
      </c>
      <c r="AR17" s="1044">
        <f>'13'!$G$126</f>
        <v>28</v>
      </c>
      <c r="AS17" s="1044">
        <f>'13'!$G$127</f>
        <v>3</v>
      </c>
      <c r="AT17" s="1044">
        <f t="shared" si="0"/>
        <v>495.82999999998719</v>
      </c>
      <c r="AU17" s="1044">
        <f>SUM('13'!G139:G140)</f>
        <v>7</v>
      </c>
      <c r="AV17" s="1044">
        <f>'13'!$G$136</f>
        <v>8.9799999999995634</v>
      </c>
      <c r="AW17" s="1044">
        <f>'13'!$G$137</f>
        <v>-0.31000000000130967</v>
      </c>
      <c r="AX17" s="1044">
        <f>'13'!$G$138</f>
        <v>2.1399999999994179</v>
      </c>
      <c r="AY17" s="1041">
        <f t="shared" si="1"/>
        <v>10.809999999997672</v>
      </c>
      <c r="BA17" s="1049">
        <f t="shared" ref="BA17:BA35" si="2">AO17-AT17</f>
        <v>-249.82999999998719</v>
      </c>
    </row>
    <row r="18" spans="1:53">
      <c r="A18" s="1043">
        <v>43935</v>
      </c>
      <c r="B18" s="261">
        <f>'14'!G7</f>
        <v>20968</v>
      </c>
      <c r="C18" s="261">
        <f>'14'!G8</f>
        <v>21025</v>
      </c>
      <c r="D18" s="261">
        <f>'14'!G15</f>
        <v>855</v>
      </c>
      <c r="E18" s="261">
        <f>'14'!G20</f>
        <v>232</v>
      </c>
      <c r="F18" s="261">
        <f>SUM('14'!G35,'14'!G49)</f>
        <v>3483</v>
      </c>
      <c r="G18" s="261">
        <f>SUM('14'!G37,'14'!G51)</f>
        <v>1563</v>
      </c>
      <c r="H18" s="261">
        <f>SUM('14'!G38,'14'!G52)</f>
        <v>2010</v>
      </c>
      <c r="I18" s="261">
        <f>SUM('14'!G39,'14'!G53)</f>
        <v>4133</v>
      </c>
      <c r="J18" s="261">
        <f>SUM('14'!G41,'14'!G42,'14'!G55,'14'!G56)</f>
        <v>5010</v>
      </c>
      <c r="K18" s="261">
        <f>SUM('14'!G43,'14'!G57)</f>
        <v>2407</v>
      </c>
      <c r="L18" s="1044">
        <f>'14'!G50</f>
        <v>1184</v>
      </c>
      <c r="M18" s="1044">
        <f>'14'!G36</f>
        <v>659</v>
      </c>
      <c r="N18" s="1044">
        <f>'14'!G72</f>
        <v>90</v>
      </c>
      <c r="O18" s="1044">
        <f>'14'!$G$73</f>
        <v>0</v>
      </c>
      <c r="P18" s="1044">
        <f>'14'!$G$74</f>
        <v>49</v>
      </c>
      <c r="Q18" s="1044">
        <f>'14'!$G$75</f>
        <v>187</v>
      </c>
      <c r="R18" s="1044">
        <f>'14'!$G$76</f>
        <v>76</v>
      </c>
      <c r="S18" s="1044">
        <f>'14'!$G$77</f>
        <v>49</v>
      </c>
      <c r="T18" s="1035">
        <f>'14'!$G$78</f>
        <v>388</v>
      </c>
      <c r="U18" s="1035">
        <f>'14'!$G$79</f>
        <v>200</v>
      </c>
      <c r="V18" s="1035">
        <f>'14'!$G$80</f>
        <v>362</v>
      </c>
      <c r="W18" s="1035">
        <f>'14'!$G$81</f>
        <v>132</v>
      </c>
      <c r="X18" s="1035">
        <f>'14'!$G$82</f>
        <v>25</v>
      </c>
      <c r="Y18" s="1035">
        <f>'14'!$G$58</f>
        <v>173</v>
      </c>
      <c r="Z18" s="1035">
        <f>'14'!$G$83</f>
        <v>249</v>
      </c>
      <c r="AA18" s="1035">
        <f>'14'!G86</f>
        <v>60</v>
      </c>
      <c r="AB18" s="1035">
        <f>'14'!G87</f>
        <v>15</v>
      </c>
      <c r="AC18" s="1035">
        <f>'14'!G88</f>
        <v>31</v>
      </c>
      <c r="AD18" s="1035">
        <f>'14'!G87+'14'!H90</f>
        <v>16</v>
      </c>
      <c r="AE18" s="1044">
        <f>'14'!$G$62</f>
        <v>0</v>
      </c>
      <c r="AF18" s="1044">
        <f>'14'!$G$63</f>
        <v>15</v>
      </c>
      <c r="AG18" s="1044">
        <f>'14'!$G$64</f>
        <v>488</v>
      </c>
      <c r="AH18" s="1044">
        <f>'14'!$G$65</f>
        <v>382</v>
      </c>
      <c r="AI18" s="1044">
        <f>'14'!$G$66</f>
        <v>371</v>
      </c>
      <c r="AJ18" s="1044">
        <f>'14'!$G$67</f>
        <v>646</v>
      </c>
      <c r="AK18" s="1044">
        <f>'14'!$G$68</f>
        <v>350</v>
      </c>
      <c r="AL18" s="1044">
        <f>'14'!$G$69</f>
        <v>313</v>
      </c>
      <c r="AM18" s="1044">
        <f>'14'!$G$84</f>
        <v>742</v>
      </c>
      <c r="AN18" s="1044">
        <f>'14'!$G$15</f>
        <v>855</v>
      </c>
      <c r="AO18" s="1044">
        <f>'14'!$G$123</f>
        <v>245</v>
      </c>
      <c r="AP18" s="1044">
        <f>'14'!$G$124</f>
        <v>0</v>
      </c>
      <c r="AQ18" s="1044">
        <f>'14'!$G$125</f>
        <v>61.209999999991851</v>
      </c>
      <c r="AR18" s="1044">
        <f>'14'!$G$126</f>
        <v>-66.5</v>
      </c>
      <c r="AS18" s="1044">
        <f>'14'!$G$127</f>
        <v>3.2999999999992724</v>
      </c>
      <c r="AT18" s="1044">
        <f t="shared" si="0"/>
        <v>611.99000000000888</v>
      </c>
      <c r="AU18" s="1044">
        <f>SUM('14'!G139:G140)</f>
        <v>7</v>
      </c>
      <c r="AV18" s="1044">
        <f>'14'!$G$136</f>
        <v>8.3600000000005821</v>
      </c>
      <c r="AW18" s="1044">
        <f>'14'!$G$137</f>
        <v>0.31000000000130967</v>
      </c>
      <c r="AX18" s="1044">
        <f>'14'!$G$138</f>
        <v>3.6699999999982538</v>
      </c>
      <c r="AY18" s="1041">
        <f t="shared" si="1"/>
        <v>12.340000000000146</v>
      </c>
      <c r="BA18" s="1049">
        <f>AO18-AT18</f>
        <v>-366.99000000000888</v>
      </c>
    </row>
    <row r="19" spans="1:53">
      <c r="A19" s="1043">
        <v>43936</v>
      </c>
      <c r="B19" s="261">
        <f>'15'!G7</f>
        <v>20985</v>
      </c>
      <c r="C19" s="261">
        <f>'15'!G8</f>
        <v>21074</v>
      </c>
      <c r="D19" s="261">
        <f>'15'!G15</f>
        <v>827.70900000003166</v>
      </c>
      <c r="E19" s="261">
        <f>'15'!G20</f>
        <v>175</v>
      </c>
      <c r="F19" s="261">
        <f>SUM('15'!G35,'15'!G49)</f>
        <v>3462.7600000000093</v>
      </c>
      <c r="G19" s="261">
        <f>SUM('15'!G37,'15'!G51)</f>
        <v>1624.6700000000128</v>
      </c>
      <c r="H19" s="261">
        <f>SUM('15'!G38,'15'!G52)</f>
        <v>1887.9100000000326</v>
      </c>
      <c r="I19" s="261">
        <f>SUM('15'!G39,'15'!G53)</f>
        <v>4262.210000000021</v>
      </c>
      <c r="J19" s="261">
        <f>SUM('15'!G41,'15'!G42,'15'!G55,'15'!G56)</f>
        <v>5696.4530000000013</v>
      </c>
      <c r="K19" s="261">
        <f>SUM('15'!G43,'15'!G57)</f>
        <v>2431.5500000000466</v>
      </c>
      <c r="L19" s="1044">
        <f>'15'!G50</f>
        <v>1168.6699999999837</v>
      </c>
      <c r="M19" s="1044">
        <f>'15'!G36</f>
        <v>718</v>
      </c>
      <c r="N19" s="1044">
        <f>'15'!G72</f>
        <v>103</v>
      </c>
      <c r="O19" s="1044">
        <f>'15'!$G$73</f>
        <v>1</v>
      </c>
      <c r="P19" s="1044">
        <f>'15'!$G$74</f>
        <v>20.950000000000045</v>
      </c>
      <c r="Q19" s="1044">
        <f>'15'!$G$75</f>
        <v>168.28999999999996</v>
      </c>
      <c r="R19" s="1044">
        <f>'15'!$G$76</f>
        <v>72.619999999999891</v>
      </c>
      <c r="S19" s="1044">
        <f>'15'!$G$77</f>
        <v>57</v>
      </c>
      <c r="T19" s="1035">
        <f>'15'!$G$78</f>
        <v>443</v>
      </c>
      <c r="U19" s="1035">
        <f>'15'!$G$79</f>
        <v>194</v>
      </c>
      <c r="V19" s="1035">
        <f>'15'!$G$80</f>
        <v>347.52000000001863</v>
      </c>
      <c r="W19" s="1035">
        <f>'15'!$G$81</f>
        <v>134.1600000000326</v>
      </c>
      <c r="X19" s="1035">
        <f>'15'!$G$82</f>
        <v>20.940000000002328</v>
      </c>
      <c r="Y19" s="1035">
        <f>'15'!$G$58</f>
        <v>161.55000000000291</v>
      </c>
      <c r="Z19" s="1035">
        <f>'15'!$G$83</f>
        <v>280</v>
      </c>
      <c r="AA19" s="1035">
        <f>'15'!G86</f>
        <v>106.52000000001863</v>
      </c>
      <c r="AB19" s="1035">
        <f>'15'!G87</f>
        <v>32.5</v>
      </c>
      <c r="AC19" s="1035">
        <f>'15'!G88</f>
        <v>89.450000000011642</v>
      </c>
      <c r="AD19" s="1035">
        <f>'15'!G87+'15'!H90</f>
        <v>37.699999999999818</v>
      </c>
      <c r="AE19" s="1044">
        <f>'15'!$G$62</f>
        <v>0</v>
      </c>
      <c r="AF19" s="1044">
        <f>'15'!$G$63</f>
        <v>14.769999999999982</v>
      </c>
      <c r="AG19" s="1044">
        <f>'15'!$G$64</f>
        <v>518.10999999998603</v>
      </c>
      <c r="AH19" s="1044">
        <f>'15'!$G$65</f>
        <v>379.45999999999185</v>
      </c>
      <c r="AI19" s="1044">
        <f>'15'!$G$66</f>
        <v>393.72999999999956</v>
      </c>
      <c r="AJ19" s="1044">
        <f>'15'!$G$67</f>
        <v>716.52999999999884</v>
      </c>
      <c r="AK19" s="1044">
        <f>'15'!$G$68</f>
        <v>346.16999999999825</v>
      </c>
      <c r="AL19" s="1044">
        <f>'15'!$G$69</f>
        <v>307.39999999999418</v>
      </c>
      <c r="AM19" s="1044">
        <f>'15'!$G$84</f>
        <v>731</v>
      </c>
      <c r="AN19" s="1044">
        <f>'15'!$G$15</f>
        <v>827.70900000003166</v>
      </c>
      <c r="AO19" s="1044">
        <f>'15'!$G$123</f>
        <v>248.96999999997206</v>
      </c>
      <c r="AP19" s="1044">
        <f>'15'!$G$124</f>
        <v>0</v>
      </c>
      <c r="AQ19" s="1044">
        <f>'15'!$G$125</f>
        <v>61.670000000012806</v>
      </c>
      <c r="AR19" s="1044">
        <f>'15'!$G$126</f>
        <v>14.400000000001455</v>
      </c>
      <c r="AS19" s="1044">
        <f>'15'!$G$127</f>
        <v>2.5</v>
      </c>
      <c r="AT19" s="1044">
        <f t="shared" si="0"/>
        <v>500.16900000004534</v>
      </c>
      <c r="AU19" s="1044">
        <f>SUM('15'!G139:G140)</f>
        <v>6.8999999999996362</v>
      </c>
      <c r="AV19" s="1044">
        <f>'15'!$G$136</f>
        <v>7.9399999999986903</v>
      </c>
      <c r="AW19" s="1044">
        <f>'15'!$G$137</f>
        <v>5.9999999997671694E-2</v>
      </c>
      <c r="AX19" s="1044">
        <f>'15'!$G$138</f>
        <v>4.7900000000081491</v>
      </c>
      <c r="AY19" s="1041">
        <f t="shared" si="1"/>
        <v>12.790000000004511</v>
      </c>
      <c r="BA19" s="1049">
        <f t="shared" si="2"/>
        <v>-251.19900000007328</v>
      </c>
    </row>
    <row r="20" spans="1:53">
      <c r="A20" s="1043">
        <v>43937</v>
      </c>
      <c r="B20" s="261">
        <f>'16'!G7</f>
        <v>20449</v>
      </c>
      <c r="C20" s="261">
        <f>'16'!G8</f>
        <v>20521</v>
      </c>
      <c r="D20" s="261">
        <f>'16'!G15</f>
        <v>821.11100000003353</v>
      </c>
      <c r="E20" s="261">
        <f>'16'!G20</f>
        <v>154</v>
      </c>
      <c r="F20" s="261">
        <f>SUM('16'!G35,'16'!G49)</f>
        <v>3222.4799999999814</v>
      </c>
      <c r="G20" s="261">
        <f>SUM('16'!G37,'16'!G51)</f>
        <v>1585.0999999999767</v>
      </c>
      <c r="H20" s="261">
        <f>SUM('16'!G38,'16'!G52)</f>
        <v>1760.3199999999488</v>
      </c>
      <c r="I20" s="261">
        <f>SUM('16'!G39,'16'!G53)</f>
        <v>4153.4599999999627</v>
      </c>
      <c r="J20" s="261">
        <f>SUM('16'!G41,'16'!G42,'16'!G55,'16'!G56)</f>
        <v>5084.1600000000326</v>
      </c>
      <c r="K20" s="261">
        <f>SUM('16'!G43,'16'!G57)</f>
        <v>2381.4399999999441</v>
      </c>
      <c r="L20" s="1044">
        <f>'16'!G50</f>
        <v>1068.2399999999907</v>
      </c>
      <c r="M20" s="1044">
        <f>'16'!G36</f>
        <v>616.75</v>
      </c>
      <c r="N20" s="1044">
        <f>'16'!G72</f>
        <v>100</v>
      </c>
      <c r="O20" s="1044">
        <f>'16'!$G$73</f>
        <v>0</v>
      </c>
      <c r="P20" s="1044">
        <f>'16'!$G$74</f>
        <v>18.440000000000055</v>
      </c>
      <c r="Q20" s="1044">
        <f>'16'!$G$75</f>
        <v>163.93000000000029</v>
      </c>
      <c r="R20" s="1044">
        <f>'16'!$G$76</f>
        <v>67.680000000000291</v>
      </c>
      <c r="S20" s="1044">
        <f>'16'!$G$77</f>
        <v>58</v>
      </c>
      <c r="T20" s="1035">
        <f>'16'!$G$78</f>
        <v>423</v>
      </c>
      <c r="U20" s="1035">
        <f>'16'!$G$79</f>
        <v>206</v>
      </c>
      <c r="V20" s="1035">
        <f>'16'!$G$80</f>
        <v>353.8399999999674</v>
      </c>
      <c r="W20" s="1035">
        <f>'16'!$G$81</f>
        <v>108.15999999991618</v>
      </c>
      <c r="X20" s="1035">
        <f>'16'!$G$82</f>
        <v>24.289999999993597</v>
      </c>
      <c r="Y20" s="1035">
        <f>'16'!$G$58</f>
        <v>174.29999999999563</v>
      </c>
      <c r="Z20" s="1035">
        <f>'16'!$G$83</f>
        <v>241</v>
      </c>
      <c r="AA20" s="1035">
        <f>'16'!G86</f>
        <v>113.03999999997905</v>
      </c>
      <c r="AB20" s="1035">
        <f>'16'!G87</f>
        <v>29.899999999994179</v>
      </c>
      <c r="AC20" s="1035">
        <f>'16'!G88</f>
        <v>117.50999999998021</v>
      </c>
      <c r="AD20" s="1035">
        <f>'16'!G87+'16'!H90</f>
        <v>33.499999999994543</v>
      </c>
      <c r="AE20" s="1044">
        <f>'16'!$G$62</f>
        <v>0</v>
      </c>
      <c r="AF20" s="1044">
        <f>'16'!$G$63</f>
        <v>14.950000000000045</v>
      </c>
      <c r="AG20" s="1044">
        <f>'16'!$G$64</f>
        <v>493.8300000000163</v>
      </c>
      <c r="AH20" s="1044">
        <f>'16'!$G$65</f>
        <v>375.70000000001164</v>
      </c>
      <c r="AI20" s="1044">
        <f>'16'!$G$66</f>
        <v>391.40000000000146</v>
      </c>
      <c r="AJ20" s="1044">
        <f>'16'!$G$67</f>
        <v>670.17999999999302</v>
      </c>
      <c r="AK20" s="1044">
        <f>'16'!$G$68</f>
        <v>323.41999999999825</v>
      </c>
      <c r="AL20" s="1044">
        <f>'16'!$G$69</f>
        <v>305.08000000000175</v>
      </c>
      <c r="AM20" s="1044">
        <f>'16'!$G$84</f>
        <v>692</v>
      </c>
      <c r="AN20" s="1044">
        <f>'16'!$G$15</f>
        <v>821.11100000003353</v>
      </c>
      <c r="AO20" s="1082">
        <f>'16'!$G$123</f>
        <v>235.94000000006054</v>
      </c>
      <c r="AP20" s="1044">
        <f>'16'!$G$124</f>
        <v>0</v>
      </c>
      <c r="AQ20" s="1044">
        <f>'16'!$G$125</f>
        <v>50.299999999988358</v>
      </c>
      <c r="AR20" s="1044">
        <f>'16'!$G$126</f>
        <v>16.099999999998545</v>
      </c>
      <c r="AS20" s="1044">
        <f>'16'!$G$127</f>
        <v>0.6000000000003638</v>
      </c>
      <c r="AT20" s="1044">
        <f t="shared" si="0"/>
        <v>518.17099999998572</v>
      </c>
      <c r="AU20" s="1044">
        <f>SUM('16'!G139:G140)</f>
        <v>7.1100000000001273</v>
      </c>
      <c r="AV20" s="1044">
        <f>'16'!$G$136</f>
        <v>8.7299999999995634</v>
      </c>
      <c r="AW20" s="1044">
        <f>'16'!$G$137</f>
        <v>-5.9999999997671694E-2</v>
      </c>
      <c r="AX20" s="1044">
        <f>'16'!$G$138</f>
        <v>3.0999999999912689</v>
      </c>
      <c r="AY20" s="1041">
        <f t="shared" si="1"/>
        <v>11.769999999993161</v>
      </c>
      <c r="BA20" s="1049">
        <f t="shared" si="2"/>
        <v>-282.23099999992519</v>
      </c>
    </row>
    <row r="21" spans="1:53">
      <c r="A21" s="1043">
        <v>43938</v>
      </c>
      <c r="B21" s="261">
        <f>'17'!G7</f>
        <v>20248</v>
      </c>
      <c r="C21" s="261">
        <f>'17'!G8</f>
        <v>20325</v>
      </c>
      <c r="D21" s="261">
        <f>'17'!G15</f>
        <v>780.70900000003166</v>
      </c>
      <c r="E21" s="261">
        <f>'17'!G20</f>
        <v>173</v>
      </c>
      <c r="F21" s="261">
        <f>SUM('17'!G35,'17'!G49)</f>
        <v>3306.640000000014</v>
      </c>
      <c r="G21" s="261">
        <f>SUM('17'!G37,'17'!G51)</f>
        <v>1574.5299999999988</v>
      </c>
      <c r="H21" s="261">
        <f>SUM('17'!G38,'17'!G52)</f>
        <v>1736.4000000000233</v>
      </c>
      <c r="I21" s="261">
        <f>SUM('17'!G39,'17'!G53)</f>
        <v>4104.4800000000396</v>
      </c>
      <c r="J21" s="261">
        <f>SUM('17'!G41,'17'!G42,'17'!G55,'17'!G56)</f>
        <v>4907.5169999999634</v>
      </c>
      <c r="K21" s="261">
        <f>SUM('17'!G43,'17'!G57)</f>
        <v>2358</v>
      </c>
      <c r="L21" s="1044">
        <f>'17'!G50</f>
        <v>1167.5599999999977</v>
      </c>
      <c r="M21" s="1044">
        <f>'17'!G36</f>
        <v>641.94000000000233</v>
      </c>
      <c r="N21" s="1044">
        <f>'18'!G72</f>
        <v>86</v>
      </c>
      <c r="O21" s="1044">
        <f>'17'!$G$73</f>
        <v>0</v>
      </c>
      <c r="P21" s="1044">
        <f>'17'!$G$74</f>
        <v>17.559999999999945</v>
      </c>
      <c r="Q21" s="1044">
        <f>'17'!$G$75</f>
        <v>153.09000000000015</v>
      </c>
      <c r="R21" s="1044">
        <f>'17'!$G$76</f>
        <v>65.329999999999927</v>
      </c>
      <c r="S21" s="1044">
        <f>'17'!$G$77</f>
        <v>59</v>
      </c>
      <c r="T21" s="1035">
        <f>'17'!$G$78</f>
        <v>391</v>
      </c>
      <c r="U21" s="1035">
        <f>'17'!$G$79</f>
        <v>201</v>
      </c>
      <c r="V21" s="1035">
        <f>'17'!$G$80</f>
        <v>334.79999999998836</v>
      </c>
      <c r="W21" s="1035">
        <f>'17'!$G$81</f>
        <v>112.64000000001397</v>
      </c>
      <c r="X21" s="1035">
        <f>'17'!$G$82</f>
        <v>21.279999999998836</v>
      </c>
      <c r="Y21" s="1035">
        <f>'17'!$G$58</f>
        <v>148.98999999999796</v>
      </c>
      <c r="Z21" s="1035">
        <f>'17'!$G$83</f>
        <v>240</v>
      </c>
      <c r="AA21" s="1035">
        <f>'17'!G86</f>
        <v>115.11999999999534</v>
      </c>
      <c r="AB21" s="1035">
        <f>'17'!G87</f>
        <v>28.400000000008731</v>
      </c>
      <c r="AC21" s="1035">
        <f>'17'!G88</f>
        <v>82.740000000019791</v>
      </c>
      <c r="AD21" s="1035">
        <f>'17'!G87+'17'!H90</f>
        <v>33.200000000008458</v>
      </c>
      <c r="AE21" s="1044">
        <f>'17'!$G$62</f>
        <v>0</v>
      </c>
      <c r="AF21" s="1044">
        <f>'17'!$G$63</f>
        <v>12.379999999999882</v>
      </c>
      <c r="AG21" s="1044">
        <f>'17'!$G$64</f>
        <v>505.82000000000698</v>
      </c>
      <c r="AH21" s="1044">
        <f>'17'!$G$65</f>
        <v>373.57999999998719</v>
      </c>
      <c r="AI21" s="1044">
        <f>'17'!$G$66</f>
        <v>384.29999999999927</v>
      </c>
      <c r="AJ21" s="1044">
        <f>'17'!$G$67</f>
        <v>642.52000000001863</v>
      </c>
      <c r="AK21" s="1044">
        <f>'17'!$G$68</f>
        <v>313.22000000000116</v>
      </c>
      <c r="AL21" s="1044">
        <f>'17'!$G$69</f>
        <v>309.02000000000407</v>
      </c>
      <c r="AM21" s="1044">
        <f>'17'!$G$84</f>
        <v>661</v>
      </c>
      <c r="AN21" s="1044">
        <f>'17'!$G$15</f>
        <v>780.70900000003166</v>
      </c>
      <c r="AO21" s="1044">
        <f>'17'!$G$123</f>
        <v>236.09999999997672</v>
      </c>
      <c r="AP21" s="1044">
        <f>'17'!$G$124</f>
        <v>0</v>
      </c>
      <c r="AQ21" s="1044">
        <f>'17'!$G$125</f>
        <v>72.25</v>
      </c>
      <c r="AR21" s="1044">
        <f>'17'!$G$126</f>
        <v>16.80000000000291</v>
      </c>
      <c r="AS21" s="1044">
        <f>'17'!$G$127</f>
        <v>4.5</v>
      </c>
      <c r="AT21" s="1044">
        <f t="shared" si="0"/>
        <v>451.05900000005204</v>
      </c>
      <c r="AU21" s="1044">
        <f>SUM('17'!G139:G140)</f>
        <v>7.9400000000005093</v>
      </c>
      <c r="AV21" s="1044">
        <f>'17'!$G$136</f>
        <v>6.7400000000016007</v>
      </c>
      <c r="AW21" s="1044">
        <f>'17'!$G$137</f>
        <v>0</v>
      </c>
      <c r="AX21" s="1044">
        <f>'17'!$G$138</f>
        <v>4.6100000000005821</v>
      </c>
      <c r="AY21" s="1041">
        <f t="shared" si="1"/>
        <v>11.350000000002183</v>
      </c>
      <c r="BA21" s="1049">
        <f t="shared" si="2"/>
        <v>-214.95900000007532</v>
      </c>
    </row>
    <row r="22" spans="1:53">
      <c r="A22" s="1043">
        <v>43939</v>
      </c>
      <c r="B22" s="261">
        <f>'18'!G7</f>
        <v>23409</v>
      </c>
      <c r="C22" s="261">
        <f>'18'!G8</f>
        <v>23577</v>
      </c>
      <c r="D22" s="261">
        <f>'18'!G15</f>
        <v>810.4749999998603</v>
      </c>
      <c r="E22" s="261">
        <f>'18'!G20</f>
        <v>133</v>
      </c>
      <c r="F22" s="261">
        <f>SUM('18'!G35,'18'!G49)</f>
        <v>3524.640000000014</v>
      </c>
      <c r="G22" s="261">
        <f>SUM('18'!G37,'18'!G51)</f>
        <v>1640.260000000002</v>
      </c>
      <c r="H22" s="261">
        <f>SUM('18'!G38,'18'!G52)</f>
        <v>1769.359999999986</v>
      </c>
      <c r="I22" s="261">
        <f>SUM('18'!G39,'18'!G53)</f>
        <v>4365.3999999999651</v>
      </c>
      <c r="J22" s="261">
        <f>SUM('18'!G41,'18'!G42,'18'!G55,'18'!G56)</f>
        <v>6598.2730000000229</v>
      </c>
      <c r="K22" s="261">
        <f>SUM('18'!G43,'18'!G57)</f>
        <v>2617.359999999986</v>
      </c>
      <c r="L22" s="1044">
        <f>'18'!G50</f>
        <v>1567.9200000000419</v>
      </c>
      <c r="M22" s="1044">
        <f>'18'!G36</f>
        <v>789.30999999999767</v>
      </c>
      <c r="N22" s="1044">
        <f>'18'!G72</f>
        <v>86</v>
      </c>
      <c r="O22" s="1044">
        <f>'18'!$G$73</f>
        <v>1</v>
      </c>
      <c r="P22" s="1044">
        <f>'18'!$G$74</f>
        <v>20.089999999999918</v>
      </c>
      <c r="Q22" s="1044">
        <f>'18'!$G$75</f>
        <v>171.1899999999996</v>
      </c>
      <c r="R22" s="1044">
        <f>'18'!$G$76</f>
        <v>81.7199999999998</v>
      </c>
      <c r="S22" s="1044">
        <f>'18'!$G$77</f>
        <v>54</v>
      </c>
      <c r="T22" s="1035">
        <f>'18'!$G$78</f>
        <v>465</v>
      </c>
      <c r="U22" s="1035">
        <f>'18'!$G$79</f>
        <v>199</v>
      </c>
      <c r="V22" s="1047">
        <f>'18'!$G$80</f>
        <v>255.84000000002561</v>
      </c>
      <c r="W22" s="1047">
        <f>'18'!$G$81</f>
        <v>129.08000000007451</v>
      </c>
      <c r="X22" s="1047">
        <f>'18'!$G$82</f>
        <v>21.360000000000582</v>
      </c>
      <c r="Y22" s="1047">
        <f>'18'!$G$58</f>
        <v>155.26000000000204</v>
      </c>
      <c r="Z22" s="1047">
        <f>'18'!$G$83</f>
        <v>239</v>
      </c>
      <c r="AA22" s="1047">
        <f>'18'!G86</f>
        <v>148.55999999999767</v>
      </c>
      <c r="AB22" s="1035">
        <f>'18'!G87</f>
        <v>38.899999999994179</v>
      </c>
      <c r="AC22" s="1035">
        <f>'18'!G88</f>
        <v>82.529999999998836</v>
      </c>
      <c r="AD22" s="1035">
        <f>'18'!G87+'18'!H90</f>
        <v>42.999999999994088</v>
      </c>
      <c r="AE22" s="1044">
        <f>'18'!$G$62</f>
        <v>0</v>
      </c>
      <c r="AF22" s="1044">
        <f>'18'!$G$63</f>
        <v>12.480000000000018</v>
      </c>
      <c r="AG22" s="1044">
        <f>'18'!$G$64</f>
        <v>516.08999999999651</v>
      </c>
      <c r="AH22" s="1044">
        <f>'18'!$G$65</f>
        <v>385.02999999999884</v>
      </c>
      <c r="AI22" s="1044">
        <f>'18'!$G$66</f>
        <v>401.47000000000116</v>
      </c>
      <c r="AJ22" s="1044">
        <f>'18'!$G$67</f>
        <v>737.87999999997555</v>
      </c>
      <c r="AK22" s="1044">
        <f>'18'!$G$68</f>
        <v>335.4600000000064</v>
      </c>
      <c r="AL22" s="1044">
        <f>'18'!$G$69</f>
        <v>321.58999999999651</v>
      </c>
      <c r="AM22" s="1044">
        <f>'18'!$G$84</f>
        <v>727</v>
      </c>
      <c r="AN22" s="1044">
        <f>'18'!$G$15</f>
        <v>810.4749999998603</v>
      </c>
      <c r="AO22" s="1044">
        <f>'18'!$G$123</f>
        <v>261.28000000002794</v>
      </c>
      <c r="AP22" s="1044">
        <f>'18'!$G$124</f>
        <v>0</v>
      </c>
      <c r="AQ22" s="1044">
        <f>'18'!$G$125</f>
        <v>73.050000000017462</v>
      </c>
      <c r="AR22" s="1044">
        <f>'18'!$G$126</f>
        <v>16.5</v>
      </c>
      <c r="AS22" s="1044">
        <f>'18'!$G$127</f>
        <v>1.3999999999996362</v>
      </c>
      <c r="AT22" s="1044">
        <f t="shared" si="0"/>
        <v>458.24499999981526</v>
      </c>
      <c r="AU22" s="1044">
        <f>SUM('18'!G139:G140)</f>
        <v>8.7999999999992724</v>
      </c>
      <c r="AV22" s="1044">
        <f>'18'!$G$136</f>
        <v>6.5600000000013097</v>
      </c>
      <c r="AW22" s="1044">
        <f>'18'!$G$137</f>
        <v>0</v>
      </c>
      <c r="AX22" s="1044">
        <f>'18'!$G$138</f>
        <v>5.180000000007567</v>
      </c>
      <c r="AY22" s="1041">
        <f t="shared" si="1"/>
        <v>11.740000000008877</v>
      </c>
      <c r="BA22" s="1049">
        <f t="shared" si="2"/>
        <v>-196.96499999978732</v>
      </c>
    </row>
    <row r="23" spans="1:53" s="1046" customFormat="1">
      <c r="A23" s="1043">
        <v>43940</v>
      </c>
      <c r="B23" s="261">
        <f>'19'!G7</f>
        <v>19811</v>
      </c>
      <c r="C23" s="261">
        <f>'19'!G8</f>
        <v>19886</v>
      </c>
      <c r="D23" s="261">
        <f>'19'!G15</f>
        <v>806.65599999995902</v>
      </c>
      <c r="E23" s="261">
        <f>'19'!G20</f>
        <v>171</v>
      </c>
      <c r="F23" s="261">
        <f>SUM('19'!G35,'19'!G49)</f>
        <v>3067.1999999999534</v>
      </c>
      <c r="G23" s="261">
        <f>SUM('19'!G37,'19'!G51)</f>
        <v>1459.4200000000055</v>
      </c>
      <c r="H23" s="261">
        <f>SUM('19'!G38,'19'!G52)</f>
        <v>1724.8999999999578</v>
      </c>
      <c r="I23" s="261">
        <f>SUM('19'!G39,'19'!G53)</f>
        <v>4021.5299999999988</v>
      </c>
      <c r="J23" s="261">
        <f>SUM('19'!G41,'19'!G42,'19'!G55,'19'!G56)</f>
        <v>4813.649999999936</v>
      </c>
      <c r="K23" s="261">
        <f>SUM('19'!G43,'19'!G57)</f>
        <v>2380.950000000028</v>
      </c>
      <c r="L23" s="1035">
        <f>'19'!G50</f>
        <v>1178.9599999999627</v>
      </c>
      <c r="M23" s="1035">
        <f>'19'!G36</f>
        <v>604.6699999999837</v>
      </c>
      <c r="N23" s="1035">
        <f>'19'!G72</f>
        <v>83</v>
      </c>
      <c r="O23" s="1035">
        <f>'19'!$G$73</f>
        <v>0</v>
      </c>
      <c r="P23" s="1035">
        <f>'19'!$G$74</f>
        <v>18.130000000000109</v>
      </c>
      <c r="Q23" s="1035">
        <f>'19'!$G$75</f>
        <v>159.5</v>
      </c>
      <c r="R23" s="1044">
        <f>'19'!G76</f>
        <v>83.010000000000218</v>
      </c>
      <c r="S23" s="1035">
        <f>'19'!$G$77</f>
        <v>56</v>
      </c>
      <c r="T23" s="1035">
        <f>'19'!$G$78</f>
        <v>466</v>
      </c>
      <c r="U23" s="1035">
        <f>'19'!$G$79</f>
        <v>200</v>
      </c>
      <c r="V23" s="1035">
        <f>'19'!$G$80</f>
        <v>440.03999999997905</v>
      </c>
      <c r="W23" s="1035">
        <f>'19'!$G$81</f>
        <v>107.07999999995809</v>
      </c>
      <c r="X23" s="1035">
        <f>'19'!$G$82</f>
        <v>20.720000000001164</v>
      </c>
      <c r="Y23" s="1035">
        <f>'19'!$G$58</f>
        <v>165.06999999999971</v>
      </c>
      <c r="Z23" s="1035">
        <f>'19'!$G$83</f>
        <v>254</v>
      </c>
      <c r="AA23" s="1035">
        <f>'19'!G86</f>
        <v>170.47999999998137</v>
      </c>
      <c r="AB23" s="1035">
        <f>'19'!G87</f>
        <v>33.430000000007567</v>
      </c>
      <c r="AC23" s="1035">
        <f>'19'!G88</f>
        <v>90.279999999998836</v>
      </c>
      <c r="AD23" s="1035">
        <f>'19'!G87+'19'!H90</f>
        <v>37.63000000000784</v>
      </c>
      <c r="AE23" s="1035">
        <f>'19'!$G$62</f>
        <v>2.0000000000436557E-2</v>
      </c>
      <c r="AF23" s="1035">
        <f>'19'!$G$63</f>
        <v>10.630000000000109</v>
      </c>
      <c r="AG23" s="1035">
        <f>'19'!$G$64</f>
        <v>499.66000000000349</v>
      </c>
      <c r="AH23" s="1035">
        <f>'19'!$G$65</f>
        <v>362.18000000002212</v>
      </c>
      <c r="AI23" s="1035">
        <f>'19'!$G$66</f>
        <v>338.5099999999984</v>
      </c>
      <c r="AJ23" s="1035">
        <f>'19'!$G$67</f>
        <v>688.72000000000116</v>
      </c>
      <c r="AK23" s="1035">
        <f>'19'!$G$68</f>
        <v>300.19999999999709</v>
      </c>
      <c r="AL23" s="1035">
        <f>'19'!$G$69</f>
        <v>294.54000000000815</v>
      </c>
      <c r="AM23" s="1035">
        <f>'19'!$G$84</f>
        <v>715</v>
      </c>
      <c r="AN23" s="1035">
        <f>'19'!$G$15</f>
        <v>806.65599999995902</v>
      </c>
      <c r="AO23" s="1035">
        <f>'19'!$G$123</f>
        <v>244.43999999994412</v>
      </c>
      <c r="AP23" s="1035">
        <f>'19'!$G$124</f>
        <v>-0.39999999999417923</v>
      </c>
      <c r="AQ23" s="1035">
        <f>'19'!$G$125</f>
        <v>75.649999999994179</v>
      </c>
      <c r="AR23" s="1035">
        <f>'19'!$G$126</f>
        <v>14.299999999995634</v>
      </c>
      <c r="AS23" s="1035">
        <f>'19'!$G$127</f>
        <v>1.6000000000003638</v>
      </c>
      <c r="AT23" s="1035">
        <f t="shared" si="0"/>
        <v>471.0660000000189</v>
      </c>
      <c r="AU23" s="1035">
        <f>SUM('19'!G139:G140)</f>
        <v>8.4600000000000364</v>
      </c>
      <c r="AV23" s="1035">
        <f>'19'!$G$136</f>
        <v>7.5900000000001455</v>
      </c>
      <c r="AW23" s="1035">
        <f>'19'!$G$137</f>
        <v>0</v>
      </c>
      <c r="AX23" s="1035">
        <f>'19'!$G$138</f>
        <v>3.7899999999935972</v>
      </c>
      <c r="AY23" s="1045">
        <f t="shared" si="1"/>
        <v>11.379999999993743</v>
      </c>
      <c r="BA23" s="1050">
        <f t="shared" si="2"/>
        <v>-226.62600000007478</v>
      </c>
    </row>
    <row r="24" spans="1:53">
      <c r="A24" s="1043">
        <v>43941</v>
      </c>
      <c r="B24" s="261">
        <f>'20'!G7</f>
        <v>21543</v>
      </c>
      <c r="C24" s="261">
        <f>'20'!G8</f>
        <v>21614</v>
      </c>
      <c r="D24" s="261">
        <f>'20'!G15</f>
        <v>922.34000000008382</v>
      </c>
      <c r="E24" s="261">
        <f>'20'!G20</f>
        <v>152</v>
      </c>
      <c r="F24" s="261">
        <f>SUM('20'!G35,'20'!G49)</f>
        <v>3354</v>
      </c>
      <c r="G24" s="261">
        <f>SUM('20'!G37,'20'!G51)</f>
        <v>1568.4199999999983</v>
      </c>
      <c r="H24" s="261">
        <f>SUM('20'!G38,'20'!G52)</f>
        <v>1803.9100000000035</v>
      </c>
      <c r="I24" s="261">
        <f>SUM('20'!G39,'20'!G53)</f>
        <v>4428.9200000000128</v>
      </c>
      <c r="J24" s="261">
        <f>SUM('20'!G41,'20'!G42,'20'!G55,'20'!G56)</f>
        <v>5278.3600000000879</v>
      </c>
      <c r="K24" s="261">
        <f>SUM('20'!G43,'20'!G57)</f>
        <v>2443.9200000000419</v>
      </c>
      <c r="L24" s="1044">
        <f>'20'!G50</f>
        <v>1405.4800000000396</v>
      </c>
      <c r="M24" s="1044">
        <f>'20'!G36</f>
        <v>603.14000000001397</v>
      </c>
      <c r="N24" s="1044">
        <f>'20'!G72</f>
        <v>109</v>
      </c>
      <c r="O24" s="1044">
        <f>'20'!$G$73</f>
        <v>8</v>
      </c>
      <c r="P24" s="1044">
        <f>'20'!$G$74</f>
        <v>18.929999999999836</v>
      </c>
      <c r="Q24" s="1044">
        <f>'20'!$G$75</f>
        <v>198</v>
      </c>
      <c r="R24" s="1044">
        <f>'20'!$G$76</f>
        <v>78.109999999999673</v>
      </c>
      <c r="S24" s="1044">
        <f>'20'!$G$77</f>
        <v>49</v>
      </c>
      <c r="T24" s="1035">
        <f>'20'!$G$78</f>
        <v>519</v>
      </c>
      <c r="U24" s="1035">
        <f>'20'!$G$79</f>
        <v>187</v>
      </c>
      <c r="V24" s="1035">
        <f>'20'!$G$80</f>
        <v>396.51000000000931</v>
      </c>
      <c r="W24" s="1035">
        <f>'20'!$G$81</f>
        <v>94.800000000046566</v>
      </c>
      <c r="X24" s="1035">
        <f>'20'!$G$82</f>
        <v>21.089999999996508</v>
      </c>
      <c r="Y24" s="1035">
        <f>'20'!$G$58</f>
        <v>182.08000000000175</v>
      </c>
      <c r="Z24" s="1035">
        <f>'20'!$G$83</f>
        <v>229</v>
      </c>
      <c r="AA24" s="1035">
        <f>'20'!G86</f>
        <v>93.320000000006985</v>
      </c>
      <c r="AB24" s="1035">
        <f>'20'!G87</f>
        <v>29.169999999998254</v>
      </c>
      <c r="AC24" s="1035">
        <f>'20'!G88</f>
        <v>82.779999999998836</v>
      </c>
      <c r="AD24" s="1035">
        <f>'20'!G87+'20'!H90</f>
        <v>34.469999999998436</v>
      </c>
      <c r="AE24" s="1044">
        <f>'20'!$G$62</f>
        <v>0</v>
      </c>
      <c r="AF24" s="1044">
        <f>'20'!$G$63</f>
        <v>10.740000000000009</v>
      </c>
      <c r="AG24" s="1044">
        <f>'20'!$G$64</f>
        <v>499.85999999998603</v>
      </c>
      <c r="AH24" s="1044">
        <f>'20'!$G$65</f>
        <v>364.33999999999651</v>
      </c>
      <c r="AI24" s="1044">
        <f>'20'!$G$66</f>
        <v>343.39000000000306</v>
      </c>
      <c r="AJ24" s="1044">
        <f>'20'!$G$67</f>
        <v>770</v>
      </c>
      <c r="AK24" s="1044">
        <f>'20'!$G$68</f>
        <v>328.02999999999884</v>
      </c>
      <c r="AL24" s="1044">
        <f>'20'!$G$69</f>
        <v>314.08000000000175</v>
      </c>
      <c r="AM24" s="1044">
        <f>'20'!$G$84</f>
        <v>686</v>
      </c>
      <c r="AN24" s="1044">
        <f>'20'!$G$15</f>
        <v>922.34000000008382</v>
      </c>
      <c r="AO24" s="1044">
        <f>'20'!$G$123</f>
        <v>267.73999999999069</v>
      </c>
      <c r="AP24" s="1044">
        <f>'20'!$G$124</f>
        <v>0</v>
      </c>
      <c r="AQ24" s="1044">
        <f>'20'!$G$125</f>
        <v>76.880000000004657</v>
      </c>
      <c r="AR24" s="1044">
        <f>'20'!$G$126</f>
        <v>24.200000000004366</v>
      </c>
      <c r="AS24" s="1044">
        <f>'20'!$G$127</f>
        <v>4.5</v>
      </c>
      <c r="AT24" s="1044">
        <f t="shared" si="0"/>
        <v>549.02000000008411</v>
      </c>
      <c r="AU24" s="1044">
        <f>SUM('20'!G139:G140)</f>
        <v>9.160000000000764</v>
      </c>
      <c r="AV24" s="1044">
        <f>'20'!$G$136</f>
        <v>9.8499999999985448</v>
      </c>
      <c r="AW24" s="1044">
        <f>'20'!$G$137</f>
        <v>0</v>
      </c>
      <c r="AX24" s="1044">
        <f>'20'!$G$138</f>
        <v>2.4799999999959255</v>
      </c>
      <c r="AY24" s="1041">
        <f t="shared" si="1"/>
        <v>12.32999999999447</v>
      </c>
      <c r="BA24" s="1049">
        <f t="shared" si="2"/>
        <v>-281.28000000009342</v>
      </c>
    </row>
    <row r="25" spans="1:53">
      <c r="A25" s="1043">
        <v>43942</v>
      </c>
      <c r="B25" s="261">
        <f>'21'!G7</f>
        <v>21518</v>
      </c>
      <c r="C25" s="261">
        <f>'21'!G8</f>
        <v>21610</v>
      </c>
      <c r="D25" s="261">
        <f>'21'!G15</f>
        <v>979.96999999997206</v>
      </c>
      <c r="E25" s="261">
        <f>'21'!G20</f>
        <v>203</v>
      </c>
      <c r="F25" s="261">
        <f>SUM('21'!G35,'21'!G49)</f>
        <v>3387.0400000000373</v>
      </c>
      <c r="G25" s="261">
        <f>SUM('21'!G37,'21'!G51)</f>
        <v>1605.3700000000026</v>
      </c>
      <c r="H25" s="261">
        <f>SUM('21'!G38,'21'!G52)</f>
        <v>1861.4300000000003</v>
      </c>
      <c r="I25" s="261">
        <f>SUM('21'!G39,'21'!G53)</f>
        <v>4385.2799999999988</v>
      </c>
      <c r="J25" s="261">
        <f>SUM('21'!G41,'21'!G42,'21'!G55,'21'!G56)</f>
        <v>5380.7369999999719</v>
      </c>
      <c r="K25" s="261">
        <f>SUM('21'!G43,'21'!G57)</f>
        <v>2440.4499999999534</v>
      </c>
      <c r="L25" s="1044">
        <f>'21'!G50</f>
        <v>1212.4799999999814</v>
      </c>
      <c r="M25" s="1044">
        <f>'21'!G36</f>
        <v>605.14000000001397</v>
      </c>
      <c r="N25" s="1044">
        <f>'21'!G72</f>
        <v>90</v>
      </c>
      <c r="O25" s="1044">
        <f>'21'!$G$73</f>
        <v>2</v>
      </c>
      <c r="P25" s="1044">
        <f>'21'!$G$74</f>
        <v>38.600000000000136</v>
      </c>
      <c r="Q25" s="1044">
        <f>'21'!$G$75</f>
        <v>158.55000000000018</v>
      </c>
      <c r="R25" s="1044">
        <f>'21'!$G$76</f>
        <v>77.440000000000055</v>
      </c>
      <c r="S25" s="1044">
        <f>'21'!$G$77</f>
        <v>48</v>
      </c>
      <c r="T25" s="1035">
        <f>'21'!$G$78</f>
        <v>411</v>
      </c>
      <c r="U25" s="1035">
        <f>'21'!$G$79</f>
        <v>169</v>
      </c>
      <c r="V25" s="1035">
        <f>'21'!$G$80</f>
        <v>383.21000000002095</v>
      </c>
      <c r="W25" s="1035">
        <f>'21'!$G$81</f>
        <v>114.88000000000466</v>
      </c>
      <c r="X25" s="1035">
        <f>'21'!$G$82</f>
        <v>21.030000000013388</v>
      </c>
      <c r="Y25" s="1035">
        <f>'21'!$G$58</f>
        <v>183.41999999999825</v>
      </c>
      <c r="Z25" s="1035">
        <f>'21'!$G$83</f>
        <v>252</v>
      </c>
      <c r="AA25" s="1035">
        <f>'21'!G86</f>
        <v>51.480000000039581</v>
      </c>
      <c r="AB25" s="1035">
        <f>'21'!G87</f>
        <v>22.30000000000291</v>
      </c>
      <c r="AC25" s="1035">
        <f>'21'!G88</f>
        <v>31.220000000001164</v>
      </c>
      <c r="AD25" s="1035">
        <f>'21'!G87+'21'!H90</f>
        <v>29.200000000003001</v>
      </c>
      <c r="AE25" s="1044">
        <f>'21'!$G$62</f>
        <v>0</v>
      </c>
      <c r="AF25" s="1044">
        <f>'21'!$G$63</f>
        <v>10.680000000000064</v>
      </c>
      <c r="AG25" s="1044">
        <f>'21'!$G$64</f>
        <v>499.63000000000466</v>
      </c>
      <c r="AH25" s="1044">
        <f>'21'!$G$65</f>
        <v>386.33999999999651</v>
      </c>
      <c r="AI25" s="1044">
        <f>'21'!$G$66</f>
        <v>393.30999999999767</v>
      </c>
      <c r="AJ25" s="1044">
        <f>'21'!$G$67</f>
        <v>671.34000000002561</v>
      </c>
      <c r="AK25" s="1044">
        <f>'21'!$G$68</f>
        <v>337.57000000000698</v>
      </c>
      <c r="AL25" s="1044">
        <f>'21'!$G$69</f>
        <v>318.8799999999901</v>
      </c>
      <c r="AM25" s="1044">
        <f>'21'!$G$84</f>
        <v>683</v>
      </c>
      <c r="AN25" s="1044">
        <f>'21'!$G$15</f>
        <v>979.96999999997206</v>
      </c>
      <c r="AO25" s="1044">
        <f>'21'!$G$123</f>
        <v>300.25</v>
      </c>
      <c r="AP25" s="1044">
        <f>'21'!$G$124</f>
        <v>0</v>
      </c>
      <c r="AQ25" s="1044">
        <f>'21'!$G$125</f>
        <v>73.279999999998836</v>
      </c>
      <c r="AR25" s="1044">
        <f>'21'!$G$126</f>
        <v>29.799999999995634</v>
      </c>
      <c r="AS25" s="1044">
        <f>'21'!$G$127</f>
        <v>2.5</v>
      </c>
      <c r="AT25" s="1044">
        <f t="shared" si="0"/>
        <v>574.13999999997759</v>
      </c>
      <c r="AU25" s="1044">
        <f>SUM('21'!G139:G140)</f>
        <v>9.819999999999709</v>
      </c>
      <c r="AV25" s="1044">
        <f>'21'!$G$136</f>
        <v>9.569999999999709</v>
      </c>
      <c r="AW25" s="1044">
        <f>'21'!$G$137</f>
        <v>0</v>
      </c>
      <c r="AX25" s="1044">
        <f>'21'!$G$138</f>
        <v>1.9800000000104774</v>
      </c>
      <c r="AY25" s="1041">
        <f t="shared" si="1"/>
        <v>11.550000000010186</v>
      </c>
      <c r="BA25" s="1049">
        <f t="shared" si="2"/>
        <v>-273.88999999997759</v>
      </c>
    </row>
    <row r="26" spans="1:53">
      <c r="A26" s="1043">
        <v>43943</v>
      </c>
      <c r="B26" s="261">
        <f>'22'!G7</f>
        <v>21653</v>
      </c>
      <c r="C26" s="261">
        <f>'22'!G8</f>
        <v>21749</v>
      </c>
      <c r="D26" s="261">
        <f>'22'!G15</f>
        <v>949.80000000004657</v>
      </c>
      <c r="E26" s="261">
        <f>'22'!G20</f>
        <v>174</v>
      </c>
      <c r="F26" s="261">
        <f>SUM('22'!G35,'22'!G49)</f>
        <v>3337.8399999999674</v>
      </c>
      <c r="G26" s="261">
        <f>SUM('22'!G37,'22'!G51)</f>
        <v>1553.1800000000003</v>
      </c>
      <c r="H26" s="261">
        <f>SUM('22'!G38,'22'!G52)</f>
        <v>1793.5399999999936</v>
      </c>
      <c r="I26" s="261">
        <f>SUM('22'!G39,'22'!G53)</f>
        <v>4335.3999999999796</v>
      </c>
      <c r="J26" s="261">
        <f>SUM('22'!G41,'22'!G42,'22'!G55,'22'!G56)</f>
        <v>5689.2200000000012</v>
      </c>
      <c r="K26" s="261">
        <f>SUM('22'!G43,'22'!G57)</f>
        <v>2399.4699999999721</v>
      </c>
      <c r="L26" s="1044">
        <f>'22'!G50</f>
        <v>1248.4400000000023</v>
      </c>
      <c r="M26" s="1044">
        <f>'22'!G36</f>
        <v>664.15999999997439</v>
      </c>
      <c r="N26" s="1044">
        <f>'22'!G72</f>
        <v>103</v>
      </c>
      <c r="O26" s="1044">
        <f>'22'!$G$73</f>
        <v>1</v>
      </c>
      <c r="P26" s="1044">
        <f>'22'!$G$74</f>
        <v>18.509999999999991</v>
      </c>
      <c r="Q26" s="1044">
        <f>'22'!$G$75</f>
        <v>159.42000000000007</v>
      </c>
      <c r="R26" s="1044">
        <f>'22'!$G$76</f>
        <v>77.990000000000236</v>
      </c>
      <c r="S26" s="1044">
        <f>'22'!$G$77</f>
        <v>50</v>
      </c>
      <c r="T26" s="1035">
        <f>'22'!$G$78</f>
        <v>405</v>
      </c>
      <c r="U26" s="1035">
        <f>'22'!$G$79</f>
        <v>169</v>
      </c>
      <c r="V26" s="1035">
        <f>'22'!$G$80</f>
        <v>337.88000000000466</v>
      </c>
      <c r="W26" s="1035">
        <f>'22'!$G$81</f>
        <v>123.8399999999674</v>
      </c>
      <c r="X26" s="1035">
        <f>'22'!$G$82</f>
        <v>22.299999999988358</v>
      </c>
      <c r="Y26" s="1035">
        <f>'22'!$G$58</f>
        <v>192.76000000000204</v>
      </c>
      <c r="Z26" s="1035">
        <f>'22'!$G$83</f>
        <v>242</v>
      </c>
      <c r="AA26" s="1035">
        <f>'22'!G86</f>
        <v>197.61999999999534</v>
      </c>
      <c r="AB26" s="1035">
        <f>'22'!G87</f>
        <v>31.399999999994179</v>
      </c>
      <c r="AC26" s="1035">
        <f>'22'!G88</f>
        <v>102.58999999999651</v>
      </c>
      <c r="AD26" s="1035">
        <f>'22'!G87+'22'!H90</f>
        <v>41.699999999994361</v>
      </c>
      <c r="AE26" s="1044">
        <f>'22'!$G$62</f>
        <v>0</v>
      </c>
      <c r="AF26" s="1044">
        <f>'22'!$G$63</f>
        <v>10.669999999999845</v>
      </c>
      <c r="AG26" s="1044">
        <f>'22'!$G$64</f>
        <v>558</v>
      </c>
      <c r="AH26" s="1044">
        <f>'22'!$G$65</f>
        <v>383.07999999998719</v>
      </c>
      <c r="AI26" s="1044">
        <f>'22'!$G$66</f>
        <v>392.26000000000204</v>
      </c>
      <c r="AJ26" s="1044">
        <f>'22'!$G$67</f>
        <v>690.51999999998952</v>
      </c>
      <c r="AK26" s="1044">
        <f>'22'!$G$68</f>
        <v>308</v>
      </c>
      <c r="AL26" s="1044">
        <f>'22'!$G$69</f>
        <v>309.82000000000698</v>
      </c>
      <c r="AM26" s="1044">
        <f>'22'!$G$84</f>
        <v>675</v>
      </c>
      <c r="AN26" s="1044">
        <f>'22'!$G$15</f>
        <v>949.80000000004657</v>
      </c>
      <c r="AO26" s="1082">
        <f>'22'!$G$123</f>
        <v>281.96000000007916</v>
      </c>
      <c r="AP26" s="1044">
        <f>'22'!$G$124</f>
        <v>0</v>
      </c>
      <c r="AQ26" s="1044">
        <f>'22'!$G$125</f>
        <v>65.190000000002328</v>
      </c>
      <c r="AR26" s="1044">
        <f>'22'!$G$126</f>
        <v>16.599999999998545</v>
      </c>
      <c r="AS26" s="1044">
        <f>'22'!$G$127</f>
        <v>1.6000000000003638</v>
      </c>
      <c r="AT26" s="1044">
        <f t="shared" si="0"/>
        <v>584.44999999996617</v>
      </c>
      <c r="AU26" s="1044">
        <f>SUM('22'!G139:G140)</f>
        <v>9.25</v>
      </c>
      <c r="AV26" s="1044">
        <f>'22'!$G$136</f>
        <v>9.9500000000007276</v>
      </c>
      <c r="AW26" s="1044">
        <f>'22'!$G$137</f>
        <v>5.9999999997671694E-2</v>
      </c>
      <c r="AX26" s="1044">
        <f>'22'!$G$138</f>
        <v>3.7699999999895226</v>
      </c>
      <c r="AY26" s="1041">
        <f t="shared" si="1"/>
        <v>13.779999999987922</v>
      </c>
      <c r="BA26" s="1049">
        <f t="shared" si="2"/>
        <v>-302.489999999887</v>
      </c>
    </row>
    <row r="27" spans="1:53">
      <c r="A27" s="1043">
        <v>43944</v>
      </c>
      <c r="B27" s="261">
        <f>'23'!G7</f>
        <v>20933</v>
      </c>
      <c r="C27" s="261">
        <f>'23'!G8</f>
        <v>21024</v>
      </c>
      <c r="D27" s="261">
        <f>'23'!G15</f>
        <v>913.22999999998137</v>
      </c>
      <c r="E27" s="261">
        <f>'23'!G20</f>
        <v>152</v>
      </c>
      <c r="F27" s="261">
        <f>SUM('23'!G35,'23'!G49)</f>
        <v>3280.4000000000233</v>
      </c>
      <c r="G27" s="261">
        <f>SUM('23'!G37,'23'!G51)</f>
        <v>1487.9199999999983</v>
      </c>
      <c r="H27" s="261">
        <f>SUM('23'!G38,'23'!G52)</f>
        <v>1823.2300000000541</v>
      </c>
      <c r="I27" s="261">
        <f>SUM('23'!G39,'23'!G53)</f>
        <v>4120.7899999999936</v>
      </c>
      <c r="J27" s="261">
        <f>SUM('23'!G41,'23'!G42,'23'!G55,'23'!G56)</f>
        <v>5237.7799999999697</v>
      </c>
      <c r="K27" s="261">
        <f>SUM('23'!G43,'23'!G57)</f>
        <v>2358.5300000000279</v>
      </c>
      <c r="L27" s="1044">
        <f>'23'!G50</f>
        <v>1181.25</v>
      </c>
      <c r="M27" s="1044">
        <f>'23'!G36</f>
        <v>620.89000000001397</v>
      </c>
      <c r="N27" s="1044">
        <f>'23'!G72</f>
        <v>100</v>
      </c>
      <c r="O27" s="1044">
        <f>'23'!G73</f>
        <v>0</v>
      </c>
      <c r="P27" s="1044">
        <f>'23'!$G$74</f>
        <v>17.789999999999964</v>
      </c>
      <c r="Q27" s="1044">
        <f>'23'!$G$75</f>
        <v>154.02999999999975</v>
      </c>
      <c r="R27" s="1044">
        <f>'23'!$G$76</f>
        <v>75.099999999999909</v>
      </c>
      <c r="S27" s="1044">
        <f>'23'!$G$77</f>
        <v>50</v>
      </c>
      <c r="T27" s="1035">
        <f>'23'!$G$78</f>
        <v>415</v>
      </c>
      <c r="U27" s="1035">
        <f>'23'!$G$79</f>
        <v>199</v>
      </c>
      <c r="V27" s="1035">
        <f>'23'!$G$80</f>
        <v>354.35999999998603</v>
      </c>
      <c r="W27" s="1035">
        <f>'23'!$G$81</f>
        <v>118.35999999998603</v>
      </c>
      <c r="X27" s="1035">
        <f>'23'!$G$82</f>
        <v>19.990000000005239</v>
      </c>
      <c r="Y27" s="1035">
        <f>'23'!$G$58</f>
        <v>190.56999999999971</v>
      </c>
      <c r="Z27" s="1080">
        <f>'23'!$G$83</f>
        <v>295</v>
      </c>
      <c r="AA27" s="1035">
        <f>'23'!$G$86</f>
        <v>113.85999999998603</v>
      </c>
      <c r="AB27" s="1035">
        <f>'23'!G87</f>
        <v>37</v>
      </c>
      <c r="AC27" s="1035">
        <f>'23'!G88</f>
        <v>88.899999999994179</v>
      </c>
      <c r="AD27" s="1035">
        <f>'23'!G87+'23'!H90</f>
        <v>42</v>
      </c>
      <c r="AE27" s="1044">
        <f>'23'!$G$62</f>
        <v>-0.2000000000007276</v>
      </c>
      <c r="AF27" s="1044">
        <f>'23'!$G$63</f>
        <v>10.700000000000045</v>
      </c>
      <c r="AG27" s="1044">
        <f>'23'!$G$64</f>
        <v>497</v>
      </c>
      <c r="AH27" s="1044">
        <f>'23'!$G$65</f>
        <v>372.29000000000815</v>
      </c>
      <c r="AI27" s="1044">
        <f>'23'!$G$66</f>
        <v>379.62999999999738</v>
      </c>
      <c r="AJ27" s="1044">
        <f>'23'!$G$67</f>
        <v>701.30999999999767</v>
      </c>
      <c r="AK27" s="1044">
        <f>'23'!$G$68</f>
        <v>9626</v>
      </c>
      <c r="AL27" s="1044">
        <f>'23'!$G$69</f>
        <v>314.58999999999651</v>
      </c>
      <c r="AM27" s="1044">
        <f>'23'!$G$84</f>
        <v>708</v>
      </c>
      <c r="AN27" s="1044">
        <f>'23'!$G$15</f>
        <v>913.22999999998137</v>
      </c>
      <c r="AO27" s="1044">
        <f>'23'!$G$123</f>
        <v>273.31999999994878</v>
      </c>
      <c r="AP27" s="1044">
        <f>'23'!$G$124</f>
        <v>0</v>
      </c>
      <c r="AQ27" s="1044">
        <f>'23'!$G$125</f>
        <v>78.519999999989523</v>
      </c>
      <c r="AR27" s="1044">
        <f>'23'!$G$126</f>
        <v>22.80000000000291</v>
      </c>
      <c r="AS27" s="1044">
        <f>'23'!$G$127</f>
        <v>1.5</v>
      </c>
      <c r="AT27" s="1044">
        <f t="shared" si="0"/>
        <v>537.09000000004016</v>
      </c>
      <c r="AU27" s="1044">
        <f>SUM('23'!G139:G140)</f>
        <v>9.7399999999997817</v>
      </c>
      <c r="AV27" s="1044">
        <f>'23'!$G$136</f>
        <v>8.5799999999981083</v>
      </c>
      <c r="AW27" s="1044">
        <f>'23'!$G$137</f>
        <v>-5.9999999997671694E-2</v>
      </c>
      <c r="AX27" s="1044">
        <f>'23'!$G$138</f>
        <v>2.6300000000046566</v>
      </c>
      <c r="AY27" s="1041">
        <f t="shared" si="1"/>
        <v>11.150000000005093</v>
      </c>
      <c r="BA27" s="1049">
        <f t="shared" si="2"/>
        <v>-263.77000000009139</v>
      </c>
    </row>
    <row r="28" spans="1:53" s="1083" customFormat="1">
      <c r="A28" s="1043">
        <v>43945</v>
      </c>
      <c r="B28" s="261">
        <f>'24'!G7</f>
        <v>21281</v>
      </c>
      <c r="C28" s="261">
        <f>'24'!G8</f>
        <v>21369</v>
      </c>
      <c r="D28" s="261">
        <f>'24'!G15</f>
        <v>296</v>
      </c>
      <c r="E28" s="261">
        <f>'24'!G20</f>
        <v>194</v>
      </c>
      <c r="F28" s="261">
        <f>SUM('24'!G35,'24'!G49)</f>
        <v>3119</v>
      </c>
      <c r="G28" s="261">
        <f>SUM('24'!G37,'24'!G51)</f>
        <v>1480.1300000000047</v>
      </c>
      <c r="H28" s="261">
        <f>SUM('24'!G38,'24'!G52)</f>
        <v>1763</v>
      </c>
      <c r="I28" s="261">
        <f>SUM('24'!G39,'24'!G53)</f>
        <v>4090.5300000000279</v>
      </c>
      <c r="J28" s="261">
        <f>SUM('24'!G41,'24'!G42,'24'!G55,'24'!G56)</f>
        <v>5174.8500000000131</v>
      </c>
      <c r="K28" s="261">
        <f>SUM('24'!G43,'24'!G57)</f>
        <v>2354</v>
      </c>
      <c r="L28" s="1044">
        <f>'24'!G50</f>
        <v>1818</v>
      </c>
      <c r="M28" s="1035">
        <f>'24'!G36</f>
        <v>598</v>
      </c>
      <c r="N28" s="1035">
        <f>'24'!G72</f>
        <v>85</v>
      </c>
      <c r="O28" s="1035">
        <f>'24'!G73</f>
        <v>1</v>
      </c>
      <c r="P28" s="1035">
        <f>'24'!$G$74</f>
        <v>19</v>
      </c>
      <c r="Q28" s="1035">
        <f>'24'!$G$75</f>
        <v>174</v>
      </c>
      <c r="R28" s="1035">
        <f>'24'!$G$76</f>
        <v>82</v>
      </c>
      <c r="S28" s="1035">
        <f>'24'!$G$77</f>
        <v>49</v>
      </c>
      <c r="T28" s="1035">
        <f>'24'!$G$78</f>
        <v>409</v>
      </c>
      <c r="U28" s="1035">
        <f>'24'!$G$79</f>
        <v>183</v>
      </c>
      <c r="V28" s="1035">
        <f>'24'!$G$80</f>
        <v>408</v>
      </c>
      <c r="W28" s="1035">
        <f>'24'!$G$81</f>
        <v>137</v>
      </c>
      <c r="X28" s="1035">
        <f>'24'!$G$82</f>
        <v>22</v>
      </c>
      <c r="Y28" s="1035">
        <f>'24'!$G$58</f>
        <v>205</v>
      </c>
      <c r="Z28" s="1035">
        <f>'24'!$G$83</f>
        <v>237</v>
      </c>
      <c r="AA28" s="1035">
        <f>'24'!G86</f>
        <v>167</v>
      </c>
      <c r="AB28" s="1035">
        <f>'24'!G87</f>
        <v>45</v>
      </c>
      <c r="AC28" s="1035">
        <f>'24'!G88</f>
        <v>80</v>
      </c>
      <c r="AD28" s="1035">
        <f>'24'!G87+'24'!H90</f>
        <v>49</v>
      </c>
      <c r="AE28" s="1035">
        <f>'24'!$G$62</f>
        <v>0</v>
      </c>
      <c r="AF28" s="1035">
        <f>'24'!$G$63</f>
        <v>12</v>
      </c>
      <c r="AG28" s="1035">
        <f>'24'!$G$64</f>
        <v>490</v>
      </c>
      <c r="AH28" s="1035">
        <f>'24'!$G$65</f>
        <v>393</v>
      </c>
      <c r="AI28" s="1035">
        <f>'24'!$G$66</f>
        <v>376</v>
      </c>
      <c r="AJ28" s="1035">
        <f>'24'!$G$67</f>
        <v>716</v>
      </c>
      <c r="AK28" s="1035">
        <f>'24'!$G$68</f>
        <v>347</v>
      </c>
      <c r="AL28" s="1035">
        <f>'24'!$G$69</f>
        <v>317</v>
      </c>
      <c r="AM28" s="1035">
        <f>'24'!$G$84</f>
        <v>738</v>
      </c>
      <c r="AN28" s="1035">
        <f>'24'!$G$15</f>
        <v>296</v>
      </c>
      <c r="AO28" s="1082">
        <f>'24'!$G$123</f>
        <v>101</v>
      </c>
      <c r="AP28" s="1082">
        <f>'24'!$G$124</f>
        <v>0</v>
      </c>
      <c r="AQ28" s="1082">
        <f>'24'!$G$125</f>
        <v>23.579999999987194</v>
      </c>
      <c r="AR28" s="1035">
        <f>'24'!$G$126</f>
        <v>3</v>
      </c>
      <c r="AS28" s="1035">
        <f>'24'!$G$127</f>
        <v>0</v>
      </c>
      <c r="AT28" s="1082">
        <f>AN28-SUM(AO28:AS28)</f>
        <v>168.42000000001281</v>
      </c>
      <c r="AU28" s="1035">
        <f>SUM('24'!G139:G140)</f>
        <v>8.7100000000000364</v>
      </c>
      <c r="AV28" s="1035">
        <f>'24'!$G$136</f>
        <v>3.4000000000014552</v>
      </c>
      <c r="AW28" s="1035">
        <f>'24'!$G$137</f>
        <v>4.6599999999998545</v>
      </c>
      <c r="AX28" s="1035">
        <f>'24'!$G$138</f>
        <v>0</v>
      </c>
      <c r="AY28" s="1045">
        <f t="shared" si="1"/>
        <v>8.0600000000013097</v>
      </c>
      <c r="BA28" s="1084">
        <f t="shared" si="2"/>
        <v>-67.420000000012806</v>
      </c>
    </row>
    <row r="29" spans="1:53">
      <c r="A29" s="1043">
        <v>43946</v>
      </c>
      <c r="B29" s="261">
        <f>'25'!G7</f>
        <v>20465</v>
      </c>
      <c r="C29" s="261">
        <f>'25'!G8</f>
        <v>20548</v>
      </c>
      <c r="D29" s="261">
        <f>'25'!G15</f>
        <v>923.00300000002608</v>
      </c>
      <c r="E29" s="261">
        <f>'25'!G20</f>
        <v>195</v>
      </c>
      <c r="F29" s="261">
        <f>SUM('25'!G35,'25'!G49)</f>
        <v>3118.8399999999674</v>
      </c>
      <c r="G29" s="261">
        <f>SUM('25'!G37,'25'!G51)</f>
        <v>1471.3299999999945</v>
      </c>
      <c r="H29" s="261">
        <f>SUM('25'!G38,'25'!G52)</f>
        <v>1912.5699999999488</v>
      </c>
      <c r="I29" s="261">
        <f>SUM('25'!G39,'25'!G53)</f>
        <v>4667.8899999999994</v>
      </c>
      <c r="J29" s="261">
        <f>SUM('25'!G41,'25'!G42,'25'!G55,'25'!G56)</f>
        <v>4700.8300000000309</v>
      </c>
      <c r="K29" s="261">
        <f>SUM('25'!G43,'25'!G57)</f>
        <v>2330.1899999999441</v>
      </c>
      <c r="L29" s="1044">
        <f>'25'!G50</f>
        <v>1385.3499999999767</v>
      </c>
      <c r="M29" s="1044">
        <f>'25'!G36</f>
        <v>683.71000000002095</v>
      </c>
      <c r="N29" s="1044">
        <f>'25'!G72</f>
        <v>77</v>
      </c>
      <c r="O29" s="1044">
        <f>'25'!$G$73</f>
        <v>2</v>
      </c>
      <c r="P29" s="1044">
        <f>'25'!$G$74</f>
        <v>19.670000000000073</v>
      </c>
      <c r="Q29" s="1044">
        <f>'25'!$G$75</f>
        <v>155.93000000000029</v>
      </c>
      <c r="R29" s="1044">
        <f>'25'!$G$76</f>
        <v>81.070000000000164</v>
      </c>
      <c r="S29" s="1044">
        <f>'25'!$G$77</f>
        <v>58</v>
      </c>
      <c r="T29" s="1035">
        <f>'25'!$G$78</f>
        <v>446</v>
      </c>
      <c r="U29" s="1035">
        <f>'25'!$G$79</f>
        <v>182</v>
      </c>
      <c r="V29" s="1035">
        <f>'25'!$G$80</f>
        <v>333.52000000001863</v>
      </c>
      <c r="W29" s="1035">
        <f>'25'!$G$81</f>
        <v>131.8399999999674</v>
      </c>
      <c r="X29" s="1035">
        <f>'25'!$G$82</f>
        <v>22.759999999994761</v>
      </c>
      <c r="Y29" s="1035">
        <f>'25'!$G$58</f>
        <v>180.65000000000146</v>
      </c>
      <c r="Z29" s="1035">
        <f>'25'!$G$83</f>
        <v>362</v>
      </c>
      <c r="AA29" s="1035">
        <f>'25'!G86</f>
        <v>216.84000000002561</v>
      </c>
      <c r="AB29" s="1035">
        <f>'25'!G87</f>
        <v>38.399999999994179</v>
      </c>
      <c r="AC29" s="1035">
        <f>'25'!G88</f>
        <v>72.989999999990687</v>
      </c>
      <c r="AD29" s="1035">
        <f>'25'!G87+'25'!H90</f>
        <v>43.099999999993997</v>
      </c>
      <c r="AE29" s="1044">
        <f>'25'!$G$62</f>
        <v>0</v>
      </c>
      <c r="AF29" s="1044">
        <f>'25'!$G$63</f>
        <v>12.200000000000045</v>
      </c>
      <c r="AG29" s="1044">
        <f>'25'!$G$64</f>
        <v>474.76000000000931</v>
      </c>
      <c r="AH29" s="1044">
        <f>'25'!$G$65</f>
        <v>357.20000000001164</v>
      </c>
      <c r="AI29" s="1044">
        <f>'25'!$G$66</f>
        <v>384.26000000000204</v>
      </c>
      <c r="AJ29" s="1044">
        <f>'25'!$G$67</f>
        <v>721.51000000000931</v>
      </c>
      <c r="AK29" s="1044">
        <f>'25'!$G$68</f>
        <v>355.5</v>
      </c>
      <c r="AL29" s="1044">
        <f>'25'!$G$69</f>
        <v>315.77999999999884</v>
      </c>
      <c r="AM29" s="1044">
        <f>'25'!$G$84</f>
        <v>758</v>
      </c>
      <c r="AN29" s="1044">
        <f>'25'!$G$15</f>
        <v>923.00300000002608</v>
      </c>
      <c r="AO29" s="1044">
        <f>'25'!$G$123</f>
        <v>259</v>
      </c>
      <c r="AP29" s="1044">
        <f>'25'!$G$124</f>
        <v>0.39999999999417923</v>
      </c>
      <c r="AQ29" s="1044">
        <f>'25'!$G$125</f>
        <v>73.230000000010477</v>
      </c>
      <c r="AR29" s="1044">
        <f>'25'!$G$126</f>
        <v>30.599999999998545</v>
      </c>
      <c r="AS29" s="1044">
        <f>'25'!$G$127</f>
        <v>1.7999999999992724</v>
      </c>
      <c r="AT29" s="1044">
        <f t="shared" si="0"/>
        <v>557.9730000000236</v>
      </c>
      <c r="AU29" s="1044">
        <f>SUM('25'!G139:G140)</f>
        <v>8.9099999999998545</v>
      </c>
      <c r="AV29" s="1044">
        <f>'25'!$G$136</f>
        <v>10.150000000001455</v>
      </c>
      <c r="AW29" s="1044">
        <f>'25'!$G$137</f>
        <v>0</v>
      </c>
      <c r="AX29" s="1044">
        <f>'25'!$G$138</f>
        <v>7.0000000006984919E-2</v>
      </c>
      <c r="AY29" s="1041">
        <f t="shared" si="1"/>
        <v>10.22000000000844</v>
      </c>
      <c r="BA29" s="1049">
        <f t="shared" si="2"/>
        <v>-298.9730000000236</v>
      </c>
    </row>
    <row r="30" spans="1:53">
      <c r="A30" s="1043">
        <v>43947</v>
      </c>
      <c r="B30" s="261">
        <f>'26'!G7</f>
        <v>21360</v>
      </c>
      <c r="C30" s="261">
        <f>'26'!G8</f>
        <v>21460</v>
      </c>
      <c r="D30" s="261">
        <f>'26'!G15</f>
        <v>869.26799999992363</v>
      </c>
      <c r="E30" s="261">
        <f>'26'!G20</f>
        <v>243</v>
      </c>
      <c r="F30" s="261">
        <f>SUM('26'!G35,'26'!G49)</f>
        <v>3342.4799999999814</v>
      </c>
      <c r="G30" s="261">
        <f>SUM('26'!G37,'26'!G51)</f>
        <v>1534.6100000000006</v>
      </c>
      <c r="H30" s="261">
        <f>SUM('26'!G38,'26'!G52)</f>
        <v>2108.9000000000015</v>
      </c>
      <c r="I30" s="261">
        <f>SUM('26'!G39,'26'!G53)</f>
        <v>4355.5100000000239</v>
      </c>
      <c r="J30" s="261">
        <f>SUM('26'!G41,'26'!G42,'26'!G55,'26'!G56)</f>
        <v>4900.4330000000045</v>
      </c>
      <c r="K30" s="261">
        <f>SUM('26'!G43,'26'!G57)</f>
        <v>2357.6000000000931</v>
      </c>
      <c r="L30" s="1044">
        <f>'26'!G50</f>
        <v>1439.2200000000303</v>
      </c>
      <c r="M30" s="1044">
        <f>'26'!G36</f>
        <v>682.11999999999534</v>
      </c>
      <c r="N30" s="1044">
        <f>'26'!G72</f>
        <v>86</v>
      </c>
      <c r="O30" s="1044">
        <f>'26'!$G$73</f>
        <v>1</v>
      </c>
      <c r="P30" s="1044">
        <f>'26'!$G$74</f>
        <v>19.629999999999882</v>
      </c>
      <c r="Q30" s="1044">
        <f>'26'!$G$75</f>
        <v>173.67000000000007</v>
      </c>
      <c r="R30" s="1044">
        <f>'26'!$G$76</f>
        <v>85.210000000000036</v>
      </c>
      <c r="S30" s="1044">
        <f>'26'!$G$77</f>
        <v>57</v>
      </c>
      <c r="T30" s="1035">
        <f>'26'!$G$78</f>
        <v>407</v>
      </c>
      <c r="U30" s="1035">
        <f>'26'!$G$79</f>
        <v>188</v>
      </c>
      <c r="V30" s="1035">
        <f>'26'!$G$80</f>
        <v>325.11999999999534</v>
      </c>
      <c r="W30" s="1035">
        <f>'26'!$G$81</f>
        <v>136.1600000000326</v>
      </c>
      <c r="X30" s="1035">
        <f>'26'!$G$82</f>
        <v>22.870000000009895</v>
      </c>
      <c r="Y30" s="1035">
        <f>'26'!$G$58</f>
        <v>166.22999999999593</v>
      </c>
      <c r="Z30" s="1035">
        <f>'26'!$G$83</f>
        <v>405</v>
      </c>
      <c r="AA30" s="1035">
        <f>'26'!G86</f>
        <v>197.71999999997206</v>
      </c>
      <c r="AB30" s="1035">
        <f>'26'!G87</f>
        <v>37.5</v>
      </c>
      <c r="AC30" s="1035">
        <f>'26'!G88</f>
        <v>95.64000000001397</v>
      </c>
      <c r="AD30" s="1035">
        <f>'26'!G87+'26'!H90</f>
        <v>38.700000000000273</v>
      </c>
      <c r="AE30" s="1044">
        <f>'26'!$G$62</f>
        <v>0</v>
      </c>
      <c r="AF30" s="1044">
        <f>'26'!$G$63</f>
        <v>11.369999999999891</v>
      </c>
      <c r="AG30" s="1044">
        <f>'26'!$G$64</f>
        <v>466.55999999999767</v>
      </c>
      <c r="AH30" s="1044">
        <f>'26'!$G$65</f>
        <v>363.76999999998952</v>
      </c>
      <c r="AI30" s="1044">
        <f>'26'!$G$66</f>
        <v>414.73999999999796</v>
      </c>
      <c r="AJ30" s="1044">
        <f>'26'!$G$67</f>
        <v>721.51999999998952</v>
      </c>
      <c r="AK30" s="1044">
        <f>'26'!$G$68</f>
        <v>351.5399999999936</v>
      </c>
      <c r="AL30" s="1044">
        <f>'26'!$G$69</f>
        <v>320.29000000000815</v>
      </c>
      <c r="AM30" s="1044">
        <f>'26'!$G$84</f>
        <v>741</v>
      </c>
      <c r="AN30" s="1044">
        <f>'26'!$G$15</f>
        <v>869.26799999992363</v>
      </c>
      <c r="AO30" s="1044">
        <f>'26'!$G$123</f>
        <v>280.9100000000326</v>
      </c>
      <c r="AP30" s="1044">
        <f>'26'!$G$124</f>
        <v>-0.29999999998835847</v>
      </c>
      <c r="AQ30" s="1044">
        <f>'26'!$G$125</f>
        <v>61.010000000009313</v>
      </c>
      <c r="AR30" s="1044">
        <f>'26'!$G$126</f>
        <v>21.80000000000291</v>
      </c>
      <c r="AS30" s="1044">
        <f>'26'!$G$127</f>
        <v>1.6000000000003638</v>
      </c>
      <c r="AT30" s="1044">
        <f t="shared" si="0"/>
        <v>504.24799999986681</v>
      </c>
      <c r="AU30" s="1044">
        <f>SUM('26'!G139:G140)</f>
        <v>8.9020000000000437</v>
      </c>
      <c r="AV30" s="1044">
        <f>'26'!$G$136</f>
        <v>8.8400000000001455</v>
      </c>
      <c r="AW30" s="1044">
        <f>'26'!$G$137</f>
        <v>0</v>
      </c>
      <c r="AX30" s="1044">
        <f>'26'!$G$138</f>
        <v>0.70999999999185093</v>
      </c>
      <c r="AY30" s="1041">
        <f t="shared" si="1"/>
        <v>9.5499999999919964</v>
      </c>
      <c r="BA30" s="1049">
        <f t="shared" si="2"/>
        <v>-223.33799999983421</v>
      </c>
    </row>
    <row r="31" spans="1:53">
      <c r="A31" s="1043">
        <v>43948</v>
      </c>
      <c r="B31" s="261">
        <f>'27'!G7</f>
        <v>20883</v>
      </c>
      <c r="C31" s="261">
        <f>'27'!G8</f>
        <v>20975</v>
      </c>
      <c r="D31" s="261">
        <f>'27'!G15</f>
        <v>882.58100000000559</v>
      </c>
      <c r="E31" s="261">
        <f>'27'!G20</f>
        <v>234</v>
      </c>
      <c r="F31" s="261">
        <f>SUM('27'!G35,'27'!G49)</f>
        <v>3242.640000000014</v>
      </c>
      <c r="G31" s="261">
        <f>SUM('27'!G37,'27'!G51)</f>
        <v>1541.5699999999997</v>
      </c>
      <c r="H31" s="261">
        <f>SUM('27'!G38,'27'!G52)</f>
        <v>1886.6800000000003</v>
      </c>
      <c r="I31" s="261">
        <f>SUM('27'!G39,'27'!G53)</f>
        <v>4275.5499999999884</v>
      </c>
      <c r="J31" s="261">
        <f>SUM('27'!G41,'27'!G42,'27'!G55,'27'!G56)</f>
        <v>5004.2999999999156</v>
      </c>
      <c r="K31" s="261">
        <f>SUM('27'!G43,'27'!G57)</f>
        <v>2270.3999999999069</v>
      </c>
      <c r="L31" s="1044">
        <f>'27'!G50</f>
        <v>1307.0599999999977</v>
      </c>
      <c r="M31" s="1044">
        <f>'27'!G36</f>
        <v>734.85999999998603</v>
      </c>
      <c r="N31" s="1044">
        <f>'27'!G72</f>
        <v>55</v>
      </c>
      <c r="O31" s="1044">
        <f>'27'!$G$73</f>
        <v>2</v>
      </c>
      <c r="P31" s="1044">
        <f>'27'!$G$74</f>
        <v>19.630000000000109</v>
      </c>
      <c r="Q31" s="1044">
        <f>'27'!$G$75</f>
        <v>208.13999999999942</v>
      </c>
      <c r="R31" s="1044">
        <f>'27'!$G$76</f>
        <v>79.019999999999982</v>
      </c>
      <c r="S31" s="1044">
        <f>'27'!$G$77</f>
        <v>49</v>
      </c>
      <c r="T31" s="1035">
        <f>'27'!$G$78</f>
        <v>376</v>
      </c>
      <c r="U31" s="1035">
        <f>'27'!$G$79</f>
        <v>190</v>
      </c>
      <c r="V31" s="1035">
        <f>'27'!$G$80</f>
        <v>361.9199999999837</v>
      </c>
      <c r="W31" s="1035">
        <f>'27'!$G$81</f>
        <v>189.80000000004657</v>
      </c>
      <c r="X31" s="1035">
        <f>'27'!$G$82</f>
        <v>20.709999999991851</v>
      </c>
      <c r="Y31" s="1035">
        <f>'27'!$G$58</f>
        <v>177.39500000000407</v>
      </c>
      <c r="Z31" s="1035">
        <f>'27'!$G$83</f>
        <v>266</v>
      </c>
      <c r="AA31" s="1035">
        <f>'27'!G86</f>
        <v>165.59999999997672</v>
      </c>
      <c r="AB31" s="1035">
        <f>'27'!G87</f>
        <v>24.600000000005821</v>
      </c>
      <c r="AC31" s="1035">
        <f>'27'!G88</f>
        <v>53.660000000003492</v>
      </c>
      <c r="AD31" s="1035">
        <f>'27'!G87+'27'!H90</f>
        <v>25.70000000000573</v>
      </c>
      <c r="AE31" s="1044">
        <f>'27'!$G$62</f>
        <v>0</v>
      </c>
      <c r="AF31" s="1044">
        <f>'27'!$G$63</f>
        <v>11.410000000000082</v>
      </c>
      <c r="AG31" s="1044">
        <f>'27'!$G$64</f>
        <v>466.19999999998254</v>
      </c>
      <c r="AH31" s="1044">
        <f>'27'!$G$65</f>
        <v>369.80999999999767</v>
      </c>
      <c r="AI31" s="1044">
        <f>'27'!$G$66</f>
        <v>438.18000000000029</v>
      </c>
      <c r="AJ31" s="1044">
        <f>'27'!$G$67</f>
        <v>699.33999999999651</v>
      </c>
      <c r="AK31" s="1044">
        <f>'27'!$G$68</f>
        <v>321.12700000000768</v>
      </c>
      <c r="AL31" s="1044">
        <f>'27'!$G$69</f>
        <v>311.63999999999942</v>
      </c>
      <c r="AM31" s="1044">
        <f>'27'!$G$84</f>
        <v>694</v>
      </c>
      <c r="AN31" s="1044">
        <f>'27'!$G$15</f>
        <v>882.58100000000559</v>
      </c>
      <c r="AO31" s="1044">
        <f>'27'!$G$123</f>
        <v>283.76000000000931</v>
      </c>
      <c r="AP31" s="1044">
        <f>'27'!$G$124</f>
        <v>0.29999999998835847</v>
      </c>
      <c r="AQ31" s="1044">
        <f>'27'!$G$125</f>
        <v>88.139999999984866</v>
      </c>
      <c r="AR31" s="1044">
        <f>'27'!$G$126</f>
        <v>6.6999999999970896</v>
      </c>
      <c r="AS31" s="1044">
        <f>'27'!$G$127</f>
        <v>4</v>
      </c>
      <c r="AT31" s="1044">
        <f t="shared" si="0"/>
        <v>499.68100000002596</v>
      </c>
      <c r="AU31" s="1044">
        <f>SUM('27'!G139:G140)</f>
        <v>9.5979999999999563</v>
      </c>
      <c r="AV31" s="1044">
        <f>'27'!$G$136</f>
        <v>9.2599999999983993</v>
      </c>
      <c r="AW31" s="1044">
        <f>'27'!$G$137</f>
        <v>0</v>
      </c>
      <c r="AX31" s="1044">
        <f>'27'!$G$138</f>
        <v>1.8200000000069849</v>
      </c>
      <c r="AY31" s="1041">
        <f t="shared" si="1"/>
        <v>11.080000000005384</v>
      </c>
      <c r="BA31" s="1049">
        <f t="shared" si="2"/>
        <v>-215.92100000001665</v>
      </c>
    </row>
    <row r="32" spans="1:53">
      <c r="A32" s="1043">
        <v>43949</v>
      </c>
      <c r="B32" s="261">
        <f>'28'!G7</f>
        <v>23587</v>
      </c>
      <c r="C32" s="261">
        <f>'28'!G8</f>
        <v>23670</v>
      </c>
      <c r="D32" s="261">
        <f>'28'!G15</f>
        <v>933.62800000002608</v>
      </c>
      <c r="E32" s="261">
        <f>'28'!G20</f>
        <v>232</v>
      </c>
      <c r="F32" s="261">
        <f>SUM('28'!G35,'28'!G49)</f>
        <v>3608.5600000000559</v>
      </c>
      <c r="G32" s="261">
        <f>SUM('28'!G37,'28'!G51)</f>
        <v>1542.9599999999991</v>
      </c>
      <c r="H32" s="261">
        <f>SUM('28'!G38,'28'!G52)</f>
        <v>1893.5200000000477</v>
      </c>
      <c r="I32" s="261">
        <f>SUM('28'!G39,'28'!G53)</f>
        <v>4231.6100000000151</v>
      </c>
      <c r="J32" s="261">
        <f>SUM('28'!G41,'28'!G42,'28'!G55,'28'!G56)</f>
        <v>7013.1270000000804</v>
      </c>
      <c r="K32" s="261">
        <f>SUM('28'!G43,'28'!G57)</f>
        <v>2666.7200000000885</v>
      </c>
      <c r="L32" s="1044">
        <f>'28'!G50</f>
        <v>1291.0800000000163</v>
      </c>
      <c r="M32" s="1044">
        <f>'28'!G36</f>
        <v>730.03999999997905</v>
      </c>
      <c r="N32" s="1044">
        <f>'28'!G72</f>
        <v>18</v>
      </c>
      <c r="O32" s="1044">
        <f>'28'!$G$73</f>
        <v>1</v>
      </c>
      <c r="P32" s="1044">
        <f>'28'!$G$74</f>
        <v>31.629999999999882</v>
      </c>
      <c r="Q32" s="1044">
        <f>'28'!$G$75</f>
        <v>167.01000000000022</v>
      </c>
      <c r="R32" s="1044">
        <f>'28'!$G$76</f>
        <v>81.9399999999996</v>
      </c>
      <c r="S32" s="1044">
        <f>'28'!$G$77</f>
        <v>46</v>
      </c>
      <c r="T32" s="1035">
        <f>'28'!$G$78</f>
        <v>367</v>
      </c>
      <c r="U32" s="1035">
        <f>'28'!$G$79</f>
        <v>185</v>
      </c>
      <c r="V32" s="1035">
        <f>'28'!$G$80</f>
        <v>335.47999999998137</v>
      </c>
      <c r="W32" s="1035">
        <f>'28'!$G$81</f>
        <v>287.15999999991618</v>
      </c>
      <c r="X32" s="1035">
        <f>'28'!$G$82</f>
        <v>22.570000000006985</v>
      </c>
      <c r="Y32" s="1035">
        <f>'28'!$G$58</f>
        <v>176.80500000000029</v>
      </c>
      <c r="Z32" s="1035">
        <f>'28'!$G$83</f>
        <v>283</v>
      </c>
      <c r="AA32" s="1035">
        <f>'28'!G86</f>
        <v>116.28000000002794</v>
      </c>
      <c r="AB32" s="1035">
        <f>'28'!G87</f>
        <v>31</v>
      </c>
      <c r="AC32" s="1035">
        <f>'28'!G88</f>
        <v>32.160000000003492</v>
      </c>
      <c r="AD32" s="1035">
        <f>'28'!G87+'28'!H90</f>
        <v>32.199999999999818</v>
      </c>
      <c r="AE32" s="1044">
        <f>'28'!$G$62</f>
        <v>0</v>
      </c>
      <c r="AF32" s="1044">
        <f>'28'!$G$63</f>
        <v>12.019999999999982</v>
      </c>
      <c r="AG32" s="1044">
        <f>'28'!$G$64</f>
        <v>462.52000000001863</v>
      </c>
      <c r="AH32" s="1044">
        <f>'28'!$G$65</f>
        <v>389.88000000000466</v>
      </c>
      <c r="AI32" s="1044">
        <f>'28'!$G$66</f>
        <v>425.94000000000233</v>
      </c>
      <c r="AJ32" s="1044">
        <f>'28'!$G$67</f>
        <v>678.44000000000233</v>
      </c>
      <c r="AK32" s="1044">
        <f>'28'!$G$68</f>
        <v>313.66300000000047</v>
      </c>
      <c r="AL32" s="1044">
        <f>'28'!$G$69</f>
        <v>322.55999999999767</v>
      </c>
      <c r="AM32" s="1044">
        <f>'28'!$G$84</f>
        <v>846</v>
      </c>
      <c r="AN32" s="1044">
        <f>'28'!$G$15</f>
        <v>933.62800000002608</v>
      </c>
      <c r="AO32" s="1044">
        <f>'28'!$G$123</f>
        <v>252.80999999993946</v>
      </c>
      <c r="AP32" s="1044">
        <f>'28'!$G$124</f>
        <v>0</v>
      </c>
      <c r="AQ32" s="1044">
        <f>'28'!$G$125</f>
        <v>77.760000000009313</v>
      </c>
      <c r="AR32" s="1044">
        <f>'28'!$G$126</f>
        <v>3.7000000000043656</v>
      </c>
      <c r="AS32" s="1044">
        <f>'28'!$G$127</f>
        <v>1.5</v>
      </c>
      <c r="AT32" s="1044">
        <f t="shared" si="0"/>
        <v>597.85800000007293</v>
      </c>
      <c r="AU32" s="1044">
        <f>SUM('28'!G139:G140)</f>
        <v>4.2899999999999636</v>
      </c>
      <c r="AV32" s="1044">
        <f>'28'!$G$136</f>
        <v>7.4399999999986903</v>
      </c>
      <c r="AW32" s="1044">
        <f>'28'!$G$137</f>
        <v>0</v>
      </c>
      <c r="AX32" s="1044">
        <f>'28'!$G$138</f>
        <v>4.3799999999901047</v>
      </c>
      <c r="AY32" s="1041">
        <f t="shared" si="1"/>
        <v>11.819999999988795</v>
      </c>
      <c r="BA32" s="1049">
        <f t="shared" si="2"/>
        <v>-345.04800000013347</v>
      </c>
    </row>
    <row r="33" spans="1:53">
      <c r="A33" s="1043">
        <v>43950</v>
      </c>
      <c r="B33" s="261">
        <f>'29'!G7</f>
        <v>23666</v>
      </c>
      <c r="C33" s="261">
        <f>'29'!G8</f>
        <v>23758</v>
      </c>
      <c r="D33" s="261">
        <f>'29'!G15</f>
        <v>941.48999999999069</v>
      </c>
      <c r="E33" s="261">
        <f>'29'!G20</f>
        <v>213</v>
      </c>
      <c r="F33" s="261">
        <f>SUM('29'!G35,'29'!G49)</f>
        <v>3387.4399999999441</v>
      </c>
      <c r="G33" s="261">
        <f>SUM('29'!G37,'29'!G51)</f>
        <v>1476.8100000000049</v>
      </c>
      <c r="H33" s="261">
        <f>SUM('29'!G38,'29'!G52)</f>
        <v>1793.1799999999494</v>
      </c>
      <c r="I33" s="261">
        <f>SUM('29'!G39,'29'!G53)</f>
        <v>4050.1299999999464</v>
      </c>
      <c r="J33" s="261">
        <f>SUM('29'!G41,'29'!G42,'29'!G55,'3'!G56)</f>
        <v>7749.2230000000127</v>
      </c>
      <c r="K33" s="261">
        <f>SUM('29'!G43,'29'!G57)</f>
        <v>2759.2799999999115</v>
      </c>
      <c r="L33" s="1044">
        <f>'29'!G50</f>
        <v>1050.7999999999884</v>
      </c>
      <c r="M33" s="1044">
        <f>'29'!G36</f>
        <v>817.92000000004191</v>
      </c>
      <c r="N33" s="1044">
        <f>'29'!G72</f>
        <v>23</v>
      </c>
      <c r="O33" s="1044">
        <f>'29'!$G$73</f>
        <v>1</v>
      </c>
      <c r="P33" s="1044">
        <f>'29'!$G$74</f>
        <v>21.809999999999945</v>
      </c>
      <c r="Q33" s="1044">
        <f>'29'!$G$75</f>
        <v>164.55999999999949</v>
      </c>
      <c r="R33" s="1044">
        <f>'29'!$G$76</f>
        <v>80.020000000000437</v>
      </c>
      <c r="S33" s="1044">
        <f>'29'!$G$77</f>
        <v>48</v>
      </c>
      <c r="T33" s="1044">
        <f>'29'!$G$78</f>
        <v>308</v>
      </c>
      <c r="U33" s="1044">
        <f>'29'!$G$79</f>
        <v>181</v>
      </c>
      <c r="V33" s="1044">
        <f>'29'!$G$80</f>
        <v>335.72000000003027</v>
      </c>
      <c r="W33" s="1044">
        <f>'29'!$G$81</f>
        <v>204.47999999998137</v>
      </c>
      <c r="X33" s="1044">
        <f>'29'!$G$82</f>
        <v>26.029999999998836</v>
      </c>
      <c r="Y33" s="1044">
        <f>'29'!$G$58</f>
        <v>184.84999999999854</v>
      </c>
      <c r="Z33" s="1044">
        <f>'29'!$G$83</f>
        <v>268</v>
      </c>
      <c r="AA33" s="1044">
        <f>'29'!G86</f>
        <v>140.20000000001164</v>
      </c>
      <c r="AB33" s="1044">
        <f>'29'!G87</f>
        <v>30.899999999994179</v>
      </c>
      <c r="AC33" s="1044">
        <f>'29'!G88</f>
        <v>33.409999999974389</v>
      </c>
      <c r="AD33" s="1044">
        <f>'29'!G87+'29'!H90</f>
        <v>31.999999999994543</v>
      </c>
      <c r="AE33" s="1044">
        <f>'29'!$G$62</f>
        <v>0</v>
      </c>
      <c r="AF33" s="1044">
        <f>'29'!$G$63</f>
        <v>13.460000000000036</v>
      </c>
      <c r="AG33" s="1044">
        <f>'29'!$G$64</f>
        <v>452.33999999999651</v>
      </c>
      <c r="AH33" s="1044">
        <f>'29'!$G$65</f>
        <v>390.98999999999069</v>
      </c>
      <c r="AI33" s="1044">
        <f>'29'!$G$66</f>
        <v>402.30999999999767</v>
      </c>
      <c r="AJ33" s="1044">
        <f>'29'!$G$67</f>
        <v>623.77999999999884</v>
      </c>
      <c r="AK33" s="1044">
        <f>'29'!$G$68</f>
        <v>285.47999999999593</v>
      </c>
      <c r="AL33" s="1044">
        <f>'29'!$G$69</f>
        <v>309.72999999999593</v>
      </c>
      <c r="AM33" s="1044">
        <f>'29'!$G$84</f>
        <v>905</v>
      </c>
      <c r="AN33" s="1044">
        <f>'29'!$G$15</f>
        <v>941.48999999999069</v>
      </c>
      <c r="AO33" s="1044">
        <f>'29'!$G$123</f>
        <v>263.92000000004191</v>
      </c>
      <c r="AP33" s="1044">
        <f>'29'!$G$124</f>
        <v>0</v>
      </c>
      <c r="AQ33" s="1044">
        <f>'29'!$G$125</f>
        <v>83.309999999997672</v>
      </c>
      <c r="AR33" s="1044">
        <f>'29'!$G$126</f>
        <v>1.3999999999941792</v>
      </c>
      <c r="AS33" s="1044">
        <f>'29'!$G$127</f>
        <v>1</v>
      </c>
      <c r="AT33" s="1044">
        <f t="shared" si="0"/>
        <v>591.85999999995693</v>
      </c>
      <c r="AU33" s="1044">
        <f>SUM('29'!G139:G140)</f>
        <v>12.619999999999891</v>
      </c>
      <c r="AV33" s="1044">
        <f>'29'!$G$136</f>
        <v>9.0600000000013097</v>
      </c>
      <c r="AW33" s="1044">
        <f>'29'!$G$137</f>
        <v>0</v>
      </c>
      <c r="AX33" s="1044">
        <f>'29'!$G$138</f>
        <v>2.8099999999976717</v>
      </c>
      <c r="AY33" s="1041">
        <f t="shared" si="1"/>
        <v>11.869999999998981</v>
      </c>
      <c r="BA33" s="1049">
        <f t="shared" si="2"/>
        <v>-327.93999999991502</v>
      </c>
    </row>
    <row r="34" spans="1:53" s="1046" customFormat="1">
      <c r="A34" s="1043">
        <v>43951</v>
      </c>
      <c r="B34" s="261">
        <f>'30'!G7</f>
        <v>23803</v>
      </c>
      <c r="C34" s="261">
        <f>'30'!G8</f>
        <v>23925</v>
      </c>
      <c r="D34" s="261">
        <f>'30'!G15</f>
        <v>927.03000000002794</v>
      </c>
      <c r="E34" s="261">
        <f>'30'!G20</f>
        <v>193</v>
      </c>
      <c r="F34" s="261">
        <f>SUM('30'!G49,'30'!G49)</f>
        <v>0</v>
      </c>
      <c r="G34" s="261">
        <f>SUM('30'!G51,'30'!G51)</f>
        <v>0.26000000000931323</v>
      </c>
      <c r="H34" s="261">
        <f>SUM('30'!G52,'30'!G52)</f>
        <v>3.8600000001024455</v>
      </c>
      <c r="I34" s="261">
        <f>SUM('30'!G53,'30'!G53)</f>
        <v>416.42000000004191</v>
      </c>
      <c r="J34" s="261">
        <f>SUM('30'!G41,'30'!G42,'30'!G55,'30'!G56)</f>
        <v>7171.2070000000385</v>
      </c>
      <c r="K34" s="261">
        <f>SUM('30'!G57,'30'!G57)</f>
        <v>0</v>
      </c>
      <c r="L34" s="1035">
        <f>'30'!G50</f>
        <v>1178.4899999999907</v>
      </c>
      <c r="M34" s="1035">
        <f>'30'!G36</f>
        <v>882.34999999997672</v>
      </c>
      <c r="N34" s="1035">
        <f>'30'!G72</f>
        <v>62</v>
      </c>
      <c r="O34" s="1035">
        <f>'30'!$G$73</f>
        <v>2</v>
      </c>
      <c r="P34" s="1035">
        <f>'30'!$G$74</f>
        <v>22.630000000000109</v>
      </c>
      <c r="Q34" s="1035">
        <f>'30'!$G$75</f>
        <v>164.69000000000051</v>
      </c>
      <c r="R34" s="1035">
        <f>'30'!$G$76</f>
        <v>79.739999999999782</v>
      </c>
      <c r="S34" s="1035">
        <f>'30'!$G$77</f>
        <v>51</v>
      </c>
      <c r="T34" s="1035">
        <f>'30'!$G$78</f>
        <v>330</v>
      </c>
      <c r="U34" s="1035">
        <f>'30'!$G$79</f>
        <v>186</v>
      </c>
      <c r="V34" s="1035">
        <f>'30'!$G$80</f>
        <v>368.23999999999069</v>
      </c>
      <c r="W34" s="1035">
        <f>'30'!$G$81</f>
        <v>395.56000000005588</v>
      </c>
      <c r="X34" s="1035">
        <f>'30'!$G$82</f>
        <v>27.059999999997672</v>
      </c>
      <c r="Y34" s="1035">
        <f>'30'!$G$58</f>
        <v>178.06999999999971</v>
      </c>
      <c r="Z34" s="1035">
        <f>'30'!$G$83</f>
        <v>269</v>
      </c>
      <c r="AA34" s="1035">
        <f>'30'!G86</f>
        <v>183.35999999998603</v>
      </c>
      <c r="AB34" s="1035">
        <f>'30'!G87</f>
        <v>48.600000000005821</v>
      </c>
      <c r="AC34" s="1035">
        <f>'30'!G88</f>
        <v>94.14000000001397</v>
      </c>
      <c r="AD34" s="1035">
        <f>'30'!G87+'30'!H90</f>
        <v>51.400000000006003</v>
      </c>
      <c r="AE34" s="1035">
        <f>'30'!$G$62</f>
        <v>0</v>
      </c>
      <c r="AF34" s="1035">
        <f>'30'!$G$63</f>
        <v>11.539999999999964</v>
      </c>
      <c r="AG34" s="1035">
        <f>'30'!$G$64</f>
        <v>476.61999999999534</v>
      </c>
      <c r="AH34" s="1035">
        <f>'30'!$G$65</f>
        <v>375.35000000000582</v>
      </c>
      <c r="AI34" s="1035">
        <f>'30'!$G$66</f>
        <v>413.56999999999971</v>
      </c>
      <c r="AJ34" s="1035">
        <f>'30'!$G$67</f>
        <v>662.41000000000349</v>
      </c>
      <c r="AK34" s="1035">
        <f>'30'!$G$68</f>
        <v>337.69000000000233</v>
      </c>
      <c r="AL34" s="1035">
        <f>'30'!$G$69</f>
        <v>313</v>
      </c>
      <c r="AM34" s="1035">
        <f>'30'!$G$84</f>
        <v>922</v>
      </c>
      <c r="AN34" s="1035">
        <f>'30'!$G$15</f>
        <v>927.03000000002794</v>
      </c>
      <c r="AO34" s="1035">
        <f>'30'!$G$123</f>
        <v>234.59999999997672</v>
      </c>
      <c r="AP34" s="1035">
        <f>'30'!$G$124</f>
        <v>0</v>
      </c>
      <c r="AQ34" s="1035">
        <f>'30'!$G$125</f>
        <v>97.970000000001164</v>
      </c>
      <c r="AR34" s="1035">
        <f>'30'!$G$126</f>
        <v>0.80000000000291038</v>
      </c>
      <c r="AS34" s="1035">
        <f>'30'!$G$127</f>
        <v>1.1000000000003638</v>
      </c>
      <c r="AT34" s="1035">
        <f t="shared" si="0"/>
        <v>592.56000000004678</v>
      </c>
      <c r="AU34" s="1035">
        <f>SUM('30'!G139:G140)</f>
        <v>7.7200000000002547</v>
      </c>
      <c r="AV34" s="1035">
        <f>'30'!$G$136</f>
        <v>11.029999999998836</v>
      </c>
      <c r="AW34" s="1035">
        <f>'30'!$G$137</f>
        <v>0</v>
      </c>
      <c r="AX34" s="1035">
        <f>'30'!$G$138</f>
        <v>0</v>
      </c>
      <c r="AY34" s="1045">
        <f t="shared" si="1"/>
        <v>11.029999999998836</v>
      </c>
      <c r="BA34" s="1050">
        <f t="shared" si="2"/>
        <v>-357.96000000007007</v>
      </c>
    </row>
    <row r="35" spans="1:53">
      <c r="A35" s="1043">
        <v>43952</v>
      </c>
      <c r="B35" s="261">
        <f>'31'!G7</f>
        <v>23482</v>
      </c>
      <c r="C35" s="261">
        <f>'31'!G8</f>
        <v>23605</v>
      </c>
      <c r="D35" s="261">
        <f>'31'!G15</f>
        <v>1034</v>
      </c>
      <c r="E35" s="261">
        <f>'31'!G20</f>
        <v>197</v>
      </c>
      <c r="F35" s="261">
        <f>SUM('31'!G35,'31'!G49)</f>
        <v>3524.8699999999953</v>
      </c>
      <c r="G35" s="261">
        <f>SUM('31'!G37,'31'!G51)</f>
        <v>1490</v>
      </c>
      <c r="H35" s="261">
        <f>SUM('31'!G38,'31'!G52)</f>
        <v>1893</v>
      </c>
      <c r="I35" s="261">
        <f>SUM('31'!G39,'31'!G53)</f>
        <v>4237</v>
      </c>
      <c r="J35" s="261">
        <f>SUM('31'!G41,'31'!G42,'31'!G55,'31'!G56)</f>
        <v>6923</v>
      </c>
      <c r="K35" s="261">
        <f>SUM('31'!G43,'31'!G57)</f>
        <v>2693</v>
      </c>
      <c r="L35" s="1044">
        <f>'31'!G50</f>
        <v>1154</v>
      </c>
      <c r="M35" s="1044">
        <f>'31'!G36</f>
        <v>910</v>
      </c>
      <c r="N35" s="1044">
        <f>'31'!G72</f>
        <v>118</v>
      </c>
      <c r="O35" s="1044">
        <f>'31'!$G$73</f>
        <v>1</v>
      </c>
      <c r="P35" s="1044">
        <f>'31'!$G$74</f>
        <v>21</v>
      </c>
      <c r="Q35" s="1044">
        <f>'31'!$G$74</f>
        <v>21</v>
      </c>
      <c r="R35" s="1044">
        <f>'31'!$G$76</f>
        <v>99</v>
      </c>
      <c r="S35" s="1035">
        <f>'31'!$G$77</f>
        <v>51</v>
      </c>
      <c r="T35" s="1035">
        <f>'31'!$G$78</f>
        <v>347</v>
      </c>
      <c r="U35" s="1035">
        <f>'31'!$G$79</f>
        <v>194</v>
      </c>
      <c r="V35" s="1035">
        <f>'31'!$G$80</f>
        <v>360</v>
      </c>
      <c r="W35" s="1035">
        <f>'31'!$G$81</f>
        <v>235</v>
      </c>
      <c r="X35" s="1035">
        <f>'31'!$G$82</f>
        <v>21</v>
      </c>
      <c r="Y35" s="1035">
        <f>'31'!$G$58</f>
        <v>199</v>
      </c>
      <c r="Z35" s="1035">
        <f>'31'!$G$83</f>
        <v>290</v>
      </c>
      <c r="AA35" s="1035">
        <f>'31'!G86</f>
        <v>170</v>
      </c>
      <c r="AB35" s="1035">
        <f>'31'!G88</f>
        <v>103</v>
      </c>
      <c r="AC35" s="1035">
        <f>'31'!G89</f>
        <v>45</v>
      </c>
      <c r="AD35" s="1035">
        <f>'31'!G87+'31'!H90</f>
        <v>38.800000000000182</v>
      </c>
      <c r="AE35" s="1044">
        <f>'31'!$G$62</f>
        <v>0</v>
      </c>
      <c r="AF35" s="1044">
        <f>'31'!$G$63</f>
        <v>12</v>
      </c>
      <c r="AG35" s="1044">
        <f>'31'!$G$64</f>
        <v>474</v>
      </c>
      <c r="AH35" s="1044">
        <f>'31'!$G$65</f>
        <v>379</v>
      </c>
      <c r="AI35" s="1044">
        <f>'31'!$G$66</f>
        <v>405</v>
      </c>
      <c r="AJ35" s="1044">
        <f>'31'!$G$67</f>
        <v>665</v>
      </c>
      <c r="AK35" s="1044">
        <f>'31'!$G$68</f>
        <v>356</v>
      </c>
      <c r="AL35" s="1044">
        <f>'31'!$G$69</f>
        <v>312</v>
      </c>
      <c r="AM35" s="1044">
        <f>'31'!$G$84</f>
        <v>853</v>
      </c>
      <c r="AN35" s="1044">
        <f>'31'!$G$15</f>
        <v>1034</v>
      </c>
      <c r="AO35" s="1044">
        <f>'31'!$G$123</f>
        <v>248</v>
      </c>
      <c r="AP35" s="1044">
        <f>'31'!$G$124</f>
        <v>0</v>
      </c>
      <c r="AQ35" s="1044">
        <f>'31'!$G$125</f>
        <v>106</v>
      </c>
      <c r="AR35" s="1044">
        <f>'31'!$G$126</f>
        <v>0</v>
      </c>
      <c r="AS35" s="1044">
        <f>'31'!$G$127</f>
        <v>7</v>
      </c>
      <c r="AT35" s="1044">
        <f t="shared" si="0"/>
        <v>673</v>
      </c>
      <c r="AU35" s="1044">
        <f>SUM('31'!G139:G140)</f>
        <v>8.1300000000001091</v>
      </c>
      <c r="AV35" s="1044">
        <f>'31'!$G$136</f>
        <v>10.620000000002619</v>
      </c>
      <c r="AW35" s="1044">
        <f>'31'!$G$137</f>
        <v>-0.18000000000029104</v>
      </c>
      <c r="AX35" s="1044">
        <f>'31'!$G$138</f>
        <v>6.2400000000052387</v>
      </c>
      <c r="AY35" s="1041">
        <f t="shared" si="1"/>
        <v>16.680000000007567</v>
      </c>
      <c r="BA35" s="1049">
        <f t="shared" si="2"/>
        <v>-425</v>
      </c>
    </row>
    <row r="36" spans="1:53">
      <c r="A36" s="1085"/>
      <c r="B36" s="1085"/>
      <c r="C36" s="1085"/>
      <c r="D36" s="1085"/>
      <c r="E36" s="1085"/>
      <c r="F36" s="34">
        <f t="shared" ref="F36:K36" si="3">SUM(F5:F35)</f>
        <v>-3494.1700000000419</v>
      </c>
      <c r="G36" s="34">
        <f t="shared" si="3"/>
        <v>-1500.4599999999919</v>
      </c>
      <c r="H36" s="34">
        <f t="shared" si="3"/>
        <v>-1813.2899999999499</v>
      </c>
      <c r="I36" s="34">
        <f t="shared" si="3"/>
        <v>-3808.8899999999849</v>
      </c>
      <c r="J36" s="34">
        <f t="shared" si="3"/>
        <v>-9.0399999999208376</v>
      </c>
      <c r="K36" s="34">
        <f t="shared" si="3"/>
        <v>-2809.8100000000559</v>
      </c>
      <c r="L36" s="1040"/>
      <c r="M36" s="1040"/>
      <c r="S36" s="1046"/>
      <c r="T36" s="1046"/>
      <c r="U36" s="1046"/>
      <c r="V36" s="1046"/>
      <c r="W36" s="1046"/>
      <c r="X36" s="1046"/>
      <c r="Y36" s="1046"/>
      <c r="Z36" s="1046"/>
      <c r="AA36" s="1046"/>
      <c r="AB36" s="1046"/>
      <c r="AC36" s="1046"/>
      <c r="AD36" s="1046"/>
    </row>
    <row r="37" spans="1:53">
      <c r="A37" s="1086"/>
      <c r="B37" s="1086"/>
      <c r="C37" s="1086"/>
      <c r="D37" s="1086"/>
      <c r="E37" s="1086"/>
      <c r="F37" s="35">
        <f t="shared" ref="F37:K37" si="4">F19-F18</f>
        <v>-20.239999999990687</v>
      </c>
      <c r="G37" s="35">
        <f t="shared" si="4"/>
        <v>61.670000000012806</v>
      </c>
      <c r="H37" s="35">
        <f t="shared" si="4"/>
        <v>-122.0899999999674</v>
      </c>
      <c r="I37" s="35">
        <f t="shared" si="4"/>
        <v>129.21000000002095</v>
      </c>
      <c r="J37" s="35">
        <f t="shared" si="4"/>
        <v>686.45300000000134</v>
      </c>
      <c r="K37" s="35">
        <f t="shared" si="4"/>
        <v>24.550000000046566</v>
      </c>
      <c r="L37" s="35"/>
      <c r="M37" s="35"/>
      <c r="AO37" s="1088" t="s">
        <v>111</v>
      </c>
      <c r="AP37" s="1089">
        <v>191</v>
      </c>
      <c r="AQ37" s="1089"/>
      <c r="AR37" s="1089"/>
    </row>
    <row r="38" spans="1:53">
      <c r="A38" s="1086"/>
      <c r="B38" s="1086"/>
      <c r="C38" s="1086"/>
      <c r="D38" s="1086"/>
      <c r="E38" s="1086"/>
      <c r="AO38" s="1089"/>
      <c r="AP38" s="1089">
        <v>88</v>
      </c>
      <c r="AQ38" s="1089"/>
      <c r="AR38" s="1089"/>
    </row>
    <row r="39" spans="1:53">
      <c r="A39" s="1086"/>
      <c r="B39" s="1086"/>
      <c r="C39" s="1086"/>
      <c r="D39" s="1086"/>
      <c r="E39" s="1086"/>
      <c r="AO39" s="1089"/>
      <c r="AP39" s="1090">
        <f>SUM(AP37:AP38)</f>
        <v>279</v>
      </c>
      <c r="AQ39" s="1091" t="s">
        <v>112</v>
      </c>
      <c r="AR39" s="1091">
        <v>335</v>
      </c>
    </row>
    <row r="40" spans="1:53">
      <c r="A40" s="1086"/>
      <c r="B40" s="1086"/>
      <c r="C40" s="1086"/>
      <c r="D40" s="1086"/>
      <c r="E40" s="1086"/>
      <c r="AO40" s="1089"/>
      <c r="AP40" s="1089"/>
      <c r="AQ40" s="1089"/>
      <c r="AR40" s="1089"/>
    </row>
    <row r="41" spans="1:53">
      <c r="A41" s="1086"/>
      <c r="B41" s="1086"/>
      <c r="C41" s="1086"/>
      <c r="D41" s="1086"/>
      <c r="E41" s="1086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8" t="s">
        <v>113</v>
      </c>
      <c r="AP41" s="1090">
        <v>168</v>
      </c>
      <c r="AQ41" s="1089"/>
      <c r="AR41" s="1089"/>
    </row>
    <row r="42" spans="1:53">
      <c r="A42" s="1086"/>
      <c r="B42" s="1086"/>
      <c r="C42" s="1086"/>
      <c r="D42" s="1086"/>
      <c r="E42" s="1086"/>
      <c r="AO42" s="1089"/>
      <c r="AP42" s="1089"/>
      <c r="AQ42" s="1091" t="s">
        <v>114</v>
      </c>
      <c r="AR42" s="1089"/>
    </row>
    <row r="43" spans="1:53">
      <c r="A43" s="1086"/>
      <c r="B43" s="1086"/>
      <c r="C43" s="1086"/>
      <c r="D43" s="1086"/>
      <c r="E43" s="1086"/>
      <c r="AO43" s="1089" t="s">
        <v>115</v>
      </c>
      <c r="AP43" s="1089">
        <f>20*38.68</f>
        <v>773.6</v>
      </c>
      <c r="AQ43" s="1089" t="s">
        <v>116</v>
      </c>
      <c r="AR43" s="1089"/>
    </row>
    <row r="44" spans="1:53">
      <c r="A44" s="1086"/>
      <c r="B44" s="1086"/>
      <c r="C44" s="1086"/>
      <c r="D44" s="1086"/>
      <c r="E44" s="1086"/>
    </row>
    <row r="45" spans="1:53">
      <c r="A45" s="1086"/>
      <c r="B45" s="1086"/>
      <c r="C45" s="1086"/>
      <c r="D45" s="1086"/>
      <c r="E45" s="1086"/>
    </row>
    <row r="46" spans="1:53">
      <c r="A46" s="1086"/>
      <c r="B46" s="1086"/>
      <c r="C46" s="1086"/>
      <c r="D46" s="1086"/>
      <c r="E46" s="1086"/>
    </row>
    <row r="47" spans="1:53">
      <c r="A47" s="1086"/>
      <c r="B47" s="1086"/>
      <c r="C47" s="1086"/>
      <c r="D47" s="1086"/>
      <c r="E47" s="1086"/>
    </row>
    <row r="48" spans="1:53">
      <c r="A48" s="1086"/>
      <c r="B48" s="1086"/>
      <c r="C48" s="1086"/>
      <c r="D48" s="1086"/>
      <c r="E48" s="1086"/>
    </row>
    <row r="49" spans="1:5">
      <c r="A49" s="1086"/>
      <c r="B49" s="1086"/>
      <c r="C49" s="1086"/>
      <c r="D49" s="1086"/>
      <c r="E49" s="1086"/>
    </row>
    <row r="50" spans="1:5">
      <c r="A50" s="1086"/>
      <c r="B50" s="1086"/>
      <c r="C50" s="1086"/>
      <c r="D50" s="1086"/>
      <c r="E50" s="1086"/>
    </row>
    <row r="51" spans="1:5">
      <c r="A51" s="1086"/>
      <c r="B51" s="1086"/>
      <c r="C51" s="1086"/>
      <c r="D51" s="1086"/>
      <c r="E51" s="1086"/>
    </row>
    <row r="52" spans="1:5">
      <c r="A52" s="1086"/>
      <c r="B52" s="1086"/>
      <c r="C52" s="1086"/>
      <c r="D52" s="1086"/>
      <c r="E52" s="1086"/>
    </row>
    <row r="53" spans="1:5">
      <c r="A53" s="1086"/>
      <c r="B53" s="1086"/>
      <c r="C53" s="1086"/>
      <c r="D53" s="1086"/>
      <c r="E53" s="1086"/>
    </row>
    <row r="54" spans="1:5">
      <c r="A54" s="1086"/>
      <c r="B54" s="1086"/>
      <c r="C54" s="1086"/>
      <c r="D54" s="1086"/>
      <c r="E54" s="1086"/>
    </row>
    <row r="55" spans="1:5">
      <c r="A55" s="1086"/>
      <c r="B55" s="1086"/>
      <c r="C55" s="1086"/>
      <c r="D55" s="1086"/>
      <c r="E55" s="1086"/>
    </row>
    <row r="56" spans="1:5">
      <c r="A56" s="1086"/>
      <c r="B56" s="1086"/>
      <c r="C56" s="1086"/>
      <c r="D56" s="1086"/>
      <c r="E56" s="1086"/>
    </row>
    <row r="57" spans="1:5">
      <c r="A57" s="1086"/>
      <c r="B57" s="1086"/>
      <c r="C57" s="1086"/>
      <c r="D57" s="1086"/>
      <c r="E57" s="1086"/>
    </row>
    <row r="58" spans="1:5">
      <c r="A58" s="1086"/>
      <c r="B58" s="1086"/>
      <c r="C58" s="1086"/>
      <c r="D58" s="1086"/>
      <c r="E58" s="1086"/>
    </row>
    <row r="59" spans="1:5">
      <c r="A59" s="1086"/>
      <c r="B59" s="1086"/>
      <c r="C59" s="1086"/>
      <c r="D59" s="1086"/>
      <c r="E59" s="1086"/>
    </row>
    <row r="60" spans="1:5">
      <c r="A60" s="1086"/>
      <c r="B60" s="1086"/>
      <c r="C60" s="1086"/>
      <c r="D60" s="1086"/>
      <c r="E60" s="1086"/>
    </row>
    <row r="61" spans="1:5">
      <c r="A61" s="1086"/>
      <c r="B61" s="1086"/>
      <c r="C61" s="1086"/>
      <c r="D61" s="1086"/>
      <c r="E61" s="1086"/>
    </row>
    <row r="62" spans="1:5">
      <c r="A62" s="1086"/>
      <c r="B62" s="1086"/>
      <c r="C62" s="1086"/>
      <c r="D62" s="1086"/>
      <c r="E62" s="1086"/>
    </row>
    <row r="63" spans="1:5">
      <c r="A63" s="1086"/>
      <c r="B63" s="1086"/>
      <c r="C63" s="1086"/>
      <c r="D63" s="1086"/>
      <c r="E63" s="1086"/>
    </row>
    <row r="64" spans="1:5">
      <c r="A64" s="1086"/>
      <c r="B64" s="1086"/>
      <c r="C64" s="1086"/>
      <c r="D64" s="1086"/>
      <c r="E64" s="1086"/>
    </row>
    <row r="65" spans="1:5">
      <c r="A65" s="1086"/>
      <c r="B65" s="1086"/>
      <c r="C65" s="1086"/>
      <c r="D65" s="1086"/>
      <c r="E65" s="1086"/>
    </row>
    <row r="66" spans="1:5">
      <c r="A66" s="1086"/>
      <c r="B66" s="1086"/>
      <c r="C66" s="1086"/>
      <c r="D66" s="1086"/>
      <c r="E66" s="1086"/>
    </row>
    <row r="67" spans="1:5">
      <c r="A67" s="1086"/>
      <c r="B67" s="1086"/>
      <c r="C67" s="1086"/>
      <c r="D67" s="1086"/>
      <c r="E67" s="1086"/>
    </row>
    <row r="68" spans="1:5">
      <c r="A68" s="1086"/>
      <c r="B68" s="1086"/>
      <c r="C68" s="1086"/>
      <c r="D68" s="1086"/>
      <c r="E68" s="1086"/>
    </row>
    <row r="69" spans="1:5">
      <c r="A69" s="1086"/>
      <c r="B69" s="1086"/>
      <c r="C69" s="1086"/>
      <c r="D69" s="1086"/>
      <c r="E69" s="1086"/>
    </row>
    <row r="70" spans="1:5">
      <c r="A70" s="1086"/>
      <c r="B70" s="1086"/>
      <c r="C70" s="1086"/>
      <c r="D70" s="1086"/>
      <c r="E70" s="1086"/>
    </row>
    <row r="71" spans="1:5">
      <c r="A71" s="1086"/>
      <c r="B71" s="1086"/>
      <c r="C71" s="1086"/>
      <c r="D71" s="1086"/>
      <c r="E71" s="1086"/>
    </row>
    <row r="72" spans="1:5">
      <c r="A72" s="1086"/>
      <c r="B72" s="1086"/>
      <c r="C72" s="1086"/>
      <c r="D72" s="1086"/>
      <c r="E72" s="1086"/>
    </row>
    <row r="73" spans="1:5">
      <c r="A73" s="1086"/>
      <c r="B73" s="1086"/>
      <c r="C73" s="1086"/>
      <c r="D73" s="1086"/>
      <c r="E73" s="1086"/>
    </row>
    <row r="74" spans="1:5">
      <c r="A74" s="1086"/>
      <c r="B74" s="1086"/>
      <c r="C74" s="1086"/>
      <c r="D74" s="1086"/>
      <c r="E74" s="1086"/>
    </row>
    <row r="75" spans="1:5">
      <c r="A75" s="1086"/>
      <c r="B75" s="1086"/>
      <c r="C75" s="1086"/>
      <c r="D75" s="1086"/>
      <c r="E75" s="1086"/>
    </row>
    <row r="76" spans="1:5">
      <c r="A76" s="1086"/>
      <c r="B76" s="1086"/>
      <c r="C76" s="1086"/>
      <c r="D76" s="1086"/>
      <c r="E76" s="1086"/>
    </row>
    <row r="77" spans="1:5">
      <c r="A77" s="1086"/>
      <c r="B77" s="1086"/>
      <c r="C77" s="1086"/>
      <c r="D77" s="1086"/>
      <c r="E77" s="1086"/>
    </row>
    <row r="78" spans="1:5">
      <c r="A78" s="1086"/>
      <c r="B78" s="1086"/>
      <c r="C78" s="1086"/>
      <c r="D78" s="1086"/>
      <c r="E78" s="1086"/>
    </row>
    <row r="79" spans="1:5">
      <c r="A79" s="1086"/>
      <c r="B79" s="1086"/>
      <c r="C79" s="1086"/>
      <c r="D79" s="1086"/>
      <c r="E79" s="1086"/>
    </row>
    <row r="80" spans="1:5">
      <c r="A80" s="1086"/>
      <c r="B80" s="1086"/>
      <c r="C80" s="1086"/>
      <c r="D80" s="1086"/>
      <c r="E80" s="1086"/>
    </row>
    <row r="81" spans="1:5">
      <c r="A81" s="1086"/>
      <c r="B81" s="1086"/>
      <c r="C81" s="1086"/>
      <c r="D81" s="1086"/>
      <c r="E81" s="1086"/>
    </row>
    <row r="82" spans="1:5">
      <c r="A82" s="1086"/>
      <c r="B82" s="1086"/>
      <c r="C82" s="1086"/>
      <c r="D82" s="1086"/>
      <c r="E82" s="1086"/>
    </row>
    <row r="83" spans="1:5">
      <c r="A83" s="1086"/>
      <c r="B83" s="1086"/>
      <c r="C83" s="1086"/>
      <c r="D83" s="1086"/>
      <c r="E83" s="1086"/>
    </row>
    <row r="84" spans="1:5">
      <c r="A84" s="1086"/>
      <c r="B84" s="1086"/>
      <c r="C84" s="1086"/>
      <c r="D84" s="1086"/>
      <c r="E84" s="1086"/>
    </row>
    <row r="85" spans="1:5">
      <c r="A85" s="1086"/>
      <c r="B85" s="1086"/>
      <c r="C85" s="1086"/>
      <c r="D85" s="1086"/>
      <c r="E85" s="1086"/>
    </row>
    <row r="86" spans="1:5">
      <c r="A86" s="1086"/>
      <c r="B86" s="1086"/>
      <c r="C86" s="1086"/>
      <c r="D86" s="1086"/>
      <c r="E86" s="1086"/>
    </row>
    <row r="87" spans="1:5">
      <c r="A87" s="1087"/>
      <c r="B87" s="1087"/>
      <c r="C87" s="1087"/>
      <c r="D87" s="1087"/>
      <c r="E87" s="1087"/>
    </row>
    <row r="88" spans="1:5">
      <c r="A88" s="1087"/>
      <c r="B88" s="1087"/>
      <c r="C88" s="1087"/>
      <c r="D88" s="1087"/>
      <c r="E88" s="1087"/>
    </row>
    <row r="89" spans="1:5">
      <c r="A89" s="1087"/>
      <c r="B89" s="1087"/>
      <c r="C89" s="1087"/>
      <c r="D89" s="1087"/>
      <c r="E89" s="1087"/>
    </row>
    <row r="90" spans="1:5">
      <c r="A90" s="1087"/>
      <c r="B90" s="1087"/>
      <c r="C90" s="1087"/>
      <c r="D90" s="1087"/>
      <c r="E90" s="108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0" zoomScale="61" zoomScaleNormal="61" zoomScaleSheetLayoutView="61" zoomScalePageLayoutView="70" workbookViewId="0">
      <selection activeCell="G15" sqref="G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291</v>
      </c>
      <c r="B2" s="1036">
        <v>44287</v>
      </c>
      <c r="C2" s="1312" t="s">
        <v>69</v>
      </c>
      <c r="D2" s="611">
        <v>0.65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33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5113923</v>
      </c>
      <c r="F7" s="455">
        <v>5137619</v>
      </c>
      <c r="G7" s="473">
        <f>F7-E7</f>
        <v>23696</v>
      </c>
      <c r="H7" s="460">
        <f>G7</f>
        <v>23696</v>
      </c>
      <c r="I7" s="474">
        <v>12000</v>
      </c>
      <c r="J7" s="552">
        <f>H7/DAY(B2)</f>
        <v>23696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5145318</v>
      </c>
      <c r="F8" s="475">
        <v>5169102</v>
      </c>
      <c r="G8" s="476">
        <f>F8-E8</f>
        <v>23784</v>
      </c>
      <c r="H8" s="460">
        <f>G8</f>
        <v>23784</v>
      </c>
      <c r="I8" s="477">
        <v>12000</v>
      </c>
      <c r="J8" s="552">
        <f>H8/DAY(B2)</f>
        <v>23784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396069</v>
      </c>
      <c r="F9" s="478">
        <v>418964</v>
      </c>
      <c r="G9" s="473">
        <f>F9-E9</f>
        <v>22895</v>
      </c>
      <c r="H9" s="460">
        <f t="shared" ref="H9:H13" si="0">G9</f>
        <v>22895</v>
      </c>
      <c r="I9" s="479">
        <f>I8-J8</f>
        <v>-11784</v>
      </c>
      <c r="J9" s="552">
        <f>H9/DAY(B2)</f>
        <v>22895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22895</v>
      </c>
      <c r="H13" s="460">
        <f t="shared" si="0"/>
        <v>22895</v>
      </c>
      <c r="I13" s="482">
        <f>G7-G13</f>
        <v>801</v>
      </c>
      <c r="J13" s="552">
        <f>H13/DAY(B2)</f>
        <v>22895</v>
      </c>
      <c r="K13" s="428"/>
      <c r="L13" s="377"/>
      <c r="N13" s="382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0" t="s">
        <v>140</v>
      </c>
      <c r="B15" s="589"/>
      <c r="C15" s="589"/>
      <c r="D15" s="523" t="s">
        <v>141</v>
      </c>
      <c r="E15" s="484">
        <v>1646689</v>
      </c>
      <c r="F15" s="484">
        <v>1647658</v>
      </c>
      <c r="G15" s="783">
        <f>(F15-E15)</f>
        <v>969</v>
      </c>
      <c r="H15" s="460">
        <f>G15</f>
        <v>969</v>
      </c>
      <c r="I15" s="474">
        <v>800</v>
      </c>
      <c r="J15" s="552">
        <f>H15/DAY(B2)</f>
        <v>969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-169</v>
      </c>
      <c r="J16" s="553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v>15</v>
      </c>
      <c r="F18" s="484">
        <v>14</v>
      </c>
      <c r="G18" s="481">
        <f>F18*10</f>
        <v>140</v>
      </c>
      <c r="H18" s="460">
        <f>G18</f>
        <v>140</v>
      </c>
      <c r="I18" s="474">
        <v>65</v>
      </c>
      <c r="J18" s="552">
        <f>H18/DAY(B2)</f>
        <v>140</v>
      </c>
      <c r="K18" s="428"/>
      <c r="L18" s="377"/>
      <c r="N18" s="382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84">
        <v>136090</v>
      </c>
      <c r="F19" s="484">
        <v>136143</v>
      </c>
      <c r="G19" s="473">
        <f t="shared" ref="G19" si="2">F19-E19</f>
        <v>53</v>
      </c>
      <c r="H19" s="460">
        <f t="shared" ref="H19" si="3">G19</f>
        <v>53</v>
      </c>
      <c r="I19" s="489"/>
      <c r="J19" s="552">
        <f>H19/DAY(B2)</f>
        <v>53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</f>
        <v>193</v>
      </c>
      <c r="I20" s="492">
        <f>I18-J20</f>
        <v>-128</v>
      </c>
      <c r="J20" s="552">
        <f>H20/DAY(B2)</f>
        <v>193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v>1290</v>
      </c>
      <c r="F22" s="484">
        <v>1290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3290</v>
      </c>
      <c r="F24" s="493">
        <v>3290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23784</v>
      </c>
      <c r="F27" s="501">
        <v>9</v>
      </c>
      <c r="G27" s="502">
        <f>E27*F27</f>
        <v>214056</v>
      </c>
      <c r="H27" s="460">
        <f>G27</f>
        <v>214056</v>
      </c>
      <c r="I27" s="503"/>
      <c r="J27" s="552">
        <f>H27/DAY(B2)</f>
        <v>214056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969</v>
      </c>
      <c r="F28" s="501">
        <v>51.45</v>
      </c>
      <c r="G28" s="502">
        <f>E28*F28</f>
        <v>49855.05</v>
      </c>
      <c r="H28" s="460">
        <f>G28</f>
        <v>49855.05</v>
      </c>
      <c r="I28" s="505"/>
      <c r="J28" s="552">
        <f>H28/DAY(B2)</f>
        <v>49855.05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502">
        <f>E30*F30</f>
        <v>7102</v>
      </c>
      <c r="H30" s="460">
        <f>G30</f>
        <v>7102</v>
      </c>
      <c r="I30" s="505"/>
      <c r="J30" s="552">
        <f>H30/DAY(B2)</f>
        <v>7102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502">
        <f>E31*F31</f>
        <v>11200</v>
      </c>
      <c r="H31" s="460">
        <f>G31</f>
        <v>11200</v>
      </c>
      <c r="I31" s="505"/>
      <c r="J31" s="552">
        <f>H31/DAY(B2)</f>
        <v>11200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282213.05</v>
      </c>
      <c r="H32" s="460">
        <f t="shared" ref="H32" si="5">G32</f>
        <v>282213.05</v>
      </c>
      <c r="I32" s="509"/>
      <c r="J32" s="552">
        <f>H32/DAY(B2)</f>
        <v>282213.05</v>
      </c>
      <c r="K32" s="373"/>
      <c r="L32" s="443"/>
      <c r="N32" s="444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315"/>
      <c r="C34" s="1315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798389</v>
      </c>
      <c r="F35" s="510">
        <v>801819</v>
      </c>
      <c r="G35" s="473">
        <f>F35-E35</f>
        <v>3430</v>
      </c>
      <c r="H35" s="460">
        <f>G35</f>
        <v>3430</v>
      </c>
      <c r="I35" s="455"/>
      <c r="J35" s="552">
        <f>H35/DAY(B2)</f>
        <v>3430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317436</v>
      </c>
      <c r="F36" s="510">
        <v>318452</v>
      </c>
      <c r="G36" s="473">
        <f t="shared" ref="G36:G46" si="6">F36-E36</f>
        <v>1016</v>
      </c>
      <c r="H36" s="460">
        <f t="shared" ref="H36:H47" si="7">G36</f>
        <v>1016</v>
      </c>
      <c r="I36" s="455"/>
      <c r="J36" s="552">
        <f>H36/DAY(B2)</f>
        <v>1016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54797</v>
      </c>
      <c r="F37" s="510">
        <v>56245</v>
      </c>
      <c r="G37" s="473">
        <f t="shared" si="6"/>
        <v>1448</v>
      </c>
      <c r="H37" s="460">
        <f t="shared" si="7"/>
        <v>1448</v>
      </c>
      <c r="I37" s="455"/>
      <c r="J37" s="552">
        <f>H37/DAY(B2)</f>
        <v>1448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72308</v>
      </c>
      <c r="F38" s="469">
        <v>74087</v>
      </c>
      <c r="G38" s="473">
        <f t="shared" si="6"/>
        <v>1779</v>
      </c>
      <c r="H38" s="460">
        <f t="shared" si="7"/>
        <v>1779</v>
      </c>
      <c r="I38" s="455"/>
      <c r="J38" s="552">
        <f>H38/DAY(B2)</f>
        <v>1779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152822</v>
      </c>
      <c r="F39" s="510">
        <v>156914</v>
      </c>
      <c r="G39" s="473">
        <f t="shared" si="6"/>
        <v>4092</v>
      </c>
      <c r="H39" s="460">
        <f t="shared" si="7"/>
        <v>4092</v>
      </c>
      <c r="I39" s="455"/>
      <c r="J39" s="552">
        <f>H39/DAY(B2)</f>
        <v>4092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133141</v>
      </c>
      <c r="F41" s="510">
        <v>138652</v>
      </c>
      <c r="G41" s="473">
        <f t="shared" si="6"/>
        <v>5511</v>
      </c>
      <c r="H41" s="460">
        <f t="shared" si="7"/>
        <v>5511</v>
      </c>
      <c r="I41" s="455"/>
      <c r="J41" s="552">
        <f>H41/DAY(B2)</f>
        <v>5511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59128.160000000003</v>
      </c>
      <c r="F42" s="510">
        <v>59128</v>
      </c>
      <c r="G42" s="473">
        <f t="shared" si="6"/>
        <v>-0.16000000000349246</v>
      </c>
      <c r="H42" s="460">
        <f t="shared" si="7"/>
        <v>-0.16000000000349246</v>
      </c>
      <c r="I42" s="455"/>
      <c r="J42" s="552">
        <f>H42/DAY(B2)</f>
        <v>-0.16000000000349246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902048</v>
      </c>
      <c r="F43" s="510">
        <v>904644</v>
      </c>
      <c r="G43" s="473">
        <f t="shared" si="6"/>
        <v>2596</v>
      </c>
      <c r="H43" s="460">
        <f t="shared" si="7"/>
        <v>2596</v>
      </c>
      <c r="I43" s="455"/>
      <c r="J43" s="552">
        <f>H43/DAY(B2)</f>
        <v>2596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19871.839999999997</v>
      </c>
      <c r="H47" s="460">
        <f t="shared" si="7"/>
        <v>19871.839999999997</v>
      </c>
      <c r="I47" s="455"/>
      <c r="J47" s="552">
        <f>H47/DAY(B2)</f>
        <v>19871.839999999997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441232</v>
      </c>
      <c r="F50" s="510">
        <v>442718</v>
      </c>
      <c r="G50" s="473">
        <f t="shared" si="8"/>
        <v>1486</v>
      </c>
      <c r="H50" s="460">
        <f t="shared" ref="H50:H60" si="9">G50</f>
        <v>1486</v>
      </c>
      <c r="I50" s="455"/>
      <c r="J50" s="552">
        <f>H50/DAY(B2)</f>
        <v>1486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539608</v>
      </c>
      <c r="F52" s="510">
        <v>539608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401264</v>
      </c>
      <c r="F53" s="510">
        <v>401785</v>
      </c>
      <c r="G53" s="473">
        <f t="shared" si="8"/>
        <v>521</v>
      </c>
      <c r="H53" s="460">
        <f t="shared" si="9"/>
        <v>521</v>
      </c>
      <c r="I53" s="455"/>
      <c r="J53" s="552">
        <f>H53/DAY(B2)</f>
        <v>521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9166</v>
      </c>
      <c r="F54" s="510">
        <v>9232</v>
      </c>
      <c r="G54" s="473">
        <f t="shared" si="8"/>
        <v>66</v>
      </c>
      <c r="H54" s="460">
        <f t="shared" si="9"/>
        <v>66</v>
      </c>
      <c r="I54" s="455"/>
      <c r="J54" s="552">
        <f>H54/DAY(B2)</f>
        <v>66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216097</v>
      </c>
      <c r="F55" s="510">
        <v>217525</v>
      </c>
      <c r="G55" s="473">
        <f t="shared" si="8"/>
        <v>1428</v>
      </c>
      <c r="H55" s="460">
        <f t="shared" si="9"/>
        <v>1428</v>
      </c>
      <c r="I55" s="455"/>
      <c r="J55" s="552">
        <f>H55/DAY(B2)</f>
        <v>1428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588967</v>
      </c>
      <c r="F56" s="510">
        <v>588985</v>
      </c>
      <c r="G56" s="473">
        <f t="shared" si="8"/>
        <v>18</v>
      </c>
      <c r="H56" s="460">
        <f t="shared" si="9"/>
        <v>18</v>
      </c>
      <c r="I56" s="455"/>
      <c r="J56" s="552">
        <f>H56/DAY(B2)</f>
        <v>18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41547</v>
      </c>
      <c r="F58" s="510">
        <v>41719</v>
      </c>
      <c r="G58" s="473">
        <f t="shared" si="8"/>
        <v>172</v>
      </c>
      <c r="H58" s="460">
        <f t="shared" si="9"/>
        <v>172</v>
      </c>
      <c r="I58" s="455"/>
      <c r="J58" s="552">
        <f>H58/DAY(B2)</f>
        <v>172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3691</v>
      </c>
      <c r="H59" s="460">
        <f t="shared" si="9"/>
        <v>3691</v>
      </c>
      <c r="I59" s="455">
        <f>G7-G60</f>
        <v>133.16000000000349</v>
      </c>
      <c r="J59" s="552">
        <f>H59/DAY(B2)</f>
        <v>3691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23562.839999999997</v>
      </c>
      <c r="H60" s="460">
        <f t="shared" si="9"/>
        <v>23562.839999999997</v>
      </c>
      <c r="I60" s="455">
        <f>G13-G60</f>
        <v>-667.83999999999651</v>
      </c>
      <c r="J60" s="552">
        <f>H60/DAY(B2)</f>
        <v>23562.839999999997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2096</v>
      </c>
      <c r="F63" s="514">
        <v>2108</v>
      </c>
      <c r="G63" s="473">
        <f t="shared" si="10"/>
        <v>12</v>
      </c>
      <c r="H63" s="460">
        <f t="shared" ref="H63:H70" si="11">G63</f>
        <v>12</v>
      </c>
      <c r="I63" s="515"/>
      <c r="J63" s="552">
        <f>H63/DAY(B2)</f>
        <v>12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v>139180</v>
      </c>
      <c r="F64" s="484">
        <v>139643</v>
      </c>
      <c r="G64" s="473">
        <f t="shared" si="10"/>
        <v>463</v>
      </c>
      <c r="H64" s="460">
        <f t="shared" si="11"/>
        <v>463</v>
      </c>
      <c r="I64" s="480"/>
      <c r="J64" s="552">
        <f>H64/DAY(B2)</f>
        <v>463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v>144205</v>
      </c>
      <c r="F65" s="484">
        <v>144569</v>
      </c>
      <c r="G65" s="473">
        <f t="shared" si="10"/>
        <v>364</v>
      </c>
      <c r="H65" s="460">
        <f t="shared" si="11"/>
        <v>364</v>
      </c>
      <c r="I65" s="489"/>
      <c r="J65" s="552">
        <f>H65/DAY(B2)</f>
        <v>364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v>37208</v>
      </c>
      <c r="F66" s="484">
        <v>37600</v>
      </c>
      <c r="G66" s="473">
        <f t="shared" si="10"/>
        <v>392</v>
      </c>
      <c r="H66" s="460">
        <f t="shared" si="11"/>
        <v>392</v>
      </c>
      <c r="I66" s="480"/>
      <c r="J66" s="552">
        <f>H66/DAY(B2)</f>
        <v>392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v>229100</v>
      </c>
      <c r="F67" s="484">
        <v>229795</v>
      </c>
      <c r="G67" s="473">
        <f t="shared" si="10"/>
        <v>695</v>
      </c>
      <c r="H67" s="460">
        <f t="shared" si="11"/>
        <v>695</v>
      </c>
      <c r="I67" s="489"/>
      <c r="J67" s="552">
        <f>H67/DAY(B2)</f>
        <v>695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v>83087</v>
      </c>
      <c r="F68" s="484">
        <v>83409</v>
      </c>
      <c r="G68" s="473">
        <f t="shared" si="10"/>
        <v>322</v>
      </c>
      <c r="H68" s="460">
        <f t="shared" si="11"/>
        <v>322</v>
      </c>
      <c r="I68" s="516"/>
      <c r="J68" s="552">
        <f>H68/DAY(B2)</f>
        <v>322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v>74329</v>
      </c>
      <c r="F69" s="484">
        <v>74636</v>
      </c>
      <c r="G69" s="473">
        <f t="shared" si="10"/>
        <v>307</v>
      </c>
      <c r="H69" s="460">
        <f t="shared" si="11"/>
        <v>307</v>
      </c>
      <c r="I69" s="516"/>
      <c r="J69" s="552">
        <f>H69/DAY(B2)</f>
        <v>307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v>853179</v>
      </c>
      <c r="F72" s="519">
        <v>853301</v>
      </c>
      <c r="G72" s="473">
        <f t="shared" ref="G72:G84" si="12">F72-E72</f>
        <v>122</v>
      </c>
      <c r="H72" s="460">
        <f>G72</f>
        <v>122</v>
      </c>
      <c r="I72" s="480"/>
      <c r="J72" s="552">
        <f>H72/DAY(B2)</f>
        <v>122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20">
        <v>885800</v>
      </c>
      <c r="F73" s="520">
        <v>885804</v>
      </c>
      <c r="G73" s="473">
        <f t="shared" si="12"/>
        <v>4</v>
      </c>
      <c r="H73" s="460">
        <f t="shared" ref="H73:H88" si="13">G73</f>
        <v>4</v>
      </c>
      <c r="I73" s="480"/>
      <c r="J73" s="552">
        <f>H73/DAY(B2)</f>
        <v>4</v>
      </c>
      <c r="K73" s="430"/>
      <c r="L73" s="377"/>
      <c r="N73" s="382"/>
      <c r="O73" s="382"/>
    </row>
    <row r="74" spans="1:15" ht="27.75">
      <c r="A74" s="1422" t="s">
        <v>193</v>
      </c>
      <c r="B74" s="1423"/>
      <c r="C74" s="1424"/>
      <c r="D74" s="523" t="s">
        <v>187</v>
      </c>
      <c r="E74" s="521">
        <v>1370</v>
      </c>
      <c r="F74" s="521">
        <v>1389</v>
      </c>
      <c r="G74" s="473">
        <f t="shared" si="12"/>
        <v>19</v>
      </c>
      <c r="H74" s="460">
        <f t="shared" si="13"/>
        <v>19</v>
      </c>
      <c r="I74" s="480"/>
      <c r="J74" s="552">
        <f>H74/DAY(B2)</f>
        <v>19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21">
        <v>8680</v>
      </c>
      <c r="F75" s="521">
        <v>8830</v>
      </c>
      <c r="G75" s="473">
        <f t="shared" si="12"/>
        <v>150</v>
      </c>
      <c r="H75" s="460">
        <f t="shared" si="13"/>
        <v>150</v>
      </c>
      <c r="I75" s="480"/>
      <c r="J75" s="552">
        <f>H75/DAY(B2)</f>
        <v>150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20">
        <v>4037</v>
      </c>
      <c r="F76" s="520">
        <v>4096</v>
      </c>
      <c r="G76" s="473">
        <f t="shared" si="12"/>
        <v>59</v>
      </c>
      <c r="H76" s="460">
        <f t="shared" si="13"/>
        <v>59</v>
      </c>
      <c r="I76" s="505"/>
      <c r="J76" s="552">
        <f>H76/DAY(B2)</f>
        <v>59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21">
        <v>700214</v>
      </c>
      <c r="F77" s="521">
        <v>700264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521">
        <v>665380</v>
      </c>
      <c r="F78" s="521">
        <v>665775</v>
      </c>
      <c r="G78" s="473">
        <f t="shared" si="12"/>
        <v>395</v>
      </c>
      <c r="H78" s="460">
        <f t="shared" si="13"/>
        <v>395</v>
      </c>
      <c r="I78" s="505"/>
      <c r="J78" s="552">
        <f>H78/DAY(B2)</f>
        <v>395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v>821213</v>
      </c>
      <c r="F79" s="521">
        <v>821407</v>
      </c>
      <c r="G79" s="473">
        <f t="shared" si="12"/>
        <v>194</v>
      </c>
      <c r="H79" s="460">
        <f t="shared" si="13"/>
        <v>194</v>
      </c>
      <c r="I79" s="505"/>
      <c r="J79" s="552">
        <f>H79/DAY(B2)</f>
        <v>194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v>505699</v>
      </c>
      <c r="F80" s="520">
        <v>506079</v>
      </c>
      <c r="G80" s="473">
        <f t="shared" si="12"/>
        <v>380</v>
      </c>
      <c r="H80" s="460">
        <f t="shared" si="13"/>
        <v>380</v>
      </c>
      <c r="I80" s="505"/>
      <c r="J80" s="552">
        <f>H80/DAY(B2)</f>
        <v>380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v>630185</v>
      </c>
      <c r="F81" s="520">
        <v>630383</v>
      </c>
      <c r="G81" s="473">
        <f t="shared" si="12"/>
        <v>198</v>
      </c>
      <c r="H81" s="460">
        <f t="shared" si="13"/>
        <v>198</v>
      </c>
      <c r="I81" s="505"/>
      <c r="J81" s="552">
        <f>H81/DAY(B2)</f>
        <v>198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v>106895</v>
      </c>
      <c r="F82" s="522">
        <v>106918</v>
      </c>
      <c r="G82" s="473">
        <f t="shared" si="12"/>
        <v>23</v>
      </c>
      <c r="H82" s="460">
        <f t="shared" si="13"/>
        <v>23</v>
      </c>
      <c r="I82" s="486"/>
      <c r="J82" s="552">
        <f>H82/DAY(B2)</f>
        <v>23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v>7057</v>
      </c>
      <c r="F83" s="511">
        <v>7296</v>
      </c>
      <c r="G83" s="473">
        <f t="shared" si="12"/>
        <v>239</v>
      </c>
      <c r="H83" s="460">
        <f t="shared" si="13"/>
        <v>239</v>
      </c>
      <c r="I83" s="481"/>
      <c r="J83" s="552">
        <f>H83/DAY(B2)</f>
        <v>239</v>
      </c>
      <c r="K83" s="429"/>
      <c r="L83" s="377"/>
      <c r="N83" s="382"/>
      <c r="O83" s="724"/>
    </row>
    <row r="84" spans="1:15">
      <c r="A84" s="1314" t="s">
        <v>201</v>
      </c>
      <c r="B84" s="571"/>
      <c r="C84" s="571"/>
      <c r="D84" s="478" t="s">
        <v>132</v>
      </c>
      <c r="E84" s="627">
        <v>454684</v>
      </c>
      <c r="F84" s="627">
        <v>455599</v>
      </c>
      <c r="G84" s="473">
        <f t="shared" si="12"/>
        <v>915</v>
      </c>
      <c r="H84" s="460">
        <f t="shared" si="13"/>
        <v>915</v>
      </c>
      <c r="I84" s="481"/>
      <c r="J84" s="552">
        <f>H84/DAY(B2)</f>
        <v>915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2748</v>
      </c>
      <c r="H85" s="460">
        <f t="shared" si="13"/>
        <v>2748</v>
      </c>
      <c r="I85" s="481"/>
      <c r="J85" s="552">
        <f>H85/DAY(B2)</f>
        <v>2748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454581</v>
      </c>
      <c r="F86" s="650">
        <v>454804</v>
      </c>
      <c r="G86" s="708">
        <f t="shared" ref="G86:G90" si="14">F86-E86</f>
        <v>223</v>
      </c>
      <c r="H86" s="708">
        <f t="shared" si="13"/>
        <v>223</v>
      </c>
      <c r="I86" s="655"/>
      <c r="J86" s="710">
        <f>H86/DAY(B2)</f>
        <v>223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80185</v>
      </c>
      <c r="F87" s="650">
        <v>80219</v>
      </c>
      <c r="G87" s="708">
        <f t="shared" si="14"/>
        <v>34</v>
      </c>
      <c r="H87" s="708">
        <f t="shared" si="13"/>
        <v>34</v>
      </c>
      <c r="I87" s="655"/>
      <c r="J87" s="710">
        <f>H87/DAY(B2)</f>
        <v>34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150599</v>
      </c>
      <c r="F88" s="650">
        <v>150668</v>
      </c>
      <c r="G88" s="708">
        <f t="shared" si="14"/>
        <v>69</v>
      </c>
      <c r="H88" s="708">
        <f t="shared" si="13"/>
        <v>69</v>
      </c>
      <c r="I88" s="655"/>
      <c r="J88" s="710">
        <f>H88/DAY(B2)</f>
        <v>69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63554</v>
      </c>
      <c r="F89" s="650">
        <v>63598</v>
      </c>
      <c r="G89" s="708">
        <f t="shared" si="14"/>
        <v>44</v>
      </c>
      <c r="H89" s="708">
        <f>G89</f>
        <v>44</v>
      </c>
      <c r="I89" s="655"/>
      <c r="J89" s="710">
        <f>H89/DAY(B2)</f>
        <v>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3270</v>
      </c>
      <c r="F90" s="650">
        <v>3271</v>
      </c>
      <c r="G90" s="708">
        <f t="shared" si="14"/>
        <v>1</v>
      </c>
      <c r="H90" s="708">
        <f>G90</f>
        <v>1</v>
      </c>
      <c r="I90" s="655"/>
      <c r="J90" s="710">
        <f>H90/DAY(B2)</f>
        <v>1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v>242646</v>
      </c>
      <c r="F92" s="484">
        <v>242738</v>
      </c>
      <c r="G92" s="473">
        <f t="shared" ref="G92:G93" si="15">F92-E92</f>
        <v>92</v>
      </c>
      <c r="H92" s="460">
        <f t="shared" ref="H92" si="16">G92</f>
        <v>92</v>
      </c>
      <c r="I92" s="480"/>
      <c r="J92" s="552">
        <f>H92/DAY(B2)</f>
        <v>92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v>179679</v>
      </c>
      <c r="F93" s="484">
        <v>179806</v>
      </c>
      <c r="G93" s="473">
        <f t="shared" si="15"/>
        <v>127</v>
      </c>
      <c r="H93" s="460">
        <f>G93</f>
        <v>127</v>
      </c>
      <c r="I93" s="480"/>
      <c r="J93" s="552">
        <f>H93/DAY(B2)</f>
        <v>127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/>
      <c r="F94" s="484"/>
      <c r="G94" s="473">
        <f>G92+G93</f>
        <v>219</v>
      </c>
      <c r="H94" s="460"/>
      <c r="I94" s="480"/>
      <c r="J94" s="552"/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v>410785</v>
      </c>
      <c r="F95" s="484">
        <v>410862</v>
      </c>
      <c r="G95" s="473">
        <f t="shared" ref="G95:G100" si="17">F95-E95</f>
        <v>77</v>
      </c>
      <c r="H95" s="460">
        <f t="shared" ref="H95:H101" si="18">G95</f>
        <v>77</v>
      </c>
      <c r="I95" s="480"/>
      <c r="J95" s="552">
        <f>H95/DAY(B2)</f>
        <v>77</v>
      </c>
      <c r="K95" s="380"/>
      <c r="L95" s="377"/>
      <c r="N95" s="382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v>101831</v>
      </c>
      <c r="F96" s="484">
        <v>101848</v>
      </c>
      <c r="G96" s="473">
        <f t="shared" si="17"/>
        <v>17</v>
      </c>
      <c r="H96" s="460">
        <f t="shared" si="18"/>
        <v>17</v>
      </c>
      <c r="I96" s="480"/>
      <c r="J96" s="552">
        <f>H96/DAY(B2)</f>
        <v>17</v>
      </c>
      <c r="K96" s="427"/>
      <c r="L96" s="377"/>
      <c r="N96" s="382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84">
        <v>96928</v>
      </c>
      <c r="F97" s="484">
        <v>96948</v>
      </c>
      <c r="G97" s="473">
        <f t="shared" si="17"/>
        <v>20</v>
      </c>
      <c r="H97" s="460">
        <f t="shared" si="18"/>
        <v>20</v>
      </c>
      <c r="I97" s="480"/>
      <c r="J97" s="552">
        <f>H97/DAY(B2)</f>
        <v>20</v>
      </c>
      <c r="K97" s="432"/>
      <c r="L97" s="377"/>
      <c r="N97" s="382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84">
        <v>148909</v>
      </c>
      <c r="F98" s="484">
        <v>148937</v>
      </c>
      <c r="G98" s="473">
        <f t="shared" si="17"/>
        <v>28</v>
      </c>
      <c r="H98" s="460">
        <f t="shared" si="18"/>
        <v>28</v>
      </c>
      <c r="I98" s="480"/>
      <c r="J98" s="552">
        <f>H98/DAY(B2)</f>
        <v>28</v>
      </c>
      <c r="K98" s="380"/>
      <c r="L98" s="377"/>
      <c r="N98" s="382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84">
        <v>6855</v>
      </c>
      <c r="F99" s="484">
        <v>6871</v>
      </c>
      <c r="G99" s="473">
        <f t="shared" si="17"/>
        <v>16</v>
      </c>
      <c r="H99" s="460">
        <f t="shared" si="18"/>
        <v>16</v>
      </c>
      <c r="I99" s="480"/>
      <c r="J99" s="552">
        <f>H99/DAY(B2)</f>
        <v>16</v>
      </c>
      <c r="K99" s="380"/>
      <c r="L99" s="377"/>
      <c r="N99" s="382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84">
        <v>4943</v>
      </c>
      <c r="F100" s="484">
        <v>4949</v>
      </c>
      <c r="G100" s="473">
        <f t="shared" si="17"/>
        <v>6</v>
      </c>
      <c r="H100" s="460">
        <f t="shared" si="18"/>
        <v>6</v>
      </c>
      <c r="I100" s="480" t="s">
        <v>215</v>
      </c>
      <c r="J100" s="552">
        <f>H100/DAY(B2)</f>
        <v>6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525">
        <f>SUM(G95:G100)</f>
        <v>164</v>
      </c>
      <c r="H101" s="460">
        <f t="shared" si="18"/>
        <v>164</v>
      </c>
      <c r="I101" s="526"/>
      <c r="J101" s="552">
        <f>H101/DAY(B2)</f>
        <v>164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9" t="s">
        <v>219</v>
      </c>
      <c r="B104" s="1430"/>
      <c r="C104" s="1308"/>
      <c r="D104" s="622" t="s">
        <v>144</v>
      </c>
      <c r="E104" s="532">
        <v>7325</v>
      </c>
      <c r="F104" s="532">
        <v>7333</v>
      </c>
      <c r="G104" s="532">
        <f>F104-E104</f>
        <v>8</v>
      </c>
      <c r="H104" s="533">
        <f>G104</f>
        <v>8</v>
      </c>
      <c r="I104" s="532"/>
      <c r="J104" s="558">
        <f>H104/DAY(B2)</f>
        <v>8</v>
      </c>
      <c r="N104" s="444"/>
      <c r="O104" s="382"/>
    </row>
    <row r="105" spans="1:15" s="442" customFormat="1" ht="27.75">
      <c r="A105" s="1429" t="s">
        <v>77</v>
      </c>
      <c r="B105" s="1430"/>
      <c r="C105" s="1308"/>
      <c r="D105" s="622" t="s">
        <v>144</v>
      </c>
      <c r="E105" s="534">
        <v>35656</v>
      </c>
      <c r="F105" s="534">
        <v>35661</v>
      </c>
      <c r="G105" s="532">
        <f t="shared" ref="G105:G106" si="19">F105-E105</f>
        <v>5</v>
      </c>
      <c r="H105" s="533">
        <f t="shared" ref="H105:H120" si="20">G105</f>
        <v>5</v>
      </c>
      <c r="I105" s="532"/>
      <c r="J105" s="558">
        <f>H105/DAY(B2)</f>
        <v>5</v>
      </c>
      <c r="N105" s="444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v>19418</v>
      </c>
      <c r="F106" s="532">
        <v>19423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87</v>
      </c>
      <c r="N106" s="444"/>
      <c r="O106" s="382"/>
    </row>
    <row r="107" spans="1:15" s="442" customFormat="1" ht="27.75">
      <c r="A107" s="1431" t="s">
        <v>202</v>
      </c>
      <c r="B107" s="1432"/>
      <c r="C107" s="1308"/>
      <c r="D107" s="622"/>
      <c r="E107" s="532"/>
      <c r="F107" s="532"/>
      <c r="G107" s="532">
        <f>SUM(G104:G106)</f>
        <v>18</v>
      </c>
      <c r="H107" s="533">
        <f t="shared" si="20"/>
        <v>18</v>
      </c>
      <c r="I107" s="532"/>
      <c r="J107" s="558">
        <f>H107/DAY(B2)</f>
        <v>18</v>
      </c>
      <c r="N107" s="444"/>
      <c r="O107" s="382"/>
    </row>
    <row r="108" spans="1:15" s="442" customFormat="1" ht="27.75">
      <c r="A108" s="1435" t="s">
        <v>79</v>
      </c>
      <c r="B108" s="1436"/>
      <c r="C108" s="1308"/>
      <c r="D108" s="622" t="s">
        <v>144</v>
      </c>
      <c r="E108" s="532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429" t="s">
        <v>220</v>
      </c>
      <c r="B109" s="1430"/>
      <c r="C109" s="1308"/>
      <c r="D109" s="622" t="s">
        <v>144</v>
      </c>
      <c r="E109" s="532">
        <v>58873</v>
      </c>
      <c r="F109" s="532">
        <v>58960</v>
      </c>
      <c r="G109" s="532">
        <f>F109-E109</f>
        <v>87</v>
      </c>
      <c r="H109" s="533">
        <f t="shared" si="20"/>
        <v>87</v>
      </c>
      <c r="I109" s="532"/>
      <c r="J109" s="558">
        <f>H109/DAY(B2)</f>
        <v>87</v>
      </c>
      <c r="N109" s="444"/>
      <c r="O109" s="382"/>
    </row>
    <row r="110" spans="1:15" s="442" customFormat="1" ht="27.75">
      <c r="A110" s="1429" t="s">
        <v>221</v>
      </c>
      <c r="B110" s="1430"/>
      <c r="C110" s="1308"/>
      <c r="D110" s="622" t="s">
        <v>144</v>
      </c>
      <c r="E110" s="532">
        <v>31646</v>
      </c>
      <c r="F110" s="532">
        <v>31676</v>
      </c>
      <c r="G110" s="532">
        <f>F110-E110</f>
        <v>30</v>
      </c>
      <c r="H110" s="533">
        <f t="shared" si="20"/>
        <v>30</v>
      </c>
      <c r="I110" s="532"/>
      <c r="J110" s="558">
        <f>H110/DAY(B2)</f>
        <v>30</v>
      </c>
      <c r="N110" s="444"/>
      <c r="O110" s="382"/>
    </row>
    <row r="111" spans="1:15" s="442" customFormat="1" ht="27.75">
      <c r="A111" s="1429" t="s">
        <v>222</v>
      </c>
      <c r="B111" s="1430"/>
      <c r="C111" s="1308"/>
      <c r="D111" s="622" t="s">
        <v>144</v>
      </c>
      <c r="E111" s="532">
        <v>4156</v>
      </c>
      <c r="F111" s="532">
        <v>4177</v>
      </c>
      <c r="G111" s="532">
        <f>F111-E111</f>
        <v>21</v>
      </c>
      <c r="H111" s="533">
        <f t="shared" si="20"/>
        <v>21</v>
      </c>
      <c r="I111" s="532"/>
      <c r="J111" s="558">
        <f>H111/DAY(B2)</f>
        <v>21</v>
      </c>
      <c r="N111" s="444"/>
      <c r="O111" s="382"/>
    </row>
    <row r="112" spans="1:15" s="442" customFormat="1" ht="27.75">
      <c r="A112" s="1433" t="s">
        <v>110</v>
      </c>
      <c r="B112" s="1434"/>
      <c r="C112" s="1308"/>
      <c r="D112" s="622"/>
      <c r="E112" s="532"/>
      <c r="F112" s="532"/>
      <c r="G112" s="532">
        <f>SUM(G109:G111)</f>
        <v>138</v>
      </c>
      <c r="H112" s="533">
        <f t="shared" si="20"/>
        <v>138</v>
      </c>
      <c r="I112" s="532"/>
      <c r="J112" s="558">
        <f>H112/DAY(B2)</f>
        <v>138</v>
      </c>
      <c r="N112" s="444"/>
      <c r="O112" s="382"/>
    </row>
    <row r="113" spans="1:15" s="442" customFormat="1" ht="27.75">
      <c r="A113" s="1435" t="s">
        <v>223</v>
      </c>
      <c r="B113" s="1436"/>
      <c r="C113" s="1308"/>
      <c r="D113" s="622"/>
      <c r="E113" s="532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4">
        <v>10857</v>
      </c>
      <c r="F114" s="534">
        <v>10877</v>
      </c>
      <c r="G114" s="534">
        <f>F114-E114</f>
        <v>20</v>
      </c>
      <c r="H114" s="533">
        <f t="shared" si="20"/>
        <v>20</v>
      </c>
      <c r="I114" s="532"/>
      <c r="J114" s="558">
        <f>H114/DAY(B2)</f>
        <v>20</v>
      </c>
      <c r="N114" s="444"/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4">
        <v>7975</v>
      </c>
      <c r="F115" s="534">
        <v>7980</v>
      </c>
      <c r="G115" s="534">
        <f t="shared" ref="G115:G116" si="21">F115-E115</f>
        <v>5</v>
      </c>
      <c r="H115" s="533">
        <f t="shared" si="20"/>
        <v>5</v>
      </c>
      <c r="I115" s="532"/>
      <c r="J115" s="558">
        <f>H115/DAY(B2)</f>
        <v>5</v>
      </c>
      <c r="N115" s="444"/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534">
        <f>SUM(G114:G116)</f>
        <v>25</v>
      </c>
      <c r="H117" s="533">
        <f t="shared" si="20"/>
        <v>25</v>
      </c>
      <c r="I117" s="534"/>
      <c r="J117" s="558">
        <f>H117/DAY(B2)</f>
        <v>25</v>
      </c>
      <c r="N117" s="447"/>
      <c r="O117" s="382"/>
    </row>
    <row r="118" spans="1:15" s="446" customFormat="1" ht="27.75">
      <c r="A118" s="1425" t="s">
        <v>227</v>
      </c>
      <c r="B118" s="1426"/>
      <c r="C118" s="1307"/>
      <c r="D118" s="624" t="s">
        <v>144</v>
      </c>
      <c r="E118" s="536"/>
      <c r="F118" s="536">
        <f>SUM(G19+G92)</f>
        <v>145</v>
      </c>
      <c r="G118" s="536">
        <f>SUM(G19+G92)</f>
        <v>145</v>
      </c>
      <c r="H118" s="533">
        <f t="shared" si="20"/>
        <v>145</v>
      </c>
      <c r="I118" s="535"/>
      <c r="J118" s="559">
        <f>H118/DAY(B2)</f>
        <v>145</v>
      </c>
      <c r="N118" s="782"/>
      <c r="O118" s="382"/>
    </row>
    <row r="119" spans="1:15" s="446" customFormat="1" ht="27.75">
      <c r="A119" s="1425" t="s">
        <v>228</v>
      </c>
      <c r="B119" s="1426"/>
      <c r="C119" s="1307"/>
      <c r="D119" s="624" t="s">
        <v>144</v>
      </c>
      <c r="E119" s="536"/>
      <c r="F119" s="536">
        <f>SUM(G95,G96,G97,G99,G100)</f>
        <v>136</v>
      </c>
      <c r="G119" s="536">
        <f>SUM(G95,G96,G97,G99,G100)</f>
        <v>136</v>
      </c>
      <c r="H119" s="533">
        <f t="shared" si="20"/>
        <v>136</v>
      </c>
      <c r="I119" s="535"/>
      <c r="J119" s="559">
        <f>H119/DAY(B2)</f>
        <v>136</v>
      </c>
      <c r="N119" s="782"/>
      <c r="O119" s="382"/>
    </row>
    <row r="120" spans="1:15" s="446" customFormat="1" ht="27.75">
      <c r="A120" s="1425" t="s">
        <v>229</v>
      </c>
      <c r="B120" s="1426"/>
      <c r="C120" s="1307"/>
      <c r="D120" s="624" t="s">
        <v>144</v>
      </c>
      <c r="E120" s="534"/>
      <c r="F120" s="534">
        <f>SUM(G112)</f>
        <v>138</v>
      </c>
      <c r="G120" s="534">
        <f>SUM(G112)</f>
        <v>138</v>
      </c>
      <c r="H120" s="533">
        <f t="shared" si="20"/>
        <v>138</v>
      </c>
      <c r="I120" s="535"/>
      <c r="J120" s="559">
        <f>H120/DAY(B2)</f>
        <v>138</v>
      </c>
      <c r="N120" s="782"/>
      <c r="O120" s="382"/>
    </row>
    <row r="121" spans="1:15" s="442" customFormat="1" ht="27.75">
      <c r="A121" s="1427"/>
      <c r="B121" s="1428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78">
        <v>818810</v>
      </c>
      <c r="F123" s="478">
        <v>819067</v>
      </c>
      <c r="G123" s="473">
        <f>F123-E123</f>
        <v>257</v>
      </c>
      <c r="H123" s="460">
        <f>G123</f>
        <v>257</v>
      </c>
      <c r="I123" s="526"/>
      <c r="J123" s="552">
        <f>H123/DAY(B2)</f>
        <v>257</v>
      </c>
      <c r="K123" s="380"/>
      <c r="L123" s="377"/>
      <c r="N123" s="382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626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78">
        <v>142136</v>
      </c>
      <c r="F125" s="485">
        <v>142232</v>
      </c>
      <c r="G125" s="473">
        <f t="shared" si="22"/>
        <v>96</v>
      </c>
      <c r="H125" s="460">
        <f t="shared" si="23"/>
        <v>96</v>
      </c>
      <c r="I125" s="526"/>
      <c r="J125" s="552">
        <f>H125/DAY(B2)</f>
        <v>96</v>
      </c>
      <c r="K125" s="380"/>
      <c r="L125" s="377"/>
      <c r="N125" s="382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626">
        <v>59888</v>
      </c>
      <c r="F126" s="485">
        <v>59888</v>
      </c>
      <c r="G126" s="473">
        <f t="shared" si="22"/>
        <v>0</v>
      </c>
      <c r="H126" s="460">
        <f t="shared" si="23"/>
        <v>0</v>
      </c>
      <c r="I126" s="526"/>
      <c r="J126" s="552">
        <f>H126/DAY(B2)</f>
        <v>0</v>
      </c>
      <c r="K126" s="380"/>
      <c r="L126" s="377"/>
      <c r="N126" s="382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626">
        <v>8962</v>
      </c>
      <c r="F127" s="485">
        <v>8963</v>
      </c>
      <c r="G127" s="473">
        <f t="shared" si="22"/>
        <v>1</v>
      </c>
      <c r="H127" s="460">
        <f t="shared" si="23"/>
        <v>1</v>
      </c>
      <c r="I127" s="480"/>
      <c r="J127" s="552">
        <f>H127/DAY(B2)</f>
        <v>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615</v>
      </c>
      <c r="H128" s="460">
        <f t="shared" si="23"/>
        <v>615</v>
      </c>
      <c r="I128" s="480"/>
      <c r="J128" s="552">
        <f>H128/DAY(B2)</f>
        <v>615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84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84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541">
        <v>39533</v>
      </c>
      <c r="F132" s="541">
        <v>39557</v>
      </c>
      <c r="G132" s="473">
        <f t="shared" si="24"/>
        <v>24</v>
      </c>
      <c r="H132" s="460">
        <f t="shared" si="25"/>
        <v>24</v>
      </c>
      <c r="I132" s="480"/>
      <c r="J132" s="552">
        <f>H132/DAY(B2)</f>
        <v>24</v>
      </c>
      <c r="N132" s="382"/>
      <c r="O132" s="382"/>
    </row>
    <row r="133" spans="1:15" s="779" customFormat="1" ht="27.75">
      <c r="A133" s="796" t="s">
        <v>242</v>
      </c>
      <c r="B133" s="1242"/>
      <c r="C133" s="1242"/>
      <c r="D133" s="524" t="s">
        <v>239</v>
      </c>
      <c r="E133" s="541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3"/>
      <c r="J133" s="553">
        <f>H133/DAY(B2)</f>
        <v>0</v>
      </c>
      <c r="N133" s="724"/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541">
        <v>40839</v>
      </c>
      <c r="F134" s="541">
        <v>40846</v>
      </c>
      <c r="G134" s="473">
        <f t="shared" si="24"/>
        <v>7</v>
      </c>
      <c r="H134" s="460">
        <f t="shared" si="25"/>
        <v>7</v>
      </c>
      <c r="I134" s="480"/>
      <c r="J134" s="552">
        <f>H134/DAY(B2)</f>
        <v>7</v>
      </c>
      <c r="N134" s="382"/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541">
        <v>32583</v>
      </c>
      <c r="F135" s="541">
        <v>32583</v>
      </c>
      <c r="G135" s="473">
        <f t="shared" si="24"/>
        <v>0</v>
      </c>
      <c r="H135" s="460">
        <f t="shared" si="25"/>
        <v>0</v>
      </c>
      <c r="I135" s="480">
        <f>G132+G133+G134+G135</f>
        <v>31</v>
      </c>
      <c r="J135" s="552">
        <f>H135/DAY(B2)</f>
        <v>0</v>
      </c>
      <c r="N135" s="382"/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541">
        <v>22488.65</v>
      </c>
      <c r="F136" s="541">
        <v>22498.89</v>
      </c>
      <c r="G136" s="473">
        <f t="shared" si="24"/>
        <v>10.239999999997963</v>
      </c>
      <c r="H136" s="460">
        <f t="shared" si="25"/>
        <v>10.239999999997963</v>
      </c>
      <c r="I136" s="480"/>
      <c r="J136" s="552">
        <f>H136/DAY(B2)</f>
        <v>10.239999999997963</v>
      </c>
      <c r="N136" s="382"/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541">
        <v>25048.79</v>
      </c>
      <c r="F137" s="541">
        <v>25048.97</v>
      </c>
      <c r="G137" s="473">
        <f t="shared" si="24"/>
        <v>0.18000000000029104</v>
      </c>
      <c r="H137" s="460">
        <f t="shared" si="25"/>
        <v>0.18000000000029104</v>
      </c>
      <c r="I137" s="480"/>
      <c r="J137" s="552">
        <f>H137/DAY(B2)</f>
        <v>0.18000000000029104</v>
      </c>
      <c r="N137" s="382"/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541">
        <v>70254.03</v>
      </c>
      <c r="F138" s="541">
        <v>70256.570000000007</v>
      </c>
      <c r="G138" s="473">
        <f t="shared" si="24"/>
        <v>2.5400000000081491</v>
      </c>
      <c r="H138" s="460">
        <f t="shared" si="25"/>
        <v>2.5400000000081491</v>
      </c>
      <c r="I138" s="480">
        <f>G136+G137+G138</f>
        <v>12.960000000006403</v>
      </c>
      <c r="J138" s="552">
        <f>H138/DAY(B2)</f>
        <v>2.5400000000081491</v>
      </c>
      <c r="N138" s="382"/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84">
        <v>1536.52</v>
      </c>
      <c r="F139" s="484">
        <v>1536.52</v>
      </c>
      <c r="G139" s="473">
        <f t="shared" si="24"/>
        <v>0</v>
      </c>
      <c r="H139" s="460">
        <f t="shared" si="25"/>
        <v>0</v>
      </c>
      <c r="I139" s="542"/>
      <c r="J139" s="552">
        <f>H139/DAY(B2)</f>
        <v>0</v>
      </c>
      <c r="N139" s="382"/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84">
        <v>4468.54</v>
      </c>
      <c r="F140" s="484">
        <v>4476.8999999999996</v>
      </c>
      <c r="G140" s="473">
        <f t="shared" si="24"/>
        <v>8.3599999999996726</v>
      </c>
      <c r="H140" s="460">
        <f t="shared" si="25"/>
        <v>8.3599999999996726</v>
      </c>
      <c r="I140" s="542">
        <f>G139+G140</f>
        <v>8.3599999999996726</v>
      </c>
      <c r="J140" s="552">
        <f>H140/DAY(B2)</f>
        <v>8.3599999999996726</v>
      </c>
      <c r="N140" s="382"/>
      <c r="O140" s="382"/>
    </row>
    <row r="141" spans="1:15">
      <c r="A141" s="1443" t="s">
        <v>250</v>
      </c>
      <c r="B141" s="1444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6026</v>
      </c>
      <c r="H142" s="460">
        <f>G142</f>
        <v>6026</v>
      </c>
      <c r="I142" s="480"/>
      <c r="J142" s="552">
        <f>H142/DAY(B2)</f>
        <v>6026</v>
      </c>
      <c r="K142" s="380"/>
      <c r="L142" s="377"/>
      <c r="N142" s="382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0.25430452397029035</v>
      </c>
      <c r="H143" s="460">
        <f t="shared" ref="H143:H153" si="26">G143</f>
        <v>0.25430452397029035</v>
      </c>
      <c r="I143" s="544"/>
      <c r="J143" s="552">
        <f>H143/DAY(B2)</f>
        <v>0.25430452397029035</v>
      </c>
      <c r="K143" s="380"/>
      <c r="L143" s="377"/>
      <c r="N143" s="382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6956.8399999999965</v>
      </c>
      <c r="H144" s="460">
        <f t="shared" si="26"/>
        <v>6956.8399999999965</v>
      </c>
      <c r="I144" s="480"/>
      <c r="J144" s="552">
        <f>H144/DAY(B2)</f>
        <v>6956.8399999999965</v>
      </c>
      <c r="K144" s="380"/>
      <c r="L144" s="377"/>
      <c r="N144" s="382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0.29358710330857513</v>
      </c>
      <c r="H145" s="460">
        <f t="shared" si="26"/>
        <v>0.29358710330857513</v>
      </c>
      <c r="I145" s="544"/>
      <c r="J145" s="552">
        <f>H145/DAY(B2)</f>
        <v>0.29358710330857513</v>
      </c>
      <c r="K145" s="380"/>
      <c r="L145" s="377"/>
      <c r="N145" s="382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4613</v>
      </c>
      <c r="H146" s="460">
        <f t="shared" si="26"/>
        <v>4613</v>
      </c>
      <c r="I146" s="545"/>
      <c r="J146" s="552">
        <f>H146/DAY(B2)</f>
        <v>4613</v>
      </c>
      <c r="K146" s="380"/>
      <c r="L146" s="377"/>
      <c r="N146" s="382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0.19467420661715057</v>
      </c>
      <c r="H147" s="460">
        <f t="shared" si="26"/>
        <v>0.19467420661715057</v>
      </c>
      <c r="I147" s="545"/>
      <c r="J147" s="552">
        <f>H147/DAY(B2)</f>
        <v>0.19467420661715057</v>
      </c>
      <c r="N147" s="382"/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1779</v>
      </c>
      <c r="H148" s="460">
        <f t="shared" si="26"/>
        <v>1779</v>
      </c>
      <c r="I148" s="480"/>
      <c r="J148" s="552">
        <f>H148/DAY(B2)</f>
        <v>1779</v>
      </c>
      <c r="K148" s="381"/>
      <c r="N148" s="382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7.5075962187711009E-2</v>
      </c>
      <c r="H149" s="460">
        <f t="shared" si="26"/>
        <v>7.5075962187711009E-2</v>
      </c>
      <c r="I149" s="545"/>
      <c r="J149" s="552">
        <f>H149/DAY(B2)</f>
        <v>7.5075962187711009E-2</v>
      </c>
      <c r="N149" s="382"/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2502</v>
      </c>
      <c r="H150" s="460">
        <f t="shared" si="26"/>
        <v>2502</v>
      </c>
      <c r="I150" s="545"/>
      <c r="J150" s="552">
        <f>H150/DAY(B2)</f>
        <v>2502</v>
      </c>
      <c r="N150" s="382"/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0.10558744091829844</v>
      </c>
      <c r="H151" s="460">
        <f t="shared" si="26"/>
        <v>0.10558744091829844</v>
      </c>
      <c r="I151" s="480"/>
      <c r="J151" s="552">
        <f>H151/DAY(B2)</f>
        <v>0.10558744091829844</v>
      </c>
      <c r="N151" s="382"/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1448</v>
      </c>
      <c r="H152" s="460">
        <f t="shared" si="26"/>
        <v>1448</v>
      </c>
      <c r="I152" s="480"/>
      <c r="J152" s="552">
        <f>H152/DAY(B2)</f>
        <v>1448</v>
      </c>
      <c r="N152" s="382"/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6.1107359891964891E-2</v>
      </c>
      <c r="H153" s="460">
        <f t="shared" si="26"/>
        <v>6.1107359891964891E-2</v>
      </c>
      <c r="I153" s="568"/>
      <c r="J153" s="569">
        <f>H153/DAY(B2)</f>
        <v>6.1107359891964891E-2</v>
      </c>
      <c r="N153" s="382"/>
      <c r="O153" s="382"/>
    </row>
    <row r="154" spans="1:15">
      <c r="A154" s="466"/>
      <c r="B154" s="456"/>
      <c r="C154" s="456"/>
      <c r="D154" s="546"/>
      <c r="E154" s="758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v>33432</v>
      </c>
      <c r="F160" s="661">
        <v>33516</v>
      </c>
      <c r="G160" s="473">
        <f t="shared" ref="G160:G171" si="27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v>68638</v>
      </c>
      <c r="F161" s="661">
        <v>69099</v>
      </c>
      <c r="G161" s="473">
        <f t="shared" si="27"/>
        <v>461</v>
      </c>
    </row>
    <row r="162" spans="1:7">
      <c r="A162" s="788" t="s">
        <v>265</v>
      </c>
      <c r="B162" s="789"/>
      <c r="C162" s="789"/>
      <c r="D162" s="511" t="s">
        <v>187</v>
      </c>
      <c r="E162" s="661">
        <v>29319</v>
      </c>
      <c r="F162" s="661">
        <v>29691</v>
      </c>
      <c r="G162" s="473">
        <f t="shared" si="27"/>
        <v>372</v>
      </c>
    </row>
    <row r="163" spans="1:7">
      <c r="A163" s="788" t="s">
        <v>266</v>
      </c>
      <c r="B163" s="789"/>
      <c r="C163" s="789"/>
      <c r="D163" s="511" t="s">
        <v>187</v>
      </c>
      <c r="E163" s="661">
        <v>5790</v>
      </c>
      <c r="F163" s="661">
        <v>5801</v>
      </c>
      <c r="G163" s="473">
        <f t="shared" si="27"/>
        <v>11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v>0</v>
      </c>
      <c r="G164" s="473">
        <f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8">E63</f>
        <v>2096</v>
      </c>
      <c r="F165" s="514">
        <f t="shared" ref="F165:F171" si="29">F63</f>
        <v>2108</v>
      </c>
      <c r="G165" s="473">
        <f t="shared" si="27"/>
        <v>12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si="28"/>
        <v>139180</v>
      </c>
      <c r="F166" s="514">
        <f t="shared" si="29"/>
        <v>139643</v>
      </c>
      <c r="G166" s="473">
        <f t="shared" si="27"/>
        <v>463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si="28"/>
        <v>144205</v>
      </c>
      <c r="F167" s="514">
        <f t="shared" si="29"/>
        <v>144569</v>
      </c>
      <c r="G167" s="473">
        <f t="shared" si="27"/>
        <v>364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si="28"/>
        <v>37208</v>
      </c>
      <c r="F168" s="514">
        <f t="shared" si="29"/>
        <v>37600</v>
      </c>
      <c r="G168" s="473">
        <f t="shared" si="27"/>
        <v>392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si="28"/>
        <v>229100</v>
      </c>
      <c r="F169" s="514">
        <f t="shared" si="29"/>
        <v>229795</v>
      </c>
      <c r="G169" s="473">
        <f t="shared" si="27"/>
        <v>695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si="28"/>
        <v>83087</v>
      </c>
      <c r="F170" s="514">
        <f t="shared" si="29"/>
        <v>83409</v>
      </c>
      <c r="G170" s="473">
        <f t="shared" si="27"/>
        <v>322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si="28"/>
        <v>74329</v>
      </c>
      <c r="F171" s="514">
        <f t="shared" si="29"/>
        <v>74636</v>
      </c>
      <c r="G171" s="473">
        <f t="shared" si="27"/>
        <v>307</v>
      </c>
    </row>
    <row r="172" spans="1:7">
      <c r="G172" s="539">
        <f>SUM(G160:G171)</f>
        <v>3483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39" zoomScale="50" zoomScaleSheetLayoutView="50" workbookViewId="0">
      <selection activeCell="E160" sqref="E16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278</v>
      </c>
      <c r="B2" s="1036">
        <v>44288</v>
      </c>
      <c r="C2" s="1312" t="s">
        <v>69</v>
      </c>
      <c r="D2" s="611">
        <v>0.97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30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5137619</v>
      </c>
      <c r="F7" s="455">
        <v>5159775</v>
      </c>
      <c r="G7" s="473">
        <f>F7-E7</f>
        <v>22156</v>
      </c>
      <c r="H7" s="460">
        <f>G7+'1'!H7</f>
        <v>45852</v>
      </c>
      <c r="I7" s="474">
        <f>'[3]1'!I7</f>
        <v>12000</v>
      </c>
      <c r="J7" s="552">
        <f>H7/DAY(B2)</f>
        <v>22926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5169102</v>
      </c>
      <c r="F8" s="475">
        <v>5191372</v>
      </c>
      <c r="G8" s="476">
        <f>F8-E8</f>
        <v>22270</v>
      </c>
      <c r="H8" s="460">
        <f>G8+'1'!H8</f>
        <v>46054</v>
      </c>
      <c r="I8" s="477">
        <v>12000</v>
      </c>
      <c r="J8" s="552">
        <f>H8/DAY(B2)</f>
        <v>23027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418964</v>
      </c>
      <c r="F9" s="478">
        <v>440625</v>
      </c>
      <c r="G9" s="473">
        <f t="shared" ref="G9:G11" si="0">F9-E9</f>
        <v>21661</v>
      </c>
      <c r="H9" s="460">
        <f>G9+'1'!H9</f>
        <v>44556</v>
      </c>
      <c r="I9" s="479">
        <f>I8-J8</f>
        <v>-11027</v>
      </c>
      <c r="J9" s="552">
        <f>H9/DAY(B2)</f>
        <v>22278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21661</v>
      </c>
      <c r="H13" s="460">
        <f>G13+'1'!H13</f>
        <v>44556</v>
      </c>
      <c r="I13" s="482">
        <f>G7-G13</f>
        <v>495</v>
      </c>
      <c r="J13" s="552">
        <f>H13/DAY(B2)</f>
        <v>22278</v>
      </c>
      <c r="K13" s="428"/>
      <c r="L13" s="377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0" t="s">
        <v>140</v>
      </c>
      <c r="B15" s="589"/>
      <c r="C15" s="589"/>
      <c r="D15" s="523" t="s">
        <v>141</v>
      </c>
      <c r="E15" s="455">
        <f>'1'!F15</f>
        <v>1647658</v>
      </c>
      <c r="F15" s="654">
        <v>1648640</v>
      </c>
      <c r="G15" s="783">
        <f>(F15-E15)</f>
        <v>982</v>
      </c>
      <c r="H15" s="460">
        <f>G15+'1'!H15</f>
        <v>1951</v>
      </c>
      <c r="I15" s="474">
        <v>800</v>
      </c>
      <c r="J15" s="552">
        <f>H15/DAY(B2)</f>
        <v>975.5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-175.5</v>
      </c>
      <c r="J16" s="553"/>
      <c r="K16" s="428"/>
      <c r="L16" s="377"/>
      <c r="O16" s="382">
        <f>G15-150</f>
        <v>832</v>
      </c>
    </row>
    <row r="17" spans="1:15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v>15</v>
      </c>
      <c r="F18" s="478">
        <v>12</v>
      </c>
      <c r="G18" s="481">
        <f>F18*10</f>
        <v>120</v>
      </c>
      <c r="H18" s="460">
        <f>G18+'1'!H18</f>
        <v>260</v>
      </c>
      <c r="I18" s="474">
        <f>'[3]1'!I18</f>
        <v>65</v>
      </c>
      <c r="J18" s="552">
        <f>H18/DAY(B2)</f>
        <v>130</v>
      </c>
      <c r="K18" s="428"/>
      <c r="L18" s="377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55">
        <f>'1'!F19</f>
        <v>136143</v>
      </c>
      <c r="F19" s="478">
        <v>136196</v>
      </c>
      <c r="G19" s="473">
        <f>F19-E19</f>
        <v>53</v>
      </c>
      <c r="H19" s="460">
        <f>G19+'1'!H19</f>
        <v>106</v>
      </c>
      <c r="I19" s="489"/>
      <c r="J19" s="552">
        <f>H19/DAY(B2)</f>
        <v>53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173</v>
      </c>
      <c r="H20" s="460">
        <f>G20+'1'!H20</f>
        <v>366</v>
      </c>
      <c r="I20" s="492">
        <f>I18-J20</f>
        <v>-118</v>
      </c>
      <c r="J20" s="552">
        <f>H20/DAY(B2)</f>
        <v>183</v>
      </c>
      <c r="K20" s="428"/>
      <c r="L20" s="377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f>'1'!F22</f>
        <v>1290</v>
      </c>
      <c r="F22" s="478">
        <v>1290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3290</v>
      </c>
      <c r="F24" s="485">
        <v>3290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22270</v>
      </c>
      <c r="F27" s="501">
        <v>9</v>
      </c>
      <c r="G27" s="502">
        <f>E27*F27</f>
        <v>200430</v>
      </c>
      <c r="H27" s="460">
        <f>G27+'1'!H27</f>
        <v>414486</v>
      </c>
      <c r="I27" s="503"/>
      <c r="J27" s="552">
        <f>H27/DAY(B2)</f>
        <v>207243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982</v>
      </c>
      <c r="F28" s="501">
        <v>51.45</v>
      </c>
      <c r="G28" s="502">
        <f>E28*F28</f>
        <v>50523.9</v>
      </c>
      <c r="H28" s="460">
        <f>G28+'1'!H28</f>
        <v>100378.95000000001</v>
      </c>
      <c r="I28" s="505"/>
      <c r="J28" s="552">
        <f>H28/DAY(B2)</f>
        <v>50189.475000000006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502">
        <f>E30*F30</f>
        <v>7102</v>
      </c>
      <c r="H30" s="460">
        <f>G30+'1'!H30</f>
        <v>14204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G31+'1'!H31</f>
        <v>20800</v>
      </c>
      <c r="I31" s="505"/>
      <c r="J31" s="552">
        <f>H31/DAY(B2)</f>
        <v>10400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267655.90000000002</v>
      </c>
      <c r="H32" s="460">
        <f>G32+'1'!H32</f>
        <v>549868.94999999995</v>
      </c>
      <c r="I32" s="509"/>
      <c r="J32" s="552">
        <f>H32/DAY(B2)</f>
        <v>274934.47499999998</v>
      </c>
      <c r="K32" s="373"/>
      <c r="L32" s="443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801819</v>
      </c>
      <c r="F35" s="510">
        <v>805196</v>
      </c>
      <c r="G35" s="473">
        <f t="shared" ref="G35:G46" si="2">F35-E35</f>
        <v>3377</v>
      </c>
      <c r="H35" s="460">
        <f>G35+'1'!H35</f>
        <v>6807</v>
      </c>
      <c r="I35" s="455"/>
      <c r="J35" s="552">
        <f>H35/DAY(B2)</f>
        <v>3403.5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318452</v>
      </c>
      <c r="F36" s="510">
        <v>319374</v>
      </c>
      <c r="G36" s="473">
        <f t="shared" si="2"/>
        <v>922</v>
      </c>
      <c r="H36" s="460">
        <f>G36+'1'!H36</f>
        <v>1938</v>
      </c>
      <c r="I36" s="455"/>
      <c r="J36" s="552">
        <f>H36/DAY(B2)</f>
        <v>969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56245</v>
      </c>
      <c r="F37" s="510">
        <v>57690</v>
      </c>
      <c r="G37" s="473">
        <f t="shared" si="2"/>
        <v>1445</v>
      </c>
      <c r="H37" s="460">
        <f>G37+'1'!H37</f>
        <v>2893</v>
      </c>
      <c r="I37" s="455"/>
      <c r="J37" s="552">
        <f>H37/DAY(B2)</f>
        <v>1446.5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74087</v>
      </c>
      <c r="F38" s="469">
        <v>75910</v>
      </c>
      <c r="G38" s="473">
        <f t="shared" si="2"/>
        <v>1823</v>
      </c>
      <c r="H38" s="460">
        <f>G38+'1'!H38</f>
        <v>3602</v>
      </c>
      <c r="I38" s="455"/>
      <c r="J38" s="552">
        <f>H38/DAY(B2)</f>
        <v>1801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156914</v>
      </c>
      <c r="F39" s="510">
        <v>160797</v>
      </c>
      <c r="G39" s="473">
        <f t="shared" si="2"/>
        <v>3883</v>
      </c>
      <c r="H39" s="460">
        <f>G39+'1'!H39</f>
        <v>7975</v>
      </c>
      <c r="I39" s="455"/>
      <c r="J39" s="552">
        <f>H39/DAY(B2)</f>
        <v>3987.5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</v>
      </c>
      <c r="F40" s="510">
        <v>0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138652</v>
      </c>
      <c r="F41" s="510">
        <v>143718</v>
      </c>
      <c r="G41" s="473">
        <f t="shared" si="2"/>
        <v>5066</v>
      </c>
      <c r="H41" s="460">
        <f>G41+'1'!H41</f>
        <v>10577</v>
      </c>
      <c r="I41" s="455"/>
      <c r="J41" s="552">
        <f>H41/DAY(B2)</f>
        <v>5288.5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59128</v>
      </c>
      <c r="F42" s="510">
        <v>59128</v>
      </c>
      <c r="G42" s="473">
        <f t="shared" si="2"/>
        <v>0</v>
      </c>
      <c r="H42" s="460">
        <f>G42+'1'!H42</f>
        <v>-0.16000000000349246</v>
      </c>
      <c r="I42" s="455"/>
      <c r="J42" s="552">
        <f>H42/DAY(B2)</f>
        <v>-8.000000000174623E-2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904644</v>
      </c>
      <c r="F43" s="510">
        <v>907332</v>
      </c>
      <c r="G43" s="473">
        <f t="shared" si="2"/>
        <v>2688</v>
      </c>
      <c r="H43" s="460">
        <f>G43+'1'!H43</f>
        <v>5284</v>
      </c>
      <c r="I43" s="455"/>
      <c r="J43" s="552">
        <f>H43/DAY(B2)</f>
        <v>2642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0</v>
      </c>
      <c r="F45" s="510">
        <v>614</v>
      </c>
      <c r="G45" s="473">
        <f t="shared" si="2"/>
        <v>614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0</v>
      </c>
      <c r="F46" s="510">
        <v>187</v>
      </c>
      <c r="G46" s="473">
        <f t="shared" si="2"/>
        <v>187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20005</v>
      </c>
      <c r="H47" s="460">
        <f>G47+'1'!H47</f>
        <v>39876.839999999997</v>
      </c>
      <c r="I47" s="455"/>
      <c r="J47" s="552">
        <f>H47/DAY(B2)</f>
        <v>19938.419999999998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442718</v>
      </c>
      <c r="F50" s="510">
        <v>443804</v>
      </c>
      <c r="G50" s="473">
        <f t="shared" si="3"/>
        <v>1086</v>
      </c>
      <c r="H50" s="460">
        <f>G50+'1'!H50</f>
        <v>2572</v>
      </c>
      <c r="I50" s="455"/>
      <c r="J50" s="552">
        <f>H50/DAY(B2)</f>
        <v>1286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539608</v>
      </c>
      <c r="F52" s="510">
        <v>539608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401785</v>
      </c>
      <c r="F53" s="510">
        <v>401785</v>
      </c>
      <c r="G53" s="473">
        <f t="shared" si="3"/>
        <v>0</v>
      </c>
      <c r="H53" s="460">
        <f>G53+'1'!H53</f>
        <v>521</v>
      </c>
      <c r="I53" s="455"/>
      <c r="J53" s="552">
        <f>H53/DAY(B2)</f>
        <v>260.5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9232</v>
      </c>
      <c r="F54" s="510">
        <v>9307</v>
      </c>
      <c r="G54" s="473">
        <f t="shared" si="3"/>
        <v>75</v>
      </c>
      <c r="H54" s="460">
        <f>G54+'1'!H54</f>
        <v>141</v>
      </c>
      <c r="I54" s="455"/>
      <c r="J54" s="552">
        <f>H54/DAY(B2)</f>
        <v>70.5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217525</v>
      </c>
      <c r="F55" s="1037">
        <v>218710</v>
      </c>
      <c r="G55" s="473">
        <f t="shared" si="3"/>
        <v>1185</v>
      </c>
      <c r="H55" s="460">
        <f>G55+'1'!H55</f>
        <v>2613</v>
      </c>
      <c r="I55" s="455"/>
      <c r="J55" s="552">
        <f>H55/DAY(B2)</f>
        <v>1306.5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588985</v>
      </c>
      <c r="F56" s="1037">
        <v>588985</v>
      </c>
      <c r="G56" s="473">
        <f t="shared" si="3"/>
        <v>0</v>
      </c>
      <c r="H56" s="460">
        <f>G56+'1'!H56</f>
        <v>18</v>
      </c>
      <c r="I56" s="455"/>
      <c r="J56" s="552">
        <f>H56/DAY(B2)</f>
        <v>9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41719</v>
      </c>
      <c r="F58" s="656">
        <v>41937</v>
      </c>
      <c r="G58" s="473">
        <f t="shared" si="3"/>
        <v>218</v>
      </c>
      <c r="H58" s="460">
        <f>G58+'1'!H58</f>
        <v>390</v>
      </c>
      <c r="I58" s="455"/>
      <c r="J58" s="552">
        <f>H58/DAY(B2)</f>
        <v>195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2564.1300000000047</v>
      </c>
      <c r="H59" s="460">
        <f>G59+'1'!H59</f>
        <v>6255.1300000000047</v>
      </c>
      <c r="I59" s="455">
        <f>G7-G60</f>
        <v>-413.13000000000466</v>
      </c>
      <c r="J59" s="552">
        <f>H59/DAY(B2)</f>
        <v>3127.5650000000023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22569.130000000005</v>
      </c>
      <c r="H60" s="460">
        <f>G60+'1'!H60</f>
        <v>46131.97</v>
      </c>
      <c r="I60" s="455">
        <f>G13-G60</f>
        <v>-908.13000000000466</v>
      </c>
      <c r="J60" s="552">
        <f>H60/DAY(B2)</f>
        <v>23065.985000000001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0</v>
      </c>
      <c r="F62" s="514">
        <v>0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2108</v>
      </c>
      <c r="F63" s="514">
        <v>2118</v>
      </c>
      <c r="G63" s="473">
        <f t="shared" si="4"/>
        <v>10</v>
      </c>
      <c r="H63" s="460">
        <f>G63+'1'!H63</f>
        <v>22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55">
        <f>'1'!F64</f>
        <v>139643</v>
      </c>
      <c r="F64" s="478">
        <v>140099</v>
      </c>
      <c r="G64" s="473">
        <f t="shared" si="4"/>
        <v>456</v>
      </c>
      <c r="H64" s="460">
        <f>G64+'1'!H64</f>
        <v>919</v>
      </c>
      <c r="I64" s="480"/>
      <c r="J64" s="552">
        <f>H64/DAY(B2)</f>
        <v>459.5</v>
      </c>
      <c r="K64" s="428"/>
      <c r="L64" s="377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55">
        <f>'1'!F65</f>
        <v>144569</v>
      </c>
      <c r="F65" s="654">
        <v>144931</v>
      </c>
      <c r="G65" s="473">
        <f t="shared" si="4"/>
        <v>362</v>
      </c>
      <c r="H65" s="460">
        <f>G65+'1'!H65</f>
        <v>726</v>
      </c>
      <c r="I65" s="489"/>
      <c r="J65" s="552">
        <f>H65/DAY(B2)</f>
        <v>363</v>
      </c>
      <c r="K65" s="428"/>
      <c r="L65" s="377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55">
        <f>'1'!F66</f>
        <v>37600</v>
      </c>
      <c r="F66" s="478">
        <v>37998</v>
      </c>
      <c r="G66" s="473">
        <f t="shared" si="4"/>
        <v>398</v>
      </c>
      <c r="H66" s="460">
        <f>G66+'1'!H66</f>
        <v>790</v>
      </c>
      <c r="I66" s="480"/>
      <c r="J66" s="552">
        <f>H66/DAY(B2)</f>
        <v>395</v>
      </c>
      <c r="K66" s="428"/>
      <c r="L66" s="377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55">
        <f>'1'!F67</f>
        <v>229795</v>
      </c>
      <c r="F67" s="478">
        <v>230424</v>
      </c>
      <c r="G67" s="473">
        <f t="shared" si="4"/>
        <v>629</v>
      </c>
      <c r="H67" s="460">
        <f>G67+'1'!H67</f>
        <v>1324</v>
      </c>
      <c r="I67" s="489"/>
      <c r="J67" s="552">
        <f>H67/DAY(B2)</f>
        <v>662</v>
      </c>
      <c r="K67" s="429"/>
      <c r="L67" s="377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55">
        <f>'1'!F68</f>
        <v>83409</v>
      </c>
      <c r="F68" s="478">
        <v>83715</v>
      </c>
      <c r="G68" s="473">
        <f t="shared" si="4"/>
        <v>306</v>
      </c>
      <c r="H68" s="460">
        <f>G68+'1'!H68</f>
        <v>628</v>
      </c>
      <c r="I68" s="516"/>
      <c r="J68" s="552">
        <f>H68/DAY(B2)</f>
        <v>314</v>
      </c>
      <c r="K68" s="430"/>
      <c r="L68" s="377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55">
        <f>'1'!F69</f>
        <v>74636</v>
      </c>
      <c r="F69" s="478">
        <v>74944</v>
      </c>
      <c r="G69" s="473">
        <f t="shared" si="4"/>
        <v>308</v>
      </c>
      <c r="H69" s="460">
        <f>G69+'1'!H69</f>
        <v>615</v>
      </c>
      <c r="I69" s="516"/>
      <c r="J69" s="552">
        <f>H69/DAY(B2)</f>
        <v>307.5</v>
      </c>
      <c r="K69" s="431"/>
      <c r="L69" s="377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455">
        <f>'1'!F72</f>
        <v>853301</v>
      </c>
      <c r="F72" s="657">
        <v>853409</v>
      </c>
      <c r="G72" s="473">
        <f t="shared" ref="G72:G84" si="5">F72-E72</f>
        <v>108</v>
      </c>
      <c r="H72" s="460">
        <f>G72+'1'!H72</f>
        <v>230</v>
      </c>
      <c r="I72" s="480"/>
      <c r="J72" s="552">
        <f>H72/DAY(B2)</f>
        <v>115</v>
      </c>
      <c r="K72" s="431"/>
      <c r="L72" s="377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455">
        <f>'1'!F73</f>
        <v>885804</v>
      </c>
      <c r="F73" s="658">
        <v>885805</v>
      </c>
      <c r="G73" s="655">
        <f t="shared" si="5"/>
        <v>1</v>
      </c>
      <c r="H73" s="460">
        <f>G73+'1'!H73</f>
        <v>5</v>
      </c>
      <c r="I73" s="480"/>
      <c r="J73" s="552">
        <f>H73/DAY(B2)</f>
        <v>2.5</v>
      </c>
      <c r="K73" s="430"/>
      <c r="L73" s="377"/>
      <c r="O73" s="382"/>
    </row>
    <row r="74" spans="1:15" ht="27.75">
      <c r="A74" s="1416" t="s">
        <v>193</v>
      </c>
      <c r="B74" s="1417"/>
      <c r="C74" s="1418"/>
      <c r="D74" s="523" t="s">
        <v>187</v>
      </c>
      <c r="E74" s="455">
        <f>'1'!F74</f>
        <v>1389</v>
      </c>
      <c r="F74" s="657">
        <v>1409</v>
      </c>
      <c r="G74" s="473">
        <f t="shared" si="5"/>
        <v>20</v>
      </c>
      <c r="H74" s="460">
        <f>G74+'1'!H74</f>
        <v>39</v>
      </c>
      <c r="I74" s="480"/>
      <c r="J74" s="552">
        <f>H74/DAY(B2)</f>
        <v>19.5</v>
      </c>
      <c r="K74" s="431"/>
      <c r="L74" s="377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455">
        <f>'1'!F75</f>
        <v>8830</v>
      </c>
      <c r="F75" s="659">
        <v>8966</v>
      </c>
      <c r="G75" s="473">
        <f t="shared" si="5"/>
        <v>136</v>
      </c>
      <c r="H75" s="460">
        <f>G75+'1'!H75</f>
        <v>286</v>
      </c>
      <c r="I75" s="480"/>
      <c r="J75" s="552">
        <f>H75/DAY(B2)</f>
        <v>143</v>
      </c>
      <c r="K75" s="430"/>
      <c r="L75" s="377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455">
        <f>'1'!F76</f>
        <v>4096</v>
      </c>
      <c r="F76" s="658">
        <v>4155</v>
      </c>
      <c r="G76" s="473">
        <f t="shared" si="5"/>
        <v>59</v>
      </c>
      <c r="H76" s="460">
        <f>G76+'1'!H76</f>
        <v>118</v>
      </c>
      <c r="I76" s="505"/>
      <c r="J76" s="552">
        <f>H76/DAY(B2)</f>
        <v>59</v>
      </c>
      <c r="K76" s="430"/>
      <c r="L76" s="377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455">
        <f>'1'!F77</f>
        <v>700264</v>
      </c>
      <c r="F77" s="658">
        <v>700311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'1'!F78</f>
        <v>665775</v>
      </c>
      <c r="F78" s="659">
        <v>666103</v>
      </c>
      <c r="G78" s="473">
        <f t="shared" si="5"/>
        <v>328</v>
      </c>
      <c r="H78" s="460">
        <f>G78+'1'!H78</f>
        <v>723</v>
      </c>
      <c r="I78" s="505"/>
      <c r="J78" s="552">
        <f>H78/DAY(B2)</f>
        <v>361.5</v>
      </c>
      <c r="K78" s="430"/>
      <c r="L78" s="377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455">
        <f>'1'!F79</f>
        <v>821407</v>
      </c>
      <c r="F79" s="659">
        <v>821597</v>
      </c>
      <c r="G79" s="473">
        <f t="shared" si="5"/>
        <v>190</v>
      </c>
      <c r="H79" s="460">
        <f>G79+'1'!H79</f>
        <v>384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455">
        <f>'1'!F80</f>
        <v>506079</v>
      </c>
      <c r="F80" s="658">
        <v>506412</v>
      </c>
      <c r="G80" s="473">
        <f t="shared" si="5"/>
        <v>333</v>
      </c>
      <c r="H80" s="460">
        <f>G80+'1'!H80</f>
        <v>713</v>
      </c>
      <c r="I80" s="505"/>
      <c r="J80" s="552">
        <f>H80/DAY(B2)</f>
        <v>356.5</v>
      </c>
      <c r="K80" s="430"/>
      <c r="L80" s="377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455">
        <f>'1'!F81</f>
        <v>630383</v>
      </c>
      <c r="F81" s="658">
        <v>630677</v>
      </c>
      <c r="G81" s="473">
        <f t="shared" si="5"/>
        <v>294</v>
      </c>
      <c r="H81" s="460">
        <f>G81+'1'!H81</f>
        <v>492</v>
      </c>
      <c r="I81" s="505"/>
      <c r="J81" s="552">
        <f>H81/DAY(B2)</f>
        <v>246</v>
      </c>
      <c r="K81" s="430"/>
      <c r="L81" s="377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455">
        <f>'1'!F82</f>
        <v>106918</v>
      </c>
      <c r="F82" s="654">
        <v>106945</v>
      </c>
      <c r="G82" s="473">
        <f t="shared" si="5"/>
        <v>27</v>
      </c>
      <c r="H82" s="460">
        <f>G82+'1'!H82</f>
        <v>50</v>
      </c>
      <c r="I82" s="486"/>
      <c r="J82" s="552">
        <f>H82/DAY(B2)</f>
        <v>25</v>
      </c>
      <c r="K82" s="430"/>
      <c r="L82" s="377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455">
        <f>'1'!F83</f>
        <v>7296</v>
      </c>
      <c r="F83" s="511">
        <v>7572</v>
      </c>
      <c r="G83" s="473">
        <f t="shared" si="5"/>
        <v>276</v>
      </c>
      <c r="H83" s="460">
        <f>G83+'1'!H83</f>
        <v>515</v>
      </c>
      <c r="I83" s="481"/>
      <c r="J83" s="552">
        <f>H83/DAY(B2)</f>
        <v>257.5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'1'!F84</f>
        <v>455599</v>
      </c>
      <c r="F84" s="627">
        <v>456519</v>
      </c>
      <c r="G84" s="473">
        <f t="shared" si="5"/>
        <v>920</v>
      </c>
      <c r="H84" s="460">
        <f>G84+'1'!H84</f>
        <v>1835</v>
      </c>
      <c r="I84" s="481"/>
      <c r="J84" s="552">
        <f>H84/DAY(B2)</f>
        <v>917.5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2739</v>
      </c>
      <c r="H85" s="460">
        <f>G85+'1'!H85</f>
        <v>5487</v>
      </c>
      <c r="I85" s="481"/>
      <c r="J85" s="552">
        <f>H85/DAY(B2)</f>
        <v>2743.5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454804</v>
      </c>
      <c r="F86" s="650">
        <v>454958</v>
      </c>
      <c r="G86" s="708">
        <f t="shared" ref="G86:G90" si="6">F86-E86</f>
        <v>154</v>
      </c>
      <c r="H86" s="460">
        <f>G86+'1'!H86</f>
        <v>377</v>
      </c>
      <c r="I86" s="655"/>
      <c r="J86" s="710">
        <f>H86/DAY(B2)</f>
        <v>188.5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80219</v>
      </c>
      <c r="F87" s="650">
        <v>80252</v>
      </c>
      <c r="G87" s="708">
        <f t="shared" si="6"/>
        <v>33</v>
      </c>
      <c r="H87" s="460">
        <f>G87+'1'!H87</f>
        <v>67</v>
      </c>
      <c r="I87" s="655"/>
      <c r="J87" s="710">
        <f>H87/DAY(B2)</f>
        <v>33.5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150668</v>
      </c>
      <c r="F88" s="650">
        <v>150775</v>
      </c>
      <c r="G88" s="708">
        <f t="shared" si="6"/>
        <v>107</v>
      </c>
      <c r="H88" s="460">
        <f>G88+'1'!H88</f>
        <v>176</v>
      </c>
      <c r="I88" s="655"/>
      <c r="J88" s="710">
        <f>H88/DAY(B2)</f>
        <v>88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63598</v>
      </c>
      <c r="F89" s="650">
        <v>63641</v>
      </c>
      <c r="G89" s="708">
        <f t="shared" si="6"/>
        <v>43</v>
      </c>
      <c r="H89" s="460">
        <f>G89+'1'!H89</f>
        <v>87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3271</v>
      </c>
      <c r="F90" s="650">
        <v>3271</v>
      </c>
      <c r="G90" s="708">
        <f t="shared" si="6"/>
        <v>0</v>
      </c>
      <c r="H90" s="460">
        <f>G90+'1'!H90</f>
        <v>1</v>
      </c>
      <c r="I90" s="655"/>
      <c r="J90" s="710">
        <f>H90/DAY(B2)</f>
        <v>0.5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55">
        <f>'1'!F92</f>
        <v>242738</v>
      </c>
      <c r="F92" s="478">
        <v>242821</v>
      </c>
      <c r="G92" s="473">
        <f t="shared" ref="G92:G93" si="7">F92-E92</f>
        <v>83</v>
      </c>
      <c r="H92" s="460">
        <f>G92+'1'!H92</f>
        <v>175</v>
      </c>
      <c r="I92" s="480"/>
      <c r="J92" s="552">
        <f>H92/DAY(B2)</f>
        <v>87.5</v>
      </c>
      <c r="K92" s="429"/>
      <c r="L92" s="377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55">
        <f>'1'!F93</f>
        <v>179806</v>
      </c>
      <c r="F93" s="478">
        <v>179949</v>
      </c>
      <c r="G93" s="473">
        <f t="shared" si="7"/>
        <v>143</v>
      </c>
      <c r="H93" s="460">
        <f>G93+'1'!H93</f>
        <v>270</v>
      </c>
      <c r="I93" s="480"/>
      <c r="J93" s="552">
        <f>H93/DAY(B2)</f>
        <v>135</v>
      </c>
      <c r="K93" s="380"/>
      <c r="L93" s="377"/>
      <c r="O93" s="382"/>
    </row>
    <row r="94" spans="1:15">
      <c r="A94" s="1465" t="s">
        <v>208</v>
      </c>
      <c r="B94" s="1466"/>
      <c r="C94" s="1467"/>
      <c r="D94" s="523"/>
      <c r="E94" s="455">
        <f>'1'!F94</f>
        <v>0</v>
      </c>
      <c r="F94" s="478"/>
      <c r="G94" s="473">
        <f>G92+G93</f>
        <v>226</v>
      </c>
      <c r="H94" s="460">
        <f>G94+'1'!H94</f>
        <v>226</v>
      </c>
      <c r="I94" s="480"/>
      <c r="J94" s="552">
        <f>H94/DAY(B2)</f>
        <v>113</v>
      </c>
      <c r="K94" s="380"/>
      <c r="L94" s="377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55">
        <f>'1'!F95</f>
        <v>410862</v>
      </c>
      <c r="F95" s="478">
        <v>410949</v>
      </c>
      <c r="G95" s="473">
        <f t="shared" ref="G95:G100" si="8">F95-E95</f>
        <v>87</v>
      </c>
      <c r="H95" s="460">
        <f>G95+'1'!H95</f>
        <v>164</v>
      </c>
      <c r="I95" s="480"/>
      <c r="J95" s="552">
        <f>H95/DAY(B2)</f>
        <v>82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'1'!F96</f>
        <v>101848</v>
      </c>
      <c r="F96" s="478">
        <v>101867</v>
      </c>
      <c r="G96" s="473">
        <f t="shared" si="8"/>
        <v>19</v>
      </c>
      <c r="H96" s="460">
        <f>G96+'1'!H96</f>
        <v>36</v>
      </c>
      <c r="I96" s="480"/>
      <c r="J96" s="552">
        <f>H96/DAY(B2)</f>
        <v>18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'1'!F97</f>
        <v>96948</v>
      </c>
      <c r="F97" s="478">
        <v>96962</v>
      </c>
      <c r="G97" s="473">
        <f t="shared" si="8"/>
        <v>14</v>
      </c>
      <c r="H97" s="460">
        <f>G97+'1'!H97</f>
        <v>34</v>
      </c>
      <c r="I97" s="480"/>
      <c r="J97" s="552">
        <f>H97/DAY(B2)</f>
        <v>17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'1'!F98</f>
        <v>148937</v>
      </c>
      <c r="F98" s="478">
        <v>148987</v>
      </c>
      <c r="G98" s="473">
        <f t="shared" si="8"/>
        <v>50</v>
      </c>
      <c r="H98" s="460">
        <f>G98+'1'!H98</f>
        <v>78</v>
      </c>
      <c r="I98" s="480"/>
      <c r="J98" s="552">
        <f>H98/DAY(B2)</f>
        <v>39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'1'!F99</f>
        <v>6871</v>
      </c>
      <c r="F99" s="478">
        <v>6882</v>
      </c>
      <c r="G99" s="473">
        <f t="shared" si="8"/>
        <v>11</v>
      </c>
      <c r="H99" s="460">
        <f>G99+'1'!H99</f>
        <v>27</v>
      </c>
      <c r="I99" s="480"/>
      <c r="J99" s="552">
        <f>H99/DAY(B2)</f>
        <v>13.5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'1'!F100</f>
        <v>4949</v>
      </c>
      <c r="F100" s="478">
        <v>4956</v>
      </c>
      <c r="G100" s="473">
        <f t="shared" si="8"/>
        <v>7</v>
      </c>
      <c r="H100" s="460">
        <f>G100+'1'!H100</f>
        <v>13</v>
      </c>
      <c r="I100" s="480"/>
      <c r="J100" s="552">
        <f>H100/DAY(B2)</f>
        <v>6.5</v>
      </c>
      <c r="K100" s="380"/>
      <c r="L100" s="377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525">
        <f>SUM(G95:G100)</f>
        <v>188</v>
      </c>
      <c r="H101" s="460">
        <f>G101+'1'!H101</f>
        <v>352</v>
      </c>
      <c r="I101" s="526"/>
      <c r="J101" s="552">
        <f>H101/DAY(B2)</f>
        <v>176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661"/>
      <c r="G103" s="532"/>
      <c r="H103" s="533"/>
      <c r="I103" s="532"/>
      <c r="J103" s="558"/>
      <c r="O103" s="382"/>
    </row>
    <row r="104" spans="1:15" s="442" customFormat="1" ht="27.75">
      <c r="A104" s="1429" t="s">
        <v>219</v>
      </c>
      <c r="B104" s="1430"/>
      <c r="C104" s="1308"/>
      <c r="D104" s="622" t="s">
        <v>144</v>
      </c>
      <c r="E104" s="455">
        <f>'1'!F104</f>
        <v>7333</v>
      </c>
      <c r="F104" s="661">
        <v>7333</v>
      </c>
      <c r="G104" s="532">
        <f>F104-E104</f>
        <v>0</v>
      </c>
      <c r="H104" s="460">
        <f>G104+'1'!H104</f>
        <v>8</v>
      </c>
      <c r="I104" s="532"/>
      <c r="J104" s="558">
        <f>H104/DAY(B2)</f>
        <v>4</v>
      </c>
      <c r="O104" s="382"/>
    </row>
    <row r="105" spans="1:15" s="442" customFormat="1" ht="27.75">
      <c r="A105" s="1429" t="s">
        <v>77</v>
      </c>
      <c r="B105" s="1430"/>
      <c r="C105" s="1308"/>
      <c r="D105" s="622" t="s">
        <v>144</v>
      </c>
      <c r="E105" s="455">
        <f>'1'!F105</f>
        <v>35661</v>
      </c>
      <c r="F105" s="662">
        <v>35669</v>
      </c>
      <c r="G105" s="532">
        <f t="shared" ref="G105:G106" si="9">F105-E105</f>
        <v>8</v>
      </c>
      <c r="H105" s="460">
        <f>G105+'1'!H105</f>
        <v>13</v>
      </c>
      <c r="I105" s="532"/>
      <c r="J105" s="558">
        <f>H105/DAY(B2)</f>
        <v>6.5</v>
      </c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455">
        <f>'1'!F106</f>
        <v>19423</v>
      </c>
      <c r="F106" s="661">
        <v>19430</v>
      </c>
      <c r="G106" s="532">
        <f t="shared" si="9"/>
        <v>7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431" t="s">
        <v>202</v>
      </c>
      <c r="B107" s="1432"/>
      <c r="C107" s="1308"/>
      <c r="D107" s="622"/>
      <c r="E107" s="532"/>
      <c r="F107" s="661"/>
      <c r="G107" s="532">
        <f>SUM(G104:G106)</f>
        <v>15</v>
      </c>
      <c r="H107" s="460">
        <f>G107+'1'!H107</f>
        <v>33</v>
      </c>
      <c r="I107" s="532"/>
      <c r="J107" s="558">
        <f>H107/DAY(B2)</f>
        <v>16.5</v>
      </c>
      <c r="O107" s="382"/>
    </row>
    <row r="108" spans="1:15" s="442" customFormat="1" ht="27.75">
      <c r="A108" s="1435" t="s">
        <v>79</v>
      </c>
      <c r="B108" s="1436"/>
      <c r="C108" s="1308"/>
      <c r="D108" s="622" t="s">
        <v>144</v>
      </c>
      <c r="E108" s="532"/>
      <c r="F108" s="661"/>
      <c r="G108" s="532"/>
      <c r="H108" s="460">
        <f>G108+'1'!H108</f>
        <v>0</v>
      </c>
      <c r="I108" s="532"/>
      <c r="J108" s="558"/>
      <c r="O108" s="382"/>
    </row>
    <row r="109" spans="1:15" s="442" customFormat="1" ht="27.75">
      <c r="A109" s="1429" t="s">
        <v>220</v>
      </c>
      <c r="B109" s="1430"/>
      <c r="C109" s="1308"/>
      <c r="D109" s="622" t="s">
        <v>144</v>
      </c>
      <c r="E109" s="455">
        <f>'1'!F109</f>
        <v>58960</v>
      </c>
      <c r="F109" s="661">
        <v>59054</v>
      </c>
      <c r="G109" s="532">
        <f>F109-E109</f>
        <v>94</v>
      </c>
      <c r="H109" s="460">
        <f>G109+'1'!H109</f>
        <v>181</v>
      </c>
      <c r="I109" s="532"/>
      <c r="J109" s="558">
        <f>H109/DAY(B2)</f>
        <v>90.5</v>
      </c>
      <c r="O109" s="382"/>
    </row>
    <row r="110" spans="1:15" s="442" customFormat="1" ht="27.75">
      <c r="A110" s="1429" t="s">
        <v>221</v>
      </c>
      <c r="B110" s="1430"/>
      <c r="C110" s="1308"/>
      <c r="D110" s="622" t="s">
        <v>144</v>
      </c>
      <c r="E110" s="455">
        <f>'1'!F110</f>
        <v>31676</v>
      </c>
      <c r="F110" s="661">
        <v>31690</v>
      </c>
      <c r="G110" s="532">
        <f t="shared" ref="G110:G111" si="10">F110-E110</f>
        <v>14</v>
      </c>
      <c r="H110" s="460">
        <f>G110+'1'!H110</f>
        <v>44</v>
      </c>
      <c r="I110" s="532"/>
      <c r="J110" s="558">
        <f>H110/DAY(B2)</f>
        <v>22</v>
      </c>
      <c r="O110" s="382"/>
    </row>
    <row r="111" spans="1:15" s="442" customFormat="1" ht="27.75">
      <c r="A111" s="1429" t="s">
        <v>222</v>
      </c>
      <c r="B111" s="1430"/>
      <c r="C111" s="1308"/>
      <c r="D111" s="622" t="s">
        <v>144</v>
      </c>
      <c r="E111" s="455">
        <f>'1'!F111</f>
        <v>4177</v>
      </c>
      <c r="F111" s="661">
        <v>4186</v>
      </c>
      <c r="G111" s="532">
        <f t="shared" si="10"/>
        <v>9</v>
      </c>
      <c r="H111" s="460">
        <f>G111+'1'!H111</f>
        <v>30</v>
      </c>
      <c r="I111" s="532"/>
      <c r="J111" s="558">
        <f>H111/DAY(B2)</f>
        <v>15</v>
      </c>
      <c r="O111" s="382"/>
    </row>
    <row r="112" spans="1:15" s="442" customFormat="1" ht="27.75">
      <c r="A112" s="1433" t="s">
        <v>110</v>
      </c>
      <c r="B112" s="1434"/>
      <c r="C112" s="1308"/>
      <c r="D112" s="622"/>
      <c r="E112" s="532"/>
      <c r="F112" s="661"/>
      <c r="G112" s="532">
        <f>SUM(G109:G111)</f>
        <v>117</v>
      </c>
      <c r="H112" s="460">
        <f>G112+'1'!H112</f>
        <v>255</v>
      </c>
      <c r="I112" s="532"/>
      <c r="J112" s="558">
        <f>H112/DAY(B2)</f>
        <v>127.5</v>
      </c>
      <c r="O112" s="382"/>
    </row>
    <row r="113" spans="1:15" s="442" customFormat="1" ht="27.75">
      <c r="A113" s="1435" t="s">
        <v>223</v>
      </c>
      <c r="B113" s="1436"/>
      <c r="C113" s="1308"/>
      <c r="D113" s="622"/>
      <c r="E113" s="532"/>
      <c r="F113" s="661"/>
      <c r="G113" s="532"/>
      <c r="H113" s="460">
        <f>G113+'1'!H113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455">
        <f>'1'!F114</f>
        <v>10877</v>
      </c>
      <c r="F114" s="662">
        <v>10891</v>
      </c>
      <c r="G114" s="534">
        <f>F114-E114</f>
        <v>14</v>
      </c>
      <c r="H114" s="460">
        <f>G114+'1'!H114</f>
        <v>34</v>
      </c>
      <c r="I114" s="532"/>
      <c r="J114" s="558">
        <f>H114/DAY(B2)</f>
        <v>17</v>
      </c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455">
        <f>'1'!F115</f>
        <v>7980</v>
      </c>
      <c r="F115" s="662">
        <v>7984</v>
      </c>
      <c r="G115" s="534">
        <f t="shared" ref="G115:G116" si="11">F115-E115</f>
        <v>4</v>
      </c>
      <c r="H115" s="460">
        <f>G115+'1'!H115</f>
        <v>9</v>
      </c>
      <c r="I115" s="532"/>
      <c r="J115" s="558">
        <f>H115/DAY(B2)</f>
        <v>4.5</v>
      </c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1"/>
        <v>0</v>
      </c>
      <c r="H116" s="460">
        <f>G116+'1'!H116</f>
        <v>0</v>
      </c>
      <c r="I116" s="532"/>
      <c r="J116" s="558">
        <f>H116/DAY(B2)</f>
        <v>0</v>
      </c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18</v>
      </c>
      <c r="H117" s="460">
        <f>G117+'1'!H117</f>
        <v>43</v>
      </c>
      <c r="I117" s="534"/>
      <c r="J117" s="558">
        <f>H117/DAY(B2)</f>
        <v>21.5</v>
      </c>
      <c r="O117" s="382"/>
    </row>
    <row r="118" spans="1:15" s="446" customFormat="1" ht="27.75">
      <c r="A118" s="1425" t="s">
        <v>227</v>
      </c>
      <c r="B118" s="1426"/>
      <c r="C118" s="1307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460">
        <f>G118+'1'!H118</f>
        <v>281</v>
      </c>
      <c r="I118" s="535"/>
      <c r="J118" s="559">
        <f>H118/DAY(B2)</f>
        <v>140.5</v>
      </c>
      <c r="O118" s="382"/>
    </row>
    <row r="119" spans="1:15" s="446" customFormat="1" ht="27.75">
      <c r="A119" s="1425" t="s">
        <v>228</v>
      </c>
      <c r="B119" s="1426"/>
      <c r="C119" s="1307"/>
      <c r="D119" s="624" t="s">
        <v>144</v>
      </c>
      <c r="E119" s="536"/>
      <c r="F119" s="663">
        <f>SUM(G95,G96,G97,G99,G100)</f>
        <v>138</v>
      </c>
      <c r="G119" s="536">
        <f>SUM(G95,G96,G97,G99,G100)</f>
        <v>138</v>
      </c>
      <c r="H119" s="460">
        <f>G119+'1'!H119</f>
        <v>274</v>
      </c>
      <c r="I119" s="535"/>
      <c r="J119" s="559">
        <f>H119/DAY(B2)</f>
        <v>137</v>
      </c>
      <c r="O119" s="382"/>
    </row>
    <row r="120" spans="1:15" s="446" customFormat="1" ht="27.75">
      <c r="A120" s="1425" t="s">
        <v>229</v>
      </c>
      <c r="B120" s="1426"/>
      <c r="C120" s="1307"/>
      <c r="D120" s="624" t="s">
        <v>144</v>
      </c>
      <c r="E120" s="534"/>
      <c r="F120" s="662">
        <f>SUM(G112)</f>
        <v>117</v>
      </c>
      <c r="G120" s="534">
        <f>SUM(G112)</f>
        <v>117</v>
      </c>
      <c r="H120" s="460">
        <f>G120+'1'!H120</f>
        <v>255</v>
      </c>
      <c r="I120" s="535"/>
      <c r="J120" s="559">
        <f>H120/DAY(B2)</f>
        <v>127.5</v>
      </c>
      <c r="O120" s="382"/>
    </row>
    <row r="121" spans="1:15" s="442" customFormat="1" ht="27.75">
      <c r="A121" s="1427"/>
      <c r="B121" s="1428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'1'!F123</f>
        <v>819067</v>
      </c>
      <c r="F123" s="478">
        <v>819298</v>
      </c>
      <c r="G123" s="473">
        <f t="shared" ref="G123:G127" si="12">F123-E123</f>
        <v>231</v>
      </c>
      <c r="H123" s="460">
        <f>G123+'1'!H123</f>
        <v>488</v>
      </c>
      <c r="I123" s="526"/>
      <c r="J123" s="552">
        <f>H123/DAY(B2)</f>
        <v>244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'1'!F124</f>
        <v>73583.399999999994</v>
      </c>
      <c r="F124" s="626">
        <v>73583.399999999994</v>
      </c>
      <c r="G124" s="473">
        <f t="shared" si="12"/>
        <v>0</v>
      </c>
      <c r="H124" s="460">
        <f>G124+'1'!H124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55">
        <f>'1'!F125</f>
        <v>142232</v>
      </c>
      <c r="F125" s="478">
        <v>142314</v>
      </c>
      <c r="G125" s="473">
        <f t="shared" si="12"/>
        <v>82</v>
      </c>
      <c r="H125" s="460">
        <f>G125+'1'!H125</f>
        <v>178</v>
      </c>
      <c r="I125" s="526"/>
      <c r="J125" s="552">
        <f>H125/DAY(B2)</f>
        <v>89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f>'1'!F126</f>
        <v>59888</v>
      </c>
      <c r="F126" s="626">
        <v>59888</v>
      </c>
      <c r="G126" s="473">
        <f t="shared" si="12"/>
        <v>0</v>
      </c>
      <c r="H126" s="460">
        <f>G126+'1'!H126</f>
        <v>0</v>
      </c>
      <c r="I126" s="526"/>
      <c r="J126" s="552">
        <f>H126/DAY(B2)</f>
        <v>0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'1'!F127</f>
        <v>8963</v>
      </c>
      <c r="F127" s="626">
        <v>8966</v>
      </c>
      <c r="G127" s="473">
        <f t="shared" si="12"/>
        <v>3</v>
      </c>
      <c r="H127" s="460">
        <f>G127+'1'!H127</f>
        <v>4</v>
      </c>
      <c r="I127" s="480"/>
      <c r="J127" s="552">
        <f>H127/DAY(B2)</f>
        <v>2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666</v>
      </c>
      <c r="H128" s="460">
        <f>G128+'1'!H128</f>
        <v>1281</v>
      </c>
      <c r="I128" s="480"/>
      <c r="J128" s="552">
        <f>H128/DAY(B2)</f>
        <v>640.5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'1'!F130</f>
        <v>0</v>
      </c>
      <c r="F130" s="478">
        <v>0</v>
      </c>
      <c r="G130" s="473">
        <f t="shared" ref="G130:G140" si="13">F130-E130</f>
        <v>0</v>
      </c>
      <c r="H130" s="460">
        <f>G130+'1'!H130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'1'!F131</f>
        <v>0</v>
      </c>
      <c r="F131" s="478">
        <v>0</v>
      </c>
      <c r="G131" s="473">
        <f t="shared" si="13"/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'1'!F132</f>
        <v>39557</v>
      </c>
      <c r="F132" s="654">
        <v>39581.25</v>
      </c>
      <c r="G132" s="473">
        <f t="shared" si="13"/>
        <v>24.25</v>
      </c>
      <c r="H132" s="460">
        <f>G132+'1'!H132</f>
        <v>48.25</v>
      </c>
      <c r="I132" s="480"/>
      <c r="J132" s="552">
        <f>H132/DAY(B2)</f>
        <v>24.125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'1'!F133</f>
        <v>300</v>
      </c>
      <c r="F133" s="654">
        <v>300</v>
      </c>
      <c r="G133" s="473">
        <f t="shared" si="13"/>
        <v>0</v>
      </c>
      <c r="H133" s="460">
        <f>G133+'1'!H133</f>
        <v>0</v>
      </c>
      <c r="I133" s="480">
        <f>G132+G133+G134+G135</f>
        <v>31.620000000002619</v>
      </c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'1'!F134</f>
        <v>40846</v>
      </c>
      <c r="F134" s="654">
        <v>40853.370000000003</v>
      </c>
      <c r="G134" s="473">
        <f t="shared" si="13"/>
        <v>7.3700000000026193</v>
      </c>
      <c r="H134" s="460">
        <f>G134+'1'!H134</f>
        <v>14.370000000002619</v>
      </c>
      <c r="I134" s="480"/>
      <c r="J134" s="552">
        <f>H134/DAY(B2)</f>
        <v>7.1850000000013097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'1'!F135</f>
        <v>32583</v>
      </c>
      <c r="F135" s="654">
        <v>32583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'1'!F136</f>
        <v>22498.89</v>
      </c>
      <c r="F136" s="654">
        <v>22509.37</v>
      </c>
      <c r="G136" s="473">
        <f t="shared" si="13"/>
        <v>10.479999999999563</v>
      </c>
      <c r="H136" s="460">
        <f>G136+'1'!H136</f>
        <v>20.719999999997526</v>
      </c>
      <c r="I136" s="480"/>
      <c r="J136" s="552">
        <f>H136/DAY(B2)</f>
        <v>10.359999999998763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'1'!F137</f>
        <v>25048.97</v>
      </c>
      <c r="F137" s="654">
        <v>25048.97</v>
      </c>
      <c r="G137" s="473">
        <f t="shared" si="13"/>
        <v>0</v>
      </c>
      <c r="H137" s="460">
        <f>G137+'1'!H137</f>
        <v>0.18000000000029104</v>
      </c>
      <c r="I137" s="480"/>
      <c r="J137" s="552">
        <f>H137/DAY(B2)</f>
        <v>9.0000000000145519E-2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'1'!F138</f>
        <v>70256.570000000007</v>
      </c>
      <c r="F138" s="654">
        <v>70262.66</v>
      </c>
      <c r="G138" s="473">
        <f t="shared" si="13"/>
        <v>6.0899999999965075</v>
      </c>
      <c r="H138" s="460">
        <f>G138+'1'!H138</f>
        <v>8.6300000000046566</v>
      </c>
      <c r="I138" s="480">
        <f>G136+G137+G138</f>
        <v>16.569999999996071</v>
      </c>
      <c r="J138" s="552">
        <f>H138/DAY(B2)</f>
        <v>4.3150000000023283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'1'!F139</f>
        <v>1536.52</v>
      </c>
      <c r="F139" s="478">
        <v>1536.52</v>
      </c>
      <c r="G139" s="473">
        <f t="shared" si="13"/>
        <v>0</v>
      </c>
      <c r="H139" s="460">
        <f>G139+'1'!H139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'1'!F140</f>
        <v>4476.8999999999996</v>
      </c>
      <c r="F140" s="478">
        <v>4484.4399999999996</v>
      </c>
      <c r="G140" s="473">
        <f t="shared" si="13"/>
        <v>7.5399999999999636</v>
      </c>
      <c r="H140" s="460">
        <f>G140+'1'!H140</f>
        <v>15.899999999999636</v>
      </c>
      <c r="I140" s="542">
        <f>G139+G140</f>
        <v>7.5399999999999636</v>
      </c>
      <c r="J140" s="552">
        <f>H140/DAY(B2)</f>
        <v>7.9499999999998181</v>
      </c>
      <c r="O140" s="382"/>
    </row>
    <row r="141" spans="1:15">
      <c r="A141" s="1443" t="s">
        <v>250</v>
      </c>
      <c r="B141" s="1444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6065.1300000000047</v>
      </c>
      <c r="H142" s="460">
        <f>G142+'1'!H142</f>
        <v>12091.130000000005</v>
      </c>
      <c r="I142" s="480"/>
      <c r="J142" s="552">
        <f>H142/DAY(B2)</f>
        <v>6045.5650000000023</v>
      </c>
      <c r="K142" s="380"/>
      <c r="L142" s="377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0.27374661491243929</v>
      </c>
      <c r="H143" s="460">
        <f>G143+'1'!H143</f>
        <v>0.52805113888272959</v>
      </c>
      <c r="I143" s="544"/>
      <c r="J143" s="552">
        <f>H143/DAY(B2)</f>
        <v>0.26402556944136479</v>
      </c>
      <c r="K143" s="380"/>
      <c r="L143" s="377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6251</v>
      </c>
      <c r="H144" s="460">
        <f>G144+'1'!H144</f>
        <v>13207.839999999997</v>
      </c>
      <c r="I144" s="480"/>
      <c r="J144" s="552">
        <f>H144/DAY(B2)</f>
        <v>6603.9199999999983</v>
      </c>
      <c r="K144" s="380"/>
      <c r="L144" s="377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0.28213576457844375</v>
      </c>
      <c r="H145" s="460">
        <f>G145+'1'!H145</f>
        <v>0.57572286788701887</v>
      </c>
      <c r="I145" s="544"/>
      <c r="J145" s="552">
        <f>H145/DAY(B2)</f>
        <v>0.28786143394350944</v>
      </c>
      <c r="K145" s="380"/>
      <c r="L145" s="377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3883</v>
      </c>
      <c r="H146" s="460">
        <f>G146+'1'!H146</f>
        <v>8496</v>
      </c>
      <c r="I146" s="545"/>
      <c r="J146" s="552">
        <f>H146/DAY(B2)</f>
        <v>4248</v>
      </c>
      <c r="K146" s="380"/>
      <c r="L146" s="377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0.17525726665463079</v>
      </c>
      <c r="H147" s="460">
        <f>G147+'1'!H147</f>
        <v>0.36993147327178133</v>
      </c>
      <c r="I147" s="545"/>
      <c r="J147" s="552">
        <f>H147/DAY(B2)</f>
        <v>0.18496573663589067</v>
      </c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1823</v>
      </c>
      <c r="H148" s="460">
        <f>G148+'1'!H148</f>
        <v>3602</v>
      </c>
      <c r="I148" s="480"/>
      <c r="J148" s="552">
        <f>H148/DAY(B2)</f>
        <v>1801</v>
      </c>
      <c r="K148" s="381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8.2280194981043511E-2</v>
      </c>
      <c r="H149" s="460">
        <f>G149+'1'!H149</f>
        <v>0.15735615716875451</v>
      </c>
      <c r="I149" s="545"/>
      <c r="J149" s="552">
        <f>H149/DAY(B2)</f>
        <v>7.8678078584377253E-2</v>
      </c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2008</v>
      </c>
      <c r="H150" s="460">
        <f>G150+'1'!H150</f>
        <v>4510</v>
      </c>
      <c r="I150" s="545"/>
      <c r="J150" s="552">
        <f>H150/DAY(B2)</f>
        <v>2255</v>
      </c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9.0630077631341399E-2</v>
      </c>
      <c r="H151" s="460">
        <f>G151+'1'!H151</f>
        <v>0.19621751854963984</v>
      </c>
      <c r="I151" s="480"/>
      <c r="J151" s="552">
        <f>H151/DAY(B2)</f>
        <v>9.8108759274819921E-2</v>
      </c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1445</v>
      </c>
      <c r="H152" s="460">
        <f>G152+'1'!H152</f>
        <v>2893</v>
      </c>
      <c r="I152" s="480"/>
      <c r="J152" s="552">
        <f>H152/DAY(B2)</f>
        <v>1446.5</v>
      </c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6.5219353673948363E-2</v>
      </c>
      <c r="H153" s="460">
        <f>G153+'1'!H153</f>
        <v>0.12632671356591324</v>
      </c>
      <c r="I153" s="568"/>
      <c r="J153" s="569">
        <f>H153/DAY(B2)</f>
        <v>6.316335678295662E-2</v>
      </c>
      <c r="O153" s="382"/>
    </row>
    <row r="154" spans="1:15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O154" s="382"/>
    </row>
    <row r="157" spans="1:15" ht="29.25" customHeight="1">
      <c r="A157" s="1471" t="s">
        <v>267</v>
      </c>
      <c r="B157" s="1472"/>
      <c r="C157" s="1472"/>
      <c r="D157" s="1472"/>
      <c r="E157" s="1472"/>
      <c r="F157" s="1472"/>
      <c r="G157" s="1473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'1'!F160</f>
        <v>33516</v>
      </c>
      <c r="F160" s="661">
        <v>33601</v>
      </c>
      <c r="G160" s="473">
        <f t="shared" ref="G160:G171" si="14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455">
        <f>'1'!F161</f>
        <v>69099</v>
      </c>
      <c r="F161" s="661">
        <v>69507</v>
      </c>
      <c r="G161" s="473">
        <f t="shared" si="14"/>
        <v>408</v>
      </c>
    </row>
    <row r="162" spans="1:7">
      <c r="A162" s="788" t="s">
        <v>265</v>
      </c>
      <c r="B162" s="789"/>
      <c r="C162" s="789"/>
      <c r="D162" s="511" t="s">
        <v>187</v>
      </c>
      <c r="E162" s="455">
        <f>'1'!F162</f>
        <v>29691</v>
      </c>
      <c r="F162" s="661">
        <v>29959</v>
      </c>
      <c r="G162" s="473">
        <f t="shared" si="14"/>
        <v>268</v>
      </c>
    </row>
    <row r="163" spans="1:7">
      <c r="A163" s="788" t="s">
        <v>266</v>
      </c>
      <c r="B163" s="789"/>
      <c r="C163" s="789"/>
      <c r="D163" s="511" t="s">
        <v>187</v>
      </c>
      <c r="E163" s="455">
        <f>'1'!F163</f>
        <v>5801</v>
      </c>
      <c r="F163" s="661">
        <v>5815</v>
      </c>
      <c r="G163" s="473">
        <f t="shared" si="14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'1'!F164</f>
        <v>0</v>
      </c>
      <c r="F164" s="514">
        <f>F62</f>
        <v>0</v>
      </c>
      <c r="G164" s="473">
        <f t="shared" si="14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'1'!F165</f>
        <v>2108</v>
      </c>
      <c r="F165" s="514">
        <f t="shared" ref="F165:F171" si="15">F63</f>
        <v>2118</v>
      </c>
      <c r="G165" s="473">
        <f t="shared" si="14"/>
        <v>10</v>
      </c>
    </row>
    <row r="166" spans="1:7" ht="27.75">
      <c r="A166" s="1412" t="s">
        <v>99</v>
      </c>
      <c r="B166" s="1412"/>
      <c r="C166" s="1412"/>
      <c r="D166" s="523" t="s">
        <v>187</v>
      </c>
      <c r="E166" s="455">
        <f>'1'!F166</f>
        <v>139643</v>
      </c>
      <c r="F166" s="514">
        <f t="shared" si="15"/>
        <v>140099</v>
      </c>
      <c r="G166" s="473">
        <f t="shared" si="14"/>
        <v>456</v>
      </c>
    </row>
    <row r="167" spans="1:7" ht="27.75">
      <c r="A167" s="1412" t="s">
        <v>100</v>
      </c>
      <c r="B167" s="1412"/>
      <c r="C167" s="1412"/>
      <c r="D167" s="523" t="s">
        <v>187</v>
      </c>
      <c r="E167" s="455">
        <f>'1'!F167</f>
        <v>144569</v>
      </c>
      <c r="F167" s="514">
        <f t="shared" si="15"/>
        <v>144931</v>
      </c>
      <c r="G167" s="473">
        <f t="shared" si="14"/>
        <v>362</v>
      </c>
    </row>
    <row r="168" spans="1:7" ht="27.75">
      <c r="A168" s="1412" t="s">
        <v>101</v>
      </c>
      <c r="B168" s="1412"/>
      <c r="C168" s="1412"/>
      <c r="D168" s="523" t="s">
        <v>187</v>
      </c>
      <c r="E168" s="455">
        <f>'1'!F168</f>
        <v>37600</v>
      </c>
      <c r="F168" s="514">
        <f t="shared" si="15"/>
        <v>37998</v>
      </c>
      <c r="G168" s="473">
        <f t="shared" si="14"/>
        <v>398</v>
      </c>
    </row>
    <row r="169" spans="1:7" ht="27.75">
      <c r="A169" s="1412" t="s">
        <v>102</v>
      </c>
      <c r="B169" s="1412"/>
      <c r="C169" s="1412"/>
      <c r="D169" s="523" t="s">
        <v>187</v>
      </c>
      <c r="E169" s="455">
        <f>'1'!F169</f>
        <v>229795</v>
      </c>
      <c r="F169" s="514">
        <f t="shared" si="15"/>
        <v>230424</v>
      </c>
      <c r="G169" s="473">
        <f t="shared" si="14"/>
        <v>629</v>
      </c>
    </row>
    <row r="170" spans="1:7" ht="27.75">
      <c r="A170" s="1412" t="s">
        <v>103</v>
      </c>
      <c r="B170" s="1412"/>
      <c r="C170" s="1412"/>
      <c r="D170" s="523" t="s">
        <v>187</v>
      </c>
      <c r="E170" s="455">
        <f>'1'!F170</f>
        <v>83409</v>
      </c>
      <c r="F170" s="514">
        <f t="shared" si="15"/>
        <v>83715</v>
      </c>
      <c r="G170" s="473">
        <f t="shared" si="14"/>
        <v>306</v>
      </c>
    </row>
    <row r="171" spans="1:7" ht="27.75">
      <c r="A171" s="1412" t="s">
        <v>104</v>
      </c>
      <c r="B171" s="1412"/>
      <c r="C171" s="1412"/>
      <c r="D171" s="523" t="s">
        <v>187</v>
      </c>
      <c r="E171" s="455">
        <f>'1'!F171</f>
        <v>74636</v>
      </c>
      <c r="F171" s="514">
        <f t="shared" si="15"/>
        <v>74944</v>
      </c>
      <c r="G171" s="473">
        <f t="shared" si="14"/>
        <v>308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H9" sqref="H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355</v>
      </c>
      <c r="B2" s="1036">
        <v>44289</v>
      </c>
      <c r="C2" s="1312" t="s">
        <v>69</v>
      </c>
      <c r="D2" s="611">
        <v>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29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5159775</v>
      </c>
      <c r="F7" s="455">
        <v>5180846</v>
      </c>
      <c r="G7" s="692">
        <f>F7-E7</f>
        <v>21071</v>
      </c>
      <c r="H7" s="682">
        <f>G7+'2'!H7</f>
        <v>66923</v>
      </c>
      <c r="I7" s="683">
        <f>'[3]1'!I7</f>
        <v>12000</v>
      </c>
      <c r="J7" s="684">
        <f>H7/DAY(B2)</f>
        <v>22307.666666666668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5191372</v>
      </c>
      <c r="F8" s="475">
        <v>5212541</v>
      </c>
      <c r="G8" s="692">
        <f>F8-E8</f>
        <v>21169</v>
      </c>
      <c r="H8" s="682">
        <f>G8+'2'!H8</f>
        <v>67223</v>
      </c>
      <c r="I8" s="689">
        <v>12000</v>
      </c>
      <c r="J8" s="684">
        <f>H8/DAY(B2)</f>
        <v>22407.666666666668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440625</v>
      </c>
      <c r="F9" s="478">
        <v>461045</v>
      </c>
      <c r="G9" s="705">
        <f t="shared" ref="G9:G12" si="0">F9-E9</f>
        <v>20420</v>
      </c>
      <c r="H9" s="682">
        <f>G9+'2'!H9</f>
        <v>64976</v>
      </c>
      <c r="I9" s="693">
        <f>I8-J8</f>
        <v>-10407.666666666668</v>
      </c>
      <c r="J9" s="684">
        <f>H9/DAY(B2)</f>
        <v>21658.666666666668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G13+'2'!H13</f>
        <v>64976</v>
      </c>
      <c r="I13" s="698">
        <f>G7-G13</f>
        <v>651</v>
      </c>
      <c r="J13" s="684">
        <f>H13/DAY(B2)</f>
        <v>21658.666666666668</v>
      </c>
      <c r="K13" s="428"/>
      <c r="L13" s="377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1648640</v>
      </c>
      <c r="F15" s="485">
        <v>1649643</v>
      </c>
      <c r="G15" s="783">
        <f>F15-E15</f>
        <v>1003</v>
      </c>
      <c r="H15" s="682">
        <f>G15+'2'!H15</f>
        <v>2954</v>
      </c>
      <c r="I15" s="474">
        <v>800</v>
      </c>
      <c r="J15" s="553">
        <f>H15/DAY(B2)</f>
        <v>984.66666666666663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-184.66666666666663</v>
      </c>
      <c r="J16" s="553"/>
      <c r="K16" s="428"/>
      <c r="L16" s="377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77" t="s">
        <v>143</v>
      </c>
      <c r="B18" s="1478"/>
      <c r="C18" s="1479"/>
      <c r="D18" s="638" t="s">
        <v>144</v>
      </c>
      <c r="E18" s="478">
        <v>12</v>
      </c>
      <c r="F18" s="478">
        <v>10</v>
      </c>
      <c r="G18" s="697">
        <f>F18*10</f>
        <v>100</v>
      </c>
      <c r="H18" s="682">
        <f>G18+'2'!H18</f>
        <v>360</v>
      </c>
      <c r="I18" s="683">
        <f>'[3]1'!I18</f>
        <v>65</v>
      </c>
      <c r="J18" s="684">
        <f>H18/DAY(B2)</f>
        <v>120</v>
      </c>
      <c r="K18" s="428"/>
      <c r="L18" s="377"/>
      <c r="O18" s="382"/>
    </row>
    <row r="19" spans="1:15" ht="27.75">
      <c r="A19" s="1477" t="s">
        <v>71</v>
      </c>
      <c r="B19" s="1478"/>
      <c r="C19" s="1479"/>
      <c r="D19" s="638" t="s">
        <v>144</v>
      </c>
      <c r="E19" s="455">
        <f>'2'!F19</f>
        <v>136196</v>
      </c>
      <c r="F19" s="478">
        <v>136249</v>
      </c>
      <c r="G19" s="692">
        <f t="shared" ref="G19" si="1">F19-E19</f>
        <v>53</v>
      </c>
      <c r="H19" s="682">
        <f>G19+'2'!H19</f>
        <v>159</v>
      </c>
      <c r="I19" s="699"/>
      <c r="J19" s="684">
        <f>H19/DAY(B2)</f>
        <v>53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153</v>
      </c>
      <c r="H20" s="682">
        <f>G20+'2'!H20</f>
        <v>519</v>
      </c>
      <c r="I20" s="701">
        <f>I18-J20</f>
        <v>-108</v>
      </c>
      <c r="J20" s="684">
        <f>H20/DAY(B2)</f>
        <v>173</v>
      </c>
      <c r="K20" s="428"/>
      <c r="L20" s="377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78">
        <v>1290</v>
      </c>
      <c r="F22" s="478">
        <v>1290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78">
        <v>1900</v>
      </c>
      <c r="F23" s="478">
        <v>1900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485">
        <v>3290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21169</v>
      </c>
      <c r="F27" s="501">
        <v>9</v>
      </c>
      <c r="G27" s="502">
        <f>E27*F27</f>
        <v>190521</v>
      </c>
      <c r="H27" s="682">
        <f>G27+'2'!H27</f>
        <v>605007</v>
      </c>
      <c r="I27" s="503"/>
      <c r="J27" s="552">
        <f>H27/DAY(B2)</f>
        <v>201669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1003</v>
      </c>
      <c r="F28" s="501">
        <v>51.45</v>
      </c>
      <c r="G28" s="502">
        <f>E28*F28</f>
        <v>51604.350000000006</v>
      </c>
      <c r="H28" s="682">
        <f>G28+'2'!H28</f>
        <v>151983.30000000002</v>
      </c>
      <c r="I28" s="505"/>
      <c r="J28" s="552">
        <f>H28/DAY(B2)</f>
        <v>50661.100000000006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682">
        <f>G30+'2'!H30</f>
        <v>21306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682">
        <f>G31+'2'!H31</f>
        <v>28800</v>
      </c>
      <c r="I31" s="505"/>
      <c r="J31" s="552">
        <f>H31/DAY(B2)</f>
        <v>9600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257227.35</v>
      </c>
      <c r="H32" s="682">
        <f>G32+'2'!H32</f>
        <v>807096.29999999993</v>
      </c>
      <c r="I32" s="509"/>
      <c r="J32" s="552">
        <f>H32/DAY(B2)</f>
        <v>269032.09999999998</v>
      </c>
      <c r="K32" s="373"/>
      <c r="L32" s="443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805196</v>
      </c>
      <c r="F35" s="510">
        <v>808261</v>
      </c>
      <c r="G35" s="473">
        <f t="shared" ref="G35:G46" si="3">F35-E35</f>
        <v>3065</v>
      </c>
      <c r="H35" s="682">
        <f>G35+'2'!H35</f>
        <v>9872</v>
      </c>
      <c r="I35" s="455"/>
      <c r="J35" s="552">
        <f>H35/DAY(B2)</f>
        <v>3290.6666666666665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319374</v>
      </c>
      <c r="F36" s="510">
        <v>320349</v>
      </c>
      <c r="G36" s="473">
        <f t="shared" si="3"/>
        <v>975</v>
      </c>
      <c r="H36" s="682">
        <f>G36+'2'!H36</f>
        <v>2913</v>
      </c>
      <c r="I36" s="455"/>
      <c r="J36" s="552">
        <f>H36/DAY(B2)</f>
        <v>971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57690</v>
      </c>
      <c r="F37" s="510">
        <v>59122</v>
      </c>
      <c r="G37" s="473">
        <f t="shared" si="3"/>
        <v>1432</v>
      </c>
      <c r="H37" s="682">
        <f>G37+'2'!H37</f>
        <v>4325</v>
      </c>
      <c r="I37" s="455"/>
      <c r="J37" s="552">
        <f>H37/DAY(B2)</f>
        <v>1441.6666666666667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75910</v>
      </c>
      <c r="F38" s="469">
        <v>77646</v>
      </c>
      <c r="G38" s="473">
        <f t="shared" si="3"/>
        <v>1736</v>
      </c>
      <c r="H38" s="682">
        <f>G38+'2'!H38</f>
        <v>5338</v>
      </c>
      <c r="I38" s="455"/>
      <c r="J38" s="552">
        <f>H38/DAY(B2)</f>
        <v>1779.3333333333333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160797</v>
      </c>
      <c r="F39" s="510">
        <v>164652</v>
      </c>
      <c r="G39" s="473">
        <f t="shared" si="3"/>
        <v>3855</v>
      </c>
      <c r="H39" s="682">
        <f>G39+'2'!H39</f>
        <v>11830</v>
      </c>
      <c r="I39" s="455"/>
      <c r="J39" s="552">
        <f>H39/DAY(B2)</f>
        <v>3943.3333333333335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</v>
      </c>
      <c r="F40" s="510">
        <v>0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143718</v>
      </c>
      <c r="F41" s="510">
        <v>149398</v>
      </c>
      <c r="G41" s="473">
        <f t="shared" si="3"/>
        <v>5680</v>
      </c>
      <c r="H41" s="682">
        <f>G41+'2'!H41</f>
        <v>16257</v>
      </c>
      <c r="I41" s="455"/>
      <c r="J41" s="552">
        <f>H41/DAY(B2)</f>
        <v>5419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59128</v>
      </c>
      <c r="F42" s="510">
        <v>59128</v>
      </c>
      <c r="G42" s="473">
        <f>F42-E42</f>
        <v>0</v>
      </c>
      <c r="H42" s="682">
        <f>G42+'2'!H42</f>
        <v>-0.16000000000349246</v>
      </c>
      <c r="I42" s="455"/>
      <c r="J42" s="552">
        <f>H42/DAY(B2)</f>
        <v>-5.3333333334497489E-2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907332</v>
      </c>
      <c r="F43" s="510">
        <v>909758</v>
      </c>
      <c r="G43" s="473">
        <f t="shared" si="3"/>
        <v>2426</v>
      </c>
      <c r="H43" s="682">
        <f>G43+'2'!H43</f>
        <v>7710</v>
      </c>
      <c r="I43" s="455"/>
      <c r="J43" s="552">
        <f>H43/DAY(B2)</f>
        <v>2570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19169</v>
      </c>
      <c r="H47" s="682">
        <f>G47+'2'!H47</f>
        <v>59045.84</v>
      </c>
      <c r="I47" s="455"/>
      <c r="J47" s="552">
        <f>H47/DAY(B2)</f>
        <v>19681.946666666667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2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443804</v>
      </c>
      <c r="F50" s="510">
        <v>444868</v>
      </c>
      <c r="G50" s="473">
        <f t="shared" si="4"/>
        <v>1064</v>
      </c>
      <c r="H50" s="682">
        <f>G50+'2'!H50</f>
        <v>3636</v>
      </c>
      <c r="I50" s="455"/>
      <c r="J50" s="552">
        <f>H50/DAY(B2)</f>
        <v>1212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539608</v>
      </c>
      <c r="F52" s="510">
        <v>539608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401785</v>
      </c>
      <c r="F53" s="510">
        <v>401785</v>
      </c>
      <c r="G53" s="473">
        <f t="shared" si="4"/>
        <v>0</v>
      </c>
      <c r="H53" s="682">
        <f>G53+'2'!H53</f>
        <v>521</v>
      </c>
      <c r="I53" s="455"/>
      <c r="J53" s="552">
        <f>H53/DAY(B2)</f>
        <v>173.66666666666666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9307</v>
      </c>
      <c r="F54" s="656">
        <v>9384</v>
      </c>
      <c r="G54" s="473">
        <f t="shared" si="4"/>
        <v>77</v>
      </c>
      <c r="H54" s="682">
        <f>G54+'2'!H54</f>
        <v>218</v>
      </c>
      <c r="I54" s="455"/>
      <c r="J54" s="552">
        <f>H54/DAY(B2)</f>
        <v>72.666666666666671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218710</v>
      </c>
      <c r="F55" s="656">
        <v>218710</v>
      </c>
      <c r="G55" s="473">
        <f t="shared" si="4"/>
        <v>0</v>
      </c>
      <c r="H55" s="682">
        <f>G55+'2'!H55</f>
        <v>2613</v>
      </c>
      <c r="I55" s="455"/>
      <c r="J55" s="552">
        <f>H55/DAY(B2)</f>
        <v>871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588985</v>
      </c>
      <c r="F56" s="656">
        <v>588985</v>
      </c>
      <c r="G56" s="473">
        <f t="shared" si="4"/>
        <v>0</v>
      </c>
      <c r="H56" s="682">
        <f>G56+'2'!H56</f>
        <v>18</v>
      </c>
      <c r="I56" s="455"/>
      <c r="J56" s="552">
        <f>H56/DAY(B2)</f>
        <v>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7711.33</v>
      </c>
      <c r="G57" s="473">
        <f t="shared" si="4"/>
        <v>0.32999999999992724</v>
      </c>
      <c r="H57" s="682">
        <f>G57+'2'!H57</f>
        <v>0.32999999999992724</v>
      </c>
      <c r="I57" s="455"/>
      <c r="J57" s="552">
        <f>H57/DAY(B2)</f>
        <v>0.10999999999997574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41937</v>
      </c>
      <c r="F58" s="656">
        <v>42118</v>
      </c>
      <c r="G58" s="473">
        <f t="shared" si="4"/>
        <v>181</v>
      </c>
      <c r="H58" s="682">
        <f>G58+'2'!H58</f>
        <v>571</v>
      </c>
      <c r="I58" s="455"/>
      <c r="J58" s="552">
        <f>H58/DAY(B2)</f>
        <v>190.33333333333334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1322.33</v>
      </c>
      <c r="H59" s="682">
        <f>G59+'2'!H59</f>
        <v>7577.4600000000046</v>
      </c>
      <c r="I59" s="455">
        <f>G7-G60</f>
        <v>579.66999999999825</v>
      </c>
      <c r="J59" s="552">
        <f>H59/DAY(B2)</f>
        <v>2525.8200000000015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20491.330000000002</v>
      </c>
      <c r="H60" s="682">
        <f>G60+'2'!H60</f>
        <v>66623.3</v>
      </c>
      <c r="I60" s="455">
        <f>G13-G60</f>
        <v>-71.330000000001746</v>
      </c>
      <c r="J60" s="552">
        <f>H60/DAY(B2)</f>
        <v>22207.766666666666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2118</v>
      </c>
      <c r="F63" s="514">
        <v>2129</v>
      </c>
      <c r="G63" s="473">
        <f t="shared" si="5"/>
        <v>11</v>
      </c>
      <c r="H63" s="682">
        <f>G63+'2'!H63</f>
        <v>33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55">
        <f>'2'!F64</f>
        <v>140099</v>
      </c>
      <c r="F64" s="478">
        <v>140552</v>
      </c>
      <c r="G64" s="473">
        <f t="shared" si="5"/>
        <v>453</v>
      </c>
      <c r="H64" s="682">
        <f>G64+'2'!H64</f>
        <v>1372</v>
      </c>
      <c r="I64" s="480"/>
      <c r="J64" s="552">
        <f>H64/DAY(B2)</f>
        <v>457.33333333333331</v>
      </c>
      <c r="K64" s="428"/>
      <c r="L64" s="377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55">
        <f>'2'!F65</f>
        <v>144931</v>
      </c>
      <c r="F65" s="654">
        <v>145286</v>
      </c>
      <c r="G65" s="473">
        <f t="shared" si="5"/>
        <v>355</v>
      </c>
      <c r="H65" s="682">
        <f>G65+'2'!H65</f>
        <v>1081</v>
      </c>
      <c r="I65" s="489"/>
      <c r="J65" s="552">
        <f>H65/DAY(B2)</f>
        <v>360.33333333333331</v>
      </c>
      <c r="K65" s="428"/>
      <c r="L65" s="377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55">
        <f>'2'!F66</f>
        <v>37998</v>
      </c>
      <c r="F66" s="478">
        <v>38431</v>
      </c>
      <c r="G66" s="473">
        <f t="shared" si="5"/>
        <v>433</v>
      </c>
      <c r="H66" s="682">
        <f>G66+'2'!H66</f>
        <v>1223</v>
      </c>
      <c r="I66" s="480"/>
      <c r="J66" s="552">
        <f>H66/DAY(B2)</f>
        <v>407.66666666666669</v>
      </c>
      <c r="K66" s="428"/>
      <c r="L66" s="377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55">
        <f>'2'!F67</f>
        <v>230424</v>
      </c>
      <c r="F67" s="478">
        <v>231034</v>
      </c>
      <c r="G67" s="473">
        <f t="shared" si="5"/>
        <v>610</v>
      </c>
      <c r="H67" s="682">
        <f>G67+'2'!H67</f>
        <v>1934</v>
      </c>
      <c r="I67" s="489"/>
      <c r="J67" s="552">
        <f>H67/DAY(B2)</f>
        <v>644.66666666666663</v>
      </c>
      <c r="K67" s="429"/>
      <c r="L67" s="377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55">
        <f>'2'!F68</f>
        <v>83715</v>
      </c>
      <c r="F68" s="478">
        <v>84031</v>
      </c>
      <c r="G68" s="473">
        <f t="shared" si="5"/>
        <v>316</v>
      </c>
      <c r="H68" s="682">
        <f>G68+'2'!H68</f>
        <v>944</v>
      </c>
      <c r="I68" s="516"/>
      <c r="J68" s="552">
        <f>H68/DAY(B2)</f>
        <v>314.66666666666669</v>
      </c>
      <c r="K68" s="430"/>
      <c r="L68" s="377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55">
        <f>'2'!F69</f>
        <v>74944</v>
      </c>
      <c r="F69" s="478">
        <v>75252</v>
      </c>
      <c r="G69" s="473">
        <f t="shared" si="5"/>
        <v>308</v>
      </c>
      <c r="H69" s="682">
        <f>G69+'2'!H69</f>
        <v>923</v>
      </c>
      <c r="I69" s="516"/>
      <c r="J69" s="552">
        <f>H69/DAY(B2)</f>
        <v>307.66666666666669</v>
      </c>
      <c r="K69" s="431"/>
      <c r="L69" s="377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455">
        <f>'2'!F72</f>
        <v>853409</v>
      </c>
      <c r="F72" s="657">
        <v>853494</v>
      </c>
      <c r="G72" s="473">
        <f t="shared" ref="G72:G84" si="6">F72-E72</f>
        <v>85</v>
      </c>
      <c r="H72" s="682">
        <f>G72+'2'!H72</f>
        <v>315</v>
      </c>
      <c r="I72" s="480"/>
      <c r="J72" s="552">
        <f>H72/DAY(B2)</f>
        <v>105</v>
      </c>
      <c r="K72" s="431"/>
      <c r="L72" s="377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455">
        <f>'2'!F73</f>
        <v>885805</v>
      </c>
      <c r="F73" s="658">
        <v>885806</v>
      </c>
      <c r="G73" s="655">
        <f t="shared" si="6"/>
        <v>1</v>
      </c>
      <c r="H73" s="682">
        <f>G73+'2'!H73</f>
        <v>6</v>
      </c>
      <c r="I73" s="480"/>
      <c r="J73" s="552">
        <f>H73/DAY(B2)</f>
        <v>2</v>
      </c>
      <c r="K73" s="430"/>
      <c r="L73" s="377"/>
      <c r="O73" s="382"/>
    </row>
    <row r="74" spans="1:15" ht="27.75">
      <c r="A74" s="1416" t="s">
        <v>193</v>
      </c>
      <c r="B74" s="1417"/>
      <c r="C74" s="1418"/>
      <c r="D74" s="523" t="s">
        <v>187</v>
      </c>
      <c r="E74" s="455">
        <f>'2'!F74</f>
        <v>1409</v>
      </c>
      <c r="F74" s="659">
        <v>1438</v>
      </c>
      <c r="G74" s="473">
        <f t="shared" si="6"/>
        <v>29</v>
      </c>
      <c r="H74" s="682">
        <f>G74+'2'!H74</f>
        <v>68</v>
      </c>
      <c r="I74" s="480"/>
      <c r="J74" s="552">
        <f>H74/DAY(B2)</f>
        <v>22.666666666666668</v>
      </c>
      <c r="K74" s="431"/>
      <c r="L74" s="377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455">
        <f>'2'!F75</f>
        <v>8966</v>
      </c>
      <c r="F75" s="659">
        <v>9071</v>
      </c>
      <c r="G75" s="473">
        <f t="shared" si="6"/>
        <v>105</v>
      </c>
      <c r="H75" s="682">
        <f>G75+'2'!H75</f>
        <v>391</v>
      </c>
      <c r="I75" s="480"/>
      <c r="J75" s="552">
        <f>H75/DAY(B2)</f>
        <v>130.33333333333334</v>
      </c>
      <c r="K75" s="430"/>
      <c r="L75" s="377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455">
        <f>'2'!F76</f>
        <v>4155</v>
      </c>
      <c r="F76" s="658">
        <v>4224</v>
      </c>
      <c r="G76" s="473">
        <f t="shared" si="6"/>
        <v>69</v>
      </c>
      <c r="H76" s="682">
        <f>G76+'2'!H76</f>
        <v>187</v>
      </c>
      <c r="I76" s="505"/>
      <c r="J76" s="552">
        <f>H76/DAY(B2)</f>
        <v>62.333333333333336</v>
      </c>
      <c r="K76" s="430"/>
      <c r="L76" s="377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455">
        <f>'2'!F77</f>
        <v>700311</v>
      </c>
      <c r="F77" s="658">
        <v>700355</v>
      </c>
      <c r="G77" s="655">
        <f t="shared" si="6"/>
        <v>44</v>
      </c>
      <c r="H77" s="682">
        <f>G77+'2'!H77</f>
        <v>141</v>
      </c>
      <c r="I77" s="505"/>
      <c r="J77" s="552">
        <f>H77/DAY(B2)</f>
        <v>47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'2'!F78</f>
        <v>666103</v>
      </c>
      <c r="F78" s="659">
        <v>666393</v>
      </c>
      <c r="G78" s="473">
        <f t="shared" si="6"/>
        <v>290</v>
      </c>
      <c r="H78" s="682">
        <f>G78+'2'!H78</f>
        <v>1013</v>
      </c>
      <c r="I78" s="505"/>
      <c r="J78" s="552">
        <f>H78/DAY(B2)</f>
        <v>337.66666666666669</v>
      </c>
      <c r="K78" s="430"/>
      <c r="L78" s="377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455">
        <f>'2'!F79</f>
        <v>821597</v>
      </c>
      <c r="F79" s="659">
        <v>821789</v>
      </c>
      <c r="G79" s="473">
        <f t="shared" si="6"/>
        <v>192</v>
      </c>
      <c r="H79" s="682">
        <f>G79+'2'!H79</f>
        <v>576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455">
        <f>'2'!F80</f>
        <v>506412</v>
      </c>
      <c r="F80" s="658">
        <v>506727</v>
      </c>
      <c r="G80" s="473">
        <f t="shared" si="6"/>
        <v>315</v>
      </c>
      <c r="H80" s="682">
        <f>G80+'2'!H80</f>
        <v>1028</v>
      </c>
      <c r="I80" s="505"/>
      <c r="J80" s="552">
        <f>H80/DAY(B2)</f>
        <v>342.66666666666669</v>
      </c>
      <c r="K80" s="430"/>
      <c r="L80" s="377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455">
        <f>'2'!F81</f>
        <v>630677</v>
      </c>
      <c r="F81" s="658">
        <v>630917</v>
      </c>
      <c r="G81" s="473">
        <f t="shared" si="6"/>
        <v>240</v>
      </c>
      <c r="H81" s="682">
        <f>G81+'2'!H81</f>
        <v>732</v>
      </c>
      <c r="I81" s="505"/>
      <c r="J81" s="552">
        <f>H81/DAY(B2)</f>
        <v>244</v>
      </c>
      <c r="K81" s="430"/>
      <c r="L81" s="377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455">
        <f>'2'!F82</f>
        <v>106945</v>
      </c>
      <c r="F82" s="654">
        <v>106965</v>
      </c>
      <c r="G82" s="473">
        <f t="shared" si="6"/>
        <v>20</v>
      </c>
      <c r="H82" s="682">
        <f>G82+'2'!H82</f>
        <v>70</v>
      </c>
      <c r="I82" s="486"/>
      <c r="J82" s="552">
        <f>H82/DAY(B2)</f>
        <v>23.333333333333332</v>
      </c>
      <c r="K82" s="430"/>
      <c r="L82" s="377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455">
        <f>'2'!F83</f>
        <v>7572</v>
      </c>
      <c r="F83" s="511">
        <v>7827</v>
      </c>
      <c r="G83" s="473">
        <f t="shared" si="6"/>
        <v>255</v>
      </c>
      <c r="H83" s="682">
        <f>G83+'2'!H83</f>
        <v>770</v>
      </c>
      <c r="I83" s="481"/>
      <c r="J83" s="552">
        <f>H83/DAY(B2)</f>
        <v>256.66666666666669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'2'!F84</f>
        <v>456519</v>
      </c>
      <c r="F84" s="627">
        <v>457333</v>
      </c>
      <c r="G84" s="473">
        <f t="shared" si="6"/>
        <v>814</v>
      </c>
      <c r="H84" s="682">
        <f>G84+'2'!H84</f>
        <v>2649</v>
      </c>
      <c r="I84" s="481"/>
      <c r="J84" s="552">
        <f>H84/DAY(B2)</f>
        <v>883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2459</v>
      </c>
      <c r="H85" s="682">
        <f>G85+'2'!H85</f>
        <v>7946</v>
      </c>
      <c r="I85" s="481"/>
      <c r="J85" s="552">
        <f>H85/DAY(B2)</f>
        <v>2648.6666666666665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454958</v>
      </c>
      <c r="F86" s="650">
        <v>455114</v>
      </c>
      <c r="G86" s="708">
        <f t="shared" ref="G86:G90" si="7">F86-E86</f>
        <v>156</v>
      </c>
      <c r="H86" s="682">
        <f>G86+'2'!H86</f>
        <v>533</v>
      </c>
      <c r="I86" s="655"/>
      <c r="J86" s="710">
        <f>H86/DAY(B2)</f>
        <v>177.66666666666666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80252</v>
      </c>
      <c r="F87" s="650">
        <v>80280</v>
      </c>
      <c r="G87" s="708">
        <f t="shared" si="7"/>
        <v>28</v>
      </c>
      <c r="H87" s="682">
        <f>G87+'2'!H87</f>
        <v>95</v>
      </c>
      <c r="I87" s="655"/>
      <c r="J87" s="710">
        <f>H87/DAY(B2)</f>
        <v>31.666666666666668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150775</v>
      </c>
      <c r="F88" s="650">
        <v>150867</v>
      </c>
      <c r="G88" s="708">
        <f t="shared" si="7"/>
        <v>92</v>
      </c>
      <c r="H88" s="682">
        <f>G88+'2'!H88</f>
        <v>268</v>
      </c>
      <c r="I88" s="655"/>
      <c r="J88" s="710">
        <f>H88/DAY(B2)</f>
        <v>89.333333333333329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63641</v>
      </c>
      <c r="F89" s="650">
        <v>63682</v>
      </c>
      <c r="G89" s="708">
        <f t="shared" si="7"/>
        <v>41</v>
      </c>
      <c r="H89" s="682">
        <f>G89+'2'!H89</f>
        <v>128</v>
      </c>
      <c r="I89" s="655"/>
      <c r="J89" s="710">
        <f>H89/DAY(B2)</f>
        <v>42.666666666666664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3271</v>
      </c>
      <c r="F90" s="650">
        <v>3271</v>
      </c>
      <c r="G90" s="708">
        <f t="shared" si="7"/>
        <v>0</v>
      </c>
      <c r="H90" s="682">
        <f>G90+'2'!H90</f>
        <v>1</v>
      </c>
      <c r="I90" s="655"/>
      <c r="J90" s="710">
        <f>H90/DAY(B2)</f>
        <v>0.33333333333333331</v>
      </c>
      <c r="K90" s="736" t="e">
        <f t="shared" si="8"/>
        <v>#VALUE!</v>
      </c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55">
        <f>'2'!F92</f>
        <v>242821</v>
      </c>
      <c r="F92" s="478">
        <v>242898</v>
      </c>
      <c r="G92" s="473">
        <f t="shared" ref="G92:G93" si="9">F92-E92</f>
        <v>77</v>
      </c>
      <c r="H92" s="682">
        <f>G92+'2'!H92</f>
        <v>252</v>
      </c>
      <c r="I92" s="480"/>
      <c r="J92" s="552">
        <f>H92/DAY(B2)</f>
        <v>84</v>
      </c>
      <c r="K92" s="429"/>
      <c r="L92" s="377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55">
        <f>'2'!F93</f>
        <v>179949</v>
      </c>
      <c r="F93" s="478">
        <v>180107</v>
      </c>
      <c r="G93" s="473">
        <f t="shared" si="9"/>
        <v>158</v>
      </c>
      <c r="H93" s="682">
        <f>G93+'2'!H93</f>
        <v>428</v>
      </c>
      <c r="I93" s="480"/>
      <c r="J93" s="552">
        <f>H93/DAY(B2)</f>
        <v>142.66666666666666</v>
      </c>
      <c r="K93" s="380"/>
      <c r="L93" s="377"/>
      <c r="O93" s="382"/>
    </row>
    <row r="94" spans="1:15">
      <c r="A94" s="1465" t="s">
        <v>208</v>
      </c>
      <c r="B94" s="1466"/>
      <c r="C94" s="1467"/>
      <c r="D94" s="523"/>
      <c r="E94" s="455">
        <f>'2'!F94</f>
        <v>0</v>
      </c>
      <c r="F94" s="478"/>
      <c r="G94" s="473">
        <f>G92+G93</f>
        <v>235</v>
      </c>
      <c r="H94" s="682">
        <f>G94+'2'!H94</f>
        <v>461</v>
      </c>
      <c r="I94" s="480"/>
      <c r="J94" s="552">
        <f>H94/DAY(B2)</f>
        <v>153.66666666666666</v>
      </c>
      <c r="K94" s="380"/>
      <c r="L94" s="377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55">
        <f>'2'!F95</f>
        <v>410949</v>
      </c>
      <c r="F95" s="478">
        <v>411021</v>
      </c>
      <c r="G95" s="473">
        <f t="shared" ref="G95:G100" si="10">F95-E95</f>
        <v>72</v>
      </c>
      <c r="H95" s="682">
        <f>G95+'2'!H95</f>
        <v>236</v>
      </c>
      <c r="I95" s="480"/>
      <c r="J95" s="552">
        <f>H95/DAY(B2)</f>
        <v>78.666666666666671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'2'!F96</f>
        <v>101867</v>
      </c>
      <c r="F96" s="478">
        <v>101887</v>
      </c>
      <c r="G96" s="473">
        <f t="shared" si="10"/>
        <v>20</v>
      </c>
      <c r="H96" s="682">
        <f>G96+'2'!H96</f>
        <v>56</v>
      </c>
      <c r="I96" s="480"/>
      <c r="J96" s="552">
        <f>H96/DAY(B2)</f>
        <v>18.666666666666668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'2'!F97</f>
        <v>96962</v>
      </c>
      <c r="F97" s="478">
        <v>96980</v>
      </c>
      <c r="G97" s="473">
        <f t="shared" si="10"/>
        <v>18</v>
      </c>
      <c r="H97" s="682">
        <f>G97+'2'!H97</f>
        <v>52</v>
      </c>
      <c r="I97" s="480"/>
      <c r="J97" s="552">
        <f>H97/DAY(B2)</f>
        <v>17.333333333333332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'2'!F98</f>
        <v>148987</v>
      </c>
      <c r="F98" s="478">
        <v>149043</v>
      </c>
      <c r="G98" s="473">
        <f t="shared" si="10"/>
        <v>56</v>
      </c>
      <c r="H98" s="682">
        <f>G98+'2'!H98</f>
        <v>134</v>
      </c>
      <c r="I98" s="480"/>
      <c r="J98" s="552">
        <f>H98/DAY(B2)</f>
        <v>44.666666666666664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'2'!F99</f>
        <v>6882</v>
      </c>
      <c r="F99" s="478">
        <v>6897</v>
      </c>
      <c r="G99" s="473">
        <f t="shared" si="10"/>
        <v>15</v>
      </c>
      <c r="H99" s="682">
        <f>G99+'2'!H99</f>
        <v>42</v>
      </c>
      <c r="I99" s="480"/>
      <c r="J99" s="552">
        <f>H99/DAY(B2)</f>
        <v>14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'2'!F100</f>
        <v>4956</v>
      </c>
      <c r="F100" s="478">
        <v>4962</v>
      </c>
      <c r="G100" s="473">
        <f t="shared" si="10"/>
        <v>6</v>
      </c>
      <c r="H100" s="682">
        <f>G100+'2'!H100</f>
        <v>19</v>
      </c>
      <c r="I100" s="480"/>
      <c r="J100" s="552">
        <f>H100/DAY(B2)</f>
        <v>6.333333333333333</v>
      </c>
      <c r="K100" s="380"/>
      <c r="L100" s="377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525">
        <f>SUM(G95:G100)</f>
        <v>187</v>
      </c>
      <c r="H101" s="682">
        <f>G101+'2'!H101</f>
        <v>539</v>
      </c>
      <c r="I101" s="526"/>
      <c r="J101" s="552">
        <f>H101/DAY(B2)</f>
        <v>179.66666666666666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455">
        <f>'2'!F103</f>
        <v>0</v>
      </c>
      <c r="F103" s="661"/>
      <c r="G103" s="532"/>
      <c r="H103" s="533"/>
      <c r="I103" s="532"/>
      <c r="J103" s="558"/>
      <c r="O103" s="382"/>
    </row>
    <row r="104" spans="1:15" s="442" customFormat="1" ht="27.75">
      <c r="A104" s="1427" t="s">
        <v>219</v>
      </c>
      <c r="B104" s="1428"/>
      <c r="C104" s="1308"/>
      <c r="D104" s="622" t="s">
        <v>144</v>
      </c>
      <c r="E104" s="455">
        <f>'2'!F104</f>
        <v>7333</v>
      </c>
      <c r="F104" s="661">
        <v>7333</v>
      </c>
      <c r="G104" s="532">
        <f>F104-E104</f>
        <v>0</v>
      </c>
      <c r="H104" s="682">
        <f>G104+'2'!H104</f>
        <v>8</v>
      </c>
      <c r="I104" s="532"/>
      <c r="J104" s="558">
        <f>H108/DAY(B2)</f>
        <v>0</v>
      </c>
      <c r="O104" s="382"/>
    </row>
    <row r="105" spans="1:15" s="442" customFormat="1" ht="27.75">
      <c r="A105" s="1427" t="s">
        <v>77</v>
      </c>
      <c r="B105" s="1428"/>
      <c r="C105" s="1308"/>
      <c r="D105" s="622" t="s">
        <v>144</v>
      </c>
      <c r="E105" s="455">
        <f>'2'!F105</f>
        <v>35669</v>
      </c>
      <c r="F105" s="662">
        <v>35676</v>
      </c>
      <c r="G105" s="532">
        <f t="shared" ref="G105:G106" si="11">F105-E105</f>
        <v>7</v>
      </c>
      <c r="H105" s="682">
        <f>G105+'2'!H105</f>
        <v>20</v>
      </c>
      <c r="I105" s="532"/>
      <c r="J105" s="558">
        <f>H105/DAY(B2)</f>
        <v>6.666666666666667</v>
      </c>
      <c r="O105" s="382"/>
    </row>
    <row r="106" spans="1:15" s="442" customFormat="1" ht="27.75">
      <c r="A106" s="1427" t="s">
        <v>78</v>
      </c>
      <c r="B106" s="1476"/>
      <c r="C106" s="1428"/>
      <c r="D106" s="622" t="s">
        <v>144</v>
      </c>
      <c r="E106" s="455">
        <f>'2'!F106</f>
        <v>19430</v>
      </c>
      <c r="F106" s="661">
        <v>19436</v>
      </c>
      <c r="G106" s="532">
        <f t="shared" si="11"/>
        <v>6</v>
      </c>
      <c r="H106" s="682">
        <f>G106+'2'!H106</f>
        <v>18</v>
      </c>
      <c r="I106" s="532"/>
      <c r="J106" s="558">
        <f>H106/DAY(B2)</f>
        <v>6</v>
      </c>
      <c r="O106" s="382"/>
    </row>
    <row r="107" spans="1:15" s="442" customFormat="1" ht="27.75">
      <c r="A107" s="1433" t="s">
        <v>202</v>
      </c>
      <c r="B107" s="1434"/>
      <c r="C107" s="1308"/>
      <c r="D107" s="622"/>
      <c r="E107" s="455">
        <f>'2'!F107</f>
        <v>0</v>
      </c>
      <c r="F107" s="661" t="s">
        <v>268</v>
      </c>
      <c r="G107" s="532">
        <f>SUM(G104:G106)</f>
        <v>13</v>
      </c>
      <c r="H107" s="682">
        <f>G107+'2'!H107</f>
        <v>46</v>
      </c>
      <c r="I107" s="532"/>
      <c r="J107" s="558">
        <f>H107/DAY(B2)</f>
        <v>15.333333333333334</v>
      </c>
      <c r="O107" s="382"/>
    </row>
    <row r="108" spans="1:15" s="442" customFormat="1" ht="27.75">
      <c r="A108" s="1474" t="s">
        <v>79</v>
      </c>
      <c r="B108" s="1475"/>
      <c r="C108" s="1308"/>
      <c r="D108" s="622" t="s">
        <v>144</v>
      </c>
      <c r="E108" s="455">
        <f>'2'!F108</f>
        <v>0</v>
      </c>
      <c r="F108" s="661"/>
      <c r="G108" s="532"/>
      <c r="H108" s="682">
        <f>G108+'2'!H108</f>
        <v>0</v>
      </c>
      <c r="I108" s="532"/>
      <c r="J108" s="558"/>
      <c r="O108" s="382"/>
    </row>
    <row r="109" spans="1:15" s="442" customFormat="1" ht="27.75">
      <c r="A109" s="1427" t="s">
        <v>220</v>
      </c>
      <c r="B109" s="1428"/>
      <c r="C109" s="1308"/>
      <c r="D109" s="622" t="s">
        <v>144</v>
      </c>
      <c r="E109" s="455">
        <f>'2'!F109</f>
        <v>59054</v>
      </c>
      <c r="F109" s="787">
        <v>59142</v>
      </c>
      <c r="G109" s="532">
        <f>F109-E109</f>
        <v>88</v>
      </c>
      <c r="H109" s="682">
        <f>G109+'2'!H109</f>
        <v>269</v>
      </c>
      <c r="I109" s="532"/>
      <c r="J109" s="558">
        <f>H109/DAY(B2)</f>
        <v>89.666666666666671</v>
      </c>
      <c r="O109" s="382"/>
    </row>
    <row r="110" spans="1:15" s="442" customFormat="1" ht="27.75">
      <c r="A110" s="1427" t="s">
        <v>221</v>
      </c>
      <c r="B110" s="1428"/>
      <c r="C110" s="1308"/>
      <c r="D110" s="622" t="s">
        <v>144</v>
      </c>
      <c r="E110" s="455">
        <f>'2'!F110</f>
        <v>31690</v>
      </c>
      <c r="F110" s="661">
        <v>31761</v>
      </c>
      <c r="G110" s="532">
        <f t="shared" ref="G110:G111" si="12">F110-E110</f>
        <v>71</v>
      </c>
      <c r="H110" s="682">
        <f>G110+'2'!H110</f>
        <v>115</v>
      </c>
      <c r="I110" s="532"/>
      <c r="J110" s="558">
        <f>H110/DAY(B2)</f>
        <v>38.333333333333336</v>
      </c>
      <c r="O110" s="382"/>
    </row>
    <row r="111" spans="1:15" s="442" customFormat="1" ht="27.75">
      <c r="A111" s="1427" t="s">
        <v>222</v>
      </c>
      <c r="B111" s="1428"/>
      <c r="C111" s="1308"/>
      <c r="D111" s="622" t="s">
        <v>144</v>
      </c>
      <c r="E111" s="455">
        <f>'2'!F111</f>
        <v>4186</v>
      </c>
      <c r="F111" s="661">
        <v>4198</v>
      </c>
      <c r="G111" s="532">
        <f t="shared" si="12"/>
        <v>12</v>
      </c>
      <c r="H111" s="682">
        <f>G111+'2'!H111</f>
        <v>42</v>
      </c>
      <c r="I111" s="532"/>
      <c r="J111" s="558">
        <f>H111/DAY(B2)</f>
        <v>14</v>
      </c>
      <c r="O111" s="382"/>
    </row>
    <row r="112" spans="1:15" s="442" customFormat="1" ht="27.75">
      <c r="A112" s="1433" t="s">
        <v>110</v>
      </c>
      <c r="B112" s="1434"/>
      <c r="C112" s="1308"/>
      <c r="D112" s="622"/>
      <c r="E112" s="455">
        <f>'2'!F112</f>
        <v>0</v>
      </c>
      <c r="F112" s="661"/>
      <c r="G112" s="532">
        <f>SUM(G109:G111)</f>
        <v>171</v>
      </c>
      <c r="H112" s="682">
        <f>G112+'2'!H112</f>
        <v>426</v>
      </c>
      <c r="I112" s="532"/>
      <c r="J112" s="558">
        <f>H112/DAY(B2)</f>
        <v>142</v>
      </c>
      <c r="O112" s="382"/>
    </row>
    <row r="113" spans="1:15" s="442" customFormat="1" ht="27.75">
      <c r="A113" s="1474" t="s">
        <v>223</v>
      </c>
      <c r="B113" s="1475"/>
      <c r="C113" s="1308"/>
      <c r="D113" s="622"/>
      <c r="E113" s="455">
        <f>'2'!F113</f>
        <v>0</v>
      </c>
      <c r="F113" s="661"/>
      <c r="G113" s="532"/>
      <c r="H113" s="682">
        <f>G113+'2'!H113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7" t="s">
        <v>224</v>
      </c>
      <c r="B114" s="1428"/>
      <c r="C114" s="1307"/>
      <c r="D114" s="622" t="s">
        <v>144</v>
      </c>
      <c r="E114" s="455">
        <f>'2'!F114</f>
        <v>10891</v>
      </c>
      <c r="F114" s="662">
        <v>10908</v>
      </c>
      <c r="G114" s="534">
        <f>F114-E114</f>
        <v>17</v>
      </c>
      <c r="H114" s="682">
        <f>G114+'2'!H114</f>
        <v>51</v>
      </c>
      <c r="I114" s="532"/>
      <c r="J114" s="558">
        <f>H114/DAY(B2)</f>
        <v>17</v>
      </c>
      <c r="O114" s="382"/>
    </row>
    <row r="115" spans="1:15" s="442" customFormat="1" ht="27.75">
      <c r="A115" s="1427" t="s">
        <v>225</v>
      </c>
      <c r="B115" s="1428"/>
      <c r="C115" s="1307"/>
      <c r="D115" s="622" t="s">
        <v>144</v>
      </c>
      <c r="E115" s="455">
        <f>'2'!F115</f>
        <v>7984</v>
      </c>
      <c r="F115" s="662">
        <v>7989</v>
      </c>
      <c r="G115" s="534">
        <f t="shared" ref="G115:G116" si="13">F115-E115</f>
        <v>5</v>
      </c>
      <c r="H115" s="682">
        <f>G115+'2'!H115</f>
        <v>14</v>
      </c>
      <c r="I115" s="532"/>
      <c r="J115" s="558">
        <f>H115/DAY(B2)</f>
        <v>4.666666666666667</v>
      </c>
      <c r="O115" s="382"/>
    </row>
    <row r="116" spans="1:15" s="442" customFormat="1" ht="27.75">
      <c r="A116" s="1427" t="s">
        <v>226</v>
      </c>
      <c r="B116" s="1428"/>
      <c r="C116" s="1307"/>
      <c r="D116" s="622" t="s">
        <v>144</v>
      </c>
      <c r="E116" s="455">
        <f>'2'!F116</f>
        <v>0</v>
      </c>
      <c r="F116" s="662"/>
      <c r="G116" s="534">
        <f t="shared" si="13"/>
        <v>0</v>
      </c>
      <c r="H116" s="682">
        <f>G116+'2'!H116</f>
        <v>0</v>
      </c>
      <c r="I116" s="532"/>
      <c r="J116" s="558">
        <f>H116/DAY(B2)</f>
        <v>0</v>
      </c>
      <c r="O116" s="382"/>
    </row>
    <row r="117" spans="1:15" s="445" customFormat="1" ht="27.75">
      <c r="A117" s="1433" t="s">
        <v>202</v>
      </c>
      <c r="B117" s="1434"/>
      <c r="C117" s="1307"/>
      <c r="D117" s="784"/>
      <c r="E117" s="455">
        <f>'2'!F117</f>
        <v>0</v>
      </c>
      <c r="F117" s="662"/>
      <c r="G117" s="534">
        <f>SUM(G114:G116)</f>
        <v>22</v>
      </c>
      <c r="H117" s="682">
        <f>G117+'2'!H117</f>
        <v>65</v>
      </c>
      <c r="I117" s="534"/>
      <c r="J117" s="558">
        <f>H117/DAY(B2)</f>
        <v>21.666666666666668</v>
      </c>
      <c r="O117" s="382"/>
    </row>
    <row r="118" spans="1:15" s="445" customFormat="1" ht="27.75">
      <c r="A118" s="1425" t="s">
        <v>227</v>
      </c>
      <c r="B118" s="1426"/>
      <c r="C118" s="1307"/>
      <c r="D118" s="624" t="s">
        <v>144</v>
      </c>
      <c r="E118" s="455">
        <f>'2'!F118</f>
        <v>136</v>
      </c>
      <c r="F118" s="663">
        <f>SUM(G19+G92)</f>
        <v>130</v>
      </c>
      <c r="G118" s="536">
        <f>SUM(G19+G92)</f>
        <v>130</v>
      </c>
      <c r="H118" s="682">
        <f>G118+'2'!H118</f>
        <v>411</v>
      </c>
      <c r="I118" s="535"/>
      <c r="J118" s="559">
        <f>H118/DAY(B2)</f>
        <v>137</v>
      </c>
      <c r="O118" s="382"/>
    </row>
    <row r="119" spans="1:15" s="445" customFormat="1" ht="27.75">
      <c r="A119" s="1425" t="s">
        <v>228</v>
      </c>
      <c r="B119" s="1426"/>
      <c r="C119" s="1307"/>
      <c r="D119" s="624" t="s">
        <v>144</v>
      </c>
      <c r="E119" s="536"/>
      <c r="F119" s="663">
        <f>SUM(G95,G96,G97,G99,G100)</f>
        <v>131</v>
      </c>
      <c r="G119" s="536">
        <f>SUM(G95,G96,G97,G99,G100)</f>
        <v>131</v>
      </c>
      <c r="H119" s="682">
        <f>G119+'2'!H119</f>
        <v>405</v>
      </c>
      <c r="I119" s="535"/>
      <c r="J119" s="559">
        <f>H119/DAY(B2)</f>
        <v>135</v>
      </c>
      <c r="O119" s="382"/>
    </row>
    <row r="120" spans="1:15" s="445" customFormat="1" ht="27.75">
      <c r="A120" s="1425" t="s">
        <v>229</v>
      </c>
      <c r="B120" s="1426"/>
      <c r="C120" s="1307"/>
      <c r="D120" s="624" t="s">
        <v>144</v>
      </c>
      <c r="E120" s="534"/>
      <c r="F120" s="662">
        <f>SUM(G112)</f>
        <v>171</v>
      </c>
      <c r="G120" s="534">
        <f>SUM(G112)</f>
        <v>171</v>
      </c>
      <c r="H120" s="682">
        <f>G120+'2'!H120</f>
        <v>426</v>
      </c>
      <c r="I120" s="535"/>
      <c r="J120" s="559">
        <f>H120/DAY(B2)</f>
        <v>142</v>
      </c>
      <c r="O120" s="382"/>
    </row>
    <row r="121" spans="1:15" s="442" customFormat="1" ht="27.75">
      <c r="A121" s="1427"/>
      <c r="B121" s="1428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'2'!F123</f>
        <v>819298</v>
      </c>
      <c r="F123" s="478">
        <v>819570</v>
      </c>
      <c r="G123" s="473">
        <f t="shared" ref="G123:G127" si="14">F123-E123</f>
        <v>272</v>
      </c>
      <c r="H123" s="682">
        <f>G123+'2'!H123</f>
        <v>760</v>
      </c>
      <c r="I123" s="526"/>
      <c r="J123" s="552">
        <f>H123/DAY(B2)</f>
        <v>253.33333333333334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'2'!F124</f>
        <v>73583.399999999994</v>
      </c>
      <c r="F124" s="626">
        <v>73583</v>
      </c>
      <c r="G124" s="473">
        <f t="shared" si="14"/>
        <v>-0.39999999999417923</v>
      </c>
      <c r="H124" s="682">
        <f>G124+'2'!H124</f>
        <v>-0.39999999999417923</v>
      </c>
      <c r="I124" s="526"/>
      <c r="J124" s="552">
        <f>H124/DAY(B2)</f>
        <v>-0.13333333333139308</v>
      </c>
      <c r="K124" s="380"/>
      <c r="L124" s="377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55">
        <f>'2'!F125</f>
        <v>142314</v>
      </c>
      <c r="F125" s="478">
        <v>142407</v>
      </c>
      <c r="G125" s="473">
        <f t="shared" si="14"/>
        <v>93</v>
      </c>
      <c r="H125" s="682">
        <f>G125+'2'!H125</f>
        <v>271</v>
      </c>
      <c r="I125" s="526"/>
      <c r="J125" s="552">
        <f>H125/DAY(B2)</f>
        <v>90.333333333333329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v>31318.7</v>
      </c>
      <c r="F126" s="1390">
        <v>31329.200000000001</v>
      </c>
      <c r="G126" s="473">
        <f t="shared" si="14"/>
        <v>10.5</v>
      </c>
      <c r="H126" s="682">
        <f>G126+'2'!H126</f>
        <v>10.5</v>
      </c>
      <c r="I126" s="526"/>
      <c r="J126" s="552">
        <f>H126/DAY(B2)</f>
        <v>3.5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'2'!F127</f>
        <v>8966</v>
      </c>
      <c r="F127" s="626">
        <v>8966</v>
      </c>
      <c r="G127" s="473">
        <f t="shared" si="14"/>
        <v>0</v>
      </c>
      <c r="H127" s="682">
        <f>G127+'2'!H127</f>
        <v>4</v>
      </c>
      <c r="I127" s="480"/>
      <c r="J127" s="552">
        <f>H127/DAY(B2)</f>
        <v>1.3333333333333333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55">
        <f>'2'!F128</f>
        <v>0</v>
      </c>
      <c r="F128" s="478"/>
      <c r="G128" s="473">
        <f>G15-SUM(G123:G127)</f>
        <v>627.89999999999418</v>
      </c>
      <c r="H128" s="682">
        <f>G128+'2'!H128</f>
        <v>1908.8999999999942</v>
      </c>
      <c r="I128" s="480"/>
      <c r="J128" s="552">
        <f>H128/DAY(B2)</f>
        <v>636.29999999999802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'2'!F130</f>
        <v>0</v>
      </c>
      <c r="F130" s="478">
        <v>0</v>
      </c>
      <c r="G130" s="473">
        <f t="shared" ref="G130:G140" si="15">F130-E130</f>
        <v>0</v>
      </c>
      <c r="H130" s="682">
        <f>G130+'2'!H130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'2'!F131</f>
        <v>0</v>
      </c>
      <c r="F131" s="478">
        <v>0</v>
      </c>
      <c r="G131" s="473">
        <f t="shared" si="15"/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'2'!F132</f>
        <v>39581.25</v>
      </c>
      <c r="F132" s="654">
        <v>39605.199999999997</v>
      </c>
      <c r="G132" s="473">
        <f t="shared" si="15"/>
        <v>23.94999999999709</v>
      </c>
      <c r="H132" s="682">
        <f>G132+'2'!H132</f>
        <v>72.19999999999709</v>
      </c>
      <c r="I132" s="480"/>
      <c r="J132" s="552">
        <f>H132/DAY(B2)</f>
        <v>24.066666666665697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'2'!F133</f>
        <v>300</v>
      </c>
      <c r="F133" s="626">
        <v>300</v>
      </c>
      <c r="G133" s="473">
        <f t="shared" si="15"/>
        <v>0</v>
      </c>
      <c r="H133" s="682">
        <f>G133+'2'!H133</f>
        <v>0</v>
      </c>
      <c r="I133" s="480"/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'2'!F134</f>
        <v>40853.370000000003</v>
      </c>
      <c r="F134" s="626">
        <v>40853.370000000003</v>
      </c>
      <c r="G134" s="473">
        <f t="shared" si="15"/>
        <v>0</v>
      </c>
      <c r="H134" s="682">
        <f>G134+'2'!H134</f>
        <v>14.370000000002619</v>
      </c>
      <c r="I134" s="480"/>
      <c r="J134" s="552">
        <f>H134/DAY(B2)</f>
        <v>4.7900000000008731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'2'!F135</f>
        <v>32583</v>
      </c>
      <c r="F135" s="626">
        <v>32583</v>
      </c>
      <c r="G135" s="473">
        <f t="shared" si="15"/>
        <v>0</v>
      </c>
      <c r="H135" s="682">
        <f>G135+'2'!H135</f>
        <v>0</v>
      </c>
      <c r="I135" s="480">
        <f t="shared" ref="I135" si="16">G132+G133+G134+G135</f>
        <v>23.94999999999709</v>
      </c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'2'!F136</f>
        <v>22509.37</v>
      </c>
      <c r="F136" s="654">
        <v>22519.53</v>
      </c>
      <c r="G136" s="473">
        <f t="shared" si="15"/>
        <v>10.159999999999854</v>
      </c>
      <c r="H136" s="682">
        <f>G136+'2'!H136</f>
        <v>30.879999999997381</v>
      </c>
      <c r="I136" s="480"/>
      <c r="J136" s="552">
        <f>H136/DAY(B2)</f>
        <v>10.293333333332461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'2'!F137</f>
        <v>25048.97</v>
      </c>
      <c r="F137" s="654">
        <v>25048.97</v>
      </c>
      <c r="G137" s="473">
        <f t="shared" si="15"/>
        <v>0</v>
      </c>
      <c r="H137" s="682">
        <f>G137+'2'!H137</f>
        <v>0.18000000000029104</v>
      </c>
      <c r="I137" s="480"/>
      <c r="J137" s="552">
        <f>H137/DAY(B2)</f>
        <v>6.000000000009701E-2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'2'!F138</f>
        <v>70262.66</v>
      </c>
      <c r="F138" s="654">
        <v>70266.899999999994</v>
      </c>
      <c r="G138" s="473">
        <f t="shared" si="15"/>
        <v>4.2399999999906868</v>
      </c>
      <c r="H138" s="682">
        <f>G138+'2'!H138</f>
        <v>12.869999999995343</v>
      </c>
      <c r="I138" s="480">
        <f>G136+G137+G138</f>
        <v>14.399999999990541</v>
      </c>
      <c r="J138" s="552">
        <f>H138/DAY(B2)</f>
        <v>4.2899999999984475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'2'!F139</f>
        <v>1536.52</v>
      </c>
      <c r="F139" s="626">
        <v>1536.52</v>
      </c>
      <c r="G139" s="473">
        <f t="shared" si="15"/>
        <v>0</v>
      </c>
      <c r="H139" s="682">
        <f>G139+'2'!H139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'2'!F140</f>
        <v>4484.4399999999996</v>
      </c>
      <c r="F140" s="478">
        <v>4493.25</v>
      </c>
      <c r="G140" s="473">
        <f t="shared" si="15"/>
        <v>8.8100000000004002</v>
      </c>
      <c r="H140" s="682">
        <f>G140+'2'!H140</f>
        <v>24.710000000000036</v>
      </c>
      <c r="I140" s="542">
        <f>G140+G177</f>
        <v>8.8100000000004002</v>
      </c>
      <c r="J140" s="552">
        <f>H140/DAY(B2)</f>
        <v>8.2366666666666788</v>
      </c>
      <c r="O140" s="382"/>
    </row>
    <row r="141" spans="1:15">
      <c r="A141" s="1443" t="s">
        <v>250</v>
      </c>
      <c r="B141" s="1444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5491.33</v>
      </c>
      <c r="H142" s="682">
        <f>G142+'2'!H142</f>
        <v>17582.460000000006</v>
      </c>
      <c r="I142" s="480"/>
      <c r="J142" s="552">
        <f>H142/DAY(B2)</f>
        <v>5860.8200000000024</v>
      </c>
      <c r="K142" s="380"/>
      <c r="L142" s="377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0.26061079208390681</v>
      </c>
      <c r="H143" s="682">
        <f>G143+'2'!H143</f>
        <v>0.78866193096663639</v>
      </c>
      <c r="I143" s="544"/>
      <c r="J143" s="552">
        <f>H143/DAY(B2)</f>
        <v>0.26288731032221213</v>
      </c>
      <c r="K143" s="380"/>
      <c r="L143" s="377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5680</v>
      </c>
      <c r="H144" s="682">
        <f>G144+'2'!H144</f>
        <v>18887.839999999997</v>
      </c>
      <c r="I144" s="480"/>
      <c r="J144" s="552">
        <f>H144/DAY(B2)</f>
        <v>6295.9466666666658</v>
      </c>
      <c r="K144" s="380"/>
      <c r="L144" s="377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0.26956480470789235</v>
      </c>
      <c r="H145" s="682">
        <f>G145+'2'!H145</f>
        <v>0.84528767259491122</v>
      </c>
      <c r="I145" s="544"/>
      <c r="J145" s="552">
        <f>H145/DAY(B2)</f>
        <v>0.28176255753163709</v>
      </c>
      <c r="K145" s="380"/>
      <c r="L145" s="377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3855</v>
      </c>
      <c r="H146" s="682">
        <f>G146+'2'!H146</f>
        <v>12351</v>
      </c>
      <c r="I146" s="545"/>
      <c r="J146" s="552">
        <f>H146/DAY(B2)</f>
        <v>4117</v>
      </c>
      <c r="K146" s="380"/>
      <c r="L146" s="377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0.18295287361776849</v>
      </c>
      <c r="H147" s="682">
        <f>G147+'2'!H147</f>
        <v>0.55288434688954979</v>
      </c>
      <c r="I147" s="545"/>
      <c r="J147" s="552">
        <f>H147/DAY(B2)</f>
        <v>0.18429478229651661</v>
      </c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1736</v>
      </c>
      <c r="H148" s="682">
        <f>G148+'2'!H148</f>
        <v>5338</v>
      </c>
      <c r="I148" s="480"/>
      <c r="J148" s="552">
        <f>H148/DAY(B2)</f>
        <v>1779.3333333333333</v>
      </c>
      <c r="K148" s="381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8.2388116368468517E-2</v>
      </c>
      <c r="H149" s="682">
        <f>G149+'2'!H149</f>
        <v>0.23974427353722302</v>
      </c>
      <c r="I149" s="545"/>
      <c r="J149" s="552">
        <f>H149/DAY(B2)</f>
        <v>7.9914757845741008E-2</v>
      </c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2039</v>
      </c>
      <c r="H150" s="682">
        <f>G150+'2'!H150</f>
        <v>6549</v>
      </c>
      <c r="I150" s="545"/>
      <c r="J150" s="552">
        <f>H150/DAY(B2)</f>
        <v>2183</v>
      </c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9.6768069859047984E-2</v>
      </c>
      <c r="H151" s="682">
        <f>G151+'2'!H151</f>
        <v>0.29298558840868782</v>
      </c>
      <c r="I151" s="480"/>
      <c r="J151" s="552">
        <f>H151/DAY(B2)</f>
        <v>9.7661862802895946E-2</v>
      </c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1432</v>
      </c>
      <c r="H152" s="682">
        <f>G152+'2'!H152</f>
        <v>4325</v>
      </c>
      <c r="I152" s="480"/>
      <c r="J152" s="552">
        <f>H152/DAY(B2)</f>
        <v>1441.6666666666667</v>
      </c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6.7960704285510889E-2</v>
      </c>
      <c r="H153" s="682">
        <f>G153+'2'!H153</f>
        <v>0.19428741785142412</v>
      </c>
      <c r="I153" s="568"/>
      <c r="J153" s="569">
        <f>H153/DAY(B2)</f>
        <v>6.4762472617141367E-2</v>
      </c>
      <c r="O153" s="382"/>
    </row>
    <row r="154" spans="1:15">
      <c r="O154" s="382"/>
    </row>
    <row r="157" spans="1:15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'2'!F160</f>
        <v>33601</v>
      </c>
      <c r="F160" s="661">
        <v>33684</v>
      </c>
      <c r="G160" s="473">
        <f t="shared" ref="G160:G171" si="17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455">
        <f>'2'!F161</f>
        <v>69507</v>
      </c>
      <c r="F161" s="661">
        <v>69958</v>
      </c>
      <c r="G161" s="473">
        <f t="shared" si="17"/>
        <v>451</v>
      </c>
    </row>
    <row r="162" spans="1:7">
      <c r="A162" s="788" t="s">
        <v>265</v>
      </c>
      <c r="B162" s="789"/>
      <c r="C162" s="789"/>
      <c r="D162" s="511" t="s">
        <v>187</v>
      </c>
      <c r="E162" s="455">
        <f>'2'!F162</f>
        <v>29959</v>
      </c>
      <c r="F162" s="661">
        <v>30145</v>
      </c>
      <c r="G162" s="473">
        <f t="shared" si="17"/>
        <v>186</v>
      </c>
    </row>
    <row r="163" spans="1:7">
      <c r="A163" s="788" t="s">
        <v>266</v>
      </c>
      <c r="B163" s="789"/>
      <c r="C163" s="789"/>
      <c r="D163" s="511" t="s">
        <v>187</v>
      </c>
      <c r="E163" s="455">
        <f>'2'!F163</f>
        <v>5815</v>
      </c>
      <c r="F163" s="661">
        <v>5829</v>
      </c>
      <c r="G163" s="473">
        <f t="shared" si="17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'2'!F164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'2'!F165</f>
        <v>2118</v>
      </c>
      <c r="F165" s="514">
        <v>1745.37</v>
      </c>
      <c r="G165" s="473">
        <f t="shared" si="17"/>
        <v>-372.63000000000011</v>
      </c>
    </row>
    <row r="166" spans="1:7" ht="21.75" customHeight="1">
      <c r="A166" s="1412" t="s">
        <v>99</v>
      </c>
      <c r="B166" s="1412"/>
      <c r="C166" s="1412"/>
      <c r="D166" s="523" t="s">
        <v>187</v>
      </c>
      <c r="E166" s="455">
        <f>'2'!F166</f>
        <v>140099</v>
      </c>
      <c r="F166" s="514">
        <v>125180.16</v>
      </c>
      <c r="G166" s="473">
        <f t="shared" si="17"/>
        <v>-14918.839999999997</v>
      </c>
    </row>
    <row r="167" spans="1:7" ht="21.75" customHeight="1">
      <c r="A167" s="1412" t="s">
        <v>100</v>
      </c>
      <c r="B167" s="1412"/>
      <c r="C167" s="1412"/>
      <c r="D167" s="523" t="s">
        <v>187</v>
      </c>
      <c r="E167" s="455">
        <f>'2'!F167</f>
        <v>144931</v>
      </c>
      <c r="F167" s="514">
        <f t="shared" ref="F167:F171" si="18">F65</f>
        <v>145286</v>
      </c>
      <c r="G167" s="473">
        <f t="shared" si="17"/>
        <v>355</v>
      </c>
    </row>
    <row r="168" spans="1:7" ht="21.75" customHeight="1">
      <c r="A168" s="1412" t="s">
        <v>101</v>
      </c>
      <c r="B168" s="1412"/>
      <c r="C168" s="1412"/>
      <c r="D168" s="523" t="s">
        <v>187</v>
      </c>
      <c r="E168" s="455">
        <f>'2'!F168</f>
        <v>37998</v>
      </c>
      <c r="F168" s="514">
        <f t="shared" si="18"/>
        <v>38431</v>
      </c>
      <c r="G168" s="473">
        <f t="shared" si="17"/>
        <v>433</v>
      </c>
    </row>
    <row r="169" spans="1:7" ht="27.75" customHeight="1">
      <c r="A169" s="1412" t="s">
        <v>102</v>
      </c>
      <c r="B169" s="1412"/>
      <c r="C169" s="1412"/>
      <c r="D169" s="523" t="s">
        <v>187</v>
      </c>
      <c r="E169" s="455">
        <f>'2'!F169</f>
        <v>230424</v>
      </c>
      <c r="F169" s="514">
        <f t="shared" si="18"/>
        <v>231034</v>
      </c>
      <c r="G169" s="473">
        <f t="shared" si="17"/>
        <v>610</v>
      </c>
    </row>
    <row r="170" spans="1:7" ht="24" customHeight="1">
      <c r="A170" s="1412" t="s">
        <v>103</v>
      </c>
      <c r="B170" s="1412"/>
      <c r="C170" s="1412"/>
      <c r="D170" s="523" t="s">
        <v>187</v>
      </c>
      <c r="E170" s="455">
        <f>'2'!F170</f>
        <v>83715</v>
      </c>
      <c r="F170" s="514">
        <f t="shared" si="18"/>
        <v>84031</v>
      </c>
      <c r="G170" s="473">
        <f t="shared" si="17"/>
        <v>316</v>
      </c>
    </row>
    <row r="171" spans="1:7" ht="22.5" customHeight="1">
      <c r="A171" s="1412" t="s">
        <v>104</v>
      </c>
      <c r="B171" s="1412"/>
      <c r="C171" s="1412"/>
      <c r="D171" s="523" t="s">
        <v>187</v>
      </c>
      <c r="E171" s="455">
        <f>'2'!F171</f>
        <v>74944</v>
      </c>
      <c r="F171" s="514">
        <f t="shared" si="18"/>
        <v>75252</v>
      </c>
      <c r="G171" s="473">
        <f t="shared" si="17"/>
        <v>308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575" t="s">
        <v>356</v>
      </c>
      <c r="B2" s="1036">
        <v>44290</v>
      </c>
      <c r="C2" s="1312" t="s">
        <v>69</v>
      </c>
      <c r="D2" s="611">
        <v>0.8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2" t="s">
        <v>120</v>
      </c>
      <c r="D3" s="612">
        <v>28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2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8" t="s">
        <v>130</v>
      </c>
      <c r="B6" s="1449"/>
      <c r="C6" s="1450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5180846</v>
      </c>
      <c r="F7" s="633">
        <v>5202563</v>
      </c>
      <c r="G7" s="692">
        <f>F7-E7</f>
        <v>21717</v>
      </c>
      <c r="H7" s="682">
        <f>G7+'3'!H7</f>
        <v>88640</v>
      </c>
      <c r="I7" s="683">
        <f>'[3]1'!I7</f>
        <v>12000</v>
      </c>
      <c r="J7" s="684">
        <f>H7/DAY(B2)</f>
        <v>22160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5212541</v>
      </c>
      <c r="F8" s="634">
        <v>5234378</v>
      </c>
      <c r="G8" s="1053">
        <f>F8-E8</f>
        <v>21837</v>
      </c>
      <c r="H8" s="682">
        <f>G8+'3'!H8</f>
        <v>89060</v>
      </c>
      <c r="I8" s="689">
        <v>12000</v>
      </c>
      <c r="J8" s="684">
        <f>H8/DAY(B2)</f>
        <v>22265</v>
      </c>
      <c r="K8" s="549"/>
      <c r="L8" s="425"/>
      <c r="M8" s="440"/>
      <c r="N8" s="706">
        <f>G7/G8</f>
        <v>0.99450473966204145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461045</v>
      </c>
      <c r="F9" s="635">
        <v>482078</v>
      </c>
      <c r="G9" s="705">
        <f t="shared" ref="G9:G12" si="0">F9-E9</f>
        <v>21033</v>
      </c>
      <c r="H9" s="682">
        <f>G9+'3'!H9</f>
        <v>86009</v>
      </c>
      <c r="I9" s="693">
        <f>I8-J8</f>
        <v>-10265</v>
      </c>
      <c r="J9" s="684">
        <f>H9/DAY(B2)</f>
        <v>21502.25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G11+'[3]3'!H11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G12+'[3]3'!H12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21033</v>
      </c>
      <c r="H13" s="682">
        <f>G13+'3'!H13</f>
        <v>86009</v>
      </c>
      <c r="I13" s="698">
        <f>G7-G13</f>
        <v>684</v>
      </c>
      <c r="J13" s="684">
        <f>H13/DAY(B2)</f>
        <v>21502.25</v>
      </c>
      <c r="K13" s="428"/>
      <c r="L13" s="377"/>
      <c r="N13" s="382"/>
    </row>
    <row r="14" spans="1:14">
      <c r="A14" s="1451" t="s">
        <v>139</v>
      </c>
      <c r="B14" s="1452"/>
      <c r="C14" s="1453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1649643</v>
      </c>
      <c r="F15" s="626">
        <v>1650621</v>
      </c>
      <c r="G15" s="777">
        <f>(F15-E15)</f>
        <v>978</v>
      </c>
      <c r="H15" s="682">
        <f>G15+'3'!H15</f>
        <v>3932</v>
      </c>
      <c r="I15" s="474">
        <v>800</v>
      </c>
      <c r="J15" s="553">
        <f>H15/DAY(B2)</f>
        <v>983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-183</v>
      </c>
      <c r="J16" s="553"/>
      <c r="K16" s="428"/>
      <c r="L16" s="377"/>
      <c r="N16" s="382"/>
    </row>
    <row r="17" spans="1:14">
      <c r="A17" s="1451" t="s">
        <v>142</v>
      </c>
      <c r="B17" s="1452"/>
      <c r="C17" s="1453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8" t="s">
        <v>144</v>
      </c>
      <c r="E18" s="635">
        <f>'3'!F18</f>
        <v>10</v>
      </c>
      <c r="F18" s="635">
        <v>12</v>
      </c>
      <c r="G18" s="697">
        <f>F18*10</f>
        <v>120</v>
      </c>
      <c r="H18" s="682">
        <f>G18+'3'!H18</f>
        <v>480</v>
      </c>
      <c r="I18" s="683">
        <f>'[3]1'!I18</f>
        <v>65</v>
      </c>
      <c r="J18" s="684">
        <f>H18/DAY(B2)</f>
        <v>120</v>
      </c>
      <c r="K18" s="428"/>
      <c r="L18" s="377"/>
      <c r="N18" s="382"/>
    </row>
    <row r="19" spans="1:14" ht="27.75">
      <c r="A19" s="1477" t="s">
        <v>71</v>
      </c>
      <c r="B19" s="1478"/>
      <c r="C19" s="1479"/>
      <c r="D19" s="638" t="s">
        <v>144</v>
      </c>
      <c r="E19" s="635">
        <f>'3'!F19</f>
        <v>136249</v>
      </c>
      <c r="F19" s="635">
        <v>136303</v>
      </c>
      <c r="G19" s="692">
        <f t="shared" ref="G19" si="1">F19-E19</f>
        <v>54</v>
      </c>
      <c r="H19" s="682">
        <f>G19+'3'!H19</f>
        <v>213</v>
      </c>
      <c r="I19" s="699"/>
      <c r="J19" s="684">
        <f>H19/DAY(B2)</f>
        <v>53.25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174</v>
      </c>
      <c r="H20" s="682">
        <f>G20+'3'!H20</f>
        <v>693</v>
      </c>
      <c r="I20" s="701">
        <f>I18-J20</f>
        <v>-108.25</v>
      </c>
      <c r="J20" s="684">
        <f>H20/DAY(B2)</f>
        <v>173.25</v>
      </c>
      <c r="K20" s="428"/>
      <c r="L20" s="377"/>
      <c r="N20" s="382"/>
    </row>
    <row r="21" spans="1:14">
      <c r="A21" s="1451" t="s">
        <v>146</v>
      </c>
      <c r="B21" s="1452"/>
      <c r="C21" s="1453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0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10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6" t="s">
        <v>151</v>
      </c>
      <c r="B25" s="1457"/>
      <c r="C25" s="1458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21837</v>
      </c>
      <c r="F27" s="501">
        <v>9</v>
      </c>
      <c r="G27" s="502">
        <f>E27*F27</f>
        <v>196533</v>
      </c>
      <c r="H27" s="682">
        <f>G27+'3'!H27</f>
        <v>801540</v>
      </c>
      <c r="I27" s="503"/>
      <c r="J27" s="552">
        <f>H27/DAY(B2)</f>
        <v>200385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978</v>
      </c>
      <c r="F28" s="501">
        <v>51.45</v>
      </c>
      <c r="G28" s="502">
        <f>E28*F28</f>
        <v>50318.100000000006</v>
      </c>
      <c r="H28" s="682">
        <f>G28+'3'!H28</f>
        <v>202301.40000000002</v>
      </c>
      <c r="I28" s="505"/>
      <c r="J28" s="552">
        <f>H28/DAY(B2)</f>
        <v>50575.350000000006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682">
        <f>G30+'3'!H30</f>
        <v>28542</v>
      </c>
      <c r="I30" s="505"/>
      <c r="J30" s="552">
        <f>H30/DAY(B2)</f>
        <v>7135.5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682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263687.09999999998</v>
      </c>
      <c r="H32" s="682">
        <f>G32+'3'!H32</f>
        <v>1070783.3999999999</v>
      </c>
      <c r="I32" s="509"/>
      <c r="J32" s="552">
        <f>H32/DAY(B2)</f>
        <v>267695.84999999998</v>
      </c>
      <c r="K32" s="373"/>
      <c r="L32" s="443"/>
      <c r="N32" s="382"/>
    </row>
    <row r="33" spans="1:14" ht="25.5" customHeight="1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4">
      <c r="A34" s="598" t="s">
        <v>163</v>
      </c>
      <c r="B34" s="1315"/>
      <c r="C34" s="1315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808261</v>
      </c>
      <c r="F35" s="640">
        <v>811737</v>
      </c>
      <c r="G35" s="473">
        <f t="shared" ref="G35:G46" si="3">F35-E35</f>
        <v>3476</v>
      </c>
      <c r="H35" s="682">
        <f>G35+'3'!H35</f>
        <v>13348</v>
      </c>
      <c r="I35" s="455"/>
      <c r="J35" s="552">
        <f>H35/DAY(B2)</f>
        <v>3337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320349</v>
      </c>
      <c r="F36" s="640">
        <v>321206</v>
      </c>
      <c r="G36" s="473">
        <f t="shared" si="3"/>
        <v>857</v>
      </c>
      <c r="H36" s="682">
        <f>G36+'3'!H36</f>
        <v>3770</v>
      </c>
      <c r="I36" s="455"/>
      <c r="J36" s="552">
        <f>H36/DAY(B2)</f>
        <v>942.5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59122</v>
      </c>
      <c r="F37" s="640">
        <v>60512</v>
      </c>
      <c r="G37" s="473">
        <f t="shared" si="3"/>
        <v>1390</v>
      </c>
      <c r="H37" s="682">
        <f>G37+'3'!H37</f>
        <v>5715</v>
      </c>
      <c r="I37" s="455"/>
      <c r="J37" s="552">
        <f>H37/DAY(B2)</f>
        <v>1428.75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77646</v>
      </c>
      <c r="F38" s="641">
        <v>79329.7</v>
      </c>
      <c r="G38" s="473">
        <f t="shared" si="3"/>
        <v>1683.6999999999971</v>
      </c>
      <c r="H38" s="682">
        <f>G38+'3'!H38</f>
        <v>7021.6999999999971</v>
      </c>
      <c r="I38" s="455"/>
      <c r="J38" s="552">
        <f>H38/DAY(B2)</f>
        <v>1755.4249999999993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164652</v>
      </c>
      <c r="F39" s="640">
        <v>168584</v>
      </c>
      <c r="G39" s="473">
        <f t="shared" si="3"/>
        <v>3932</v>
      </c>
      <c r="H39" s="682">
        <f>G39+'3'!H39</f>
        <v>15762</v>
      </c>
      <c r="I39" s="455"/>
      <c r="J39" s="552">
        <f>H39/DAY(B2)</f>
        <v>3940.5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</v>
      </c>
      <c r="F40" s="640">
        <v>0</v>
      </c>
      <c r="G40" s="473">
        <f t="shared" si="3"/>
        <v>0</v>
      </c>
      <c r="H40" s="682">
        <f>G40+'3'!H40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149398</v>
      </c>
      <c r="F41" s="640">
        <v>155174</v>
      </c>
      <c r="G41" s="473">
        <f t="shared" si="3"/>
        <v>5776</v>
      </c>
      <c r="H41" s="682">
        <f>G41+'3'!H41</f>
        <v>22033</v>
      </c>
      <c r="I41" s="455"/>
      <c r="J41" s="552">
        <f>H41/DAY(B2)</f>
        <v>5508.25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59128</v>
      </c>
      <c r="F42" s="640">
        <v>59128</v>
      </c>
      <c r="G42" s="473">
        <f t="shared" si="3"/>
        <v>0</v>
      </c>
      <c r="H42" s="682">
        <f>G42+'3'!H42</f>
        <v>-0.16000000000349246</v>
      </c>
      <c r="I42" s="455"/>
      <c r="J42" s="552">
        <f>H42/DAY(B2)</f>
        <v>-4.0000000000873115E-2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909758</v>
      </c>
      <c r="F43" s="640">
        <v>912234</v>
      </c>
      <c r="G43" s="473">
        <f t="shared" si="3"/>
        <v>2476</v>
      </c>
      <c r="H43" s="682">
        <f>G43+'3'!H43</f>
        <v>10186</v>
      </c>
      <c r="I43" s="455"/>
      <c r="J43" s="552">
        <f>H43/DAY(B2)</f>
        <v>2546.5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19590.699999999997</v>
      </c>
      <c r="H47" s="682">
        <f>G47+'3'!H47</f>
        <v>78636.539999999994</v>
      </c>
      <c r="I47" s="455"/>
      <c r="J47" s="552">
        <f>H47/DAY(B2)</f>
        <v>19659.134999999998</v>
      </c>
      <c r="K47" s="428"/>
      <c r="L47" s="377"/>
      <c r="N47" s="382"/>
    </row>
    <row r="48" spans="1:14">
      <c r="A48" s="598" t="s">
        <v>177</v>
      </c>
      <c r="B48" s="1315"/>
      <c r="C48" s="1315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</v>
      </c>
      <c r="G49" s="473">
        <f t="shared" ref="G49:G58" si="4">F49-E49</f>
        <v>-0.13000000000465661</v>
      </c>
      <c r="H49" s="682">
        <f>G49+'3'!H49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444868</v>
      </c>
      <c r="F50" s="640">
        <v>445922</v>
      </c>
      <c r="G50" s="473">
        <f t="shared" si="4"/>
        <v>1054</v>
      </c>
      <c r="H50" s="682">
        <f>G50+'3'!H50</f>
        <v>4690</v>
      </c>
      <c r="I50" s="455"/>
      <c r="J50" s="552">
        <f>H50/DAY(B2)</f>
        <v>1172.5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539608</v>
      </c>
      <c r="F52" s="640">
        <v>539608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401785</v>
      </c>
      <c r="F53" s="640">
        <v>402124</v>
      </c>
      <c r="G53" s="473">
        <f t="shared" si="4"/>
        <v>339</v>
      </c>
      <c r="H53" s="682">
        <f>G53+'3'!H53</f>
        <v>860</v>
      </c>
      <c r="I53" s="455"/>
      <c r="J53" s="552">
        <f>H53/DAY(B2)</f>
        <v>215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9384</v>
      </c>
      <c r="F54" s="640">
        <v>9451</v>
      </c>
      <c r="G54" s="473">
        <f t="shared" si="4"/>
        <v>67</v>
      </c>
      <c r="H54" s="682">
        <f>G54+'3'!H54</f>
        <v>285</v>
      </c>
      <c r="I54" s="455"/>
      <c r="J54" s="552">
        <f>H54/DAY(B2)</f>
        <v>71.25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218710</v>
      </c>
      <c r="F55" s="643">
        <v>218939</v>
      </c>
      <c r="G55" s="473">
        <f t="shared" si="4"/>
        <v>229</v>
      </c>
      <c r="H55" s="682">
        <f>G55+'3'!H55</f>
        <v>2842</v>
      </c>
      <c r="I55" s="455"/>
      <c r="J55" s="552">
        <f>H55/DAY(B2)</f>
        <v>710.5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588985</v>
      </c>
      <c r="F56" s="643">
        <v>589013</v>
      </c>
      <c r="G56" s="473">
        <f t="shared" si="4"/>
        <v>28</v>
      </c>
      <c r="H56" s="682">
        <f>G56+'3'!H56</f>
        <v>46</v>
      </c>
      <c r="I56" s="455"/>
      <c r="J56" s="552">
        <f>H56/DAY(B2)</f>
        <v>11.5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7711.33</v>
      </c>
      <c r="F57" s="643">
        <v>7711</v>
      </c>
      <c r="G57" s="473">
        <f t="shared" si="4"/>
        <v>-0.32999999999992724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42118</v>
      </c>
      <c r="F58" s="643">
        <v>42332</v>
      </c>
      <c r="G58" s="473">
        <f t="shared" si="4"/>
        <v>214</v>
      </c>
      <c r="H58" s="682">
        <f>G58+'3'!H58</f>
        <v>785</v>
      </c>
      <c r="I58" s="455"/>
      <c r="J58" s="552">
        <f>H58/DAY(B2)</f>
        <v>196.25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1930.5399999999954</v>
      </c>
      <c r="H59" s="682">
        <f>G59+'3'!H59</f>
        <v>9508</v>
      </c>
      <c r="I59" s="455">
        <f>G7-G60</f>
        <v>195.76000000000931</v>
      </c>
      <c r="J59" s="552">
        <f>H59/DAY(B2)</f>
        <v>2377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21521.239999999991</v>
      </c>
      <c r="H60" s="682">
        <f>G60+'3'!H60</f>
        <v>88144.54</v>
      </c>
      <c r="I60" s="455">
        <f>G13-G60</f>
        <v>-488.23999999999069</v>
      </c>
      <c r="J60" s="552">
        <f>H60/DAY(B2)</f>
        <v>22036.134999999998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'3'!F62</f>
        <v>0</v>
      </c>
      <c r="F62" s="645">
        <v>0</v>
      </c>
      <c r="G62" s="473">
        <f t="shared" ref="G62:G69" si="5">F62-E62</f>
        <v>0</v>
      </c>
      <c r="H62" s="460">
        <f>G62+'[3]3'!H62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2129</v>
      </c>
      <c r="F63" s="645">
        <v>2140</v>
      </c>
      <c r="G63" s="473">
        <f t="shared" si="5"/>
        <v>11</v>
      </c>
      <c r="H63" s="682">
        <f>G63+'3'!H63</f>
        <v>44</v>
      </c>
      <c r="I63" s="515"/>
      <c r="J63" s="552">
        <f>H63/DAY(B2)</f>
        <v>11</v>
      </c>
      <c r="K63" s="428"/>
      <c r="L63" s="377"/>
      <c r="N63" s="382"/>
    </row>
    <row r="64" spans="1:14" ht="27.75">
      <c r="A64" s="1416" t="s">
        <v>99</v>
      </c>
      <c r="B64" s="1417"/>
      <c r="C64" s="1418"/>
      <c r="D64" s="523" t="s">
        <v>187</v>
      </c>
      <c r="E64" s="514">
        <f>'3'!F64</f>
        <v>140552</v>
      </c>
      <c r="F64" s="635">
        <v>141006</v>
      </c>
      <c r="G64" s="473">
        <f t="shared" si="5"/>
        <v>454</v>
      </c>
      <c r="H64" s="682">
        <f>G64+'3'!H64</f>
        <v>1826</v>
      </c>
      <c r="I64" s="480"/>
      <c r="J64" s="552">
        <f>H64/DAY(B2)</f>
        <v>456.5</v>
      </c>
      <c r="K64" s="428"/>
      <c r="L64" s="377"/>
      <c r="N64" s="382"/>
    </row>
    <row r="65" spans="1:14" ht="27.75">
      <c r="A65" s="1416" t="s">
        <v>100</v>
      </c>
      <c r="B65" s="1417"/>
      <c r="C65" s="1418"/>
      <c r="D65" s="523" t="s">
        <v>187</v>
      </c>
      <c r="E65" s="514">
        <f>'3'!F65</f>
        <v>145286</v>
      </c>
      <c r="F65" s="636">
        <v>145662</v>
      </c>
      <c r="G65" s="473">
        <f t="shared" si="5"/>
        <v>376</v>
      </c>
      <c r="H65" s="682">
        <f>G65+'3'!H65</f>
        <v>1457</v>
      </c>
      <c r="I65" s="489"/>
      <c r="J65" s="552">
        <f>H65/DAY(B2)</f>
        <v>364.25</v>
      </c>
      <c r="K65" s="428"/>
      <c r="L65" s="377"/>
      <c r="N65" s="382"/>
    </row>
    <row r="66" spans="1:14" ht="27.75">
      <c r="A66" s="1416" t="s">
        <v>101</v>
      </c>
      <c r="B66" s="1417"/>
      <c r="C66" s="1418"/>
      <c r="D66" s="523" t="s">
        <v>187</v>
      </c>
      <c r="E66" s="514">
        <f>'3'!F66</f>
        <v>38431</v>
      </c>
      <c r="F66" s="635">
        <v>38814</v>
      </c>
      <c r="G66" s="473">
        <f t="shared" si="5"/>
        <v>383</v>
      </c>
      <c r="H66" s="682">
        <f>G66+'3'!H66</f>
        <v>1606</v>
      </c>
      <c r="I66" s="480"/>
      <c r="J66" s="552">
        <f>H66/DAY(B2)</f>
        <v>401.5</v>
      </c>
      <c r="K66" s="428"/>
      <c r="L66" s="377"/>
      <c r="N66" s="382"/>
    </row>
    <row r="67" spans="1:14" ht="27.75">
      <c r="A67" s="1416" t="s">
        <v>102</v>
      </c>
      <c r="B67" s="1417"/>
      <c r="C67" s="1418"/>
      <c r="D67" s="523" t="s">
        <v>187</v>
      </c>
      <c r="E67" s="514">
        <f>'3'!F67</f>
        <v>231034</v>
      </c>
      <c r="F67" s="635">
        <v>231671</v>
      </c>
      <c r="G67" s="473">
        <f t="shared" si="5"/>
        <v>637</v>
      </c>
      <c r="H67" s="682">
        <f>G67+'3'!H67</f>
        <v>2571</v>
      </c>
      <c r="I67" s="489"/>
      <c r="J67" s="552">
        <f>H67/DAY(B2)</f>
        <v>642.75</v>
      </c>
      <c r="K67" s="429"/>
      <c r="L67" s="377"/>
      <c r="N67" s="382"/>
    </row>
    <row r="68" spans="1:14" ht="27.75">
      <c r="A68" s="1416" t="s">
        <v>103</v>
      </c>
      <c r="B68" s="1417"/>
      <c r="C68" s="1418"/>
      <c r="D68" s="523" t="s">
        <v>187</v>
      </c>
      <c r="E68" s="514">
        <f>'3'!F68</f>
        <v>84031</v>
      </c>
      <c r="F68" s="635">
        <v>84386</v>
      </c>
      <c r="G68" s="473">
        <f t="shared" si="5"/>
        <v>355</v>
      </c>
      <c r="H68" s="682">
        <f>G68+'3'!H68</f>
        <v>1299</v>
      </c>
      <c r="I68" s="516"/>
      <c r="J68" s="552">
        <f>H68/DAY(B2)</f>
        <v>324.75</v>
      </c>
      <c r="K68" s="430"/>
      <c r="L68" s="377"/>
      <c r="N68" s="382"/>
    </row>
    <row r="69" spans="1:14" ht="27.75">
      <c r="A69" s="1416" t="s">
        <v>104</v>
      </c>
      <c r="B69" s="1417"/>
      <c r="C69" s="1418"/>
      <c r="D69" s="523" t="s">
        <v>187</v>
      </c>
      <c r="E69" s="514">
        <f>'3'!F69</f>
        <v>75252</v>
      </c>
      <c r="F69" s="635">
        <v>75574.58</v>
      </c>
      <c r="G69" s="473">
        <f t="shared" si="5"/>
        <v>322.58000000000175</v>
      </c>
      <c r="H69" s="682">
        <f>G69+'3'!H69</f>
        <v>1245.5800000000017</v>
      </c>
      <c r="I69" s="516"/>
      <c r="J69" s="552">
        <f>H69/DAY(B2)</f>
        <v>311.39500000000044</v>
      </c>
      <c r="K69" s="431"/>
      <c r="L69" s="377"/>
      <c r="N69" s="382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646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657">
        <v>853494</v>
      </c>
      <c r="F72" s="647">
        <v>853593</v>
      </c>
      <c r="G72" s="473">
        <f t="shared" ref="G72:G84" si="6">F72-E72</f>
        <v>99</v>
      </c>
      <c r="H72" s="682">
        <f>G72+'3'!H72</f>
        <v>414</v>
      </c>
      <c r="I72" s="480"/>
      <c r="J72" s="552">
        <f>H72/DAY(B2)</f>
        <v>103.5</v>
      </c>
      <c r="K72" s="431"/>
      <c r="L72" s="377"/>
      <c r="N72" s="382"/>
    </row>
    <row r="73" spans="1:14" ht="27.75">
      <c r="A73" s="1416" t="s">
        <v>192</v>
      </c>
      <c r="B73" s="1417"/>
      <c r="C73" s="1418"/>
      <c r="D73" s="523" t="s">
        <v>187</v>
      </c>
      <c r="E73" s="658">
        <v>885806</v>
      </c>
      <c r="F73" s="648">
        <v>885808</v>
      </c>
      <c r="G73" s="655">
        <f t="shared" si="6"/>
        <v>2</v>
      </c>
      <c r="H73" s="682">
        <f>G73+'3'!H73</f>
        <v>8</v>
      </c>
      <c r="I73" s="480"/>
      <c r="J73" s="552">
        <f>H73/DAY(B2)</f>
        <v>2</v>
      </c>
      <c r="K73" s="430"/>
      <c r="L73" s="377"/>
      <c r="N73" s="382"/>
    </row>
    <row r="74" spans="1:14" ht="27.75">
      <c r="A74" s="1416" t="s">
        <v>193</v>
      </c>
      <c r="B74" s="1417"/>
      <c r="C74" s="1418"/>
      <c r="D74" s="523" t="s">
        <v>187</v>
      </c>
      <c r="E74" s="659">
        <v>1438</v>
      </c>
      <c r="F74" s="649">
        <v>1456</v>
      </c>
      <c r="G74" s="473">
        <f>F74-E74</f>
        <v>18</v>
      </c>
      <c r="H74" s="682">
        <f>G74+'3'!H74</f>
        <v>86</v>
      </c>
      <c r="I74" s="480"/>
      <c r="J74" s="552">
        <f>H74/DAY(B2)</f>
        <v>21.5</v>
      </c>
      <c r="K74" s="431"/>
      <c r="L74" s="377"/>
      <c r="N74" s="382"/>
    </row>
    <row r="75" spans="1:14" ht="27.75">
      <c r="A75" s="1413" t="s">
        <v>194</v>
      </c>
      <c r="B75" s="1414"/>
      <c r="C75" s="1415"/>
      <c r="D75" s="523" t="s">
        <v>187</v>
      </c>
      <c r="E75" s="659">
        <v>9071</v>
      </c>
      <c r="F75" s="649">
        <v>9195</v>
      </c>
      <c r="G75" s="473">
        <f t="shared" si="6"/>
        <v>124</v>
      </c>
      <c r="H75" s="682">
        <f>G75+'3'!H75</f>
        <v>515</v>
      </c>
      <c r="I75" s="480"/>
      <c r="J75" s="552">
        <f>H75/DAY(B2)</f>
        <v>128.75</v>
      </c>
      <c r="K75" s="430"/>
      <c r="L75" s="377"/>
      <c r="N75" s="382"/>
    </row>
    <row r="76" spans="1:14" ht="27.75">
      <c r="A76" s="1413" t="s">
        <v>195</v>
      </c>
      <c r="B76" s="1414"/>
      <c r="C76" s="1415"/>
      <c r="D76" s="523" t="s">
        <v>187</v>
      </c>
      <c r="E76" s="658">
        <v>4224</v>
      </c>
      <c r="F76" s="648">
        <v>4298</v>
      </c>
      <c r="G76" s="473">
        <f t="shared" si="6"/>
        <v>74</v>
      </c>
      <c r="H76" s="682">
        <f>G76+'3'!H76</f>
        <v>261</v>
      </c>
      <c r="I76" s="505"/>
      <c r="J76" s="552">
        <f>H76/DAY(B2)</f>
        <v>65.25</v>
      </c>
      <c r="K76" s="430"/>
      <c r="L76" s="377"/>
      <c r="N76" s="382"/>
    </row>
    <row r="77" spans="1:14" ht="27.75">
      <c r="A77" s="1416" t="s">
        <v>196</v>
      </c>
      <c r="B77" s="1417"/>
      <c r="C77" s="1418"/>
      <c r="D77" s="523" t="s">
        <v>187</v>
      </c>
      <c r="E77" s="658">
        <v>700355</v>
      </c>
      <c r="F77" s="648">
        <v>700400</v>
      </c>
      <c r="G77" s="655">
        <f t="shared" si="6"/>
        <v>45</v>
      </c>
      <c r="H77" s="682">
        <f>G77+'3'!H77</f>
        <v>186</v>
      </c>
      <c r="I77" s="505"/>
      <c r="J77" s="552">
        <f>H77/DAY(B2)</f>
        <v>46.5</v>
      </c>
      <c r="K77" s="430"/>
      <c r="L77" s="377"/>
      <c r="N77" s="382"/>
    </row>
    <row r="78" spans="1:14" ht="27.75">
      <c r="A78" s="1313" t="s">
        <v>197</v>
      </c>
      <c r="B78" s="1306"/>
      <c r="C78" s="1306"/>
      <c r="D78" s="523" t="s">
        <v>187</v>
      </c>
      <c r="E78" s="659">
        <v>666393</v>
      </c>
      <c r="F78" s="649">
        <v>666750</v>
      </c>
      <c r="G78" s="473">
        <f t="shared" si="6"/>
        <v>357</v>
      </c>
      <c r="H78" s="682">
        <f>G78+'3'!H78</f>
        <v>1370</v>
      </c>
      <c r="I78" s="505"/>
      <c r="J78" s="552">
        <f>H78/DAY(B2)</f>
        <v>342.5</v>
      </c>
      <c r="K78" s="430"/>
      <c r="L78" s="377"/>
      <c r="N78" s="382"/>
    </row>
    <row r="79" spans="1:14" ht="27.75">
      <c r="A79" s="1413" t="s">
        <v>92</v>
      </c>
      <c r="B79" s="1414"/>
      <c r="C79" s="1415"/>
      <c r="D79" s="524" t="s">
        <v>187</v>
      </c>
      <c r="E79" s="659">
        <v>821789</v>
      </c>
      <c r="F79" s="1317">
        <v>821973</v>
      </c>
      <c r="G79" s="473">
        <f t="shared" si="6"/>
        <v>184</v>
      </c>
      <c r="H79" s="682">
        <f>G79+'3'!H79</f>
        <v>760</v>
      </c>
      <c r="I79" s="505"/>
      <c r="J79" s="552">
        <f>H79/DAY(B2)</f>
        <v>190</v>
      </c>
      <c r="K79" s="430"/>
      <c r="L79" s="377"/>
      <c r="N79" s="382"/>
    </row>
    <row r="80" spans="1:14" ht="27.75">
      <c r="A80" s="1413" t="s">
        <v>198</v>
      </c>
      <c r="B80" s="1414"/>
      <c r="C80" s="1415"/>
      <c r="D80" s="524" t="s">
        <v>187</v>
      </c>
      <c r="E80" s="658">
        <v>506727</v>
      </c>
      <c r="F80" s="648">
        <v>507074.76</v>
      </c>
      <c r="G80" s="473">
        <f t="shared" si="6"/>
        <v>347.76000000000931</v>
      </c>
      <c r="H80" s="682">
        <f>G80+'3'!H80</f>
        <v>1375.7600000000093</v>
      </c>
      <c r="I80" s="505"/>
      <c r="J80" s="552">
        <f>H80/DAY(B2)</f>
        <v>343.94000000000233</v>
      </c>
      <c r="K80" s="430"/>
      <c r="L80" s="377"/>
      <c r="N80" s="382"/>
    </row>
    <row r="81" spans="1:15" ht="27.75">
      <c r="A81" s="1413" t="s">
        <v>199</v>
      </c>
      <c r="B81" s="1414"/>
      <c r="C81" s="1415"/>
      <c r="D81" s="524" t="s">
        <v>187</v>
      </c>
      <c r="E81" s="658">
        <v>630917</v>
      </c>
      <c r="F81" s="648">
        <v>631241</v>
      </c>
      <c r="G81" s="473">
        <f t="shared" si="6"/>
        <v>324</v>
      </c>
      <c r="H81" s="682">
        <f>G81+'3'!H81</f>
        <v>1056</v>
      </c>
      <c r="I81" s="505"/>
      <c r="J81" s="552">
        <f>H81/DAY(B2)</f>
        <v>264</v>
      </c>
      <c r="K81" s="430"/>
      <c r="L81" s="377"/>
      <c r="N81" s="382"/>
    </row>
    <row r="82" spans="1:15" ht="27.75">
      <c r="A82" s="1413" t="s">
        <v>93</v>
      </c>
      <c r="B82" s="1414"/>
      <c r="C82" s="1415"/>
      <c r="D82" s="485" t="s">
        <v>132</v>
      </c>
      <c r="E82" s="654">
        <v>106965</v>
      </c>
      <c r="F82" s="636">
        <v>106990</v>
      </c>
      <c r="G82" s="473">
        <f t="shared" si="6"/>
        <v>25</v>
      </c>
      <c r="H82" s="682">
        <f>G82+'3'!H82</f>
        <v>95</v>
      </c>
      <c r="I82" s="486"/>
      <c r="J82" s="552">
        <f>H82/DAY(B2)</f>
        <v>23.75</v>
      </c>
      <c r="K82" s="430"/>
      <c r="L82" s="377"/>
      <c r="N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v>7827</v>
      </c>
      <c r="F83" s="1318">
        <v>8087</v>
      </c>
      <c r="G83" s="473">
        <f t="shared" si="6"/>
        <v>260</v>
      </c>
      <c r="H83" s="682">
        <f>G83+'3'!H83</f>
        <v>1030</v>
      </c>
      <c r="I83" s="481"/>
      <c r="J83" s="552">
        <f>H83/DAY(B2)</f>
        <v>257.5</v>
      </c>
      <c r="K83" s="429"/>
      <c r="L83" s="377"/>
      <c r="N83" s="382"/>
    </row>
    <row r="84" spans="1:15">
      <c r="A84" s="1314" t="s">
        <v>201</v>
      </c>
      <c r="B84" s="571"/>
      <c r="C84" s="571"/>
      <c r="D84" s="478" t="s">
        <v>132</v>
      </c>
      <c r="E84" s="627">
        <v>457333</v>
      </c>
      <c r="F84" s="650">
        <v>458295</v>
      </c>
      <c r="G84" s="473">
        <f t="shared" si="6"/>
        <v>962</v>
      </c>
      <c r="H84" s="682">
        <f>G84+'3'!H84</f>
        <v>3611</v>
      </c>
      <c r="I84" s="481"/>
      <c r="J84" s="552">
        <f>H84/DAY(B2)</f>
        <v>902.75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2821.7600000000093</v>
      </c>
      <c r="H85" s="682">
        <f>G85+'3'!H85</f>
        <v>10767.760000000009</v>
      </c>
      <c r="I85" s="481"/>
      <c r="J85" s="552">
        <f>H85/DAY(B2)</f>
        <v>2691.9400000000023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455114</v>
      </c>
      <c r="F86" s="650">
        <v>455237</v>
      </c>
      <c r="G86" s="708">
        <f t="shared" ref="G86:G87" si="7">F86-E86</f>
        <v>123</v>
      </c>
      <c r="H86" s="682">
        <f>G86+'3'!H86</f>
        <v>656</v>
      </c>
      <c r="I86" s="655"/>
      <c r="J86" s="710">
        <f>H86/DAY(B2)</f>
        <v>164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80280</v>
      </c>
      <c r="F87" s="650">
        <v>80295</v>
      </c>
      <c r="G87" s="708">
        <f t="shared" si="7"/>
        <v>15</v>
      </c>
      <c r="H87" s="682">
        <f>G87+'3'!H87</f>
        <v>110</v>
      </c>
      <c r="I87" s="655"/>
      <c r="J87" s="710">
        <f>H87/DAY(B2)</f>
        <v>27.5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150867</v>
      </c>
      <c r="F88" s="650">
        <v>150903</v>
      </c>
      <c r="G88" s="708">
        <f>F88-E88</f>
        <v>36</v>
      </c>
      <c r="H88" s="682">
        <f>G88+'3'!H88</f>
        <v>304</v>
      </c>
      <c r="I88" s="655"/>
      <c r="J88" s="710">
        <f>H88/DAY(B2)</f>
        <v>76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63682</v>
      </c>
      <c r="F89" s="650">
        <v>63728</v>
      </c>
      <c r="G89" s="708">
        <f>F89-E89</f>
        <v>46</v>
      </c>
      <c r="H89" s="682">
        <f>G89+'3'!H89</f>
        <v>174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3271</v>
      </c>
      <c r="F90" s="650">
        <v>3271</v>
      </c>
      <c r="G90" s="708">
        <f t="shared" ref="G90" si="8">F90-E90</f>
        <v>0</v>
      </c>
      <c r="H90" s="682">
        <f>G90+'3'!H90</f>
        <v>1</v>
      </c>
      <c r="I90" s="655"/>
      <c r="J90" s="710">
        <f>H90/DAY(B2)</f>
        <v>0.25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'3'!F92</f>
        <v>242898</v>
      </c>
      <c r="F92" s="635">
        <v>242974</v>
      </c>
      <c r="G92" s="473">
        <f t="shared" ref="G92:G93" si="9">F92-E92</f>
        <v>76</v>
      </c>
      <c r="H92" s="682">
        <f>G92+'3'!H92</f>
        <v>328</v>
      </c>
      <c r="I92" s="480"/>
      <c r="J92" s="552">
        <f>H92/DAY(B2)</f>
        <v>82</v>
      </c>
      <c r="K92" s="429"/>
      <c r="L92" s="377"/>
      <c r="N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'3'!F93</f>
        <v>180107</v>
      </c>
      <c r="F93" s="635">
        <v>180273</v>
      </c>
      <c r="G93" s="473">
        <f t="shared" si="9"/>
        <v>166</v>
      </c>
      <c r="H93" s="682">
        <f>G93+'3'!H93</f>
        <v>594</v>
      </c>
      <c r="I93" s="480"/>
      <c r="J93" s="552">
        <f>H93/DAY(B2)</f>
        <v>148.5</v>
      </c>
      <c r="K93" s="380"/>
      <c r="L93" s="377"/>
      <c r="N93" s="382"/>
    </row>
    <row r="94" spans="1:15">
      <c r="A94" s="1465" t="s">
        <v>208</v>
      </c>
      <c r="B94" s="1466"/>
      <c r="C94" s="1467"/>
      <c r="D94" s="523"/>
      <c r="E94" s="484"/>
      <c r="F94" s="635"/>
      <c r="G94" s="473">
        <f>G92+G93</f>
        <v>242</v>
      </c>
      <c r="H94" s="682">
        <f>G94+'3'!H94</f>
        <v>703</v>
      </c>
      <c r="I94" s="480"/>
      <c r="J94" s="552">
        <f>H94/DAY(B2)</f>
        <v>175.75</v>
      </c>
      <c r="K94" s="380"/>
      <c r="L94" s="377"/>
      <c r="N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'3'!F95</f>
        <v>411021</v>
      </c>
      <c r="F95" s="635">
        <v>411092</v>
      </c>
      <c r="G95" s="473">
        <f t="shared" ref="G95:G100" si="10">F95-E95</f>
        <v>71</v>
      </c>
      <c r="H95" s="682">
        <f>G95+'3'!H95</f>
        <v>307</v>
      </c>
      <c r="I95" s="480"/>
      <c r="J95" s="552">
        <f>H95/DAY(B2)</f>
        <v>76.75</v>
      </c>
      <c r="K95" s="380"/>
      <c r="L95" s="377"/>
      <c r="N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f>'3'!F96</f>
        <v>101887</v>
      </c>
      <c r="F96" s="635">
        <v>101906</v>
      </c>
      <c r="G96" s="473">
        <f t="shared" si="10"/>
        <v>19</v>
      </c>
      <c r="H96" s="682">
        <f>G96+'3'!H96</f>
        <v>75</v>
      </c>
      <c r="I96" s="480"/>
      <c r="J96" s="552">
        <f>H96/DAY(B2)</f>
        <v>18.75</v>
      </c>
      <c r="K96" s="427"/>
      <c r="L96" s="377"/>
      <c r="N96" s="382"/>
    </row>
    <row r="97" spans="1:14" ht="27.75">
      <c r="A97" s="1310" t="s">
        <v>211</v>
      </c>
      <c r="B97" s="1311"/>
      <c r="C97" s="1311"/>
      <c r="D97" s="523" t="s">
        <v>144</v>
      </c>
      <c r="E97" s="484">
        <f>'3'!F97</f>
        <v>96980</v>
      </c>
      <c r="F97" s="635">
        <v>96998</v>
      </c>
      <c r="G97" s="473">
        <f t="shared" si="10"/>
        <v>18</v>
      </c>
      <c r="H97" s="682">
        <f>G97+'3'!H97</f>
        <v>70</v>
      </c>
      <c r="I97" s="480"/>
      <c r="J97" s="552">
        <f>H97/DAY(B2)</f>
        <v>17.5</v>
      </c>
      <c r="K97" s="432"/>
      <c r="L97" s="377"/>
      <c r="N97" s="382"/>
    </row>
    <row r="98" spans="1:14" ht="27.75">
      <c r="A98" s="1310" t="s">
        <v>212</v>
      </c>
      <c r="B98" s="1311"/>
      <c r="C98" s="1311"/>
      <c r="D98" s="523" t="s">
        <v>144</v>
      </c>
      <c r="E98" s="484">
        <f>'3'!F98</f>
        <v>149043</v>
      </c>
      <c r="F98" s="635">
        <v>149097</v>
      </c>
      <c r="G98" s="473">
        <f t="shared" si="10"/>
        <v>54</v>
      </c>
      <c r="H98" s="682">
        <f>G98+'3'!H98</f>
        <v>188</v>
      </c>
      <c r="I98" s="480"/>
      <c r="J98" s="552">
        <f>H98/DAY(B2)</f>
        <v>47</v>
      </c>
      <c r="K98" s="380"/>
      <c r="L98" s="377"/>
      <c r="N98" s="382"/>
    </row>
    <row r="99" spans="1:14" ht="27.75">
      <c r="A99" s="1310" t="s">
        <v>213</v>
      </c>
      <c r="B99" s="1311"/>
      <c r="C99" s="1311"/>
      <c r="D99" s="523" t="s">
        <v>144</v>
      </c>
      <c r="E99" s="484">
        <f>'3'!F99</f>
        <v>6897</v>
      </c>
      <c r="F99" s="635">
        <v>6916</v>
      </c>
      <c r="G99" s="473">
        <f t="shared" si="10"/>
        <v>19</v>
      </c>
      <c r="H99" s="682">
        <f>G99+'3'!H99</f>
        <v>61</v>
      </c>
      <c r="I99" s="480"/>
      <c r="J99" s="552">
        <f>H99/DAY(B2)</f>
        <v>15.25</v>
      </c>
      <c r="K99" s="380"/>
      <c r="L99" s="377"/>
      <c r="N99" s="382"/>
    </row>
    <row r="100" spans="1:14" ht="27.75">
      <c r="A100" s="1310" t="s">
        <v>214</v>
      </c>
      <c r="B100" s="1311"/>
      <c r="C100" s="1311"/>
      <c r="D100" s="523" t="s">
        <v>144</v>
      </c>
      <c r="E100" s="484">
        <f>'3'!F100</f>
        <v>4962</v>
      </c>
      <c r="F100" s="635">
        <v>4969</v>
      </c>
      <c r="G100" s="473">
        <f t="shared" si="10"/>
        <v>7</v>
      </c>
      <c r="H100" s="682">
        <f>G100+'3'!H100</f>
        <v>26</v>
      </c>
      <c r="I100" s="480"/>
      <c r="J100" s="552">
        <f>H100/DAY(B2)</f>
        <v>6.5</v>
      </c>
      <c r="K100" s="380"/>
      <c r="L100" s="377"/>
      <c r="N100" s="382"/>
    </row>
    <row r="101" spans="1:14">
      <c r="A101" s="1465" t="s">
        <v>216</v>
      </c>
      <c r="B101" s="1466"/>
      <c r="C101" s="1467"/>
      <c r="D101" s="524"/>
      <c r="E101" s="524"/>
      <c r="F101" s="639"/>
      <c r="G101" s="525">
        <f>SUM(G95:G100)</f>
        <v>188</v>
      </c>
      <c r="H101" s="682">
        <f>G101+'3'!H101</f>
        <v>727</v>
      </c>
      <c r="I101" s="526"/>
      <c r="J101" s="552">
        <f>H101/DAY(B2)</f>
        <v>181.75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1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309"/>
      <c r="D104" s="622" t="s">
        <v>144</v>
      </c>
      <c r="E104" s="532">
        <f>'3'!F104</f>
        <v>7333</v>
      </c>
      <c r="F104" s="532">
        <v>7333</v>
      </c>
      <c r="G104" s="532">
        <f>F104-E104</f>
        <v>0</v>
      </c>
      <c r="H104" s="682">
        <f>G104+'3'!H104</f>
        <v>8</v>
      </c>
      <c r="I104" s="532"/>
      <c r="J104" s="558">
        <f>H104/DAY(B2)</f>
        <v>2</v>
      </c>
      <c r="N104" s="382"/>
    </row>
    <row r="105" spans="1:14" s="442" customFormat="1" ht="27.75">
      <c r="A105" s="1429" t="s">
        <v>77</v>
      </c>
      <c r="B105" s="1430"/>
      <c r="C105" s="1309"/>
      <c r="D105" s="622" t="s">
        <v>144</v>
      </c>
      <c r="E105" s="532">
        <f>'3'!F105</f>
        <v>35676</v>
      </c>
      <c r="F105" s="534">
        <v>35681</v>
      </c>
      <c r="G105" s="532">
        <f t="shared" ref="G105:G106" si="11">F105-E105</f>
        <v>5</v>
      </c>
      <c r="H105" s="682">
        <f>G105+'3'!H105</f>
        <v>25</v>
      </c>
      <c r="I105" s="532"/>
      <c r="J105" s="558">
        <f>H105/DAY(B2)</f>
        <v>6.25</v>
      </c>
      <c r="N105" s="382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532">
        <f>'3'!F106</f>
        <v>19436</v>
      </c>
      <c r="F106" s="1051">
        <v>19443</v>
      </c>
      <c r="G106" s="532">
        <f t="shared" si="11"/>
        <v>7</v>
      </c>
      <c r="H106" s="682">
        <f>G106+'3'!H106</f>
        <v>25</v>
      </c>
      <c r="I106" s="532"/>
      <c r="J106" s="558">
        <f>H106/DAY(B2)</f>
        <v>6.25</v>
      </c>
      <c r="N106" s="382"/>
    </row>
    <row r="107" spans="1:14" s="442" customFormat="1" ht="27.75">
      <c r="A107" s="1431" t="s">
        <v>202</v>
      </c>
      <c r="B107" s="1432"/>
      <c r="C107" s="1309"/>
      <c r="D107" s="622"/>
      <c r="E107" s="532" t="str">
        <f>'3'!F107</f>
        <v>.</v>
      </c>
      <c r="F107" s="532"/>
      <c r="G107" s="532">
        <f>SUM(G104:G106)</f>
        <v>12</v>
      </c>
      <c r="H107" s="682">
        <f>G107+'3'!H107</f>
        <v>58</v>
      </c>
      <c r="I107" s="532"/>
      <c r="J107" s="558">
        <f>H107/DAY(B2)</f>
        <v>14.5</v>
      </c>
      <c r="N107" s="382"/>
    </row>
    <row r="108" spans="1:14" s="442" customFormat="1" ht="27.75">
      <c r="A108" s="1435" t="s">
        <v>79</v>
      </c>
      <c r="B108" s="1436"/>
      <c r="C108" s="1309"/>
      <c r="D108" s="622" t="s">
        <v>144</v>
      </c>
      <c r="E108" s="532">
        <f>'3'!F108</f>
        <v>0</v>
      </c>
      <c r="F108" s="532"/>
      <c r="G108" s="532"/>
      <c r="H108" s="682">
        <f>G108+'3'!H108</f>
        <v>0</v>
      </c>
      <c r="I108" s="532"/>
      <c r="J108" s="558"/>
      <c r="N108" s="382"/>
    </row>
    <row r="109" spans="1:14" s="442" customFormat="1" ht="27.75">
      <c r="A109" s="1429" t="s">
        <v>220</v>
      </c>
      <c r="B109" s="1430"/>
      <c r="C109" s="1309"/>
      <c r="D109" s="622" t="s">
        <v>144</v>
      </c>
      <c r="E109" s="532">
        <f>'3'!F109</f>
        <v>59142</v>
      </c>
      <c r="F109" s="532">
        <v>59204</v>
      </c>
      <c r="G109" s="532">
        <f>F109-E109</f>
        <v>62</v>
      </c>
      <c r="H109" s="682">
        <f>G109+'3'!H109</f>
        <v>331</v>
      </c>
      <c r="I109" s="532"/>
      <c r="J109" s="558">
        <f>H109/DAY(B2)</f>
        <v>82.75</v>
      </c>
      <c r="N109" s="382"/>
    </row>
    <row r="110" spans="1:14" s="442" customFormat="1" ht="27.75">
      <c r="A110" s="1429" t="s">
        <v>221</v>
      </c>
      <c r="B110" s="1430"/>
      <c r="C110" s="1309"/>
      <c r="D110" s="622" t="s">
        <v>144</v>
      </c>
      <c r="E110" s="532">
        <f>'3'!F110</f>
        <v>31761</v>
      </c>
      <c r="F110" s="532">
        <v>31805</v>
      </c>
      <c r="G110" s="532">
        <f t="shared" ref="G110:G111" si="12">F110-E110</f>
        <v>44</v>
      </c>
      <c r="H110" s="682">
        <f>G110+'3'!H110</f>
        <v>159</v>
      </c>
      <c r="I110" s="532"/>
      <c r="J110" s="558">
        <f>H110/DAY(B2)</f>
        <v>39.75</v>
      </c>
      <c r="N110" s="382"/>
    </row>
    <row r="111" spans="1:14" s="442" customFormat="1" ht="27.75">
      <c r="A111" s="1429" t="s">
        <v>222</v>
      </c>
      <c r="B111" s="1430"/>
      <c r="C111" s="1309"/>
      <c r="D111" s="622" t="s">
        <v>144</v>
      </c>
      <c r="E111" s="532">
        <f>'3'!F111</f>
        <v>4198</v>
      </c>
      <c r="F111" s="532">
        <v>4198</v>
      </c>
      <c r="G111" s="532">
        <f t="shared" si="12"/>
        <v>0</v>
      </c>
      <c r="H111" s="682">
        <f>G111+'3'!H111</f>
        <v>42</v>
      </c>
      <c r="I111" s="532"/>
      <c r="J111" s="558">
        <f>H111/DAY(B2)</f>
        <v>10.5</v>
      </c>
      <c r="N111" s="382"/>
    </row>
    <row r="112" spans="1:14" s="442" customFormat="1" ht="27.75">
      <c r="A112" s="1431" t="s">
        <v>110</v>
      </c>
      <c r="B112" s="1432"/>
      <c r="C112" s="1309"/>
      <c r="D112" s="622"/>
      <c r="E112" s="532">
        <f>'3'!F112</f>
        <v>0</v>
      </c>
      <c r="F112" s="532"/>
      <c r="G112" s="532">
        <f>SUM(G109:G111)</f>
        <v>106</v>
      </c>
      <c r="H112" s="682">
        <f>G112+'3'!H112</f>
        <v>532</v>
      </c>
      <c r="I112" s="532"/>
      <c r="J112" s="558">
        <f>H112/DAY(B2)</f>
        <v>133</v>
      </c>
      <c r="N112" s="382"/>
    </row>
    <row r="113" spans="1:14" s="442" customFormat="1" ht="27.75">
      <c r="A113" s="1435" t="s">
        <v>223</v>
      </c>
      <c r="B113" s="1436"/>
      <c r="C113" s="1309"/>
      <c r="D113" s="622"/>
      <c r="E113" s="532">
        <f>'3'!F113</f>
        <v>0</v>
      </c>
      <c r="F113" s="532"/>
      <c r="G113" s="532"/>
      <c r="H113" s="682">
        <f>G113+'3'!H113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'3'!F114</f>
        <v>10908</v>
      </c>
      <c r="F114" s="534">
        <v>10929</v>
      </c>
      <c r="G114" s="534">
        <f>F114-E114</f>
        <v>21</v>
      </c>
      <c r="H114" s="682">
        <f>G114+'3'!H114</f>
        <v>72</v>
      </c>
      <c r="I114" s="532"/>
      <c r="J114" s="558">
        <f>H114/DAY(B2)</f>
        <v>18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'3'!F115</f>
        <v>7989</v>
      </c>
      <c r="F115" s="534">
        <v>7995</v>
      </c>
      <c r="G115" s="534">
        <f t="shared" ref="G115:G116" si="13">F115-E115</f>
        <v>6</v>
      </c>
      <c r="H115" s="682">
        <f>G115+'3'!H115</f>
        <v>20</v>
      </c>
      <c r="I115" s="532"/>
      <c r="J115" s="558">
        <f>H115/DAY(B2)</f>
        <v>5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534">
        <f t="shared" si="13"/>
        <v>0</v>
      </c>
      <c r="H116" s="682">
        <f>G116+'3'!H116</f>
        <v>0</v>
      </c>
      <c r="I116" s="532"/>
      <c r="J116" s="558">
        <f>H116/DAY(B2)</f>
        <v>0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534"/>
      <c r="G117" s="534">
        <f>SUM(G114:G116)</f>
        <v>27</v>
      </c>
      <c r="H117" s="682">
        <f>G117+'3'!H117</f>
        <v>92</v>
      </c>
      <c r="I117" s="534"/>
      <c r="J117" s="558">
        <f>H117/DAY(B2)</f>
        <v>23</v>
      </c>
      <c r="N117" s="382"/>
    </row>
    <row r="118" spans="1:14" s="446" customFormat="1" ht="27.75">
      <c r="A118" s="1425" t="s">
        <v>227</v>
      </c>
      <c r="B118" s="1426"/>
      <c r="C118" s="1307"/>
      <c r="D118" s="624" t="s">
        <v>144</v>
      </c>
      <c r="E118" s="536"/>
      <c r="F118" s="536">
        <f>SUM(G19+G92)</f>
        <v>130</v>
      </c>
      <c r="G118" s="536">
        <f>SUM(G19+G92)</f>
        <v>130</v>
      </c>
      <c r="H118" s="682">
        <f>G118+'3'!H118</f>
        <v>541</v>
      </c>
      <c r="I118" s="535"/>
      <c r="J118" s="559">
        <f>H118/DAY(B2)</f>
        <v>135.25</v>
      </c>
      <c r="N118" s="382"/>
    </row>
    <row r="119" spans="1:14" s="446" customFormat="1" ht="27.75">
      <c r="A119" s="1425" t="s">
        <v>228</v>
      </c>
      <c r="B119" s="1426"/>
      <c r="C119" s="1307"/>
      <c r="D119" s="624" t="s">
        <v>144</v>
      </c>
      <c r="E119" s="536"/>
      <c r="F119" s="536">
        <f>SUM(G95,G96,G97,G99,G100)</f>
        <v>134</v>
      </c>
      <c r="G119" s="536">
        <f>SUM(G95,G96,G97,G99,G100)</f>
        <v>134</v>
      </c>
      <c r="H119" s="682">
        <f>G119+'3'!H119</f>
        <v>539</v>
      </c>
      <c r="I119" s="535"/>
      <c r="J119" s="559">
        <f>H119/DAY(B2)</f>
        <v>134.75</v>
      </c>
      <c r="N119" s="382"/>
    </row>
    <row r="120" spans="1:14" s="446" customFormat="1" ht="27.75">
      <c r="A120" s="1425" t="s">
        <v>229</v>
      </c>
      <c r="B120" s="1426"/>
      <c r="C120" s="1307"/>
      <c r="D120" s="624" t="s">
        <v>144</v>
      </c>
      <c r="E120" s="534"/>
      <c r="F120" s="534">
        <f>SUM(G112)</f>
        <v>106</v>
      </c>
      <c r="G120" s="534">
        <f>SUM(G112)</f>
        <v>106</v>
      </c>
      <c r="H120" s="682">
        <f>G120+'3'!H120</f>
        <v>532</v>
      </c>
      <c r="I120" s="535"/>
      <c r="J120" s="559">
        <f>H120/DAY(B2)</f>
        <v>133</v>
      </c>
      <c r="N120" s="382"/>
    </row>
    <row r="121" spans="1:14" s="442" customFormat="1" ht="27.75">
      <c r="A121" s="1427"/>
      <c r="B121" s="1428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0" t="s">
        <v>231</v>
      </c>
      <c r="B123" s="1311"/>
      <c r="C123" s="1311"/>
      <c r="D123" s="523" t="s">
        <v>141</v>
      </c>
      <c r="E123" s="478">
        <f>'3'!F123</f>
        <v>819570</v>
      </c>
      <c r="F123" s="635">
        <v>819834</v>
      </c>
      <c r="G123" s="473">
        <f t="shared" ref="G123:G127" si="14">F123-E123</f>
        <v>264</v>
      </c>
      <c r="H123" s="682">
        <f>G123+'3'!H123</f>
        <v>1024</v>
      </c>
      <c r="I123" s="526"/>
      <c r="J123" s="552">
        <f>H123/DAY(B2)</f>
        <v>256</v>
      </c>
      <c r="K123" s="380"/>
      <c r="L123" s="377"/>
      <c r="N123" s="382"/>
    </row>
    <row r="124" spans="1:14" ht="27.75">
      <c r="A124" s="1310" t="s">
        <v>232</v>
      </c>
      <c r="B124" s="1311"/>
      <c r="C124" s="1311"/>
      <c r="D124" s="523" t="s">
        <v>141</v>
      </c>
      <c r="E124" s="478">
        <f>'3'!F124</f>
        <v>73583</v>
      </c>
      <c r="F124" s="652">
        <v>73583</v>
      </c>
      <c r="G124" s="473">
        <f t="shared" si="14"/>
        <v>0</v>
      </c>
      <c r="H124" s="682">
        <f>G124+'3'!H124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'3'!F125</f>
        <v>142407</v>
      </c>
      <c r="F125" s="635">
        <v>142512</v>
      </c>
      <c r="G125" s="473">
        <f t="shared" si="14"/>
        <v>105</v>
      </c>
      <c r="H125" s="682">
        <f>G125+'3'!H125</f>
        <v>376</v>
      </c>
      <c r="I125" s="526"/>
      <c r="J125" s="552">
        <f>H125/DAY(B2)</f>
        <v>94</v>
      </c>
      <c r="K125" s="380"/>
      <c r="L125" s="377"/>
      <c r="N125" s="382"/>
    </row>
    <row r="126" spans="1:14" ht="27.75">
      <c r="A126" s="609" t="s">
        <v>234</v>
      </c>
      <c r="B126" s="1311"/>
      <c r="C126" s="1311"/>
      <c r="D126" s="523" t="s">
        <v>141</v>
      </c>
      <c r="E126" s="478">
        <f>'3'!F126</f>
        <v>31329.200000000001</v>
      </c>
      <c r="F126" s="652">
        <v>31353</v>
      </c>
      <c r="G126" s="473">
        <f t="shared" si="14"/>
        <v>23.799999999999272</v>
      </c>
      <c r="H126" s="682">
        <f>G126+'3'!H126</f>
        <v>34.299999999999272</v>
      </c>
      <c r="I126" s="526"/>
      <c r="J126" s="552">
        <f>H126/DAY(B2)</f>
        <v>8.5749999999998181</v>
      </c>
      <c r="K126" s="380"/>
      <c r="L126" s="377"/>
      <c r="N126" s="382"/>
    </row>
    <row r="127" spans="1:14" ht="27.75">
      <c r="A127" s="609" t="s">
        <v>235</v>
      </c>
      <c r="B127" s="1311"/>
      <c r="C127" s="1311"/>
      <c r="D127" s="523" t="s">
        <v>141</v>
      </c>
      <c r="E127" s="478">
        <f>'3'!F127</f>
        <v>8966</v>
      </c>
      <c r="F127" s="652">
        <v>8966</v>
      </c>
      <c r="G127" s="473">
        <f t="shared" si="14"/>
        <v>0</v>
      </c>
      <c r="H127" s="682">
        <f>G127+'3'!H127</f>
        <v>4</v>
      </c>
      <c r="I127" s="480"/>
      <c r="J127" s="552">
        <f>H127/DAY(B2)</f>
        <v>1</v>
      </c>
      <c r="K127" s="380"/>
      <c r="L127" s="377"/>
      <c r="N127" s="382"/>
    </row>
    <row r="128" spans="1:14" s="281" customFormat="1" ht="27.75">
      <c r="A128" s="609" t="s">
        <v>236</v>
      </c>
      <c r="B128" s="1311"/>
      <c r="C128" s="1311"/>
      <c r="D128" s="523"/>
      <c r="E128" s="478"/>
      <c r="F128" s="635"/>
      <c r="G128" s="473">
        <f>G15-SUM(G123:G127)</f>
        <v>585.20000000000073</v>
      </c>
      <c r="H128" s="682">
        <f>G128+'3'!H128</f>
        <v>2494.0999999999949</v>
      </c>
      <c r="I128" s="480"/>
      <c r="J128" s="552">
        <f>H128/DAY(B2)</f>
        <v>623.52499999999873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0" t="s">
        <v>238</v>
      </c>
      <c r="B130" s="1311"/>
      <c r="C130" s="1311"/>
      <c r="D130" s="523" t="s">
        <v>239</v>
      </c>
      <c r="E130" s="484">
        <f>'3'!F130</f>
        <v>0</v>
      </c>
      <c r="F130" s="635">
        <v>0</v>
      </c>
      <c r="G130" s="473">
        <f t="shared" ref="G130:G140" si="15">F130-E130</f>
        <v>0</v>
      </c>
      <c r="H130" s="682">
        <f>G130+'3'!H130</f>
        <v>0</v>
      </c>
      <c r="I130" s="480"/>
      <c r="J130" s="552">
        <f>H130/DAY(B2)</f>
        <v>0</v>
      </c>
      <c r="N130" s="382"/>
    </row>
    <row r="131" spans="1:14" ht="27.75">
      <c r="A131" s="1310" t="s">
        <v>240</v>
      </c>
      <c r="B131" s="1311"/>
      <c r="C131" s="1311"/>
      <c r="D131" s="523" t="s">
        <v>239</v>
      </c>
      <c r="E131" s="484">
        <f>'3'!F131</f>
        <v>0</v>
      </c>
      <c r="F131" s="635">
        <v>0</v>
      </c>
      <c r="G131" s="473">
        <f t="shared" si="15"/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10" t="s">
        <v>241</v>
      </c>
      <c r="B132" s="1311"/>
      <c r="C132" s="1311"/>
      <c r="D132" s="523" t="s">
        <v>239</v>
      </c>
      <c r="E132" s="484">
        <f>'3'!F132</f>
        <v>39605.199999999997</v>
      </c>
      <c r="F132" s="636">
        <v>39629</v>
      </c>
      <c r="G132" s="473">
        <f t="shared" si="15"/>
        <v>23.80000000000291</v>
      </c>
      <c r="H132" s="682">
        <f>G132+'3'!H132</f>
        <v>96</v>
      </c>
      <c r="I132" s="480"/>
      <c r="J132" s="552">
        <f>H132/DAY(B2)</f>
        <v>24</v>
      </c>
      <c r="N132" s="382"/>
    </row>
    <row r="133" spans="1:14" ht="27.75">
      <c r="A133" s="1310" t="s">
        <v>242</v>
      </c>
      <c r="B133" s="1311"/>
      <c r="C133" s="1311"/>
      <c r="D133" s="523" t="s">
        <v>239</v>
      </c>
      <c r="E133" s="484">
        <f>'3'!F133</f>
        <v>300</v>
      </c>
      <c r="F133" s="652">
        <v>300</v>
      </c>
      <c r="G133" s="473">
        <f t="shared" si="15"/>
        <v>0</v>
      </c>
      <c r="H133" s="682">
        <f>G133+'3'!H133</f>
        <v>0</v>
      </c>
      <c r="I133" s="480">
        <f>G132+G133+G134+G135</f>
        <v>25.430000000000291</v>
      </c>
      <c r="J133" s="552">
        <f>H133/DAY(B2)</f>
        <v>0</v>
      </c>
      <c r="N133" s="382"/>
    </row>
    <row r="134" spans="1:14" ht="27.75">
      <c r="A134" s="1310" t="s">
        <v>243</v>
      </c>
      <c r="B134" s="1311"/>
      <c r="C134" s="1311"/>
      <c r="D134" s="523" t="s">
        <v>239</v>
      </c>
      <c r="E134" s="484">
        <f>'3'!F134</f>
        <v>40853.370000000003</v>
      </c>
      <c r="F134" s="652">
        <v>40855</v>
      </c>
      <c r="G134" s="473">
        <f t="shared" si="15"/>
        <v>1.6299999999973807</v>
      </c>
      <c r="H134" s="682">
        <f>G134+'3'!H134</f>
        <v>16</v>
      </c>
      <c r="I134" s="480"/>
      <c r="J134" s="552">
        <f>H134/DAY(B2)</f>
        <v>4</v>
      </c>
      <c r="N134" s="382"/>
    </row>
    <row r="135" spans="1:14" ht="27.75">
      <c r="A135" s="1310" t="s">
        <v>244</v>
      </c>
      <c r="B135" s="1311"/>
      <c r="C135" s="1311"/>
      <c r="D135" s="523" t="s">
        <v>239</v>
      </c>
      <c r="E135" s="484">
        <f>'3'!F135</f>
        <v>32583</v>
      </c>
      <c r="F135" s="652">
        <v>32583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10" t="s">
        <v>245</v>
      </c>
      <c r="B136" s="1311"/>
      <c r="C136" s="1311"/>
      <c r="D136" s="523" t="s">
        <v>239</v>
      </c>
      <c r="E136" s="484">
        <f>'3'!F136</f>
        <v>22519.53</v>
      </c>
      <c r="F136" s="636">
        <v>22529.69</v>
      </c>
      <c r="G136" s="473">
        <f t="shared" si="15"/>
        <v>10.159999999999854</v>
      </c>
      <c r="H136" s="682">
        <f>G136+'3'!H136</f>
        <v>41.039999999997235</v>
      </c>
      <c r="I136" s="480">
        <f>G136+G137+G138</f>
        <v>13.409999999999854</v>
      </c>
      <c r="J136" s="552">
        <f>H136/DAY(B2)</f>
        <v>10.259999999999309</v>
      </c>
      <c r="N136" s="382"/>
    </row>
    <row r="137" spans="1:14" ht="27.75">
      <c r="A137" s="1310" t="s">
        <v>246</v>
      </c>
      <c r="B137" s="1311"/>
      <c r="C137" s="1311"/>
      <c r="D137" s="523" t="s">
        <v>239</v>
      </c>
      <c r="E137" s="484">
        <f>'3'!F137</f>
        <v>25048.97</v>
      </c>
      <c r="F137" s="636">
        <v>25048.97</v>
      </c>
      <c r="G137" s="473">
        <f t="shared" si="15"/>
        <v>0</v>
      </c>
      <c r="H137" s="682">
        <f>G137+'3'!H137</f>
        <v>0.18000000000029104</v>
      </c>
      <c r="I137" s="480"/>
      <c r="J137" s="552">
        <f>H137/DAY(B2)</f>
        <v>4.500000000007276E-2</v>
      </c>
      <c r="N137" s="382"/>
    </row>
    <row r="138" spans="1:14" ht="27.75">
      <c r="A138" s="1310" t="s">
        <v>247</v>
      </c>
      <c r="B138" s="1311"/>
      <c r="C138" s="1311"/>
      <c r="D138" s="523" t="s">
        <v>239</v>
      </c>
      <c r="E138" s="484">
        <f>'3'!F138</f>
        <v>70266.899999999994</v>
      </c>
      <c r="F138" s="636">
        <v>70270.149999999994</v>
      </c>
      <c r="G138" s="473">
        <f t="shared" si="15"/>
        <v>3.25</v>
      </c>
      <c r="H138" s="682">
        <f>G138+'3'!H138</f>
        <v>16.119999999995343</v>
      </c>
      <c r="I138" s="480"/>
      <c r="J138" s="552">
        <f>H138/DAY(B2)</f>
        <v>4.0299999999988358</v>
      </c>
      <c r="N138" s="382"/>
    </row>
    <row r="139" spans="1:14" ht="27.75">
      <c r="A139" s="1310" t="s">
        <v>248</v>
      </c>
      <c r="B139" s="1311"/>
      <c r="C139" s="1311"/>
      <c r="D139" s="523" t="s">
        <v>239</v>
      </c>
      <c r="E139" s="484">
        <f>'3'!F139</f>
        <v>1536.52</v>
      </c>
      <c r="F139" s="652">
        <v>1536.52</v>
      </c>
      <c r="G139" s="473">
        <f t="shared" si="15"/>
        <v>0</v>
      </c>
      <c r="H139" s="682">
        <f>G139+'3'!H139</f>
        <v>0</v>
      </c>
      <c r="I139" s="542">
        <f>G139+G140</f>
        <v>8.6000000000003638</v>
      </c>
      <c r="J139" s="552">
        <f>H139/DAY(B2)</f>
        <v>0</v>
      </c>
      <c r="N139" s="382"/>
    </row>
    <row r="140" spans="1:14" ht="27.75">
      <c r="A140" s="1310" t="s">
        <v>249</v>
      </c>
      <c r="B140" s="1311"/>
      <c r="C140" s="1311"/>
      <c r="D140" s="523" t="s">
        <v>239</v>
      </c>
      <c r="E140" s="484">
        <f>'3'!F140</f>
        <v>4493.25</v>
      </c>
      <c r="F140" s="635">
        <v>4501.8500000000004</v>
      </c>
      <c r="G140" s="473">
        <f t="shared" si="15"/>
        <v>8.6000000000003638</v>
      </c>
      <c r="H140" s="682">
        <f>G140+'3'!H140</f>
        <v>33.3100000000004</v>
      </c>
      <c r="I140" s="542"/>
      <c r="J140" s="552">
        <f>H140/DAY(B2)</f>
        <v>8.3275000000001</v>
      </c>
      <c r="N140" s="382"/>
    </row>
    <row r="141" spans="1:14">
      <c r="A141" s="1443" t="s">
        <v>250</v>
      </c>
      <c r="B141" s="1444"/>
      <c r="C141" s="1316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638"/>
      <c r="G142" s="460">
        <f>G35+G43+G49+G57</f>
        <v>5951.5399999999954</v>
      </c>
      <c r="H142" s="682">
        <f>G142+'3'!H142</f>
        <v>23534</v>
      </c>
      <c r="I142" s="480"/>
      <c r="J142" s="552">
        <f>H142/DAY(B2)</f>
        <v>5883.5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642"/>
      <c r="G143" s="543">
        <f>G142/G7</f>
        <v>0.27404982271952827</v>
      </c>
      <c r="H143" s="682">
        <f>G143+'3'!H143</f>
        <v>1.0627117536861648</v>
      </c>
      <c r="I143" s="544"/>
      <c r="J143" s="552">
        <f>H143/DAY(B2)</f>
        <v>0.26567793842154119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633"/>
      <c r="G144" s="460">
        <f>G41+G42+G55+G56</f>
        <v>6033</v>
      </c>
      <c r="H144" s="682">
        <f>G144+'3'!H144</f>
        <v>24920.839999999997</v>
      </c>
      <c r="I144" s="480"/>
      <c r="J144" s="552">
        <f>H144/DAY(B2)</f>
        <v>6230.2099999999991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633"/>
      <c r="G145" s="543">
        <f>G144/G7</f>
        <v>0.27780080121563749</v>
      </c>
      <c r="H145" s="682">
        <f>G145+'3'!H145</f>
        <v>1.1230884738105487</v>
      </c>
      <c r="I145" s="544"/>
      <c r="J145" s="552">
        <f>H145/DAY(B2)</f>
        <v>0.28077211845263716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633"/>
      <c r="G146" s="460">
        <f>G39+G53</f>
        <v>4271</v>
      </c>
      <c r="H146" s="682">
        <f>G146+'3'!H146</f>
        <v>16622</v>
      </c>
      <c r="I146" s="545"/>
      <c r="J146" s="552">
        <f>H146/DAY(B2)</f>
        <v>4155.5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633"/>
      <c r="G147" s="543">
        <f>G146/G7</f>
        <v>0.19666620619790948</v>
      </c>
      <c r="H147" s="682">
        <f>G147+'3'!H147</f>
        <v>0.74955055308745933</v>
      </c>
      <c r="I147" s="545"/>
      <c r="J147" s="552">
        <f>H147/DAY(B2)</f>
        <v>0.18738763827186483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633"/>
      <c r="G148" s="460">
        <f>G38+G52</f>
        <v>1683.6999999999971</v>
      </c>
      <c r="H148" s="682">
        <f>G148+'3'!H148</f>
        <v>7021.6999999999971</v>
      </c>
      <c r="I148" s="480"/>
      <c r="J148" s="552">
        <f>H148/DAY(B2)</f>
        <v>1755.4249999999993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633"/>
      <c r="G149" s="543">
        <f>G148/G7</f>
        <v>7.7529124648892445E-2</v>
      </c>
      <c r="H149" s="682">
        <f>G149+'3'!H149</f>
        <v>0.31727339818611544</v>
      </c>
      <c r="I149" s="545"/>
      <c r="J149" s="552">
        <f>H149/DAY(B2)</f>
        <v>7.931834954652886E-2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633"/>
      <c r="G150" s="460">
        <f>G36+G50</f>
        <v>1911</v>
      </c>
      <c r="H150" s="682">
        <f>G150+'3'!H150</f>
        <v>8460</v>
      </c>
      <c r="I150" s="545"/>
      <c r="J150" s="552">
        <f>H150/DAY(B2)</f>
        <v>2115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633"/>
      <c r="G151" s="543">
        <f>G150/G7</f>
        <v>8.7995579499930934E-2</v>
      </c>
      <c r="H151" s="682">
        <f>G151+'3'!H151</f>
        <v>0.38098116790861875</v>
      </c>
      <c r="I151" s="480"/>
      <c r="J151" s="552">
        <f>H151/DAY(B2)</f>
        <v>9.5245291977154686E-2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633"/>
      <c r="G152" s="460">
        <f>G37+G51</f>
        <v>1390</v>
      </c>
      <c r="H152" s="682">
        <f>G152+'3'!H152</f>
        <v>5715</v>
      </c>
      <c r="I152" s="480"/>
      <c r="J152" s="552">
        <f>H152/DAY(B2)</f>
        <v>1428.75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653"/>
      <c r="G153" s="566">
        <f>G152/G7</f>
        <v>6.4005157250080588E-2</v>
      </c>
      <c r="H153" s="682">
        <f>G153+'3'!H153</f>
        <v>0.25829257510150472</v>
      </c>
      <c r="I153" s="568"/>
      <c r="J153" s="569">
        <f>H153/DAY(B2)</f>
        <v>6.4573143775376179E-2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f>'3'!F160</f>
        <v>33684</v>
      </c>
      <c r="F160" s="661">
        <v>33762</v>
      </c>
      <c r="G160" s="473">
        <f t="shared" ref="G160:G171" si="16">F160-E160</f>
        <v>78</v>
      </c>
    </row>
    <row r="161" spans="1:7">
      <c r="A161" s="788" t="s">
        <v>264</v>
      </c>
      <c r="B161" s="789"/>
      <c r="C161" s="789"/>
      <c r="D161" s="511" t="s">
        <v>187</v>
      </c>
      <c r="E161" s="661">
        <f>'3'!F161</f>
        <v>69958</v>
      </c>
      <c r="F161" s="661">
        <v>70410</v>
      </c>
      <c r="G161" s="473">
        <f t="shared" si="16"/>
        <v>452</v>
      </c>
    </row>
    <row r="162" spans="1:7">
      <c r="A162" s="788" t="s">
        <v>265</v>
      </c>
      <c r="B162" s="789"/>
      <c r="C162" s="789"/>
      <c r="D162" s="511" t="s">
        <v>187</v>
      </c>
      <c r="E162" s="661">
        <f>'3'!F162</f>
        <v>30145</v>
      </c>
      <c r="F162" s="661">
        <v>30492</v>
      </c>
      <c r="G162" s="473">
        <f t="shared" si="16"/>
        <v>347</v>
      </c>
    </row>
    <row r="163" spans="1:7">
      <c r="A163" s="788" t="s">
        <v>266</v>
      </c>
      <c r="B163" s="789"/>
      <c r="C163" s="789"/>
      <c r="D163" s="511" t="s">
        <v>187</v>
      </c>
      <c r="E163" s="661">
        <f>'3'!F163</f>
        <v>5829</v>
      </c>
      <c r="F163" s="661">
        <v>5840</v>
      </c>
      <c r="G163" s="473">
        <f t="shared" si="16"/>
        <v>11</v>
      </c>
    </row>
    <row r="164" spans="1:7">
      <c r="A164" s="790" t="s">
        <v>98</v>
      </c>
      <c r="B164" s="604"/>
      <c r="C164" s="604"/>
      <c r="D164" s="511" t="s">
        <v>187</v>
      </c>
      <c r="E164" s="661">
        <f>'3'!F164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'3'!F165</f>
        <v>1745.37</v>
      </c>
      <c r="F165" s="514">
        <f t="shared" ref="F165:F171" si="17">F63</f>
        <v>2140</v>
      </c>
      <c r="G165" s="473">
        <f t="shared" si="16"/>
        <v>394.63000000000011</v>
      </c>
    </row>
    <row r="166" spans="1:7" ht="25.5" customHeight="1">
      <c r="A166" s="1412" t="s">
        <v>99</v>
      </c>
      <c r="B166" s="1412"/>
      <c r="C166" s="1412"/>
      <c r="D166" s="523" t="s">
        <v>187</v>
      </c>
      <c r="E166" s="661">
        <f>'3'!F166</f>
        <v>125180.16</v>
      </c>
      <c r="F166" s="514">
        <f t="shared" si="17"/>
        <v>141006</v>
      </c>
      <c r="G166" s="473">
        <f t="shared" si="16"/>
        <v>15825.839999999997</v>
      </c>
    </row>
    <row r="167" spans="1:7" ht="24.75" customHeight="1">
      <c r="A167" s="1412" t="s">
        <v>100</v>
      </c>
      <c r="B167" s="1412"/>
      <c r="C167" s="1412"/>
      <c r="D167" s="523" t="s">
        <v>187</v>
      </c>
      <c r="E167" s="661">
        <f>'3'!F167</f>
        <v>145286</v>
      </c>
      <c r="F167" s="514">
        <f t="shared" si="17"/>
        <v>145662</v>
      </c>
      <c r="G167" s="473">
        <f t="shared" si="16"/>
        <v>376</v>
      </c>
    </row>
    <row r="168" spans="1:7" ht="28.5" customHeight="1">
      <c r="A168" s="1412" t="s">
        <v>101</v>
      </c>
      <c r="B168" s="1412"/>
      <c r="C168" s="1412"/>
      <c r="D168" s="523" t="s">
        <v>187</v>
      </c>
      <c r="E168" s="661">
        <f>'3'!F168</f>
        <v>38431</v>
      </c>
      <c r="F168" s="514">
        <f t="shared" si="17"/>
        <v>38814</v>
      </c>
      <c r="G168" s="473">
        <f t="shared" si="16"/>
        <v>383</v>
      </c>
    </row>
    <row r="169" spans="1:7" ht="24.75" customHeight="1">
      <c r="A169" s="1412" t="s">
        <v>102</v>
      </c>
      <c r="B169" s="1412"/>
      <c r="C169" s="1412"/>
      <c r="D169" s="523" t="s">
        <v>187</v>
      </c>
      <c r="E169" s="661">
        <f>'3'!F169</f>
        <v>231034</v>
      </c>
      <c r="F169" s="514">
        <f t="shared" si="17"/>
        <v>231671</v>
      </c>
      <c r="G169" s="473">
        <f t="shared" si="16"/>
        <v>637</v>
      </c>
    </row>
    <row r="170" spans="1:7" ht="24" customHeight="1">
      <c r="A170" s="1412" t="s">
        <v>103</v>
      </c>
      <c r="B170" s="1412"/>
      <c r="C170" s="1412"/>
      <c r="D170" s="523" t="s">
        <v>187</v>
      </c>
      <c r="E170" s="661">
        <f>'3'!F170</f>
        <v>84031</v>
      </c>
      <c r="F170" s="514">
        <f t="shared" si="17"/>
        <v>84386</v>
      </c>
      <c r="G170" s="473">
        <f t="shared" si="16"/>
        <v>355</v>
      </c>
    </row>
    <row r="171" spans="1:7" ht="27.75">
      <c r="A171" s="1412" t="s">
        <v>104</v>
      </c>
      <c r="B171" s="1412"/>
      <c r="C171" s="1412"/>
      <c r="D171" s="523" t="s">
        <v>187</v>
      </c>
      <c r="E171" s="661">
        <f>'3'!F171</f>
        <v>75252</v>
      </c>
      <c r="F171" s="514">
        <f t="shared" si="17"/>
        <v>75574.58</v>
      </c>
      <c r="G171" s="473">
        <f t="shared" si="16"/>
        <v>322.58000000000175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1" zoomScaleNormal="48" zoomScaleSheetLayoutView="51" workbookViewId="0">
      <selection activeCell="H30" sqref="H30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357</v>
      </c>
      <c r="B2" s="1036">
        <v>44291</v>
      </c>
      <c r="C2" s="1147" t="s">
        <v>69</v>
      </c>
      <c r="D2" s="611">
        <v>0.85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32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345</v>
      </c>
      <c r="E7" s="633">
        <f>'4'!F7</f>
        <v>5202563</v>
      </c>
      <c r="F7" s="1254">
        <v>5224161</v>
      </c>
      <c r="G7" s="1259">
        <f>F7-E7</f>
        <v>21598</v>
      </c>
      <c r="H7" s="682">
        <f>G7+'4'!H7</f>
        <v>110238</v>
      </c>
      <c r="I7" s="683">
        <f>'1'!I7</f>
        <v>12000</v>
      </c>
      <c r="J7" s="684">
        <f>H7/DAY(B2)</f>
        <v>22047.599999999999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5234378</v>
      </c>
      <c r="F8" s="1255">
        <v>5256061</v>
      </c>
      <c r="G8" s="1259">
        <f t="shared" ref="G8:G9" si="0">F8-E8</f>
        <v>21683</v>
      </c>
      <c r="H8" s="682">
        <f>G8+'4'!H8</f>
        <v>110743</v>
      </c>
      <c r="I8" s="689">
        <v>12000</v>
      </c>
      <c r="J8" s="684">
        <f>H8/DAY(B2)</f>
        <v>22148.6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482078</v>
      </c>
      <c r="F9" s="1251">
        <v>502970</v>
      </c>
      <c r="G9" s="1259">
        <f t="shared" si="0"/>
        <v>20892</v>
      </c>
      <c r="H9" s="682">
        <f>G9+'4'!H9</f>
        <v>106901</v>
      </c>
      <c r="I9" s="693">
        <f>I8-J8</f>
        <v>-10148.599999999999</v>
      </c>
      <c r="J9" s="684">
        <f>H9/DAY(B2)</f>
        <v>21380.2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1">
        <v>2322.58</v>
      </c>
      <c r="G10" s="1259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4">
        <v>37000</v>
      </c>
      <c r="G11" s="1259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1">
        <v>40010</v>
      </c>
      <c r="G12" s="1259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4"/>
      <c r="G13" s="1259">
        <f>G9+G10+G11+G12</f>
        <v>20892</v>
      </c>
      <c r="H13" s="682">
        <f>G13+'4'!H13</f>
        <v>106901</v>
      </c>
      <c r="I13" s="698">
        <f>G7-G13</f>
        <v>706</v>
      </c>
      <c r="J13" s="684">
        <f>H13/DAY(B2)</f>
        <v>21380.2</v>
      </c>
      <c r="K13" s="428"/>
      <c r="L13" s="377"/>
      <c r="N13" s="382">
        <v>349</v>
      </c>
      <c r="O13" s="382"/>
    </row>
    <row r="14" spans="1:15">
      <c r="A14" s="1451" t="s">
        <v>139</v>
      </c>
      <c r="B14" s="1452"/>
      <c r="C14" s="1453"/>
      <c r="D14" s="472"/>
      <c r="E14" s="472"/>
      <c r="F14" s="1099"/>
      <c r="G14" s="1262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7" t="s">
        <v>140</v>
      </c>
      <c r="B15" s="791"/>
      <c r="C15" s="791"/>
      <c r="D15" s="792" t="s">
        <v>141</v>
      </c>
      <c r="E15" s="1258">
        <f>'4'!F15</f>
        <v>1650621</v>
      </c>
      <c r="F15" s="1258">
        <v>1651556</v>
      </c>
      <c r="G15" s="1259">
        <f t="shared" ref="G15" si="2">F15-E15</f>
        <v>935</v>
      </c>
      <c r="H15" s="1260">
        <f>G15+'4'!H15</f>
        <v>4867</v>
      </c>
      <c r="I15" s="1101">
        <v>800</v>
      </c>
      <c r="J15" s="1261">
        <f>H15/DAY(B2)</f>
        <v>973.4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8"/>
      <c r="F16" s="1258"/>
      <c r="G16" s="1259"/>
      <c r="H16" s="1260"/>
      <c r="I16" s="1097">
        <f>I15-J15</f>
        <v>-173.39999999999998</v>
      </c>
      <c r="J16" s="1261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1099"/>
      <c r="G17" s="1260"/>
      <c r="H17" s="472"/>
      <c r="I17" s="472"/>
      <c r="J17" s="551"/>
      <c r="K17" s="428"/>
      <c r="L17" s="377"/>
      <c r="N17" s="382"/>
      <c r="O17" s="382"/>
    </row>
    <row r="18" spans="1:15" ht="27.75">
      <c r="A18" s="1477" t="s">
        <v>143</v>
      </c>
      <c r="B18" s="1478"/>
      <c r="C18" s="1479"/>
      <c r="D18" s="638" t="s">
        <v>144</v>
      </c>
      <c r="E18" s="635">
        <v>12</v>
      </c>
      <c r="F18" s="1251">
        <v>12</v>
      </c>
      <c r="G18" s="1259">
        <f>F18*10</f>
        <v>120</v>
      </c>
      <c r="H18" s="682">
        <f>G18+'4'!H18</f>
        <v>600</v>
      </c>
      <c r="I18" s="683">
        <f>'1'!I18</f>
        <v>65</v>
      </c>
      <c r="J18" s="684">
        <f>H18/DAY(B2)</f>
        <v>120</v>
      </c>
      <c r="K18" s="428"/>
      <c r="L18" s="377"/>
      <c r="N18" s="382"/>
      <c r="O18" s="382"/>
    </row>
    <row r="19" spans="1:15" ht="27.75">
      <c r="A19" s="1477" t="s">
        <v>71</v>
      </c>
      <c r="B19" s="1478"/>
      <c r="C19" s="1479"/>
      <c r="D19" s="638" t="s">
        <v>144</v>
      </c>
      <c r="E19" s="635">
        <f>'4'!F19</f>
        <v>136303</v>
      </c>
      <c r="F19" s="1251">
        <v>136361</v>
      </c>
      <c r="G19" s="1259">
        <f t="shared" ref="G19" si="3">F19-E19</f>
        <v>58</v>
      </c>
      <c r="H19" s="682">
        <f>G19+'4'!H19</f>
        <v>271</v>
      </c>
      <c r="I19" s="699"/>
      <c r="J19" s="684">
        <f>H19/DAY(B2)</f>
        <v>54.2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3">
        <f>G18+G19</f>
        <v>178</v>
      </c>
      <c r="H20" s="682">
        <f>G20+'4'!H20</f>
        <v>871</v>
      </c>
      <c r="I20" s="701">
        <f>I18-J20</f>
        <v>-109.19999999999999</v>
      </c>
      <c r="J20" s="684">
        <f>H20/DAY(B2)</f>
        <v>174.2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21683</v>
      </c>
      <c r="F27" s="501">
        <v>9</v>
      </c>
      <c r="G27" s="502">
        <f>E27*F27</f>
        <v>195147</v>
      </c>
      <c r="H27" s="460">
        <f>G27+'4'!H27</f>
        <v>996687</v>
      </c>
      <c r="I27" s="503"/>
      <c r="J27" s="552">
        <f>H27/DAY(B2)</f>
        <v>199337.4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935</v>
      </c>
      <c r="F28" s="501">
        <v>51.45</v>
      </c>
      <c r="G28" s="502">
        <f>E28*F28</f>
        <v>48105.75</v>
      </c>
      <c r="H28" s="460">
        <f>G28+'4'!H28</f>
        <v>250407.15000000002</v>
      </c>
      <c r="I28" s="505"/>
      <c r="J28" s="552">
        <f>H28/DAY(B2)</f>
        <v>50081.430000000008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146</v>
      </c>
      <c r="G30" s="502">
        <f>E30*F30</f>
        <v>8468</v>
      </c>
      <c r="H30" s="460">
        <f>G30+'4'!H30</f>
        <v>37010</v>
      </c>
      <c r="I30" s="505"/>
      <c r="J30" s="552">
        <f>H30/DAY(B2)</f>
        <v>7402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G31+'4'!H31</f>
        <v>48000</v>
      </c>
      <c r="I31" s="505"/>
      <c r="J31" s="552">
        <f>H31/DAY(B2)</f>
        <v>9600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261320.75</v>
      </c>
      <c r="H32" s="460">
        <f>G32+'4'!H32</f>
        <v>1332104.1499999999</v>
      </c>
      <c r="I32" s="509"/>
      <c r="J32" s="552">
        <f>H32/DAY(B2)</f>
        <v>266420.82999999996</v>
      </c>
      <c r="K32" s="373"/>
      <c r="L32" s="443"/>
      <c r="N32" s="382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811737</v>
      </c>
      <c r="F35" s="1244">
        <v>815332</v>
      </c>
      <c r="G35" s="473">
        <f t="shared" ref="G35:G46" si="5">F35-E35</f>
        <v>3595</v>
      </c>
      <c r="H35" s="460">
        <f>G35+'4'!H35</f>
        <v>16943</v>
      </c>
      <c r="I35" s="455"/>
      <c r="J35" s="552">
        <f>H35/DAY(B2)</f>
        <v>3388.6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321206</v>
      </c>
      <c r="F36" s="1244">
        <v>322075</v>
      </c>
      <c r="G36" s="473">
        <f t="shared" si="5"/>
        <v>869</v>
      </c>
      <c r="H36" s="460">
        <f>G36+'4'!H36</f>
        <v>4639</v>
      </c>
      <c r="I36" s="455"/>
      <c r="J36" s="552">
        <f>H36/DAY(B2)</f>
        <v>927.8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60512</v>
      </c>
      <c r="F37" s="1244">
        <v>61873</v>
      </c>
      <c r="G37" s="473">
        <f t="shared" si="5"/>
        <v>1361</v>
      </c>
      <c r="H37" s="460">
        <f>G37+'4'!H37</f>
        <v>7076</v>
      </c>
      <c r="I37" s="455"/>
      <c r="J37" s="552">
        <f>H37/DAY(B2)</f>
        <v>1415.2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79329.7</v>
      </c>
      <c r="F38" s="1245">
        <v>81061</v>
      </c>
      <c r="G38" s="473">
        <f t="shared" si="5"/>
        <v>1731.3000000000029</v>
      </c>
      <c r="H38" s="460">
        <f>G38+'4'!H38</f>
        <v>8753</v>
      </c>
      <c r="I38" s="455"/>
      <c r="J38" s="552">
        <f>H38/DAY(B2)</f>
        <v>1750.6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168584</v>
      </c>
      <c r="F39" s="1244">
        <v>172455</v>
      </c>
      <c r="G39" s="473">
        <f t="shared" si="5"/>
        <v>3871</v>
      </c>
      <c r="H39" s="460">
        <f>G39+'4'!H39</f>
        <v>19633</v>
      </c>
      <c r="I39" s="455"/>
      <c r="J39" s="552">
        <f>H39/DAY(B2)</f>
        <v>3926.6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</v>
      </c>
      <c r="F40" s="1244">
        <v>0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155174</v>
      </c>
      <c r="F41" s="1244">
        <v>159474</v>
      </c>
      <c r="G41" s="473">
        <f t="shared" si="5"/>
        <v>4300</v>
      </c>
      <c r="H41" s="460">
        <f>G41+'4'!H41</f>
        <v>26333</v>
      </c>
      <c r="I41" s="455"/>
      <c r="J41" s="552">
        <f>H41/DAY(B2)</f>
        <v>5266.6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59128</v>
      </c>
      <c r="F42" s="1244">
        <v>59128</v>
      </c>
      <c r="G42" s="473">
        <f t="shared" si="5"/>
        <v>0</v>
      </c>
      <c r="H42" s="460">
        <f>G42+'4'!H42</f>
        <v>-0.16000000000349246</v>
      </c>
      <c r="I42" s="455"/>
      <c r="J42" s="552">
        <f>H42/DAY(B2)</f>
        <v>-3.2000000000698491E-2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912234</v>
      </c>
      <c r="F43" s="1244">
        <v>914662</v>
      </c>
      <c r="G43" s="473">
        <f t="shared" si="5"/>
        <v>2428</v>
      </c>
      <c r="H43" s="460">
        <f>G43+'4'!H43</f>
        <v>12614</v>
      </c>
      <c r="I43" s="455"/>
      <c r="J43" s="552">
        <f>H43/DAY(B2)</f>
        <v>2522.8000000000002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4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4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4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6"/>
      <c r="G47" s="481">
        <f>G35+G36+G37+G38+G39+G40+G41+G42+G43+G44+G45+G46</f>
        <v>18155.300000000003</v>
      </c>
      <c r="H47" s="460">
        <f>G47+'4'!H47</f>
        <v>96791.84</v>
      </c>
      <c r="I47" s="455"/>
      <c r="J47" s="552">
        <f>H47/DAY(B2)</f>
        <v>19358.367999999999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1247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4">
        <v>260732</v>
      </c>
      <c r="G49" s="473">
        <f t="shared" ref="G49:G58" si="6">F49-E49</f>
        <v>0</v>
      </c>
      <c r="H49" s="460">
        <f>G49+'4'!H49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445922</v>
      </c>
      <c r="F50" s="1244">
        <v>446969</v>
      </c>
      <c r="G50" s="473">
        <f t="shared" si="6"/>
        <v>1047</v>
      </c>
      <c r="H50" s="460">
        <f>G50+'4'!H50</f>
        <v>5737</v>
      </c>
      <c r="I50" s="455"/>
      <c r="J50" s="552">
        <f>H50/DAY(B2)</f>
        <v>1147.4000000000001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4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539608</v>
      </c>
      <c r="F52" s="1244">
        <v>539608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402124</v>
      </c>
      <c r="F53" s="1244">
        <v>402339</v>
      </c>
      <c r="G53" s="473">
        <f t="shared" si="6"/>
        <v>215</v>
      </c>
      <c r="H53" s="460">
        <f>G53+'4'!H53</f>
        <v>1075</v>
      </c>
      <c r="I53" s="455"/>
      <c r="J53" s="552">
        <f>H53/DAY(B2)</f>
        <v>215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9451</v>
      </c>
      <c r="F54" s="1244">
        <v>9527</v>
      </c>
      <c r="G54" s="473">
        <f t="shared" si="6"/>
        <v>76</v>
      </c>
      <c r="H54" s="460">
        <f>G54+'4'!H54</f>
        <v>361</v>
      </c>
      <c r="I54" s="455"/>
      <c r="J54" s="552">
        <f>H54/DAY(B2)</f>
        <v>72.2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218939</v>
      </c>
      <c r="F55" s="1256">
        <v>220420</v>
      </c>
      <c r="G55" s="473">
        <f t="shared" si="6"/>
        <v>1481</v>
      </c>
      <c r="H55" s="460">
        <f>G55+'4'!H55</f>
        <v>4323</v>
      </c>
      <c r="I55" s="455"/>
      <c r="J55" s="552">
        <f>H55/DAY(B2)</f>
        <v>864.6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589013</v>
      </c>
      <c r="F56" s="1256">
        <v>589022</v>
      </c>
      <c r="G56" s="473">
        <f t="shared" si="6"/>
        <v>9</v>
      </c>
      <c r="H56" s="460">
        <f>G56+'4'!H56</f>
        <v>55</v>
      </c>
      <c r="I56" s="455"/>
      <c r="J56" s="552">
        <f>H56/DAY(B2)</f>
        <v>11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4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42332</v>
      </c>
      <c r="F58" s="1248">
        <v>42520</v>
      </c>
      <c r="G58" s="473">
        <f t="shared" si="6"/>
        <v>188</v>
      </c>
      <c r="H58" s="460">
        <f>G58+'4'!H58</f>
        <v>973</v>
      </c>
      <c r="I58" s="455"/>
      <c r="J58" s="552">
        <f>H58/DAY(B2)</f>
        <v>194.6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6"/>
      <c r="G59" s="481">
        <f>G49+G50+G51+G52+G53+G54+G55+G56+G57+G58</f>
        <v>3016</v>
      </c>
      <c r="H59" s="460">
        <f>G59+'4'!H59</f>
        <v>12524</v>
      </c>
      <c r="I59" s="455">
        <f>G7-G60</f>
        <v>426.69999999999709</v>
      </c>
      <c r="J59" s="552">
        <f>H59/DAY(B2)</f>
        <v>2504.8000000000002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6"/>
      <c r="G60" s="481">
        <f>G47+G59</f>
        <v>21171.300000000003</v>
      </c>
      <c r="H60" s="460">
        <f>G60+'4'!H60</f>
        <v>109315.84</v>
      </c>
      <c r="I60" s="455">
        <f>G13-G60</f>
        <v>-279.30000000000291</v>
      </c>
      <c r="J60" s="552">
        <f>H60/DAY(B2)</f>
        <v>21863.167999999998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9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50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2140</v>
      </c>
      <c r="F63" s="1250">
        <v>2154</v>
      </c>
      <c r="G63" s="473">
        <f t="shared" si="7"/>
        <v>14</v>
      </c>
      <c r="H63" s="460">
        <f>G63+'4'!H63</f>
        <v>58</v>
      </c>
      <c r="I63" s="515"/>
      <c r="J63" s="552">
        <f>H63/DAY(B2)</f>
        <v>11.6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f>'4'!F64</f>
        <v>141006</v>
      </c>
      <c r="F64" s="1251">
        <v>141481</v>
      </c>
      <c r="G64" s="473">
        <f t="shared" si="7"/>
        <v>475</v>
      </c>
      <c r="H64" s="460">
        <f>G64+'4'!H64</f>
        <v>2301</v>
      </c>
      <c r="I64" s="480"/>
      <c r="J64" s="552">
        <f>H64/DAY(B2)</f>
        <v>460.2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f>'4'!F65</f>
        <v>145662</v>
      </c>
      <c r="F65" s="1252">
        <v>146027</v>
      </c>
      <c r="G65" s="473">
        <f t="shared" si="7"/>
        <v>365</v>
      </c>
      <c r="H65" s="460">
        <f>G65+'4'!H65</f>
        <v>1822</v>
      </c>
      <c r="I65" s="489"/>
      <c r="J65" s="552">
        <f>H65/DAY(B2)</f>
        <v>364.4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f>'4'!F66</f>
        <v>38814</v>
      </c>
      <c r="F66" s="1251">
        <v>39214</v>
      </c>
      <c r="G66" s="473">
        <f t="shared" si="7"/>
        <v>400</v>
      </c>
      <c r="H66" s="460">
        <f>G66+'4'!H66</f>
        <v>2006</v>
      </c>
      <c r="I66" s="480"/>
      <c r="J66" s="552">
        <f>H66/DAY(B2)</f>
        <v>401.2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f>'4'!F67</f>
        <v>231671</v>
      </c>
      <c r="F67" s="1251">
        <v>232292</v>
      </c>
      <c r="G67" s="473">
        <f t="shared" si="7"/>
        <v>621</v>
      </c>
      <c r="H67" s="460">
        <f>G67+'4'!H67</f>
        <v>3192</v>
      </c>
      <c r="I67" s="489"/>
      <c r="J67" s="552">
        <f>H67/DAY(B2)</f>
        <v>638.4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f>'4'!F68</f>
        <v>84386</v>
      </c>
      <c r="F68" s="1251">
        <v>84713</v>
      </c>
      <c r="G68" s="473">
        <f t="shared" si="7"/>
        <v>327</v>
      </c>
      <c r="H68" s="460">
        <f>G68+'4'!H68</f>
        <v>1626</v>
      </c>
      <c r="I68" s="516"/>
      <c r="J68" s="552">
        <f>H68/DAY(B2)</f>
        <v>325.2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f>'4'!F69</f>
        <v>75574.58</v>
      </c>
      <c r="F69" s="1251">
        <v>75877</v>
      </c>
      <c r="G69" s="473">
        <f t="shared" si="7"/>
        <v>302.41999999999825</v>
      </c>
      <c r="H69" s="460">
        <f>G69+'4'!H69</f>
        <v>1548</v>
      </c>
      <c r="I69" s="516"/>
      <c r="J69" s="552">
        <f>H69/DAY(B2)</f>
        <v>309.60000000000002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1253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f>'4'!F72</f>
        <v>853593</v>
      </c>
      <c r="F72" s="1264">
        <v>853693</v>
      </c>
      <c r="G72" s="473">
        <f t="shared" ref="G72:G84" si="8">F72-E72</f>
        <v>100</v>
      </c>
      <c r="H72" s="460">
        <f>G72+'4'!H72</f>
        <v>514</v>
      </c>
      <c r="I72" s="480"/>
      <c r="J72" s="552">
        <f>H72/DAY(B2)</f>
        <v>102.8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20">
        <f>'4'!F73</f>
        <v>885808</v>
      </c>
      <c r="F73" s="1265">
        <v>885809</v>
      </c>
      <c r="G73" s="655">
        <f t="shared" si="8"/>
        <v>1</v>
      </c>
      <c r="H73" s="460">
        <f>G73+'4'!H73</f>
        <v>9</v>
      </c>
      <c r="I73" s="480"/>
      <c r="J73" s="552">
        <f>H73/DAY(B2)</f>
        <v>1.8</v>
      </c>
      <c r="K73" s="430"/>
      <c r="L73" s="377"/>
      <c r="N73" s="382"/>
      <c r="O73" s="382"/>
    </row>
    <row r="74" spans="1:15" ht="27.75">
      <c r="A74" s="1416" t="s">
        <v>193</v>
      </c>
      <c r="B74" s="1417"/>
      <c r="C74" s="1418"/>
      <c r="D74" s="523" t="s">
        <v>187</v>
      </c>
      <c r="E74" s="521">
        <f>'4'!F74</f>
        <v>1456</v>
      </c>
      <c r="F74" s="1264">
        <v>1491</v>
      </c>
      <c r="G74" s="473">
        <f t="shared" si="8"/>
        <v>35</v>
      </c>
      <c r="H74" s="460">
        <f>G74+'4'!H74</f>
        <v>121</v>
      </c>
      <c r="I74" s="480"/>
      <c r="J74" s="552">
        <f>H74/DAY(B2)</f>
        <v>24.2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21">
        <f>'4'!F75</f>
        <v>9195</v>
      </c>
      <c r="F75" s="1266">
        <v>9307</v>
      </c>
      <c r="G75" s="473">
        <f t="shared" si="8"/>
        <v>112</v>
      </c>
      <c r="H75" s="460">
        <f>G75+'4'!H75</f>
        <v>627</v>
      </c>
      <c r="I75" s="480"/>
      <c r="J75" s="552">
        <f>H75/DAY(B2)</f>
        <v>125.4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20">
        <f>'4'!F76</f>
        <v>4298</v>
      </c>
      <c r="F76" s="1265">
        <v>4365</v>
      </c>
      <c r="G76" s="473">
        <f t="shared" si="8"/>
        <v>67</v>
      </c>
      <c r="H76" s="460">
        <f>G76+'4'!H76</f>
        <v>328</v>
      </c>
      <c r="I76" s="505"/>
      <c r="J76" s="552">
        <f>H76/DAY(B2)</f>
        <v>65.599999999999994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20">
        <f>'4'!F77</f>
        <v>700400</v>
      </c>
      <c r="F77" s="1265">
        <v>700442</v>
      </c>
      <c r="G77" s="655">
        <f t="shared" si="8"/>
        <v>42</v>
      </c>
      <c r="H77" s="460">
        <f>G77+'4'!H77</f>
        <v>228</v>
      </c>
      <c r="I77" s="505"/>
      <c r="J77" s="552">
        <f>H77/DAY(B2)</f>
        <v>45.6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'4'!F78</f>
        <v>666750</v>
      </c>
      <c r="F78" s="1266">
        <v>667075</v>
      </c>
      <c r="G78" s="473">
        <f t="shared" si="8"/>
        <v>325</v>
      </c>
      <c r="H78" s="460">
        <f>G78+'4'!H78</f>
        <v>1695</v>
      </c>
      <c r="I78" s="505"/>
      <c r="J78" s="552">
        <f>H78/DAY(B2)</f>
        <v>339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f>'4'!F79</f>
        <v>821973</v>
      </c>
      <c r="F79" s="1266">
        <v>822160</v>
      </c>
      <c r="G79" s="473">
        <f t="shared" si="8"/>
        <v>187</v>
      </c>
      <c r="H79" s="460">
        <f>G79+'4'!H79</f>
        <v>947</v>
      </c>
      <c r="I79" s="505"/>
      <c r="J79" s="552">
        <f>H79/DAY(B2)</f>
        <v>189.4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f>'4'!F80</f>
        <v>507074.76</v>
      </c>
      <c r="F80" s="1265">
        <v>507397</v>
      </c>
      <c r="G80" s="473">
        <f t="shared" si="8"/>
        <v>322.23999999999069</v>
      </c>
      <c r="H80" s="460">
        <f>G80+'4'!H80</f>
        <v>1698</v>
      </c>
      <c r="I80" s="505"/>
      <c r="J80" s="552">
        <f>H80/DAY(B2)</f>
        <v>339.6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'4'!F81</f>
        <v>631241</v>
      </c>
      <c r="F81" s="1265">
        <v>631464</v>
      </c>
      <c r="G81" s="473">
        <f t="shared" si="8"/>
        <v>223</v>
      </c>
      <c r="H81" s="460">
        <f>G81+'4'!H81</f>
        <v>1279</v>
      </c>
      <c r="I81" s="505"/>
      <c r="J81" s="552">
        <f>H81/DAY(B2)</f>
        <v>255.8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'4'!F82</f>
        <v>106990</v>
      </c>
      <c r="F82" s="1252">
        <v>107013</v>
      </c>
      <c r="G82" s="473">
        <f t="shared" si="8"/>
        <v>23</v>
      </c>
      <c r="H82" s="460">
        <f>G82+'4'!H82</f>
        <v>118</v>
      </c>
      <c r="I82" s="486"/>
      <c r="J82" s="552">
        <f>H82/DAY(B2)</f>
        <v>23.6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'4'!F83</f>
        <v>8087</v>
      </c>
      <c r="F83" s="1246">
        <v>8365</v>
      </c>
      <c r="G83" s="473">
        <f t="shared" si="8"/>
        <v>278</v>
      </c>
      <c r="H83" s="460">
        <f>G83+'4'!H83</f>
        <v>1308</v>
      </c>
      <c r="I83" s="481"/>
      <c r="J83" s="552">
        <f>H83/DAY(B2)</f>
        <v>261.60000000000002</v>
      </c>
      <c r="K83" s="429"/>
      <c r="L83" s="377"/>
      <c r="N83" s="382"/>
      <c r="O83" s="382"/>
    </row>
    <row r="84" spans="1:15">
      <c r="A84" s="1149" t="s">
        <v>201</v>
      </c>
      <c r="B84" s="571"/>
      <c r="C84" s="571"/>
      <c r="D84" s="478" t="s">
        <v>132</v>
      </c>
      <c r="E84" s="627">
        <f>'4'!F84</f>
        <v>458295</v>
      </c>
      <c r="F84" s="1267">
        <v>459300</v>
      </c>
      <c r="G84" s="473">
        <f t="shared" si="8"/>
        <v>1005</v>
      </c>
      <c r="H84" s="460">
        <f>G84+'4'!H84</f>
        <v>4616</v>
      </c>
      <c r="I84" s="481"/>
      <c r="J84" s="552">
        <f>H84/DAY(B2)</f>
        <v>923.2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2"/>
      <c r="G85" s="460">
        <f xml:space="preserve"> SUM(G71:G84)</f>
        <v>2720.2399999999907</v>
      </c>
      <c r="H85" s="460">
        <f>G85+'4'!H85</f>
        <v>13488</v>
      </c>
      <c r="I85" s="481"/>
      <c r="J85" s="552">
        <f>H85/DAY(B2)</f>
        <v>2697.6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455237</v>
      </c>
      <c r="F86" s="1267">
        <v>455433</v>
      </c>
      <c r="G86" s="708">
        <f t="shared" ref="G86:G90" si="9">F86-E86</f>
        <v>196</v>
      </c>
      <c r="H86" s="460">
        <f>G86+'4'!H86</f>
        <v>852</v>
      </c>
      <c r="I86" s="655"/>
      <c r="J86" s="710">
        <f>H86/DAY(B2)</f>
        <v>170.4</v>
      </c>
      <c r="K86" s="736"/>
      <c r="L86" s="737"/>
      <c r="N86" s="781">
        <f>G86-173</f>
        <v>23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80295</v>
      </c>
      <c r="F87" s="1267">
        <v>80330</v>
      </c>
      <c r="G87" s="708">
        <f t="shared" si="9"/>
        <v>35</v>
      </c>
      <c r="H87" s="460">
        <f>G87+'4'!H87</f>
        <v>145</v>
      </c>
      <c r="I87" s="655"/>
      <c r="J87" s="710">
        <f>H87/DAY(B2)</f>
        <v>29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150903</v>
      </c>
      <c r="F88" s="1267">
        <v>150937</v>
      </c>
      <c r="G88" s="708">
        <f t="shared" si="9"/>
        <v>34</v>
      </c>
      <c r="H88" s="460">
        <f>G88+'4'!H88</f>
        <v>338</v>
      </c>
      <c r="I88" s="655"/>
      <c r="J88" s="710">
        <f>H88/DAY(B2)</f>
        <v>67.599999999999994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63728</v>
      </c>
      <c r="F89" s="1267">
        <v>63772</v>
      </c>
      <c r="G89" s="708">
        <f t="shared" si="9"/>
        <v>44</v>
      </c>
      <c r="H89" s="460">
        <f>G89+'4'!H89</f>
        <v>218</v>
      </c>
      <c r="I89" s="655"/>
      <c r="J89" s="710">
        <f>H89/DAY(B2)</f>
        <v>43.6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3271</v>
      </c>
      <c r="F90" s="1267">
        <v>3272</v>
      </c>
      <c r="G90" s="708">
        <f t="shared" si="9"/>
        <v>1</v>
      </c>
      <c r="H90" s="460">
        <f>G90+'4'!H90</f>
        <v>2</v>
      </c>
      <c r="I90" s="655"/>
      <c r="J90" s="710">
        <f>H90/DAY(B2)</f>
        <v>0.4</v>
      </c>
      <c r="K90" s="736"/>
      <c r="L90" s="737"/>
      <c r="N90" s="781">
        <v>349</v>
      </c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1099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'4'!F92</f>
        <v>242974</v>
      </c>
      <c r="F92" s="1251">
        <v>243053</v>
      </c>
      <c r="G92" s="473">
        <f t="shared" ref="G92:G93" si="10">F92-E92</f>
        <v>79</v>
      </c>
      <c r="H92" s="460">
        <f>G92+'4'!H92</f>
        <v>407</v>
      </c>
      <c r="I92" s="480"/>
      <c r="J92" s="552">
        <f>H92/DAY(B2)</f>
        <v>81.400000000000006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'4'!F93</f>
        <v>180273</v>
      </c>
      <c r="F93" s="1251">
        <v>180441</v>
      </c>
      <c r="G93" s="473">
        <f t="shared" si="10"/>
        <v>168</v>
      </c>
      <c r="H93" s="460">
        <f>G93+'4'!H93</f>
        <v>762</v>
      </c>
      <c r="I93" s="480"/>
      <c r="J93" s="552">
        <f>H93/DAY(B2)</f>
        <v>152.4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/>
      <c r="F94" s="1251"/>
      <c r="G94" s="473">
        <f>G92+G93</f>
        <v>247</v>
      </c>
      <c r="H94" s="460">
        <f>G94+'4'!H94</f>
        <v>950</v>
      </c>
      <c r="I94" s="480"/>
      <c r="J94" s="552">
        <f>H94/DAY(B2)</f>
        <v>190</v>
      </c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'4'!F95</f>
        <v>411092</v>
      </c>
      <c r="F95" s="1251">
        <v>411160</v>
      </c>
      <c r="G95" s="473">
        <f t="shared" ref="G95:G100" si="11">F95-E95</f>
        <v>68</v>
      </c>
      <c r="H95" s="460">
        <f>G95+'4'!H95</f>
        <v>375</v>
      </c>
      <c r="I95" s="480"/>
      <c r="J95" s="552">
        <f>H95/DAY(B2)</f>
        <v>75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'4'!F96</f>
        <v>101906</v>
      </c>
      <c r="F96" s="1251">
        <v>101921</v>
      </c>
      <c r="G96" s="473">
        <f t="shared" si="11"/>
        <v>15</v>
      </c>
      <c r="H96" s="460">
        <f>G96+'4'!H96</f>
        <v>90</v>
      </c>
      <c r="I96" s="480"/>
      <c r="J96" s="552">
        <f>H96/DAY(B2)</f>
        <v>18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'4'!F97</f>
        <v>96998</v>
      </c>
      <c r="F97" s="1251">
        <v>97020</v>
      </c>
      <c r="G97" s="473">
        <f t="shared" si="11"/>
        <v>22</v>
      </c>
      <c r="H97" s="460">
        <f>G97+'4'!H97</f>
        <v>92</v>
      </c>
      <c r="I97" s="480"/>
      <c r="J97" s="552">
        <f>H97/DAY(B2)</f>
        <v>18.399999999999999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'4'!F98</f>
        <v>149097</v>
      </c>
      <c r="F98" s="1251">
        <v>149125</v>
      </c>
      <c r="G98" s="473">
        <f t="shared" si="11"/>
        <v>28</v>
      </c>
      <c r="H98" s="460">
        <f>G98+'4'!H98</f>
        <v>216</v>
      </c>
      <c r="I98" s="480"/>
      <c r="J98" s="552">
        <f>H98/DAY(B2)</f>
        <v>43.2</v>
      </c>
      <c r="K98" s="380"/>
      <c r="L98" s="377"/>
      <c r="N98" s="707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'4'!F99</f>
        <v>6916</v>
      </c>
      <c r="F99" s="1251">
        <v>6938</v>
      </c>
      <c r="G99" s="473">
        <f t="shared" si="11"/>
        <v>22</v>
      </c>
      <c r="H99" s="460">
        <f>G99+'4'!H99</f>
        <v>83</v>
      </c>
      <c r="I99" s="480"/>
      <c r="J99" s="552">
        <f>H99/DAY(B2)</f>
        <v>16.600000000000001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'4'!F100</f>
        <v>4969</v>
      </c>
      <c r="F100" s="1251">
        <v>4975</v>
      </c>
      <c r="G100" s="473">
        <f t="shared" si="11"/>
        <v>6</v>
      </c>
      <c r="H100" s="460">
        <f>G100+'4'!H100</f>
        <v>32</v>
      </c>
      <c r="I100" s="480"/>
      <c r="J100" s="552">
        <f>H100/DAY(B2)</f>
        <v>6.4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1262"/>
      <c r="G101" s="525">
        <f>SUM(G95:G100)</f>
        <v>161</v>
      </c>
      <c r="H101" s="460">
        <f>G101+'4'!H101</f>
        <v>888</v>
      </c>
      <c r="I101" s="526"/>
      <c r="J101" s="552">
        <f>H101/DAY(B2)</f>
        <v>177.6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8"/>
      <c r="G102" s="529"/>
      <c r="H102" s="530"/>
      <c r="I102" s="531"/>
      <c r="J102" s="557"/>
      <c r="N102" s="382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1269"/>
      <c r="G103" s="532"/>
      <c r="H103" s="533"/>
      <c r="I103" s="532"/>
      <c r="J103" s="558"/>
      <c r="N103" s="382"/>
      <c r="O103" s="382"/>
    </row>
    <row r="104" spans="1:15" s="442" customFormat="1" ht="27.75">
      <c r="A104" s="1429" t="s">
        <v>219</v>
      </c>
      <c r="B104" s="1430"/>
      <c r="C104" s="1144"/>
      <c r="D104" s="622" t="s">
        <v>144</v>
      </c>
      <c r="E104" s="532">
        <f>'4'!E104</f>
        <v>7333</v>
      </c>
      <c r="F104" s="1269">
        <v>7343</v>
      </c>
      <c r="G104" s="532">
        <f>F104-E104</f>
        <v>10</v>
      </c>
      <c r="H104" s="460">
        <f>G104+'4'!H104</f>
        <v>18</v>
      </c>
      <c r="I104" s="532"/>
      <c r="J104" s="558">
        <f>H104/DAY(B2)</f>
        <v>3.6</v>
      </c>
      <c r="N104" s="382"/>
      <c r="O104" s="382"/>
    </row>
    <row r="105" spans="1:15" s="442" customFormat="1" ht="27.75">
      <c r="A105" s="1429" t="s">
        <v>77</v>
      </c>
      <c r="B105" s="1430"/>
      <c r="C105" s="1144"/>
      <c r="D105" s="622" t="s">
        <v>144</v>
      </c>
      <c r="E105" s="532">
        <f>'4'!E105</f>
        <v>35676</v>
      </c>
      <c r="F105" s="1275">
        <v>35687</v>
      </c>
      <c r="G105" s="532">
        <f t="shared" ref="G105:G106" si="12">F105-E105</f>
        <v>11</v>
      </c>
      <c r="H105" s="460">
        <f>G105+'4'!H105</f>
        <v>36</v>
      </c>
      <c r="I105" s="532"/>
      <c r="J105" s="558">
        <f>H105/DAY(B2)</f>
        <v>7.2</v>
      </c>
      <c r="N105" s="382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'4'!E106</f>
        <v>19436</v>
      </c>
      <c r="F106" s="1269">
        <v>19449</v>
      </c>
      <c r="G106" s="532">
        <f t="shared" si="12"/>
        <v>13</v>
      </c>
      <c r="H106" s="460">
        <f>G106+'4'!H106</f>
        <v>38</v>
      </c>
      <c r="I106" s="532"/>
      <c r="J106" s="558">
        <f>H106/DAY(B2)</f>
        <v>7.6</v>
      </c>
      <c r="N106" s="382"/>
      <c r="O106" s="382"/>
    </row>
    <row r="107" spans="1:15" s="442" customFormat="1" ht="27.75">
      <c r="A107" s="1431" t="s">
        <v>202</v>
      </c>
      <c r="B107" s="1432"/>
      <c r="C107" s="1144"/>
      <c r="D107" s="622"/>
      <c r="E107" s="532" t="str">
        <f>'4'!E107</f>
        <v>.</v>
      </c>
      <c r="F107" s="1269"/>
      <c r="G107" s="532">
        <f>SUM(G104:G106)</f>
        <v>34</v>
      </c>
      <c r="H107" s="460">
        <f>G107+'4'!H107</f>
        <v>92</v>
      </c>
      <c r="I107" s="532"/>
      <c r="J107" s="558">
        <f>H107/DAY(B2)</f>
        <v>18.399999999999999</v>
      </c>
      <c r="N107" s="382"/>
      <c r="O107" s="382"/>
    </row>
    <row r="108" spans="1:15" s="442" customFormat="1" ht="27.75">
      <c r="A108" s="1435" t="s">
        <v>79</v>
      </c>
      <c r="B108" s="1436"/>
      <c r="C108" s="1144"/>
      <c r="D108" s="622" t="s">
        <v>144</v>
      </c>
      <c r="E108" s="532">
        <f>'4'!E108</f>
        <v>0</v>
      </c>
      <c r="F108" s="1269"/>
      <c r="G108" s="532"/>
      <c r="H108" s="460">
        <f>G108+'4'!H108</f>
        <v>0</v>
      </c>
      <c r="I108" s="532"/>
      <c r="J108" s="558"/>
      <c r="N108" s="382"/>
      <c r="O108" s="382"/>
    </row>
    <row r="109" spans="1:15" s="442" customFormat="1" ht="27.75">
      <c r="A109" s="1429" t="s">
        <v>220</v>
      </c>
      <c r="B109" s="1430"/>
      <c r="C109" s="1144"/>
      <c r="D109" s="622" t="s">
        <v>144</v>
      </c>
      <c r="E109" s="532">
        <v>59204</v>
      </c>
      <c r="F109" s="1269">
        <v>59290</v>
      </c>
      <c r="G109" s="532">
        <f>F109-E109</f>
        <v>86</v>
      </c>
      <c r="H109" s="460">
        <f>G109+'4'!H109</f>
        <v>417</v>
      </c>
      <c r="I109" s="532"/>
      <c r="J109" s="558">
        <f>H109/DAY(B2)</f>
        <v>83.4</v>
      </c>
      <c r="N109" s="382"/>
    </row>
    <row r="110" spans="1:15" s="442" customFormat="1" ht="27.75">
      <c r="A110" s="1429" t="s">
        <v>221</v>
      </c>
      <c r="B110" s="1430"/>
      <c r="C110" s="1144"/>
      <c r="D110" s="622" t="s">
        <v>144</v>
      </c>
      <c r="E110" s="532">
        <v>31805</v>
      </c>
      <c r="F110" s="1269">
        <v>31878</v>
      </c>
      <c r="G110" s="532">
        <f t="shared" ref="G110:G111" si="13">F110-E110</f>
        <v>73</v>
      </c>
      <c r="H110" s="460">
        <f>G110+'4'!H110</f>
        <v>232</v>
      </c>
      <c r="I110" s="532"/>
      <c r="J110" s="558">
        <f>H110/DAY(B2)</f>
        <v>46.4</v>
      </c>
      <c r="N110" s="382"/>
    </row>
    <row r="111" spans="1:15" s="442" customFormat="1" ht="27.75">
      <c r="A111" s="1429" t="s">
        <v>222</v>
      </c>
      <c r="B111" s="1430"/>
      <c r="C111" s="1144"/>
      <c r="D111" s="622" t="s">
        <v>144</v>
      </c>
      <c r="E111" s="532">
        <v>4198</v>
      </c>
      <c r="F111" s="1269">
        <v>4208</v>
      </c>
      <c r="G111" s="532">
        <f t="shared" si="13"/>
        <v>10</v>
      </c>
      <c r="H111" s="460">
        <f>G111+'4'!H111</f>
        <v>52</v>
      </c>
      <c r="I111" s="532"/>
      <c r="J111" s="558">
        <f>H111/DAY(B2)</f>
        <v>10.4</v>
      </c>
      <c r="N111" s="382"/>
    </row>
    <row r="112" spans="1:15" s="442" customFormat="1" ht="27.75">
      <c r="A112" s="1431" t="s">
        <v>110</v>
      </c>
      <c r="B112" s="1432"/>
      <c r="C112" s="1144"/>
      <c r="D112" s="622"/>
      <c r="E112" s="532">
        <f>'4'!E112</f>
        <v>0</v>
      </c>
      <c r="F112" s="1269"/>
      <c r="G112" s="532">
        <f>SUM(G109:G111)</f>
        <v>169</v>
      </c>
      <c r="H112" s="460">
        <f>G112+'4'!H112</f>
        <v>701</v>
      </c>
      <c r="I112" s="532"/>
      <c r="J112" s="558">
        <f>H112/DAY(B2)</f>
        <v>140.19999999999999</v>
      </c>
      <c r="N112" s="382"/>
    </row>
    <row r="113" spans="1:14" s="442" customFormat="1" ht="27.75">
      <c r="A113" s="1435" t="s">
        <v>223</v>
      </c>
      <c r="B113" s="1436"/>
      <c r="C113" s="1144"/>
      <c r="D113" s="622"/>
      <c r="E113" s="532">
        <f>'4'!E113</f>
        <v>0</v>
      </c>
      <c r="F113" s="1269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'4'!E114</f>
        <v>10908</v>
      </c>
      <c r="F114" s="1270">
        <v>10955</v>
      </c>
      <c r="G114" s="534">
        <f>F114-E114</f>
        <v>47</v>
      </c>
      <c r="H114" s="460">
        <f>G114+'4'!H114</f>
        <v>119</v>
      </c>
      <c r="I114" s="532"/>
      <c r="J114" s="558">
        <f>H114/DAY(B2)</f>
        <v>23.8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'4'!E115</f>
        <v>7989</v>
      </c>
      <c r="F115" s="1270">
        <v>8000</v>
      </c>
      <c r="G115" s="534">
        <f t="shared" ref="G115:G116" si="14">F115-E115</f>
        <v>11</v>
      </c>
      <c r="H115" s="460">
        <f>G115+'4'!H115</f>
        <v>31</v>
      </c>
      <c r="I115" s="532"/>
      <c r="J115" s="558">
        <f>H115/DAY(B2)</f>
        <v>6.2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1270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1270"/>
      <c r="G117" s="534">
        <f>SUM(G114:G116)</f>
        <v>58</v>
      </c>
      <c r="H117" s="460">
        <f>G117+'4'!H117</f>
        <v>150</v>
      </c>
      <c r="I117" s="534"/>
      <c r="J117" s="558">
        <f>H117/DAY(B2)</f>
        <v>30</v>
      </c>
      <c r="N117" s="382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1271">
        <f>SUM(G19+G92)</f>
        <v>137</v>
      </c>
      <c r="G118" s="536">
        <f>SUM(G19+G92)</f>
        <v>137</v>
      </c>
      <c r="H118" s="460">
        <f>G118+'4'!H118</f>
        <v>678</v>
      </c>
      <c r="I118" s="535"/>
      <c r="J118" s="559">
        <f>H118/DAY(B2)</f>
        <v>135.6</v>
      </c>
      <c r="N118" s="382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1271">
        <f>SUM(G95,G96,G97,G99,G100)</f>
        <v>133</v>
      </c>
      <c r="G119" s="536">
        <f>SUM(G95,G96,G97,G99,G100)</f>
        <v>133</v>
      </c>
      <c r="H119" s="460">
        <f>G119+'4'!H119</f>
        <v>672</v>
      </c>
      <c r="I119" s="535"/>
      <c r="J119" s="559">
        <f>H119/DAY(B2)</f>
        <v>134.4</v>
      </c>
      <c r="N119" s="382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1270">
        <f>SUM(G112)</f>
        <v>169</v>
      </c>
      <c r="G120" s="534">
        <f>SUM(G112)</f>
        <v>169</v>
      </c>
      <c r="H120" s="460">
        <f>G120+'4'!H120</f>
        <v>701</v>
      </c>
      <c r="I120" s="535"/>
      <c r="J120" s="559">
        <f>H120/DAY(B2)</f>
        <v>140.19999999999999</v>
      </c>
      <c r="N120" s="382"/>
    </row>
    <row r="121" spans="1:14" s="442" customFormat="1" ht="27.75">
      <c r="A121" s="1427"/>
      <c r="B121" s="1428"/>
      <c r="C121" s="1143"/>
      <c r="D121" s="560"/>
      <c r="E121" s="560"/>
      <c r="F121" s="1272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1099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'4'!F123</f>
        <v>819834</v>
      </c>
      <c r="F123" s="1251">
        <v>820078</v>
      </c>
      <c r="G123" s="473">
        <f t="shared" ref="G123:G127" si="15">F123-E123</f>
        <v>244</v>
      </c>
      <c r="H123" s="460">
        <f>G123+'4'!H123</f>
        <v>1268</v>
      </c>
      <c r="I123" s="526"/>
      <c r="J123" s="552">
        <f>H123/DAY(B2)</f>
        <v>253.6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'4'!F124</f>
        <v>73583</v>
      </c>
      <c r="F124" s="1273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'4'!F125</f>
        <v>142512</v>
      </c>
      <c r="F125" s="1251">
        <v>142611</v>
      </c>
      <c r="G125" s="473">
        <f t="shared" si="15"/>
        <v>99</v>
      </c>
      <c r="H125" s="460">
        <f>G125+'4'!H125</f>
        <v>475</v>
      </c>
      <c r="I125" s="526"/>
      <c r="J125" s="552">
        <f>H125/DAY(B2)</f>
        <v>95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'4'!F126</f>
        <v>31353</v>
      </c>
      <c r="F126" s="1273">
        <v>31370</v>
      </c>
      <c r="G126" s="473">
        <f t="shared" si="15"/>
        <v>17</v>
      </c>
      <c r="H126" s="460">
        <f>G126+'4'!H126</f>
        <v>51.299999999999272</v>
      </c>
      <c r="I126" s="526"/>
      <c r="J126" s="552">
        <f>H126/DAY(B2)</f>
        <v>10.259999999999854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'4'!F127</f>
        <v>8966</v>
      </c>
      <c r="F127" s="1273">
        <v>8966</v>
      </c>
      <c r="G127" s="473">
        <f t="shared" si="15"/>
        <v>0</v>
      </c>
      <c r="H127" s="460">
        <f>G127+'4'!H127</f>
        <v>4</v>
      </c>
      <c r="I127" s="480"/>
      <c r="J127" s="552">
        <f>H127/DAY(B2)</f>
        <v>0.8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1251"/>
      <c r="G128" s="473">
        <f>G15-SUM(G123:G127)</f>
        <v>575</v>
      </c>
      <c r="H128" s="460">
        <f>G128+'4'!H128</f>
        <v>3069.0999999999949</v>
      </c>
      <c r="I128" s="480"/>
      <c r="J128" s="552">
        <f>H128/DAY(B2)</f>
        <v>613.81999999999903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7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'4'!F130</f>
        <v>0</v>
      </c>
      <c r="F130" s="1251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'4'!F131</f>
        <v>0</v>
      </c>
      <c r="F131" s="1251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41">
        <f>'4'!F132</f>
        <v>39629</v>
      </c>
      <c r="F132" s="1252">
        <v>39647</v>
      </c>
      <c r="G132" s="473">
        <f t="shared" si="16"/>
        <v>18</v>
      </c>
      <c r="H132" s="460">
        <f>G132+'4'!H132</f>
        <v>114</v>
      </c>
      <c r="I132" s="480"/>
      <c r="J132" s="552">
        <f>H132/DAY(B2)</f>
        <v>22.8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'4'!F133</f>
        <v>300</v>
      </c>
      <c r="F133" s="1273">
        <v>300</v>
      </c>
      <c r="G133" s="473">
        <f t="shared" si="16"/>
        <v>0</v>
      </c>
      <c r="H133" s="460">
        <f>G133+'4'!H133</f>
        <v>0</v>
      </c>
      <c r="I133" s="480">
        <f>G130+G131+G132+G133</f>
        <v>18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'4'!F134</f>
        <v>40855</v>
      </c>
      <c r="F134" s="1273">
        <v>40861</v>
      </c>
      <c r="G134" s="473">
        <f t="shared" si="16"/>
        <v>6</v>
      </c>
      <c r="H134" s="460">
        <f>G134+'4'!H134</f>
        <v>22</v>
      </c>
      <c r="I134" s="480"/>
      <c r="J134" s="552">
        <f>H134/DAY(B2)</f>
        <v>4.4000000000000004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'4'!F135</f>
        <v>32583</v>
      </c>
      <c r="F135" s="1273">
        <v>32583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'4'!F136</f>
        <v>22529.69</v>
      </c>
      <c r="F136" s="1252">
        <v>22540.09</v>
      </c>
      <c r="G136" s="473">
        <f t="shared" si="16"/>
        <v>10.400000000001455</v>
      </c>
      <c r="H136" s="460">
        <f>G136+'4'!H136</f>
        <v>51.43999999999869</v>
      </c>
      <c r="I136" s="480">
        <f>G136+G137+G138</f>
        <v>11.77000000001135</v>
      </c>
      <c r="J136" s="552">
        <f>H136/DAY(B2)</f>
        <v>10.287999999999737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'4'!F137</f>
        <v>25048.97</v>
      </c>
      <c r="F137" s="1252">
        <v>25048.97</v>
      </c>
      <c r="G137" s="473">
        <f t="shared" si="16"/>
        <v>0</v>
      </c>
      <c r="H137" s="460">
        <f>G137+'4'!H137</f>
        <v>0.18000000000029104</v>
      </c>
      <c r="I137" s="480"/>
      <c r="J137" s="552">
        <f>H137/DAY(B2)</f>
        <v>3.6000000000058208E-2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'4'!F138</f>
        <v>70270.149999999994</v>
      </c>
      <c r="F138" s="1252">
        <v>70271.520000000004</v>
      </c>
      <c r="G138" s="473">
        <f t="shared" si="16"/>
        <v>1.3700000000098953</v>
      </c>
      <c r="H138" s="460">
        <f>G138+'4'!H138</f>
        <v>17.490000000005239</v>
      </c>
      <c r="I138" s="480"/>
      <c r="J138" s="552">
        <f>H138/DAY(B2)</f>
        <v>3.4980000000010478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'4'!F139</f>
        <v>1536.52</v>
      </c>
      <c r="F139" s="1273">
        <v>1536.52</v>
      </c>
      <c r="G139" s="473">
        <f t="shared" si="16"/>
        <v>0</v>
      </c>
      <c r="H139" s="460">
        <f>G139+'4'!H139</f>
        <v>0</v>
      </c>
      <c r="I139" s="542">
        <f>G139+G140</f>
        <v>8.1199999999998909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'4'!F140</f>
        <v>4501.8500000000004</v>
      </c>
      <c r="F140" s="1251">
        <v>4509.97</v>
      </c>
      <c r="G140" s="473">
        <f t="shared" si="16"/>
        <v>8.1199999999998909</v>
      </c>
      <c r="H140" s="460">
        <f>G140+'4'!H140</f>
        <v>41.430000000000291</v>
      </c>
      <c r="I140" s="542"/>
      <c r="J140" s="552">
        <f>H140/DAY(B2)</f>
        <v>8.2860000000000582</v>
      </c>
      <c r="N140" s="382"/>
    </row>
    <row r="141" spans="1:14">
      <c r="A141" s="1443" t="s">
        <v>250</v>
      </c>
      <c r="B141" s="1444"/>
      <c r="C141" s="1151"/>
      <c r="D141" s="472"/>
      <c r="E141" s="472"/>
      <c r="F141" s="1099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1102"/>
      <c r="G142" s="460">
        <f>G35+G43+G49+G57</f>
        <v>6023</v>
      </c>
      <c r="H142" s="460">
        <f>G142+'4'!H142</f>
        <v>29557</v>
      </c>
      <c r="I142" s="480" t="s">
        <v>268</v>
      </c>
      <c r="J142" s="552">
        <f>H142/DAY(B2)</f>
        <v>5911.4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1246"/>
      <c r="G143" s="543">
        <f>G142/G7</f>
        <v>0.27886841374201315</v>
      </c>
      <c r="H143" s="460">
        <f>G143+'4'!H143</f>
        <v>1.341580167428178</v>
      </c>
      <c r="I143" s="544"/>
      <c r="J143" s="552">
        <f>H143/DAY(B2)</f>
        <v>0.2683160334856356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1254"/>
      <c r="G144" s="460">
        <f>G41+G42+G55+G56</f>
        <v>5790</v>
      </c>
      <c r="H144" s="460">
        <f>G144+'4'!H144</f>
        <v>30710.839999999997</v>
      </c>
      <c r="I144" s="480"/>
      <c r="J144" s="552">
        <f>H144/DAY(B2)</f>
        <v>6142.1679999999997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1254"/>
      <c r="G145" s="543">
        <f>G144/G7</f>
        <v>0.26808037781276045</v>
      </c>
      <c r="H145" s="460">
        <f>G145+'4'!H145</f>
        <v>1.3911688516233092</v>
      </c>
      <c r="I145" s="544"/>
      <c r="J145" s="552">
        <f>H145/DAY(B2)</f>
        <v>0.27823377032466184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1254"/>
      <c r="G146" s="460">
        <f>G39+G53</f>
        <v>4086</v>
      </c>
      <c r="H146" s="460">
        <f>G146+'4'!H146</f>
        <v>20708</v>
      </c>
      <c r="I146" s="545"/>
      <c r="J146" s="552">
        <f>H146/DAY(B2)</f>
        <v>4141.6000000000004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1254"/>
      <c r="G147" s="543">
        <f>G146/G7</f>
        <v>0.18918418372071488</v>
      </c>
      <c r="H147" s="460">
        <f>G147+'4'!H147</f>
        <v>0.93873473680817421</v>
      </c>
      <c r="I147" s="545"/>
      <c r="J147" s="552">
        <f>H147/DAY(B2)</f>
        <v>0.18774694736163483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1254"/>
      <c r="G148" s="460">
        <f>G38+G52</f>
        <v>1731.3000000000029</v>
      </c>
      <c r="H148" s="460">
        <f>G148+'4'!H148</f>
        <v>8753</v>
      </c>
      <c r="I148" s="480"/>
      <c r="J148" s="552">
        <f>H148/DAY(B2)</f>
        <v>1750.6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1254"/>
      <c r="G149" s="543">
        <f>G148/G7</f>
        <v>8.0160200018520367E-2</v>
      </c>
      <c r="H149" s="460">
        <f>G149+'4'!H149</f>
        <v>0.39743359820463581</v>
      </c>
      <c r="I149" s="545"/>
      <c r="J149" s="552">
        <f>H149/DAY(B2)</f>
        <v>7.9486719640927156E-2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1254"/>
      <c r="G150" s="460">
        <f>G36+G50</f>
        <v>1916</v>
      </c>
      <c r="H150" s="460">
        <f>G150+'4'!H150</f>
        <v>10376</v>
      </c>
      <c r="I150" s="545"/>
      <c r="J150" s="552">
        <f>H150/DAY(B2)</f>
        <v>2075.1999999999998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1254"/>
      <c r="G151" s="543">
        <f>G150/G7</f>
        <v>8.8711917770163906E-2</v>
      </c>
      <c r="H151" s="460">
        <f>G151+'4'!H151</f>
        <v>0.46969308567878265</v>
      </c>
      <c r="I151" s="480"/>
      <c r="J151" s="552">
        <f>H151/DAY(B2)</f>
        <v>9.3938617135756533E-2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1254"/>
      <c r="G152" s="460">
        <f>G37+G51</f>
        <v>1361</v>
      </c>
      <c r="H152" s="460">
        <f>G152+'4'!H152</f>
        <v>7076</v>
      </c>
      <c r="I152" s="480"/>
      <c r="J152" s="552">
        <f>H152/DAY(B2)</f>
        <v>1415.2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1274"/>
      <c r="G153" s="566">
        <f>G152/G7</f>
        <v>6.3015093990184276E-2</v>
      </c>
      <c r="H153" s="460">
        <f>G153+'4'!H153</f>
        <v>0.32130766909168901</v>
      </c>
      <c r="I153" s="568"/>
      <c r="J153" s="569">
        <f>H153/DAY(B2)</f>
        <v>6.4261533818337796E-2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33762</v>
      </c>
      <c r="F160" s="661">
        <v>33854</v>
      </c>
      <c r="G160" s="473">
        <f t="shared" ref="G160:G171" si="17">F160-E160</f>
        <v>92</v>
      </c>
    </row>
    <row r="161" spans="1:7">
      <c r="A161" s="788" t="s">
        <v>264</v>
      </c>
      <c r="B161" s="789"/>
      <c r="C161" s="789"/>
      <c r="D161" s="511" t="s">
        <v>187</v>
      </c>
      <c r="E161" s="661">
        <v>70410</v>
      </c>
      <c r="F161" s="661">
        <v>70859</v>
      </c>
      <c r="G161" s="473">
        <f t="shared" si="17"/>
        <v>449</v>
      </c>
    </row>
    <row r="162" spans="1:7">
      <c r="A162" s="788" t="s">
        <v>265</v>
      </c>
      <c r="B162" s="789"/>
      <c r="C162" s="789"/>
      <c r="D162" s="511" t="s">
        <v>187</v>
      </c>
      <c r="E162" s="661">
        <v>30492</v>
      </c>
      <c r="F162" s="661">
        <v>30770</v>
      </c>
      <c r="G162" s="473">
        <f t="shared" si="17"/>
        <v>278</v>
      </c>
    </row>
    <row r="163" spans="1:7">
      <c r="A163" s="788" t="s">
        <v>266</v>
      </c>
      <c r="B163" s="789"/>
      <c r="C163" s="789"/>
      <c r="D163" s="511" t="s">
        <v>187</v>
      </c>
      <c r="E163" s="661">
        <v>5840</v>
      </c>
      <c r="F163" s="661">
        <v>5866</v>
      </c>
      <c r="G163" s="473">
        <f t="shared" si="17"/>
        <v>26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" si="18">E63</f>
        <v>2140</v>
      </c>
      <c r="F165" s="514">
        <f t="shared" ref="F165:F171" si="19">F63</f>
        <v>2154</v>
      </c>
      <c r="G165" s="473">
        <f t="shared" si="17"/>
        <v>14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ref="E166" si="20">E64</f>
        <v>141006</v>
      </c>
      <c r="F166" s="514">
        <f t="shared" si="19"/>
        <v>141481</v>
      </c>
      <c r="G166" s="473">
        <f t="shared" si="17"/>
        <v>475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ref="E167" si="21">E65</f>
        <v>145662</v>
      </c>
      <c r="F167" s="514">
        <f t="shared" si="19"/>
        <v>146027</v>
      </c>
      <c r="G167" s="473">
        <f t="shared" si="17"/>
        <v>365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ref="E168" si="22">E66</f>
        <v>38814</v>
      </c>
      <c r="F168" s="514">
        <f t="shared" si="19"/>
        <v>39214</v>
      </c>
      <c r="G168" s="473">
        <f t="shared" si="17"/>
        <v>400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ref="E169" si="23">E67</f>
        <v>231671</v>
      </c>
      <c r="F169" s="514">
        <f t="shared" si="19"/>
        <v>232292</v>
      </c>
      <c r="G169" s="473">
        <f t="shared" si="17"/>
        <v>621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ref="E170" si="24">E68</f>
        <v>84386</v>
      </c>
      <c r="F170" s="514">
        <f t="shared" si="19"/>
        <v>84713</v>
      </c>
      <c r="G170" s="473">
        <f t="shared" si="17"/>
        <v>327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ref="E171" si="25">E69</f>
        <v>75574.58</v>
      </c>
      <c r="F171" s="514">
        <f t="shared" si="19"/>
        <v>75877</v>
      </c>
      <c r="G171" s="473">
        <f t="shared" si="17"/>
        <v>302.41999999999825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19" zoomScale="55" zoomScaleSheetLayoutView="55" workbookViewId="0">
      <selection activeCell="F92" sqref="F92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575" t="s">
        <v>357</v>
      </c>
      <c r="B2" s="1036">
        <v>44292</v>
      </c>
      <c r="C2" s="1147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7" t="s">
        <v>120</v>
      </c>
      <c r="D3" s="612">
        <v>33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5224161</v>
      </c>
      <c r="F7" s="455">
        <v>5244906</v>
      </c>
      <c r="G7" s="692">
        <f>F7-E7</f>
        <v>20745</v>
      </c>
      <c r="H7" s="682">
        <f>G7+'5'!H7</f>
        <v>130983</v>
      </c>
      <c r="I7" s="683">
        <f>'1'!I7</f>
        <v>12000</v>
      </c>
      <c r="J7" s="684">
        <f>H7/DAY(B2)</f>
        <v>21830.5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5256061</v>
      </c>
      <c r="F8" s="475">
        <v>5276902</v>
      </c>
      <c r="G8" s="692">
        <f t="shared" ref="G8:G12" si="0">F8-E8</f>
        <v>20841</v>
      </c>
      <c r="H8" s="682">
        <f>G8+'5'!H8</f>
        <v>131584</v>
      </c>
      <c r="I8" s="689">
        <v>12000</v>
      </c>
      <c r="J8" s="684">
        <f>H8/DAY(B2)</f>
        <v>21930.666666666668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502970</v>
      </c>
      <c r="F9" s="478">
        <v>523029</v>
      </c>
      <c r="G9" s="692">
        <f t="shared" si="0"/>
        <v>20059</v>
      </c>
      <c r="H9" s="682">
        <f>G9+'5'!H9</f>
        <v>126960</v>
      </c>
      <c r="I9" s="693">
        <f>I8-J8</f>
        <v>-9930.6666666666679</v>
      </c>
      <c r="J9" s="684">
        <f>H9/DAY(B2)</f>
        <v>21160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20059</v>
      </c>
      <c r="H13" s="682">
        <f>G13+'5'!H13</f>
        <v>126960</v>
      </c>
      <c r="I13" s="698">
        <f>G7-G13</f>
        <v>686</v>
      </c>
      <c r="J13" s="684">
        <f>H13/DAY(B2)</f>
        <v>21160</v>
      </c>
      <c r="K13" s="428"/>
      <c r="L13" s="377"/>
      <c r="N13" s="382"/>
      <c r="O13" s="440"/>
      <c r="Q13" s="440"/>
    </row>
    <row r="14" spans="1:17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1651556</v>
      </c>
      <c r="F15" s="485">
        <v>1652439</v>
      </c>
      <c r="G15" s="473">
        <f>(F15-E15)</f>
        <v>883</v>
      </c>
      <c r="H15" s="486">
        <f>G15+'5'!H15</f>
        <v>5750</v>
      </c>
      <c r="I15" s="474">
        <v>800</v>
      </c>
      <c r="J15" s="553">
        <f>H15/DAY(B2)</f>
        <v>958.33333333333337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-158.33333333333337</v>
      </c>
      <c r="J16" s="1057"/>
      <c r="K16" s="428"/>
      <c r="L16" s="377"/>
      <c r="N16" s="382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9" t="s">
        <v>144</v>
      </c>
      <c r="E18" s="637">
        <f>'5'!F18</f>
        <v>12</v>
      </c>
      <c r="F18" s="485">
        <v>10</v>
      </c>
      <c r="G18" s="692">
        <f>F18*10</f>
        <v>100</v>
      </c>
      <c r="H18" s="682">
        <f>G18+'5'!H18</f>
        <v>700</v>
      </c>
      <c r="I18" s="683">
        <f>'1'!I18</f>
        <v>65</v>
      </c>
      <c r="J18" s="684">
        <f>H18/DAY(B2)</f>
        <v>116.66666666666667</v>
      </c>
      <c r="K18" s="428"/>
      <c r="L18" s="377"/>
      <c r="N18" s="382"/>
    </row>
    <row r="19" spans="1:14" ht="27.75">
      <c r="A19" s="1477" t="s">
        <v>71</v>
      </c>
      <c r="B19" s="1478"/>
      <c r="C19" s="1479"/>
      <c r="D19" s="638" t="s">
        <v>144</v>
      </c>
      <c r="E19" s="635">
        <f>'5'!F19</f>
        <v>136361</v>
      </c>
      <c r="F19" s="478">
        <v>136417</v>
      </c>
      <c r="G19" s="692">
        <f t="shared" ref="G19" si="1">F19-E19</f>
        <v>56</v>
      </c>
      <c r="H19" s="682">
        <f>G19+'5'!H19</f>
        <v>327</v>
      </c>
      <c r="I19" s="699"/>
      <c r="J19" s="684">
        <f>H19/DAY(B2)</f>
        <v>54.5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G20+'5'!H20</f>
        <v>1027</v>
      </c>
      <c r="I20" s="701">
        <f>I18-J20</f>
        <v>-106.16666666666666</v>
      </c>
      <c r="J20" s="684">
        <f>H20/DAY(B2)</f>
        <v>171.16666666666666</v>
      </c>
      <c r="K20" s="428"/>
      <c r="L20" s="377"/>
      <c r="N20" s="382"/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'5'!F22</f>
        <v>1290</v>
      </c>
      <c r="F22" s="478">
        <v>1290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'5'!F23</f>
        <v>1900</v>
      </c>
      <c r="F23" s="478">
        <v>1900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3290</v>
      </c>
      <c r="F24" s="485">
        <v>3290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20841</v>
      </c>
      <c r="F27" s="501">
        <v>9</v>
      </c>
      <c r="G27" s="502">
        <f>E27*F27</f>
        <v>187569</v>
      </c>
      <c r="H27" s="460">
        <f>G27+'5'!H27</f>
        <v>1184256</v>
      </c>
      <c r="I27" s="503"/>
      <c r="J27" s="552">
        <f>H27/DAY(B2)</f>
        <v>197376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883</v>
      </c>
      <c r="F28" s="501">
        <v>51.45</v>
      </c>
      <c r="G28" s="502">
        <f t="shared" ref="G28:G31" si="3">E28*F28</f>
        <v>45430.350000000006</v>
      </c>
      <c r="H28" s="460">
        <f>G28+'5'!H28</f>
        <v>295837.5</v>
      </c>
      <c r="I28" s="505"/>
      <c r="J28" s="552">
        <f>H28/DAY(B2)</f>
        <v>49306.25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146</v>
      </c>
      <c r="G30" s="502">
        <f t="shared" si="3"/>
        <v>8176</v>
      </c>
      <c r="H30" s="460">
        <f>G30+'5'!H30</f>
        <v>45186</v>
      </c>
      <c r="I30" s="505"/>
      <c r="J30" s="552">
        <f>H30/DAY(B2)</f>
        <v>7531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3"/>
        <v>8000</v>
      </c>
      <c r="H31" s="460">
        <f>G31+'5'!H31</f>
        <v>56000</v>
      </c>
      <c r="I31" s="505"/>
      <c r="J31" s="552">
        <f>H31/DAY(B2)</f>
        <v>9333.3333333333339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249175.35</v>
      </c>
      <c r="H32" s="460">
        <f>G32+'5'!H32</f>
        <v>1581279.5</v>
      </c>
      <c r="I32" s="509"/>
      <c r="J32" s="552">
        <f>H32/DAY(B2)</f>
        <v>263546.58333333331</v>
      </c>
      <c r="K32" s="373"/>
      <c r="L32" s="443"/>
      <c r="N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815332</v>
      </c>
      <c r="F35" s="510">
        <v>818655</v>
      </c>
      <c r="G35" s="473">
        <f t="shared" ref="G35:G46" si="4">F35-E35</f>
        <v>3323</v>
      </c>
      <c r="H35" s="460">
        <f>G35+'5'!H35</f>
        <v>20266</v>
      </c>
      <c r="I35" s="455"/>
      <c r="J35" s="552">
        <f>H35/DAY(B2)</f>
        <v>3377.6666666666665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322075</v>
      </c>
      <c r="F36" s="510">
        <v>322775</v>
      </c>
      <c r="G36" s="473">
        <f t="shared" si="4"/>
        <v>700</v>
      </c>
      <c r="H36" s="460">
        <f>G36+'5'!H36</f>
        <v>5339</v>
      </c>
      <c r="I36" s="455"/>
      <c r="J36" s="552">
        <f>H36/DAY(B2)</f>
        <v>889.83333333333337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61873</v>
      </c>
      <c r="F37" s="510">
        <v>63229</v>
      </c>
      <c r="G37" s="473">
        <f t="shared" si="4"/>
        <v>1356</v>
      </c>
      <c r="H37" s="460">
        <f>G37+'5'!H37</f>
        <v>8432</v>
      </c>
      <c r="I37" s="455"/>
      <c r="J37" s="552">
        <f>H37/DAY(B2)</f>
        <v>1405.3333333333333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81061</v>
      </c>
      <c r="F38" s="469">
        <v>82746</v>
      </c>
      <c r="G38" s="473">
        <f t="shared" si="4"/>
        <v>1685</v>
      </c>
      <c r="H38" s="460">
        <f>G38+'5'!H38</f>
        <v>10438</v>
      </c>
      <c r="I38" s="455"/>
      <c r="J38" s="552">
        <f>H38/DAY(B2)</f>
        <v>1739.6666666666667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172455</v>
      </c>
      <c r="F39" s="510">
        <v>176274</v>
      </c>
      <c r="G39" s="473">
        <f t="shared" si="4"/>
        <v>3819</v>
      </c>
      <c r="H39" s="460">
        <f>G39+'5'!H39</f>
        <v>23452</v>
      </c>
      <c r="I39" s="455"/>
      <c r="J39" s="552">
        <f>H39/DAY(B2)</f>
        <v>3908.6666666666665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159474</v>
      </c>
      <c r="F41" s="510">
        <v>159785</v>
      </c>
      <c r="G41" s="473">
        <f>F41-E41</f>
        <v>311</v>
      </c>
      <c r="H41" s="460">
        <f>G41+'5'!H41</f>
        <v>26644</v>
      </c>
      <c r="I41" s="455"/>
      <c r="J41" s="552">
        <f>H41/DAY(B2)</f>
        <v>4440.666666666667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-0.16000000000349246</v>
      </c>
      <c r="I42" s="455"/>
      <c r="J42" s="552">
        <f>H42/DAY(B2)</f>
        <v>-2.6666666667248744E-2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914662</v>
      </c>
      <c r="F43" s="510">
        <v>917094</v>
      </c>
      <c r="G43" s="473">
        <f t="shared" si="4"/>
        <v>2432</v>
      </c>
      <c r="H43" s="460">
        <f>G43+'5'!H43</f>
        <v>15046</v>
      </c>
      <c r="I43" s="455"/>
      <c r="J43" s="552">
        <f>H43/DAY(B2)</f>
        <v>2507.6666666666665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13626</v>
      </c>
      <c r="H47" s="460">
        <f>G47+'5'!H47</f>
        <v>110417.84</v>
      </c>
      <c r="I47" s="455"/>
      <c r="J47" s="552">
        <f>H47/DAY(B2)</f>
        <v>18402.973333333332</v>
      </c>
      <c r="K47" s="428"/>
      <c r="L47" s="377"/>
      <c r="N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446969</v>
      </c>
      <c r="F50" s="510">
        <v>448054</v>
      </c>
      <c r="G50" s="473">
        <f t="shared" si="5"/>
        <v>1085</v>
      </c>
      <c r="H50" s="460">
        <f>G50+'5'!H50</f>
        <v>6822</v>
      </c>
      <c r="I50" s="455"/>
      <c r="J50" s="552">
        <f>H50/DAY(B2)</f>
        <v>1137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539608</v>
      </c>
      <c r="F52" s="510">
        <v>539608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402339</v>
      </c>
      <c r="F53" s="510">
        <v>402551</v>
      </c>
      <c r="G53" s="473">
        <f t="shared" si="5"/>
        <v>212</v>
      </c>
      <c r="H53" s="460">
        <f>G53+'5'!H53</f>
        <v>1287</v>
      </c>
      <c r="I53" s="455"/>
      <c r="J53" s="552">
        <f>H53/DAY(B2)</f>
        <v>214.5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9527</v>
      </c>
      <c r="F54" s="510">
        <v>9599</v>
      </c>
      <c r="G54" s="473">
        <f t="shared" si="5"/>
        <v>72</v>
      </c>
      <c r="H54" s="460">
        <f>G54+'5'!H54</f>
        <v>433</v>
      </c>
      <c r="I54" s="455"/>
      <c r="J54" s="552">
        <f>H54/DAY(B2)</f>
        <v>72.166666666666671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220420</v>
      </c>
      <c r="F55" s="656">
        <v>225582</v>
      </c>
      <c r="G55" s="655">
        <f t="shared" si="5"/>
        <v>5162</v>
      </c>
      <c r="H55" s="708">
        <f>G55+'5'!H55</f>
        <v>9485</v>
      </c>
      <c r="I55" s="709"/>
      <c r="J55" s="710">
        <f>H55/DAY(B2)</f>
        <v>1580.8333333333333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589022</v>
      </c>
      <c r="F56" s="1060">
        <v>589031</v>
      </c>
      <c r="G56" s="473">
        <f t="shared" si="5"/>
        <v>9</v>
      </c>
      <c r="H56" s="460">
        <f>G56+'5'!H56</f>
        <v>64</v>
      </c>
      <c r="I56" s="455"/>
      <c r="J56" s="552">
        <f>H56/DAY(B2)</f>
        <v>10.666666666666666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42520</v>
      </c>
      <c r="F58" s="656">
        <v>42703</v>
      </c>
      <c r="G58" s="473">
        <f t="shared" si="5"/>
        <v>183</v>
      </c>
      <c r="H58" s="460">
        <f>G58+'5'!H58</f>
        <v>1156</v>
      </c>
      <c r="I58" s="455"/>
      <c r="J58" s="552">
        <f>H58/DAY(B2)</f>
        <v>192.66666666666666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6723</v>
      </c>
      <c r="H59" s="460">
        <f>G59+'5'!H59</f>
        <v>19247</v>
      </c>
      <c r="I59" s="455">
        <f>G7-G60</f>
        <v>396</v>
      </c>
      <c r="J59" s="552">
        <f>H59/DAY(B2)</f>
        <v>3207.8333333333335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20349</v>
      </c>
      <c r="H60" s="460">
        <f>G60+'5'!H60</f>
        <v>129664.84</v>
      </c>
      <c r="I60" s="455">
        <f>G13-G60</f>
        <v>-290</v>
      </c>
      <c r="J60" s="552">
        <f>H60/DAY(B2)</f>
        <v>21610.806666666667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2154</v>
      </c>
      <c r="F63" s="514">
        <v>2166</v>
      </c>
      <c r="G63" s="473">
        <f t="shared" si="6"/>
        <v>12</v>
      </c>
      <c r="H63" s="460">
        <f>G63+'5'!H63</f>
        <v>70</v>
      </c>
      <c r="I63" s="515"/>
      <c r="J63" s="552">
        <f>H63/DAY(B2)</f>
        <v>11.666666666666666</v>
      </c>
      <c r="K63" s="428"/>
      <c r="L63" s="377"/>
      <c r="N63" s="382"/>
    </row>
    <row r="64" spans="1:14" ht="27.75">
      <c r="A64" s="1416" t="s">
        <v>99</v>
      </c>
      <c r="B64" s="1417"/>
      <c r="C64" s="1418"/>
      <c r="D64" s="523" t="s">
        <v>187</v>
      </c>
      <c r="E64" s="484">
        <f>'5'!F64</f>
        <v>141481</v>
      </c>
      <c r="F64" s="478">
        <v>141950</v>
      </c>
      <c r="G64" s="473">
        <f t="shared" si="6"/>
        <v>469</v>
      </c>
      <c r="H64" s="460">
        <f>G64+'5'!H64</f>
        <v>2770</v>
      </c>
      <c r="I64" s="480"/>
      <c r="J64" s="552">
        <f>H64/DAY(B2)</f>
        <v>461.66666666666669</v>
      </c>
      <c r="K64" s="428"/>
      <c r="L64" s="377"/>
      <c r="N64" s="382"/>
    </row>
    <row r="65" spans="1:14" ht="27.75">
      <c r="A65" s="1416" t="s">
        <v>100</v>
      </c>
      <c r="B65" s="1417"/>
      <c r="C65" s="1418"/>
      <c r="D65" s="523" t="s">
        <v>187</v>
      </c>
      <c r="E65" s="484">
        <f>'5'!F65</f>
        <v>146027</v>
      </c>
      <c r="F65" s="654">
        <v>146386</v>
      </c>
      <c r="G65" s="473">
        <f t="shared" si="6"/>
        <v>359</v>
      </c>
      <c r="H65" s="460">
        <f>G65+'5'!H65</f>
        <v>2181</v>
      </c>
      <c r="I65" s="489"/>
      <c r="J65" s="552">
        <f>H65/DAY(B2)</f>
        <v>363.5</v>
      </c>
      <c r="K65" s="428"/>
      <c r="L65" s="377"/>
      <c r="N65" s="382"/>
    </row>
    <row r="66" spans="1:14" ht="27.75">
      <c r="A66" s="1416" t="s">
        <v>101</v>
      </c>
      <c r="B66" s="1417"/>
      <c r="C66" s="1418"/>
      <c r="D66" s="523" t="s">
        <v>187</v>
      </c>
      <c r="E66" s="484">
        <f>'5'!F66</f>
        <v>39214</v>
      </c>
      <c r="F66" s="478">
        <v>39601</v>
      </c>
      <c r="G66" s="473">
        <f t="shared" si="6"/>
        <v>387</v>
      </c>
      <c r="H66" s="460">
        <f>G66+'5'!H66</f>
        <v>2393</v>
      </c>
      <c r="I66" s="480"/>
      <c r="J66" s="552">
        <f>H66/DAY(B2)</f>
        <v>398.83333333333331</v>
      </c>
      <c r="K66" s="428"/>
      <c r="L66" s="377"/>
      <c r="N66" s="382"/>
    </row>
    <row r="67" spans="1:14" ht="27.75">
      <c r="A67" s="1416" t="s">
        <v>102</v>
      </c>
      <c r="B67" s="1417"/>
      <c r="C67" s="1418"/>
      <c r="D67" s="523" t="s">
        <v>187</v>
      </c>
      <c r="E67" s="484">
        <f>'5'!F67</f>
        <v>232292</v>
      </c>
      <c r="F67" s="478">
        <v>232860</v>
      </c>
      <c r="G67" s="473">
        <f t="shared" si="6"/>
        <v>568</v>
      </c>
      <c r="H67" s="460">
        <f>G67+'5'!H67</f>
        <v>3760</v>
      </c>
      <c r="I67" s="489"/>
      <c r="J67" s="552">
        <f>H67/DAY(B2)</f>
        <v>626.66666666666663</v>
      </c>
      <c r="K67" s="429"/>
      <c r="L67" s="377"/>
      <c r="N67" s="382"/>
    </row>
    <row r="68" spans="1:14" ht="27.75">
      <c r="A68" s="1416" t="s">
        <v>103</v>
      </c>
      <c r="B68" s="1417"/>
      <c r="C68" s="1418"/>
      <c r="D68" s="523" t="s">
        <v>187</v>
      </c>
      <c r="E68" s="484">
        <f>'5'!F68</f>
        <v>84713</v>
      </c>
      <c r="F68" s="478">
        <v>85034</v>
      </c>
      <c r="G68" s="473">
        <f t="shared" si="6"/>
        <v>321</v>
      </c>
      <c r="H68" s="460">
        <f>G68+'5'!H68</f>
        <v>1947</v>
      </c>
      <c r="I68" s="516"/>
      <c r="J68" s="552">
        <f>H68/DAY(B2)</f>
        <v>324.5</v>
      </c>
      <c r="K68" s="430"/>
      <c r="L68" s="377"/>
      <c r="N68" s="382"/>
    </row>
    <row r="69" spans="1:14" ht="27.75">
      <c r="A69" s="1416" t="s">
        <v>104</v>
      </c>
      <c r="B69" s="1417"/>
      <c r="C69" s="1418"/>
      <c r="D69" s="523" t="s">
        <v>187</v>
      </c>
      <c r="E69" s="484">
        <f>'5'!F69</f>
        <v>75877</v>
      </c>
      <c r="F69" s="478">
        <v>76175</v>
      </c>
      <c r="G69" s="473">
        <f t="shared" si="6"/>
        <v>298</v>
      </c>
      <c r="H69" s="460">
        <f>G69+'5'!H69</f>
        <v>1846</v>
      </c>
      <c r="I69" s="516"/>
      <c r="J69" s="552">
        <f>H69/DAY(B2)</f>
        <v>307.66666666666669</v>
      </c>
      <c r="K69" s="431"/>
      <c r="L69" s="377"/>
      <c r="N69" s="382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519">
        <f>'5'!F72</f>
        <v>853693</v>
      </c>
      <c r="F72" s="657">
        <v>853780</v>
      </c>
      <c r="G72" s="473">
        <f t="shared" ref="G72:G84" si="7">F72-E72</f>
        <v>87</v>
      </c>
      <c r="H72" s="460">
        <f>G72+'5'!H72</f>
        <v>601</v>
      </c>
      <c r="I72" s="480"/>
      <c r="J72" s="552">
        <f>H72/DAY(B2)</f>
        <v>100.16666666666667</v>
      </c>
      <c r="K72" s="431"/>
      <c r="L72" s="377"/>
      <c r="N72" s="382"/>
    </row>
    <row r="73" spans="1:14" ht="27.75">
      <c r="A73" s="1416" t="s">
        <v>192</v>
      </c>
      <c r="B73" s="1417"/>
      <c r="C73" s="1418"/>
      <c r="D73" s="523" t="s">
        <v>187</v>
      </c>
      <c r="E73" s="520">
        <f>'5'!F73</f>
        <v>885809</v>
      </c>
      <c r="F73" s="658">
        <v>885810</v>
      </c>
      <c r="G73" s="655">
        <f t="shared" si="7"/>
        <v>1</v>
      </c>
      <c r="H73" s="460">
        <f>G73+'5'!H73</f>
        <v>10</v>
      </c>
      <c r="I73" s="480"/>
      <c r="J73" s="552">
        <f>H73/DAY(B2)</f>
        <v>1.6666666666666667</v>
      </c>
      <c r="K73" s="430"/>
      <c r="L73" s="377"/>
      <c r="N73" s="382"/>
    </row>
    <row r="74" spans="1:14" ht="27.75">
      <c r="A74" s="1416" t="s">
        <v>193</v>
      </c>
      <c r="B74" s="1417"/>
      <c r="C74" s="1418"/>
      <c r="D74" s="523" t="s">
        <v>187</v>
      </c>
      <c r="E74" s="521">
        <f>'5'!F74</f>
        <v>1491</v>
      </c>
      <c r="F74" s="657">
        <v>1520</v>
      </c>
      <c r="G74" s="473">
        <f t="shared" si="7"/>
        <v>29</v>
      </c>
      <c r="H74" s="460">
        <f>G74+'5'!H74</f>
        <v>150</v>
      </c>
      <c r="I74" s="480"/>
      <c r="J74" s="552">
        <f>H74/DAY(B2)</f>
        <v>25</v>
      </c>
      <c r="K74" s="431"/>
      <c r="L74" s="377"/>
      <c r="N74" s="382"/>
    </row>
    <row r="75" spans="1:14" ht="27.75">
      <c r="A75" s="1413" t="s">
        <v>194</v>
      </c>
      <c r="B75" s="1414"/>
      <c r="C75" s="1415"/>
      <c r="D75" s="523" t="s">
        <v>187</v>
      </c>
      <c r="E75" s="520">
        <f>'5'!F75</f>
        <v>9307</v>
      </c>
      <c r="F75" s="658">
        <v>9427</v>
      </c>
      <c r="G75" s="473">
        <f t="shared" si="7"/>
        <v>120</v>
      </c>
      <c r="H75" s="460">
        <f>G75+'5'!H75</f>
        <v>747</v>
      </c>
      <c r="I75" s="480"/>
      <c r="J75" s="552">
        <f>H75/DAY(B2)</f>
        <v>124.5</v>
      </c>
      <c r="K75" s="430"/>
      <c r="L75" s="377"/>
      <c r="N75" s="382"/>
    </row>
    <row r="76" spans="1:14" ht="27.75">
      <c r="A76" s="1413" t="s">
        <v>195</v>
      </c>
      <c r="B76" s="1414"/>
      <c r="C76" s="1415"/>
      <c r="D76" s="523" t="s">
        <v>187</v>
      </c>
      <c r="E76" s="520">
        <f>'5'!F76</f>
        <v>4365</v>
      </c>
      <c r="F76" s="658">
        <v>4431</v>
      </c>
      <c r="G76" s="473">
        <f t="shared" si="7"/>
        <v>66</v>
      </c>
      <c r="H76" s="460">
        <f>G76+'5'!H76</f>
        <v>394</v>
      </c>
      <c r="I76" s="505"/>
      <c r="J76" s="552">
        <f>H76/DAY(B2)</f>
        <v>65.666666666666671</v>
      </c>
      <c r="K76" s="430"/>
      <c r="L76" s="377"/>
      <c r="N76" s="382"/>
    </row>
    <row r="77" spans="1:14" ht="27.75">
      <c r="A77" s="1416" t="s">
        <v>196</v>
      </c>
      <c r="B77" s="1417"/>
      <c r="C77" s="1418"/>
      <c r="D77" s="523" t="s">
        <v>187</v>
      </c>
      <c r="E77" s="520">
        <f>'5'!F77</f>
        <v>700442</v>
      </c>
      <c r="F77" s="658">
        <v>700487</v>
      </c>
      <c r="G77" s="655">
        <f t="shared" si="7"/>
        <v>45</v>
      </c>
      <c r="H77" s="460">
        <f>G77+'5'!H77</f>
        <v>273</v>
      </c>
      <c r="I77" s="505"/>
      <c r="J77" s="552">
        <f>H77/DAY(B2)</f>
        <v>45.5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21">
        <f>'5'!F78</f>
        <v>667075</v>
      </c>
      <c r="F78" s="659">
        <v>667360</v>
      </c>
      <c r="G78" s="473">
        <f t="shared" si="7"/>
        <v>285</v>
      </c>
      <c r="H78" s="460">
        <f>G78+'5'!H78</f>
        <v>1980</v>
      </c>
      <c r="I78" s="505"/>
      <c r="J78" s="552">
        <f>H78/DAY(B2)</f>
        <v>330</v>
      </c>
      <c r="K78" s="430"/>
      <c r="L78" s="377"/>
      <c r="N78" s="382"/>
    </row>
    <row r="79" spans="1:14" ht="27.75">
      <c r="A79" s="1413" t="s">
        <v>92</v>
      </c>
      <c r="B79" s="1414"/>
      <c r="C79" s="1415"/>
      <c r="D79" s="524" t="s">
        <v>187</v>
      </c>
      <c r="E79" s="521">
        <f>'5'!F79</f>
        <v>822160</v>
      </c>
      <c r="F79" s="659">
        <v>822339</v>
      </c>
      <c r="G79" s="473">
        <f t="shared" si="7"/>
        <v>179</v>
      </c>
      <c r="H79" s="460">
        <f>G79+'5'!H79</f>
        <v>1126</v>
      </c>
      <c r="I79" s="505"/>
      <c r="J79" s="552">
        <f>H79/DAY(B2)</f>
        <v>187.66666666666666</v>
      </c>
      <c r="K79" s="430"/>
      <c r="L79" s="377"/>
      <c r="N79" s="382"/>
    </row>
    <row r="80" spans="1:14" ht="27.75">
      <c r="A80" s="1413" t="s">
        <v>198</v>
      </c>
      <c r="B80" s="1414"/>
      <c r="C80" s="1415"/>
      <c r="D80" s="524" t="s">
        <v>187</v>
      </c>
      <c r="E80" s="520">
        <f>'5'!F80</f>
        <v>507397</v>
      </c>
      <c r="F80" s="658">
        <v>507768</v>
      </c>
      <c r="G80" s="473">
        <f t="shared" si="7"/>
        <v>371</v>
      </c>
      <c r="H80" s="460">
        <f>G80+'5'!H80</f>
        <v>2069</v>
      </c>
      <c r="I80" s="505"/>
      <c r="J80" s="552">
        <f>H80/DAY(B2)</f>
        <v>344.83333333333331</v>
      </c>
      <c r="K80" s="430"/>
      <c r="L80" s="377"/>
      <c r="N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'5'!F81</f>
        <v>631464</v>
      </c>
      <c r="F81" s="658">
        <v>631685</v>
      </c>
      <c r="G81" s="473">
        <f t="shared" si="7"/>
        <v>221</v>
      </c>
      <c r="H81" s="460">
        <f>G81+'5'!H81</f>
        <v>1500</v>
      </c>
      <c r="I81" s="505"/>
      <c r="J81" s="552">
        <f>H81/DAY(B2)</f>
        <v>250</v>
      </c>
      <c r="K81" s="430"/>
      <c r="L81" s="377"/>
      <c r="N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'5'!F82</f>
        <v>107013</v>
      </c>
      <c r="F82" s="654">
        <v>107039</v>
      </c>
      <c r="G82" s="473">
        <f t="shared" si="7"/>
        <v>26</v>
      </c>
      <c r="H82" s="460">
        <f>G82+'5'!H82</f>
        <v>144</v>
      </c>
      <c r="I82" s="486"/>
      <c r="J82" s="552">
        <f>H82/DAY(B2)</f>
        <v>24</v>
      </c>
      <c r="K82" s="430"/>
      <c r="L82" s="377"/>
      <c r="N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'5'!F83</f>
        <v>8365</v>
      </c>
      <c r="F83" s="511">
        <v>8617</v>
      </c>
      <c r="G83" s="473">
        <f t="shared" si="7"/>
        <v>252</v>
      </c>
      <c r="H83" s="460">
        <f>G83+'5'!H83</f>
        <v>1560</v>
      </c>
      <c r="I83" s="481"/>
      <c r="J83" s="552">
        <f>H83/DAY(B2)</f>
        <v>260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627">
        <f>'5'!F84</f>
        <v>459300</v>
      </c>
      <c r="F84" s="627">
        <v>460282</v>
      </c>
      <c r="G84" s="473">
        <f t="shared" si="7"/>
        <v>982</v>
      </c>
      <c r="H84" s="460">
        <f>G84+'5'!H84</f>
        <v>5598</v>
      </c>
      <c r="I84" s="481"/>
      <c r="J84" s="552">
        <f>H84/DAY(B2)</f>
        <v>933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2664</v>
      </c>
      <c r="H85" s="460">
        <f>G85+'5'!H85</f>
        <v>16152</v>
      </c>
      <c r="I85" s="481"/>
      <c r="J85" s="552">
        <f>H85/DAY(B2)</f>
        <v>2692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455433</v>
      </c>
      <c r="F86" s="650">
        <v>455649</v>
      </c>
      <c r="G86" s="708">
        <f t="shared" ref="G86:G90" si="8">F86-E86</f>
        <v>216</v>
      </c>
      <c r="H86" s="460">
        <f>G86+'5'!H86</f>
        <v>1068</v>
      </c>
      <c r="I86" s="655"/>
      <c r="J86" s="710">
        <f>H86/DAY(B2)</f>
        <v>178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80330</v>
      </c>
      <c r="F87" s="650">
        <v>80359</v>
      </c>
      <c r="G87" s="708">
        <f t="shared" si="8"/>
        <v>29</v>
      </c>
      <c r="H87" s="460">
        <f>G87+'5'!H87</f>
        <v>174</v>
      </c>
      <c r="I87" s="655"/>
      <c r="J87" s="710">
        <f>H87/DAY(B2)</f>
        <v>29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150937</v>
      </c>
      <c r="F88" s="650">
        <v>150971</v>
      </c>
      <c r="G88" s="708">
        <f t="shared" si="8"/>
        <v>34</v>
      </c>
      <c r="H88" s="460">
        <f>G88+'5'!H88</f>
        <v>372</v>
      </c>
      <c r="I88" s="655"/>
      <c r="J88" s="710">
        <f>H88/DAY(B2)</f>
        <v>62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63772</v>
      </c>
      <c r="F89" s="650">
        <v>63815</v>
      </c>
      <c r="G89" s="708">
        <f t="shared" si="8"/>
        <v>43</v>
      </c>
      <c r="H89" s="460">
        <f>G89+'5'!H89</f>
        <v>261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2</v>
      </c>
      <c r="I90" s="655"/>
      <c r="J90" s="710">
        <f>H90/DAY(B2)</f>
        <v>0.33333333333333331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'5'!F92</f>
        <v>243053</v>
      </c>
      <c r="F92" s="478">
        <v>243115</v>
      </c>
      <c r="G92" s="473">
        <f t="shared" ref="G92:G93" si="9">F92-E92</f>
        <v>62</v>
      </c>
      <c r="H92" s="460">
        <f>G92+'5'!H92</f>
        <v>469</v>
      </c>
      <c r="I92" s="480"/>
      <c r="J92" s="552">
        <f>H92/DAY(B2)</f>
        <v>78.166666666666671</v>
      </c>
      <c r="K92" s="429"/>
      <c r="L92" s="377"/>
      <c r="N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'5'!F93</f>
        <v>180441</v>
      </c>
      <c r="F93" s="478">
        <v>180607</v>
      </c>
      <c r="G93" s="473">
        <f t="shared" si="9"/>
        <v>166</v>
      </c>
      <c r="H93" s="460">
        <f>G93+'5'!H93</f>
        <v>928</v>
      </c>
      <c r="I93" s="480"/>
      <c r="J93" s="552">
        <f>H93/DAY(B2)</f>
        <v>154.66666666666666</v>
      </c>
      <c r="K93" s="380"/>
      <c r="L93" s="377"/>
      <c r="N93" s="382"/>
    </row>
    <row r="94" spans="1:15">
      <c r="A94" s="1465" t="s">
        <v>208</v>
      </c>
      <c r="B94" s="1466"/>
      <c r="C94" s="1467"/>
      <c r="D94" s="523"/>
      <c r="E94" s="484">
        <f>'5'!F94</f>
        <v>0</v>
      </c>
      <c r="F94" s="478"/>
      <c r="G94" s="473">
        <f>G92+G93</f>
        <v>228</v>
      </c>
      <c r="H94" s="460">
        <f>G94+'5'!H94</f>
        <v>1178</v>
      </c>
      <c r="I94" s="480"/>
      <c r="J94" s="552">
        <f>H94/DAY(B2)</f>
        <v>196.33333333333334</v>
      </c>
      <c r="K94" s="380"/>
      <c r="L94" s="377"/>
      <c r="N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'5'!F95</f>
        <v>411160</v>
      </c>
      <c r="F95" s="478">
        <v>411228</v>
      </c>
      <c r="G95" s="473">
        <f t="shared" ref="G95:G100" si="10">F95-E95</f>
        <v>68</v>
      </c>
      <c r="H95" s="460">
        <f>G95+'5'!H95</f>
        <v>443</v>
      </c>
      <c r="I95" s="480"/>
      <c r="J95" s="552">
        <f>H95/DAY(B2)</f>
        <v>73.833333333333329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'5'!F96</f>
        <v>101921</v>
      </c>
      <c r="F96" s="478">
        <v>101938</v>
      </c>
      <c r="G96" s="473">
        <f t="shared" si="10"/>
        <v>17</v>
      </c>
      <c r="H96" s="460">
        <f>G96+'5'!H96</f>
        <v>107</v>
      </c>
      <c r="I96" s="480"/>
      <c r="J96" s="552">
        <f>H96/DAY(B2)</f>
        <v>17.833333333333332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1251">
        <v>97020</v>
      </c>
      <c r="F97" s="478">
        <v>97039</v>
      </c>
      <c r="G97" s="473">
        <f t="shared" si="10"/>
        <v>19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'5'!F98</f>
        <v>149125</v>
      </c>
      <c r="F98" s="478">
        <v>149140</v>
      </c>
      <c r="G98" s="473">
        <f t="shared" si="10"/>
        <v>15</v>
      </c>
      <c r="H98" s="460">
        <f>G98+'5'!H98</f>
        <v>231</v>
      </c>
      <c r="I98" s="480"/>
      <c r="J98" s="552">
        <f>H98/DAY(B2)</f>
        <v>38.5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'5'!F99</f>
        <v>6938</v>
      </c>
      <c r="F99" s="478">
        <v>6955</v>
      </c>
      <c r="G99" s="473">
        <f t="shared" si="10"/>
        <v>17</v>
      </c>
      <c r="H99" s="460">
        <f>G99+'5'!H99</f>
        <v>100</v>
      </c>
      <c r="I99" s="480"/>
      <c r="J99" s="552">
        <f>H99/DAY(B2)</f>
        <v>16.666666666666668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'5'!F100</f>
        <v>4975</v>
      </c>
      <c r="F100" s="478">
        <v>4982</v>
      </c>
      <c r="G100" s="473">
        <f t="shared" si="10"/>
        <v>7</v>
      </c>
      <c r="H100" s="460">
        <f>G100+'5'!H100</f>
        <v>39</v>
      </c>
      <c r="I100" s="480"/>
      <c r="J100" s="552">
        <f>H100/DAY(B2)</f>
        <v>6.5</v>
      </c>
      <c r="K100" s="380"/>
      <c r="L100" s="377"/>
      <c r="N100" s="382"/>
    </row>
    <row r="101" spans="1:14">
      <c r="A101" s="1465" t="s">
        <v>216</v>
      </c>
      <c r="B101" s="1466"/>
      <c r="C101" s="1467"/>
      <c r="D101" s="524"/>
      <c r="E101" s="524"/>
      <c r="F101" s="524" t="s">
        <v>215</v>
      </c>
      <c r="G101" s="525">
        <f>SUM(G95:G100)</f>
        <v>143</v>
      </c>
      <c r="H101" s="460">
        <f>G101+'5'!H101</f>
        <v>1031</v>
      </c>
      <c r="I101" s="526"/>
      <c r="J101" s="552">
        <f>H101/DAY(B2)</f>
        <v>171.83333333333334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532">
        <f>'5'!F104</f>
        <v>7343</v>
      </c>
      <c r="F104" s="661">
        <v>7344</v>
      </c>
      <c r="G104" s="532">
        <f>F104-E104</f>
        <v>1</v>
      </c>
      <c r="H104" s="460">
        <f>G104+'5'!H104</f>
        <v>19</v>
      </c>
      <c r="I104" s="532"/>
      <c r="J104" s="558">
        <f>H104/DAY(B2)</f>
        <v>3.1666666666666665</v>
      </c>
      <c r="N104" s="382"/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532">
        <f>'5'!F105</f>
        <v>35687</v>
      </c>
      <c r="F105" s="662">
        <v>35691</v>
      </c>
      <c r="G105" s="532">
        <f t="shared" ref="G105" si="11">F105-E105</f>
        <v>4</v>
      </c>
      <c r="H105" s="460">
        <f>G105+'5'!H105</f>
        <v>40</v>
      </c>
      <c r="I105" s="532"/>
      <c r="J105" s="558">
        <f>H105/DAY(B2)</f>
        <v>6.666666666666667</v>
      </c>
      <c r="N105" s="382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532">
        <f>'5'!F106</f>
        <v>19449</v>
      </c>
      <c r="F106" s="661">
        <v>19456</v>
      </c>
      <c r="G106" s="532">
        <f>F106-E106</f>
        <v>7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431" t="s">
        <v>202</v>
      </c>
      <c r="B107" s="1432"/>
      <c r="C107" s="1144"/>
      <c r="D107" s="622"/>
      <c r="E107" s="532"/>
      <c r="F107" s="661"/>
      <c r="G107" s="532">
        <f>SUM(G104:G106)</f>
        <v>12</v>
      </c>
      <c r="H107" s="460">
        <f>G107+'5'!H107</f>
        <v>104</v>
      </c>
      <c r="I107" s="532"/>
      <c r="J107" s="558">
        <f>H107/DAY(B2)</f>
        <v>17.333333333333332</v>
      </c>
      <c r="N107" s="382"/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532"/>
      <c r="F108" s="661"/>
      <c r="G108" s="532"/>
      <c r="H108" s="460">
        <f>G108+'5'!H108</f>
        <v>0</v>
      </c>
      <c r="I108" s="532"/>
      <c r="J108" s="558"/>
      <c r="N108" s="382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532">
        <f>'5'!F109</f>
        <v>59290</v>
      </c>
      <c r="F109" s="661">
        <v>59375</v>
      </c>
      <c r="G109" s="532">
        <f>F109-E109</f>
        <v>85</v>
      </c>
      <c r="H109" s="460">
        <f>G109+'5'!H109</f>
        <v>502</v>
      </c>
      <c r="I109" s="532"/>
      <c r="J109" s="558">
        <f>H109/DAY(B2)</f>
        <v>83.666666666666671</v>
      </c>
      <c r="N109" s="382"/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532">
        <f>'5'!F110</f>
        <v>31878</v>
      </c>
      <c r="F110" s="661">
        <v>31878</v>
      </c>
      <c r="G110" s="532">
        <f>F110-E110</f>
        <v>0</v>
      </c>
      <c r="H110" s="460">
        <f>G110+'5'!H110</f>
        <v>232</v>
      </c>
      <c r="I110" s="532"/>
      <c r="J110" s="558">
        <f>H110/DAY(B2)</f>
        <v>38.666666666666664</v>
      </c>
      <c r="N110" s="382"/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532">
        <f>'5'!F111</f>
        <v>4208</v>
      </c>
      <c r="F111" s="661">
        <v>4208</v>
      </c>
      <c r="G111" s="532">
        <f t="shared" ref="G111" si="12">F111-E111</f>
        <v>0</v>
      </c>
      <c r="H111" s="460">
        <f>G111+'5'!H111</f>
        <v>52</v>
      </c>
      <c r="I111" s="532"/>
      <c r="J111" s="558">
        <f>H111/DAY(B2)</f>
        <v>8.6666666666666661</v>
      </c>
      <c r="N111" s="382"/>
    </row>
    <row r="112" spans="1:14" s="442" customFormat="1" ht="27.75">
      <c r="A112" s="1431" t="s">
        <v>110</v>
      </c>
      <c r="B112" s="1432"/>
      <c r="C112" s="1144"/>
      <c r="D112" s="622"/>
      <c r="E112" s="532"/>
      <c r="F112" s="661"/>
      <c r="G112" s="532">
        <f>SUM(G109:G111)</f>
        <v>85</v>
      </c>
      <c r="H112" s="460">
        <f>G112+'5'!H112</f>
        <v>786</v>
      </c>
      <c r="I112" s="532"/>
      <c r="J112" s="558">
        <f>H112/DAY(B2)</f>
        <v>131</v>
      </c>
      <c r="N112" s="382"/>
    </row>
    <row r="113" spans="1:14" s="442" customFormat="1" ht="27.75">
      <c r="A113" s="1435" t="s">
        <v>223</v>
      </c>
      <c r="B113" s="1436"/>
      <c r="C113" s="1144"/>
      <c r="D113" s="622"/>
      <c r="E113" s="532"/>
      <c r="F113" s="661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'5'!F114</f>
        <v>10955</v>
      </c>
      <c r="F114" s="662">
        <v>10976</v>
      </c>
      <c r="G114" s="534">
        <f>F114-E114</f>
        <v>21</v>
      </c>
      <c r="H114" s="460">
        <f>G114+'5'!H114</f>
        <v>140</v>
      </c>
      <c r="I114" s="532"/>
      <c r="J114" s="558">
        <f>H114/DAY(B2)</f>
        <v>23.333333333333332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'5'!F115</f>
        <v>8000</v>
      </c>
      <c r="F115" s="662">
        <v>8006</v>
      </c>
      <c r="G115" s="534">
        <f t="shared" ref="G115:G116" si="13">F115-E115</f>
        <v>6</v>
      </c>
      <c r="H115" s="460">
        <f>G115+'5'!H115</f>
        <v>37</v>
      </c>
      <c r="I115" s="532"/>
      <c r="J115" s="558">
        <f>H115/DAY(B2)</f>
        <v>6.166666666666667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27</v>
      </c>
      <c r="H117" s="460">
        <f>G117+'5'!H117</f>
        <v>177</v>
      </c>
      <c r="I117" s="534"/>
      <c r="J117" s="558">
        <f>H117/DAY(B2)</f>
        <v>29.5</v>
      </c>
      <c r="N117" s="382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118</v>
      </c>
      <c r="G118" s="536">
        <f>SUM(G19+G92)</f>
        <v>118</v>
      </c>
      <c r="H118" s="460">
        <f>G118+'5'!H118</f>
        <v>796</v>
      </c>
      <c r="I118" s="535"/>
      <c r="J118" s="559">
        <f>H118/DAY(B2)</f>
        <v>132.66666666666666</v>
      </c>
      <c r="N118" s="382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128</v>
      </c>
      <c r="G119" s="536">
        <f>SUM(G95,G96,G97,G99,G100)</f>
        <v>128</v>
      </c>
      <c r="H119" s="460">
        <f>G119+'5'!H119</f>
        <v>800</v>
      </c>
      <c r="I119" s="535"/>
      <c r="J119" s="559">
        <f>H119/DAY(B2)</f>
        <v>133.33333333333334</v>
      </c>
      <c r="N119" s="382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85</v>
      </c>
      <c r="G120" s="534">
        <f>SUM(G112)</f>
        <v>85</v>
      </c>
      <c r="H120" s="460">
        <f>G120+'5'!H120</f>
        <v>786</v>
      </c>
      <c r="I120" s="535"/>
      <c r="J120" s="559">
        <f>H120/DAY(B2)</f>
        <v>131</v>
      </c>
      <c r="N120" s="382"/>
    </row>
    <row r="121" spans="1:14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'5'!F123</f>
        <v>820078</v>
      </c>
      <c r="F123" s="478">
        <v>820332</v>
      </c>
      <c r="G123" s="473">
        <f t="shared" ref="G123:G127" si="14">F123-E123</f>
        <v>254</v>
      </c>
      <c r="H123" s="460">
        <f>G123+'5'!H123</f>
        <v>1522</v>
      </c>
      <c r="I123" s="526"/>
      <c r="J123" s="552">
        <f>H123/DAY(B2)</f>
        <v>253.66666666666666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'5'!F125</f>
        <v>142611</v>
      </c>
      <c r="F125" s="478">
        <v>142687</v>
      </c>
      <c r="G125" s="473">
        <f t="shared" si="14"/>
        <v>76</v>
      </c>
      <c r="H125" s="460">
        <f>G125+'5'!H125</f>
        <v>551</v>
      </c>
      <c r="I125" s="526"/>
      <c r="J125" s="552">
        <f>H125/DAY(B2)</f>
        <v>91.833333333333329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'5'!F126</f>
        <v>31370</v>
      </c>
      <c r="F126" s="626">
        <v>31384</v>
      </c>
      <c r="G126" s="473">
        <f t="shared" si="14"/>
        <v>14</v>
      </c>
      <c r="H126" s="460">
        <f>G126+'5'!H126</f>
        <v>65.299999999999272</v>
      </c>
      <c r="I126" s="526"/>
      <c r="J126" s="552">
        <f>H126/DAY(B2)</f>
        <v>10.883333333333212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'5'!F127</f>
        <v>8966</v>
      </c>
      <c r="F127" s="626">
        <v>8966</v>
      </c>
      <c r="G127" s="473">
        <f t="shared" si="14"/>
        <v>0</v>
      </c>
      <c r="H127" s="460">
        <f>G127+'5'!H127</f>
        <v>4</v>
      </c>
      <c r="I127" s="480"/>
      <c r="J127" s="552">
        <f>H127/DAY(B2)</f>
        <v>0.66666666666666663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539</v>
      </c>
      <c r="H128" s="460">
        <f>G128+'5'!H128</f>
        <v>3608.0999999999949</v>
      </c>
      <c r="I128" s="480"/>
      <c r="J128" s="552">
        <f>H128/DAY(B2)</f>
        <v>601.34999999999911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1252">
        <v>39647</v>
      </c>
      <c r="F132" s="626">
        <v>39649</v>
      </c>
      <c r="G132" s="473">
        <f t="shared" si="15"/>
        <v>2</v>
      </c>
      <c r="H132" s="460">
        <f>G132+'5'!H132</f>
        <v>116</v>
      </c>
      <c r="I132" s="480"/>
      <c r="J132" s="552">
        <f>H132/DAY(B2)</f>
        <v>19.333333333333332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'5'!F133</f>
        <v>300</v>
      </c>
      <c r="F133" s="626">
        <v>300</v>
      </c>
      <c r="G133" s="473">
        <f t="shared" si="15"/>
        <v>0</v>
      </c>
      <c r="H133" s="460">
        <f>G133+'5'!H133</f>
        <v>0</v>
      </c>
      <c r="I133" s="480">
        <f>G132+G133+G134+G135</f>
        <v>25.56000000000131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'5'!F134</f>
        <v>40861</v>
      </c>
      <c r="F134" s="626">
        <v>40885</v>
      </c>
      <c r="G134" s="473">
        <f t="shared" si="15"/>
        <v>24</v>
      </c>
      <c r="H134" s="460">
        <f>G134+'5'!H134</f>
        <v>46</v>
      </c>
      <c r="I134" s="480"/>
      <c r="J134" s="552">
        <f>H134/DAY(B2)</f>
        <v>7.666666666666667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522">
        <f>'5'!F135</f>
        <v>32583</v>
      </c>
      <c r="F135" s="485">
        <v>32582.560000000001</v>
      </c>
      <c r="G135" s="473">
        <f t="shared" si="15"/>
        <v>-0.43999999999869033</v>
      </c>
      <c r="H135" s="460">
        <f>G135+'5'!H135</f>
        <v>-0.43999999999869033</v>
      </c>
      <c r="I135" s="480"/>
      <c r="J135" s="552">
        <f>H135/DAY(B2)</f>
        <v>-7.333333333311505E-2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'5'!F136</f>
        <v>22540.09</v>
      </c>
      <c r="F136" s="654">
        <v>22549.7</v>
      </c>
      <c r="G136" s="473">
        <f t="shared" si="15"/>
        <v>9.6100000000005821</v>
      </c>
      <c r="H136" s="460">
        <f>G136+'5'!H136</f>
        <v>61.049999999999272</v>
      </c>
      <c r="I136" s="480">
        <f>G136+G137+G138</f>
        <v>12.029999999998836</v>
      </c>
      <c r="J136" s="552">
        <f>H136/DAY(B2)</f>
        <v>10.174999999999878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'5'!F137</f>
        <v>25048.97</v>
      </c>
      <c r="F137" s="654">
        <v>25048.97</v>
      </c>
      <c r="G137" s="473">
        <f t="shared" si="15"/>
        <v>0</v>
      </c>
      <c r="H137" s="460">
        <f>G137+'5'!H137</f>
        <v>0.18000000000029104</v>
      </c>
      <c r="I137" s="480"/>
      <c r="J137" s="552">
        <f>H137/DAY(B2)</f>
        <v>3.0000000000048505E-2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'5'!F138</f>
        <v>70271.520000000004</v>
      </c>
      <c r="F138" s="654">
        <v>70273.94</v>
      </c>
      <c r="G138" s="473">
        <f t="shared" si="15"/>
        <v>2.4199999999982538</v>
      </c>
      <c r="H138" s="460">
        <f>G138+'5'!H138</f>
        <v>19.910000000003492</v>
      </c>
      <c r="I138" s="480"/>
      <c r="J138" s="552">
        <f>H138/DAY(B2)</f>
        <v>3.3183333333339156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'5'!F139</f>
        <v>1536.52</v>
      </c>
      <c r="F139" s="626">
        <v>1536.52</v>
      </c>
      <c r="G139" s="473">
        <f t="shared" si="15"/>
        <v>0</v>
      </c>
      <c r="H139" s="460">
        <f>G139+'5'!H139</f>
        <v>0</v>
      </c>
      <c r="I139" s="542">
        <f>G140+G1277</f>
        <v>8.1300000000001091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'5'!F140</f>
        <v>4509.97</v>
      </c>
      <c r="F140" s="478">
        <v>4518.1000000000004</v>
      </c>
      <c r="G140" s="473">
        <f t="shared" si="15"/>
        <v>8.1300000000001091</v>
      </c>
      <c r="H140" s="460">
        <f>G140+'5'!H140</f>
        <v>49.5600000000004</v>
      </c>
      <c r="I140" s="542"/>
      <c r="J140" s="552">
        <f>H140/DAY(B2)</f>
        <v>8.2600000000000673</v>
      </c>
      <c r="N140" s="382"/>
    </row>
    <row r="141" spans="1:14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5755</v>
      </c>
      <c r="H142" s="460">
        <f>G142+'5'!H142</f>
        <v>35312</v>
      </c>
      <c r="I142" s="480"/>
      <c r="J142" s="552">
        <f>H142/DAY(B2)</f>
        <v>5885.333333333333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0.27741624487828392</v>
      </c>
      <c r="H143" s="460">
        <f>G143+'5'!H143</f>
        <v>1.618996412306462</v>
      </c>
      <c r="I143" s="544"/>
      <c r="J143" s="552">
        <f>H143/DAY(B2)</f>
        <v>0.26983273538441033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5482</v>
      </c>
      <c r="H144" s="460">
        <f>G144+'5'!H144</f>
        <v>36192.839999999997</v>
      </c>
      <c r="I144" s="480"/>
      <c r="J144" s="552">
        <f>H144/DAY(B2)</f>
        <v>6032.1399999999994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0.26425644733670767</v>
      </c>
      <c r="H145" s="460">
        <f>G145+'5'!H145</f>
        <v>1.6554252989600169</v>
      </c>
      <c r="I145" s="544"/>
      <c r="J145" s="552">
        <f>H145/DAY(B2)</f>
        <v>0.27590421649333613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4031</v>
      </c>
      <c r="H146" s="460">
        <f>G146+'5'!H146</f>
        <v>24739</v>
      </c>
      <c r="I146" s="545"/>
      <c r="J146" s="552">
        <f>H146/DAY(B2)</f>
        <v>4123.166666666667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0.19431188238129671</v>
      </c>
      <c r="H147" s="460">
        <f>G147+'5'!H147</f>
        <v>1.133046619189471</v>
      </c>
      <c r="I147" s="545"/>
      <c r="J147" s="552">
        <f>H147/DAY(B2)</f>
        <v>0.18884110319824518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1685</v>
      </c>
      <c r="H148" s="460">
        <f>G148+'5'!H148</f>
        <v>10438</v>
      </c>
      <c r="I148" s="480"/>
      <c r="J148" s="552">
        <f>H148/DAY(B2)</f>
        <v>1739.6666666666667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8.122439141961918E-2</v>
      </c>
      <c r="H149" s="460">
        <f>G149+'5'!H149</f>
        <v>0.47865798962425499</v>
      </c>
      <c r="I149" s="545"/>
      <c r="J149" s="552">
        <f>H149/DAY(B2)</f>
        <v>7.9776331604042502E-2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1785</v>
      </c>
      <c r="H150" s="460">
        <f>G150+'5'!H150</f>
        <v>12161</v>
      </c>
      <c r="I150" s="545"/>
      <c r="J150" s="552">
        <f>H150/DAY(B2)</f>
        <v>2026.8333333333333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8.6044830079537241E-2</v>
      </c>
      <c r="H151" s="460">
        <f>G151+'5'!H151</f>
        <v>0.55573791575831988</v>
      </c>
      <c r="I151" s="480"/>
      <c r="J151" s="552">
        <f>H151/DAY(B2)</f>
        <v>9.2622985959719975E-2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1356</v>
      </c>
      <c r="H152" s="460">
        <f>G152+'5'!H152</f>
        <v>8432</v>
      </c>
      <c r="I152" s="480"/>
      <c r="J152" s="552">
        <f>H152/DAY(B2)</f>
        <v>1405.3333333333333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6.5365148228488795E-2</v>
      </c>
      <c r="H153" s="460">
        <f>G153+'5'!H153</f>
        <v>0.38667281732017778</v>
      </c>
      <c r="I153" s="568"/>
      <c r="J153" s="569">
        <f>H153/DAY(B2)</f>
        <v>6.4445469553362958E-2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33854</v>
      </c>
      <c r="F160" s="661">
        <v>33937</v>
      </c>
      <c r="G160" s="473">
        <f t="shared" ref="G160:G171" si="16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661">
        <v>70859</v>
      </c>
      <c r="F161" s="661">
        <v>71301</v>
      </c>
      <c r="G161" s="473">
        <f t="shared" si="16"/>
        <v>442</v>
      </c>
    </row>
    <row r="162" spans="1:7">
      <c r="A162" s="788" t="s">
        <v>265</v>
      </c>
      <c r="B162" s="789"/>
      <c r="C162" s="789"/>
      <c r="D162" s="511" t="s">
        <v>187</v>
      </c>
      <c r="E162" s="661">
        <v>30770</v>
      </c>
      <c r="F162" s="661">
        <v>31044</v>
      </c>
      <c r="G162" s="473">
        <f t="shared" si="16"/>
        <v>274</v>
      </c>
    </row>
    <row r="163" spans="1:7">
      <c r="A163" s="788" t="s">
        <v>266</v>
      </c>
      <c r="B163" s="789"/>
      <c r="C163" s="789"/>
      <c r="D163" s="511" t="s">
        <v>187</v>
      </c>
      <c r="E163" s="661">
        <v>5866</v>
      </c>
      <c r="F163" s="661">
        <v>5880</v>
      </c>
      <c r="G163" s="473">
        <f t="shared" si="16"/>
        <v>14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7">E63</f>
        <v>2154</v>
      </c>
      <c r="F165" s="514">
        <f t="shared" ref="F165:F171" si="18">F63</f>
        <v>2166</v>
      </c>
      <c r="G165" s="473">
        <f t="shared" si="16"/>
        <v>12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si="17"/>
        <v>141481</v>
      </c>
      <c r="F166" s="514">
        <f t="shared" si="18"/>
        <v>141950</v>
      </c>
      <c r="G166" s="473">
        <f t="shared" si="16"/>
        <v>469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si="17"/>
        <v>146027</v>
      </c>
      <c r="F167" s="514">
        <f t="shared" si="18"/>
        <v>146386</v>
      </c>
      <c r="G167" s="473">
        <f t="shared" si="16"/>
        <v>359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si="17"/>
        <v>39214</v>
      </c>
      <c r="F168" s="514">
        <f t="shared" si="18"/>
        <v>39601</v>
      </c>
      <c r="G168" s="473">
        <f t="shared" si="16"/>
        <v>387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si="17"/>
        <v>232292</v>
      </c>
      <c r="F169" s="514">
        <f t="shared" si="18"/>
        <v>232860</v>
      </c>
      <c r="G169" s="473">
        <f t="shared" si="16"/>
        <v>568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si="17"/>
        <v>84713</v>
      </c>
      <c r="F170" s="514">
        <f t="shared" si="18"/>
        <v>85034</v>
      </c>
      <c r="G170" s="473">
        <f t="shared" si="16"/>
        <v>321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si="17"/>
        <v>75877</v>
      </c>
      <c r="F171" s="514">
        <f t="shared" si="18"/>
        <v>76175</v>
      </c>
      <c r="G171" s="473">
        <f t="shared" si="16"/>
        <v>298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16" zoomScale="55" zoomScaleNormal="77" zoomScaleSheetLayoutView="55" workbookViewId="0">
      <selection activeCell="F92" sqref="F9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354</v>
      </c>
      <c r="B2" s="1036">
        <v>44293</v>
      </c>
      <c r="C2" s="1147" t="s">
        <v>69</v>
      </c>
      <c r="D2" s="611">
        <v>0.81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7" t="s">
        <v>120</v>
      </c>
      <c r="D3" s="612">
        <v>33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5244906</v>
      </c>
      <c r="F7" s="455">
        <v>5266838</v>
      </c>
      <c r="G7" s="692">
        <f t="shared" ref="G7:G12" si="0">F7-E7</f>
        <v>21932</v>
      </c>
      <c r="H7" s="682">
        <f>G7+'6'!H7</f>
        <v>152915</v>
      </c>
      <c r="I7" s="683">
        <f>'1'!I7</f>
        <v>12000</v>
      </c>
      <c r="J7" s="684">
        <f>H7/DAY(B2)</f>
        <v>21845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5276902</v>
      </c>
      <c r="F8" s="475">
        <v>5298954</v>
      </c>
      <c r="G8" s="692">
        <f t="shared" si="0"/>
        <v>22052</v>
      </c>
      <c r="H8" s="682">
        <f>G8+'6'!H8</f>
        <v>153636</v>
      </c>
      <c r="I8" s="689">
        <v>12000</v>
      </c>
      <c r="J8" s="684">
        <f>H8/DAY(B2)</f>
        <v>21948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523029</v>
      </c>
      <c r="F9" s="478">
        <v>544278</v>
      </c>
      <c r="G9" s="692">
        <f t="shared" si="0"/>
        <v>21249</v>
      </c>
      <c r="H9" s="682">
        <f>G9+'6'!H9</f>
        <v>148209</v>
      </c>
      <c r="I9" s="693">
        <f>I8-J8</f>
        <v>-9948</v>
      </c>
      <c r="J9" s="684">
        <f>H9/DAY(B2)</f>
        <v>21172.714285714286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91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21249</v>
      </c>
      <c r="H13" s="682">
        <f>G13+'6'!H13</f>
        <v>148209</v>
      </c>
      <c r="I13" s="698">
        <f>G7-G13</f>
        <v>683</v>
      </c>
      <c r="J13" s="684">
        <f>H13/DAY(B2)</f>
        <v>21172.714285714286</v>
      </c>
      <c r="K13" s="428"/>
      <c r="L13" s="377"/>
      <c r="N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1652439</v>
      </c>
      <c r="F15" s="485">
        <v>1653337</v>
      </c>
      <c r="G15" s="667">
        <f>(F15-E15)</f>
        <v>898</v>
      </c>
      <c r="H15" s="486">
        <f>G15+'6'!H15</f>
        <v>6648</v>
      </c>
      <c r="I15" s="1069">
        <v>800</v>
      </c>
      <c r="J15" s="553">
        <f>H15/DAY(B2)</f>
        <v>949.71428571428567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-149.71428571428567</v>
      </c>
      <c r="J16" s="553"/>
      <c r="K16" s="428"/>
      <c r="L16" s="377"/>
      <c r="N16" s="382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8" t="s">
        <v>144</v>
      </c>
      <c r="E18" s="635">
        <f>'6'!F18</f>
        <v>10</v>
      </c>
      <c r="F18" s="478">
        <v>10</v>
      </c>
      <c r="G18" s="697">
        <f>F18*10</f>
        <v>100</v>
      </c>
      <c r="H18" s="682">
        <f>G18+'6'!H18</f>
        <v>800</v>
      </c>
      <c r="I18" s="683">
        <f>'1'!I18</f>
        <v>65</v>
      </c>
      <c r="J18" s="684">
        <f>H18/DAY(B2)</f>
        <v>114.28571428571429</v>
      </c>
      <c r="K18" s="428"/>
      <c r="L18" s="377"/>
      <c r="N18" s="382"/>
    </row>
    <row r="19" spans="1:14" ht="27.75">
      <c r="A19" s="1477" t="s">
        <v>71</v>
      </c>
      <c r="B19" s="1478"/>
      <c r="C19" s="1479"/>
      <c r="D19" s="638" t="s">
        <v>144</v>
      </c>
      <c r="E19" s="635">
        <f>'6'!F19</f>
        <v>136417</v>
      </c>
      <c r="F19" s="478">
        <v>136474</v>
      </c>
      <c r="G19" s="692">
        <f t="shared" ref="G19" si="1">F19-E19</f>
        <v>57</v>
      </c>
      <c r="H19" s="682">
        <f>G19+'6'!H19</f>
        <v>384</v>
      </c>
      <c r="I19" s="699"/>
      <c r="J19" s="684">
        <f>H19/DAY(B2)</f>
        <v>54.857142857142854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157</v>
      </c>
      <c r="H20" s="682">
        <f>G20+'6'!H20</f>
        <v>1184</v>
      </c>
      <c r="I20" s="701">
        <f>I18-J20</f>
        <v>-104.14285714285714</v>
      </c>
      <c r="J20" s="684">
        <f>H20/DAY(B2)</f>
        <v>169.14285714285714</v>
      </c>
      <c r="K20" s="428"/>
      <c r="L20" s="377"/>
      <c r="N20" s="382"/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'6'!F22</f>
        <v>1290</v>
      </c>
      <c r="F22" s="478">
        <v>1290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'6'!F23</f>
        <v>1900</v>
      </c>
      <c r="F23" s="478">
        <v>1900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3290</v>
      </c>
      <c r="F24" s="485">
        <v>3290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22052</v>
      </c>
      <c r="F27" s="501">
        <v>9</v>
      </c>
      <c r="G27" s="502">
        <f>E27*F27</f>
        <v>198468</v>
      </c>
      <c r="H27" s="460">
        <f>G27+'6'!H27</f>
        <v>1382724</v>
      </c>
      <c r="I27" s="503"/>
      <c r="J27" s="552">
        <f>H27/DAY(B2)</f>
        <v>197532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898</v>
      </c>
      <c r="F28" s="501">
        <v>51.45</v>
      </c>
      <c r="G28" s="502">
        <f>E28*F28</f>
        <v>46202.100000000006</v>
      </c>
      <c r="H28" s="460">
        <f>G28+'6'!H28</f>
        <v>342039.6</v>
      </c>
      <c r="I28" s="505"/>
      <c r="J28" s="552">
        <f>H28/DAY(B2)</f>
        <v>48862.799999999996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G30+'6'!H30</f>
        <v>52824</v>
      </c>
      <c r="I30" s="505"/>
      <c r="J30" s="552">
        <f>H30/DAY(B2)</f>
        <v>7546.2857142857147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G31+'6'!H31</f>
        <v>64000</v>
      </c>
      <c r="I31" s="505"/>
      <c r="J31" s="552">
        <f>H31/DAY(B2)</f>
        <v>9142.8571428571431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260308.1</v>
      </c>
      <c r="H32" s="460">
        <f>G32+'6'!H32</f>
        <v>1841587.6</v>
      </c>
      <c r="I32" s="509"/>
      <c r="J32" s="552">
        <f>H32/DAY(B2)</f>
        <v>263083.94285714289</v>
      </c>
      <c r="K32" s="373"/>
      <c r="L32" s="443"/>
      <c r="N32" s="382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818655</v>
      </c>
      <c r="F35" s="510">
        <v>822044</v>
      </c>
      <c r="G35" s="473">
        <f t="shared" ref="G35:G46" si="3">F35-E35</f>
        <v>3389</v>
      </c>
      <c r="H35" s="460">
        <f>G35+'6'!H35</f>
        <v>23655</v>
      </c>
      <c r="I35" s="455"/>
      <c r="J35" s="552">
        <f>H35/DAY(B2)</f>
        <v>3379.2857142857142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322775</v>
      </c>
      <c r="F36" s="510">
        <v>323572</v>
      </c>
      <c r="G36" s="473">
        <f t="shared" si="3"/>
        <v>797</v>
      </c>
      <c r="H36" s="460">
        <f>G36+'6'!H36</f>
        <v>6136</v>
      </c>
      <c r="I36" s="455"/>
      <c r="J36" s="552">
        <f>H36/DAY(B2)</f>
        <v>876.57142857142856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63229</v>
      </c>
      <c r="F37" s="510">
        <v>64626</v>
      </c>
      <c r="G37" s="473">
        <f t="shared" si="3"/>
        <v>1397</v>
      </c>
      <c r="H37" s="460">
        <f>G37+'6'!H37</f>
        <v>9829</v>
      </c>
      <c r="I37" s="455"/>
      <c r="J37" s="552">
        <f>H37/DAY(B2)</f>
        <v>1404.1428571428571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82746</v>
      </c>
      <c r="F38" s="469">
        <v>84503</v>
      </c>
      <c r="G38" s="473">
        <f t="shared" si="3"/>
        <v>1757</v>
      </c>
      <c r="H38" s="460">
        <f>G38+'6'!H38</f>
        <v>12195</v>
      </c>
      <c r="I38" s="455"/>
      <c r="J38" s="552">
        <f>H38/DAY(B2)</f>
        <v>1742.1428571428571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176274</v>
      </c>
      <c r="F39" s="510">
        <v>179780</v>
      </c>
      <c r="G39" s="473">
        <f t="shared" si="3"/>
        <v>3506</v>
      </c>
      <c r="H39" s="460">
        <f>G39+'6'!H39</f>
        <v>26958</v>
      </c>
      <c r="I39" s="455"/>
      <c r="J39" s="552">
        <f>H39/DAY(B2)</f>
        <v>3851.1428571428573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159785</v>
      </c>
      <c r="F41" s="510">
        <v>160241</v>
      </c>
      <c r="G41" s="473">
        <f t="shared" si="3"/>
        <v>456</v>
      </c>
      <c r="H41" s="460">
        <f>G41+'6'!H41</f>
        <v>27100</v>
      </c>
      <c r="I41" s="455"/>
      <c r="J41" s="552">
        <f>H41/DAY(B2)</f>
        <v>3871.4285714285716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7">
        <v>59128</v>
      </c>
      <c r="G42" s="777">
        <f t="shared" si="3"/>
        <v>0</v>
      </c>
      <c r="H42" s="460">
        <f>G42+'6'!H42</f>
        <v>-0.16000000000349246</v>
      </c>
      <c r="I42" s="455"/>
      <c r="J42" s="552">
        <f>H42/DAY(B2)</f>
        <v>-2.2857142857641781E-2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917094</v>
      </c>
      <c r="F43" s="510">
        <v>919588</v>
      </c>
      <c r="G43" s="473">
        <f t="shared" si="3"/>
        <v>2494</v>
      </c>
      <c r="H43" s="460">
        <f>G43+'6'!H43</f>
        <v>17540</v>
      </c>
      <c r="I43" s="455"/>
      <c r="J43" s="552">
        <f>H43/DAY(B2)</f>
        <v>2505.7142857142858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13796</v>
      </c>
      <c r="H47" s="460">
        <f>G47+'6'!H47</f>
        <v>124213.84</v>
      </c>
      <c r="I47" s="455"/>
      <c r="J47" s="552">
        <f>H47/DAY(B2)</f>
        <v>17744.834285714285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448054</v>
      </c>
      <c r="F50" s="510">
        <v>449217</v>
      </c>
      <c r="G50" s="473">
        <f t="shared" si="4"/>
        <v>1163</v>
      </c>
      <c r="H50" s="460">
        <f>G50+'6'!H50</f>
        <v>7985</v>
      </c>
      <c r="I50" s="455"/>
      <c r="J50" s="552">
        <f>H50/DAY(B2)</f>
        <v>1140.7142857142858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539608</v>
      </c>
      <c r="F52" s="510">
        <v>539608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402551</v>
      </c>
      <c r="F53" s="510">
        <v>403114</v>
      </c>
      <c r="G53" s="473">
        <f t="shared" si="4"/>
        <v>563</v>
      </c>
      <c r="H53" s="460">
        <f>G53+'6'!H53</f>
        <v>1850</v>
      </c>
      <c r="I53" s="455"/>
      <c r="J53" s="552">
        <f>H53/DAY(B2)</f>
        <v>264.28571428571428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9599</v>
      </c>
      <c r="F54" s="510">
        <v>9668</v>
      </c>
      <c r="G54" s="473">
        <f t="shared" si="4"/>
        <v>69</v>
      </c>
      <c r="H54" s="460">
        <f>G54+'6'!H54</f>
        <v>502</v>
      </c>
      <c r="I54" s="455"/>
      <c r="J54" s="552">
        <f>H54/DAY(B2)</f>
        <v>71.714285714285708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225582</v>
      </c>
      <c r="F55" s="656">
        <v>231419</v>
      </c>
      <c r="G55" s="655">
        <f t="shared" si="4"/>
        <v>5837</v>
      </c>
      <c r="H55" s="708">
        <f>G55+'6'!H55</f>
        <v>15322</v>
      </c>
      <c r="I55" s="709"/>
      <c r="J55" s="710">
        <f>H55/DAY(B2)</f>
        <v>2188.8571428571427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589031</v>
      </c>
      <c r="F56" s="1037">
        <v>589031</v>
      </c>
      <c r="G56" s="777">
        <f t="shared" si="4"/>
        <v>0</v>
      </c>
      <c r="H56" s="460">
        <f>G56+'6'!H56</f>
        <v>64</v>
      </c>
      <c r="I56" s="455"/>
      <c r="J56" s="552">
        <f>H56/DAY(B2)</f>
        <v>9.1428571428571423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42703</v>
      </c>
      <c r="F58" s="656">
        <v>42882</v>
      </c>
      <c r="G58" s="473">
        <f t="shared" si="4"/>
        <v>179</v>
      </c>
      <c r="H58" s="460">
        <f>G58+'6'!H58</f>
        <v>1335</v>
      </c>
      <c r="I58" s="455"/>
      <c r="J58" s="552">
        <f>H58/DAY(B2)</f>
        <v>190.71428571428572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7811</v>
      </c>
      <c r="H59" s="460">
        <f>G59+'6'!H59</f>
        <v>27058</v>
      </c>
      <c r="I59" s="455">
        <f>G7-G60</f>
        <v>325</v>
      </c>
      <c r="J59" s="552">
        <f>H59/DAY(B2)</f>
        <v>3865.4285714285716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21607</v>
      </c>
      <c r="H60" s="460">
        <f>G60+'6'!H60</f>
        <v>151271.84</v>
      </c>
      <c r="I60" s="455">
        <f>G13-G60</f>
        <v>-358</v>
      </c>
      <c r="J60" s="552">
        <f>H60/DAY(B2)</f>
        <v>21610.262857142858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2166</v>
      </c>
      <c r="F63" s="514">
        <v>2178</v>
      </c>
      <c r="G63" s="473">
        <f t="shared" si="5"/>
        <v>12</v>
      </c>
      <c r="H63" s="460">
        <f>G63+'6'!H63</f>
        <v>82</v>
      </c>
      <c r="I63" s="515"/>
      <c r="J63" s="552">
        <f>H63/DAY(B2)</f>
        <v>11.714285714285714</v>
      </c>
      <c r="K63" s="428"/>
      <c r="L63" s="377"/>
      <c r="N63" s="382"/>
    </row>
    <row r="64" spans="1:14" ht="27.75">
      <c r="A64" s="1416" t="s">
        <v>99</v>
      </c>
      <c r="B64" s="1417"/>
      <c r="C64" s="1418"/>
      <c r="D64" s="523" t="s">
        <v>187</v>
      </c>
      <c r="E64" s="484">
        <f>'6'!F64</f>
        <v>141950</v>
      </c>
      <c r="F64" s="478">
        <v>142423</v>
      </c>
      <c r="G64" s="473">
        <f t="shared" si="5"/>
        <v>473</v>
      </c>
      <c r="H64" s="460">
        <f>G64+'6'!H64</f>
        <v>3243</v>
      </c>
      <c r="I64" s="480"/>
      <c r="J64" s="552">
        <f>H64/DAY(B2)</f>
        <v>463.28571428571428</v>
      </c>
      <c r="K64" s="428"/>
      <c r="L64" s="377"/>
      <c r="N64" s="382"/>
    </row>
    <row r="65" spans="1:14" ht="27.75">
      <c r="A65" s="1416" t="s">
        <v>100</v>
      </c>
      <c r="B65" s="1417"/>
      <c r="C65" s="1418"/>
      <c r="D65" s="523" t="s">
        <v>187</v>
      </c>
      <c r="E65" s="484">
        <f>'6'!F65</f>
        <v>146386</v>
      </c>
      <c r="F65" s="654">
        <v>146745</v>
      </c>
      <c r="G65" s="473">
        <f t="shared" si="5"/>
        <v>359</v>
      </c>
      <c r="H65" s="460">
        <f>G65+'6'!H65</f>
        <v>2540</v>
      </c>
      <c r="I65" s="489"/>
      <c r="J65" s="552">
        <f>H65/DAY(B2)</f>
        <v>362.85714285714283</v>
      </c>
      <c r="K65" s="428"/>
      <c r="L65" s="377"/>
      <c r="N65" s="382"/>
    </row>
    <row r="66" spans="1:14" ht="27.75">
      <c r="A66" s="1416" t="s">
        <v>101</v>
      </c>
      <c r="B66" s="1417"/>
      <c r="C66" s="1418"/>
      <c r="D66" s="523" t="s">
        <v>187</v>
      </c>
      <c r="E66" s="484">
        <f>'6'!F66</f>
        <v>39601</v>
      </c>
      <c r="F66" s="478">
        <v>39987</v>
      </c>
      <c r="G66" s="473">
        <f t="shared" si="5"/>
        <v>386</v>
      </c>
      <c r="H66" s="460">
        <f>G66+'6'!H66</f>
        <v>2779</v>
      </c>
      <c r="I66" s="480"/>
      <c r="J66" s="552">
        <f>H66/DAY(B2)</f>
        <v>397</v>
      </c>
      <c r="K66" s="428"/>
      <c r="L66" s="377"/>
      <c r="N66" s="382"/>
    </row>
    <row r="67" spans="1:14" ht="27.75">
      <c r="A67" s="1416" t="s">
        <v>102</v>
      </c>
      <c r="B67" s="1417"/>
      <c r="C67" s="1418"/>
      <c r="D67" s="523" t="s">
        <v>187</v>
      </c>
      <c r="E67" s="484">
        <f>'6'!F67</f>
        <v>232860</v>
      </c>
      <c r="F67" s="478">
        <v>233478</v>
      </c>
      <c r="G67" s="473">
        <f t="shared" si="5"/>
        <v>618</v>
      </c>
      <c r="H67" s="460">
        <f>G67+'6'!H67</f>
        <v>4378</v>
      </c>
      <c r="I67" s="489"/>
      <c r="J67" s="552">
        <f>H67/DAY(B2)</f>
        <v>625.42857142857144</v>
      </c>
      <c r="K67" s="429"/>
      <c r="L67" s="377"/>
      <c r="N67" s="382"/>
    </row>
    <row r="68" spans="1:14" ht="27.75">
      <c r="A68" s="1416" t="s">
        <v>103</v>
      </c>
      <c r="B68" s="1417"/>
      <c r="C68" s="1418"/>
      <c r="D68" s="523" t="s">
        <v>187</v>
      </c>
      <c r="E68" s="484">
        <f>'6'!F68</f>
        <v>85034</v>
      </c>
      <c r="F68" s="478">
        <v>85321</v>
      </c>
      <c r="G68" s="473">
        <f t="shared" si="5"/>
        <v>287</v>
      </c>
      <c r="H68" s="460">
        <f>G68+'6'!H68</f>
        <v>2234</v>
      </c>
      <c r="I68" s="516"/>
      <c r="J68" s="552">
        <f>H68/DAY(B2)</f>
        <v>319.14285714285717</v>
      </c>
      <c r="K68" s="430"/>
      <c r="L68" s="377"/>
      <c r="N68" s="382"/>
    </row>
    <row r="69" spans="1:14" ht="27.75">
      <c r="A69" s="1416" t="s">
        <v>104</v>
      </c>
      <c r="B69" s="1417"/>
      <c r="C69" s="1418"/>
      <c r="D69" s="523" t="s">
        <v>187</v>
      </c>
      <c r="E69" s="484">
        <f>'6'!F69</f>
        <v>76175</v>
      </c>
      <c r="F69" s="478">
        <v>76475</v>
      </c>
      <c r="G69" s="473">
        <f t="shared" si="5"/>
        <v>300</v>
      </c>
      <c r="H69" s="460">
        <f>G69+'6'!H69</f>
        <v>2146</v>
      </c>
      <c r="I69" s="516"/>
      <c r="J69" s="552">
        <f>H69/DAY(B2)</f>
        <v>306.57142857142856</v>
      </c>
      <c r="K69" s="431"/>
      <c r="L69" s="377"/>
      <c r="N69" s="382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519">
        <f>'6'!F72</f>
        <v>853780</v>
      </c>
      <c r="F72" s="657">
        <v>853878</v>
      </c>
      <c r="G72" s="473">
        <f t="shared" ref="G72:G84" si="6">F72-E72</f>
        <v>98</v>
      </c>
      <c r="H72" s="460">
        <f>G72+'6'!H72</f>
        <v>699</v>
      </c>
      <c r="I72" s="480"/>
      <c r="J72" s="552">
        <f>H72/DAY(B2)</f>
        <v>99.857142857142861</v>
      </c>
      <c r="K72" s="431"/>
      <c r="L72" s="377"/>
      <c r="N72" s="382"/>
    </row>
    <row r="73" spans="1:14" ht="27.75">
      <c r="A73" s="1416" t="s">
        <v>192</v>
      </c>
      <c r="B73" s="1417"/>
      <c r="C73" s="1418"/>
      <c r="D73" s="523" t="s">
        <v>187</v>
      </c>
      <c r="E73" s="519">
        <f>'6'!F73</f>
        <v>885810</v>
      </c>
      <c r="F73" s="658">
        <v>885811</v>
      </c>
      <c r="G73" s="655">
        <f t="shared" si="6"/>
        <v>1</v>
      </c>
      <c r="H73" s="460">
        <f>G73+'6'!H73</f>
        <v>11</v>
      </c>
      <c r="I73" s="480"/>
      <c r="J73" s="552">
        <f>H73/DAY(B2)</f>
        <v>1.5714285714285714</v>
      </c>
      <c r="K73" s="430"/>
      <c r="L73" s="377"/>
      <c r="N73" s="382"/>
    </row>
    <row r="74" spans="1:14" ht="27.75">
      <c r="A74" s="1416" t="s">
        <v>193</v>
      </c>
      <c r="B74" s="1417"/>
      <c r="C74" s="1418"/>
      <c r="D74" s="523" t="s">
        <v>187</v>
      </c>
      <c r="E74" s="519">
        <f>'6'!F74</f>
        <v>1520</v>
      </c>
      <c r="F74" s="657">
        <v>1552</v>
      </c>
      <c r="G74" s="473">
        <f t="shared" si="6"/>
        <v>32</v>
      </c>
      <c r="H74" s="460">
        <f>G74+'6'!H74</f>
        <v>182</v>
      </c>
      <c r="I74" s="480"/>
      <c r="J74" s="552">
        <f>H74/DAY(B2)</f>
        <v>26</v>
      </c>
      <c r="K74" s="431"/>
      <c r="L74" s="377"/>
      <c r="N74" s="382"/>
    </row>
    <row r="75" spans="1:14" ht="27.75">
      <c r="A75" s="1413" t="s">
        <v>194</v>
      </c>
      <c r="B75" s="1414"/>
      <c r="C75" s="1415"/>
      <c r="D75" s="523" t="s">
        <v>187</v>
      </c>
      <c r="E75" s="519">
        <f>'6'!F75</f>
        <v>9427</v>
      </c>
      <c r="F75" s="658">
        <v>9549</v>
      </c>
      <c r="G75" s="473">
        <f t="shared" si="6"/>
        <v>122</v>
      </c>
      <c r="H75" s="460">
        <f>G75+'6'!H75</f>
        <v>869</v>
      </c>
      <c r="I75" s="480"/>
      <c r="J75" s="552">
        <f>H75/DAY(B2)</f>
        <v>124.14285714285714</v>
      </c>
      <c r="K75" s="430"/>
      <c r="L75" s="377"/>
      <c r="N75" s="382"/>
    </row>
    <row r="76" spans="1:14" ht="27.75">
      <c r="A76" s="1413" t="s">
        <v>195</v>
      </c>
      <c r="B76" s="1414"/>
      <c r="C76" s="1415"/>
      <c r="D76" s="523" t="s">
        <v>187</v>
      </c>
      <c r="E76" s="519">
        <f>'6'!F76</f>
        <v>4431</v>
      </c>
      <c r="F76" s="658">
        <v>4496</v>
      </c>
      <c r="G76" s="473">
        <f t="shared" si="6"/>
        <v>65</v>
      </c>
      <c r="H76" s="460">
        <f>G76+'6'!H76</f>
        <v>459</v>
      </c>
      <c r="I76" s="505"/>
      <c r="J76" s="552">
        <f>H76/DAY(B2)</f>
        <v>65.571428571428569</v>
      </c>
      <c r="K76" s="430"/>
      <c r="L76" s="377"/>
      <c r="N76" s="382"/>
    </row>
    <row r="77" spans="1:14" ht="27.75">
      <c r="A77" s="1416" t="s">
        <v>196</v>
      </c>
      <c r="B77" s="1417"/>
      <c r="C77" s="1418"/>
      <c r="D77" s="523" t="s">
        <v>187</v>
      </c>
      <c r="E77" s="519">
        <f>'6'!F77</f>
        <v>700487</v>
      </c>
      <c r="F77" s="658">
        <v>700532</v>
      </c>
      <c r="G77" s="655">
        <f t="shared" si="6"/>
        <v>45</v>
      </c>
      <c r="H77" s="460">
        <f>G77+'6'!H77</f>
        <v>318</v>
      </c>
      <c r="I77" s="505"/>
      <c r="J77" s="552">
        <f>H77/DAY(B2)</f>
        <v>45.428571428571431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'6'!F78</f>
        <v>667360</v>
      </c>
      <c r="F78" s="659">
        <v>667667</v>
      </c>
      <c r="G78" s="473">
        <f t="shared" si="6"/>
        <v>307</v>
      </c>
      <c r="H78" s="460">
        <f>G78+'6'!H78</f>
        <v>2287</v>
      </c>
      <c r="I78" s="505"/>
      <c r="J78" s="552">
        <f>H78/DAY(B2)</f>
        <v>326.71428571428572</v>
      </c>
      <c r="K78" s="430"/>
      <c r="L78" s="377"/>
      <c r="N78" s="382"/>
    </row>
    <row r="79" spans="1:14" ht="27.75">
      <c r="A79" s="1413" t="s">
        <v>92</v>
      </c>
      <c r="B79" s="1414"/>
      <c r="C79" s="1415"/>
      <c r="D79" s="524" t="s">
        <v>187</v>
      </c>
      <c r="E79" s="519">
        <f>'6'!F79</f>
        <v>822339</v>
      </c>
      <c r="F79" s="657">
        <v>822508</v>
      </c>
      <c r="G79" s="473">
        <f t="shared" si="6"/>
        <v>169</v>
      </c>
      <c r="H79" s="460">
        <f>G79+'6'!H79</f>
        <v>1295</v>
      </c>
      <c r="I79" s="505"/>
      <c r="J79" s="552">
        <f>H79/DAY(B2)</f>
        <v>185</v>
      </c>
      <c r="K79" s="430"/>
      <c r="L79" s="377"/>
      <c r="N79" s="382"/>
    </row>
    <row r="80" spans="1:14" ht="27.75">
      <c r="A80" s="1413" t="s">
        <v>198</v>
      </c>
      <c r="B80" s="1414"/>
      <c r="C80" s="1415"/>
      <c r="D80" s="524" t="s">
        <v>187</v>
      </c>
      <c r="E80" s="519">
        <f>'6'!F80</f>
        <v>507768</v>
      </c>
      <c r="F80" s="658">
        <v>508129</v>
      </c>
      <c r="G80" s="473">
        <f t="shared" si="6"/>
        <v>361</v>
      </c>
      <c r="H80" s="460">
        <f>G80+'6'!H80</f>
        <v>2430</v>
      </c>
      <c r="I80" s="505"/>
      <c r="J80" s="552">
        <f>H80/DAY(B2)</f>
        <v>347.14285714285717</v>
      </c>
      <c r="K80" s="430"/>
      <c r="L80" s="377"/>
      <c r="N80" s="382"/>
    </row>
    <row r="81" spans="1:15" ht="27.75">
      <c r="A81" s="1413" t="s">
        <v>199</v>
      </c>
      <c r="B81" s="1414"/>
      <c r="C81" s="1415"/>
      <c r="D81" s="524" t="s">
        <v>187</v>
      </c>
      <c r="E81" s="519">
        <f>'6'!F81</f>
        <v>631685</v>
      </c>
      <c r="F81" s="658">
        <v>631973</v>
      </c>
      <c r="G81" s="473">
        <f t="shared" si="6"/>
        <v>288</v>
      </c>
      <c r="H81" s="460">
        <f>G81+'6'!H81</f>
        <v>1788</v>
      </c>
      <c r="I81" s="505"/>
      <c r="J81" s="552">
        <f>H81/DAY(B2)</f>
        <v>255.42857142857142</v>
      </c>
      <c r="K81" s="430"/>
      <c r="L81" s="377"/>
      <c r="N81" s="382"/>
    </row>
    <row r="82" spans="1:15" ht="27.75">
      <c r="A82" s="1413" t="s">
        <v>93</v>
      </c>
      <c r="B82" s="1414"/>
      <c r="C82" s="1415"/>
      <c r="D82" s="485" t="s">
        <v>132</v>
      </c>
      <c r="E82" s="519">
        <f>'6'!F82</f>
        <v>107039</v>
      </c>
      <c r="F82" s="654">
        <v>107061</v>
      </c>
      <c r="G82" s="473">
        <f t="shared" si="6"/>
        <v>22</v>
      </c>
      <c r="H82" s="460">
        <f>G82+'6'!H82</f>
        <v>166</v>
      </c>
      <c r="I82" s="486"/>
      <c r="J82" s="552">
        <f>H82/DAY(B2)</f>
        <v>23.714285714285715</v>
      </c>
      <c r="K82" s="430"/>
      <c r="L82" s="377"/>
      <c r="N82" s="382"/>
    </row>
    <row r="83" spans="1:15" ht="27.75">
      <c r="A83" s="1413" t="s">
        <v>200</v>
      </c>
      <c r="B83" s="1414"/>
      <c r="C83" s="1415"/>
      <c r="D83" s="620" t="s">
        <v>132</v>
      </c>
      <c r="E83" s="519">
        <f>'6'!F83</f>
        <v>8617</v>
      </c>
      <c r="F83" s="620">
        <v>8850</v>
      </c>
      <c r="G83" s="473">
        <f t="shared" si="6"/>
        <v>233</v>
      </c>
      <c r="H83" s="460">
        <f>G83+'6'!H83</f>
        <v>1793</v>
      </c>
      <c r="I83" s="481"/>
      <c r="J83" s="552">
        <f>H83/DAY(B2)</f>
        <v>256.14285714285717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'6'!F84</f>
        <v>460282</v>
      </c>
      <c r="F84" s="627">
        <v>461192</v>
      </c>
      <c r="G84" s="473">
        <f t="shared" si="6"/>
        <v>910</v>
      </c>
      <c r="H84" s="460">
        <f>G84+'6'!H84</f>
        <v>6508</v>
      </c>
      <c r="I84" s="481"/>
      <c r="J84" s="552">
        <f>H84/DAY(B2)</f>
        <v>929.71428571428567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2653</v>
      </c>
      <c r="H85" s="460">
        <f>G85+'6'!H85</f>
        <v>18805</v>
      </c>
      <c r="I85" s="481"/>
      <c r="J85" s="552">
        <f>H85/DAY(B2)</f>
        <v>2686.4285714285716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455649</v>
      </c>
      <c r="F86" s="650">
        <v>455856</v>
      </c>
      <c r="G86" s="708">
        <f t="shared" ref="G86:G90" si="7">F86-E86</f>
        <v>207</v>
      </c>
      <c r="H86" s="708">
        <f t="shared" ref="H86:H88" si="8">G86</f>
        <v>207</v>
      </c>
      <c r="I86" s="655"/>
      <c r="J86" s="710">
        <f>H86/DAY(B2)</f>
        <v>29.571428571428573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80359</v>
      </c>
      <c r="F87" s="650">
        <v>80394</v>
      </c>
      <c r="G87" s="708">
        <f t="shared" si="7"/>
        <v>35</v>
      </c>
      <c r="H87" s="708">
        <f t="shared" si="8"/>
        <v>35</v>
      </c>
      <c r="I87" s="655"/>
      <c r="J87" s="710">
        <f>H87/DAY(B2)</f>
        <v>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150971</v>
      </c>
      <c r="F88" s="650">
        <v>151004</v>
      </c>
      <c r="G88" s="708">
        <f t="shared" si="7"/>
        <v>33</v>
      </c>
      <c r="H88" s="708">
        <f t="shared" si="8"/>
        <v>33</v>
      </c>
      <c r="I88" s="655"/>
      <c r="J88" s="710">
        <f>H88/DAY(B2)</f>
        <v>4.7142857142857144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63815</v>
      </c>
      <c r="F89" s="650">
        <v>63856</v>
      </c>
      <c r="G89" s="708">
        <f t="shared" si="7"/>
        <v>41</v>
      </c>
      <c r="H89" s="708">
        <f>G89</f>
        <v>41</v>
      </c>
      <c r="I89" s="655"/>
      <c r="J89" s="710">
        <f>H89/DAY(B2)</f>
        <v>5.8571428571428568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'6'!F92</f>
        <v>243115</v>
      </c>
      <c r="F92" s="485">
        <v>243197</v>
      </c>
      <c r="G92" s="473">
        <f t="shared" ref="G92:G93" si="9">F92-E92</f>
        <v>82</v>
      </c>
      <c r="H92" s="460">
        <f>G92+'6'!H92</f>
        <v>551</v>
      </c>
      <c r="I92" s="480"/>
      <c r="J92" s="552">
        <f>H92/DAY(B2)</f>
        <v>78.714285714285708</v>
      </c>
      <c r="K92" s="429"/>
      <c r="L92" s="377"/>
      <c r="N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'6'!F93</f>
        <v>180607</v>
      </c>
      <c r="F93" s="485">
        <v>180758</v>
      </c>
      <c r="G93" s="473">
        <f t="shared" si="9"/>
        <v>151</v>
      </c>
      <c r="H93" s="460">
        <f>G93+'6'!H93</f>
        <v>1079</v>
      </c>
      <c r="I93" s="480"/>
      <c r="J93" s="552">
        <f>H93/DAY(B2)</f>
        <v>154.14285714285714</v>
      </c>
      <c r="K93" s="380"/>
      <c r="L93" s="377"/>
      <c r="N93" s="382"/>
    </row>
    <row r="94" spans="1:15">
      <c r="A94" s="1465" t="s">
        <v>208</v>
      </c>
      <c r="B94" s="1466"/>
      <c r="C94" s="1467"/>
      <c r="D94" s="523"/>
      <c r="E94" s="484">
        <f>'6'!F94</f>
        <v>0</v>
      </c>
      <c r="F94" s="478"/>
      <c r="G94" s="473">
        <f>G92+G93</f>
        <v>233</v>
      </c>
      <c r="H94" s="460">
        <f>G94+'6'!H94</f>
        <v>1411</v>
      </c>
      <c r="I94" s="480"/>
      <c r="J94" s="552">
        <f>H94/DAY(B2)</f>
        <v>201.57142857142858</v>
      </c>
      <c r="K94" s="380"/>
      <c r="L94" s="377"/>
      <c r="N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'6'!F95</f>
        <v>411228</v>
      </c>
      <c r="F95" s="478">
        <v>411307</v>
      </c>
      <c r="G95" s="473">
        <f t="shared" ref="G95:G100" si="10">F95-E95</f>
        <v>79</v>
      </c>
      <c r="H95" s="460">
        <f>G95+'6'!H95</f>
        <v>522</v>
      </c>
      <c r="I95" s="480"/>
      <c r="J95" s="552">
        <f>H95/DAY(B2)</f>
        <v>74.571428571428569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'6'!F96</f>
        <v>101938</v>
      </c>
      <c r="F96" s="478">
        <v>101956</v>
      </c>
      <c r="G96" s="473">
        <f t="shared" si="10"/>
        <v>18</v>
      </c>
      <c r="H96" s="460">
        <f>G96+'6'!H96</f>
        <v>125</v>
      </c>
      <c r="I96" s="480"/>
      <c r="J96" s="552">
        <f>H96/DAY(B2)</f>
        <v>17.857142857142858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'6'!F97</f>
        <v>97039</v>
      </c>
      <c r="F97" s="478">
        <v>97057</v>
      </c>
      <c r="G97" s="473">
        <f t="shared" si="10"/>
        <v>18</v>
      </c>
      <c r="H97" s="460">
        <f>G97+'6'!H97</f>
        <v>129</v>
      </c>
      <c r="I97" s="480"/>
      <c r="J97" s="552">
        <f>H97/DAY(B2)</f>
        <v>18.428571428571427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'6'!F98</f>
        <v>149140</v>
      </c>
      <c r="F98" s="478">
        <v>149174</v>
      </c>
      <c r="G98" s="473">
        <f t="shared" si="10"/>
        <v>34</v>
      </c>
      <c r="H98" s="460">
        <f>G98+'6'!H98</f>
        <v>265</v>
      </c>
      <c r="I98" s="480"/>
      <c r="J98" s="552">
        <f>H98/DAY(B2)</f>
        <v>37.857142857142854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'6'!F99</f>
        <v>6955</v>
      </c>
      <c r="F99" s="478">
        <v>6969</v>
      </c>
      <c r="G99" s="473">
        <f t="shared" si="10"/>
        <v>14</v>
      </c>
      <c r="H99" s="460">
        <f>G99+'6'!H99</f>
        <v>114</v>
      </c>
      <c r="I99" s="480"/>
      <c r="J99" s="552">
        <f>H99/DAY(B2)</f>
        <v>16.285714285714285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'6'!F100</f>
        <v>4982</v>
      </c>
      <c r="F100" s="478">
        <v>4989</v>
      </c>
      <c r="G100" s="473">
        <f t="shared" si="10"/>
        <v>7</v>
      </c>
      <c r="H100" s="460">
        <f>G100+'6'!H100</f>
        <v>46</v>
      </c>
      <c r="I100" s="480"/>
      <c r="J100" s="552">
        <f>H100/DAY(B2)</f>
        <v>6.5714285714285712</v>
      </c>
      <c r="K100" s="380"/>
      <c r="L100" s="377"/>
      <c r="N100" s="382"/>
    </row>
    <row r="101" spans="1:14">
      <c r="A101" s="1465" t="s">
        <v>216</v>
      </c>
      <c r="B101" s="1466"/>
      <c r="C101" s="1467"/>
      <c r="D101" s="524"/>
      <c r="E101" s="524"/>
      <c r="F101" s="524"/>
      <c r="G101" s="525">
        <f>SUM(G95:G100)</f>
        <v>170</v>
      </c>
      <c r="H101" s="460">
        <f>G101+'6'!H101</f>
        <v>1201</v>
      </c>
      <c r="I101" s="526"/>
      <c r="J101" s="552">
        <f>H101/DAY(B2)</f>
        <v>171.57142857142858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661">
        <v>7344</v>
      </c>
      <c r="F104" s="661">
        <v>7344</v>
      </c>
      <c r="G104" s="532">
        <f>F104-E104</f>
        <v>0</v>
      </c>
      <c r="H104" s="460">
        <f>G104+'6'!H104</f>
        <v>19</v>
      </c>
      <c r="I104" s="532"/>
      <c r="J104" s="558">
        <f>H104/DAY(B2)</f>
        <v>2.7142857142857144</v>
      </c>
      <c r="N104" s="382"/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662">
        <v>35691</v>
      </c>
      <c r="F105" s="662">
        <v>35697</v>
      </c>
      <c r="G105" s="532">
        <f t="shared" ref="G105:G106" si="11">F105-E105</f>
        <v>6</v>
      </c>
      <c r="H105" s="460">
        <f>G105+'6'!H105</f>
        <v>46</v>
      </c>
      <c r="I105" s="532"/>
      <c r="J105" s="558">
        <f>H105/DAY(B2)</f>
        <v>6.5714285714285712</v>
      </c>
      <c r="N105" s="382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661">
        <v>19456</v>
      </c>
      <c r="F106" s="662">
        <v>19462</v>
      </c>
      <c r="G106" s="532">
        <f t="shared" si="11"/>
        <v>6</v>
      </c>
      <c r="H106" s="460">
        <f>G106+'6'!H106</f>
        <v>51</v>
      </c>
      <c r="I106" s="532"/>
      <c r="J106" s="558">
        <f>H106/DAY(B2)</f>
        <v>7.2857142857142856</v>
      </c>
      <c r="N106" s="382"/>
    </row>
    <row r="107" spans="1:14" s="442" customFormat="1" ht="27.75">
      <c r="A107" s="1431" t="s">
        <v>202</v>
      </c>
      <c r="B107" s="1432"/>
      <c r="C107" s="1144"/>
      <c r="D107" s="622"/>
      <c r="E107" s="532"/>
      <c r="F107" s="662"/>
      <c r="G107" s="532">
        <f>SUM(G104:G106)</f>
        <v>12</v>
      </c>
      <c r="H107" s="460">
        <f>G107+'6'!H107</f>
        <v>116</v>
      </c>
      <c r="I107" s="532"/>
      <c r="J107" s="558">
        <f>H107/DAY(B2)</f>
        <v>16.571428571428573</v>
      </c>
      <c r="N107" s="382"/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532"/>
      <c r="F108" s="662"/>
      <c r="G108" s="532"/>
      <c r="H108" s="460">
        <f>G108+'6'!H108</f>
        <v>0</v>
      </c>
      <c r="I108" s="532"/>
      <c r="J108" s="558"/>
      <c r="N108" s="382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532">
        <f>'6'!F109</f>
        <v>59375</v>
      </c>
      <c r="F109" s="662">
        <v>59461</v>
      </c>
      <c r="G109" s="532">
        <f>F109-E109</f>
        <v>86</v>
      </c>
      <c r="H109" s="460">
        <f>G109+'6'!H109</f>
        <v>588</v>
      </c>
      <c r="I109" s="532"/>
      <c r="J109" s="558">
        <f>H109/DAY(B2)</f>
        <v>84</v>
      </c>
      <c r="N109" s="382"/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532">
        <f>'6'!F110</f>
        <v>31878</v>
      </c>
      <c r="F110" s="662">
        <v>31878</v>
      </c>
      <c r="G110" s="532">
        <f t="shared" ref="G110:G111" si="12">F110-E110</f>
        <v>0</v>
      </c>
      <c r="H110" s="460">
        <f>G110+'6'!H110</f>
        <v>232</v>
      </c>
      <c r="I110" s="532"/>
      <c r="J110" s="558">
        <f>H110/DAY(B2)</f>
        <v>33.142857142857146</v>
      </c>
      <c r="N110" s="382"/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532">
        <f>'6'!F111</f>
        <v>4208</v>
      </c>
      <c r="F111" s="662">
        <v>4208</v>
      </c>
      <c r="G111" s="532">
        <f t="shared" si="12"/>
        <v>0</v>
      </c>
      <c r="H111" s="460">
        <f>G111+'6'!H111</f>
        <v>52</v>
      </c>
      <c r="I111" s="532"/>
      <c r="J111" s="558">
        <f>H111/DAY(B2)</f>
        <v>7.4285714285714288</v>
      </c>
      <c r="N111" s="382"/>
    </row>
    <row r="112" spans="1:14" s="442" customFormat="1" ht="27.75">
      <c r="A112" s="1431" t="s">
        <v>110</v>
      </c>
      <c r="B112" s="1432"/>
      <c r="C112" s="1144"/>
      <c r="D112" s="622"/>
      <c r="E112" s="532"/>
      <c r="F112" s="662"/>
      <c r="G112" s="532">
        <f>SUM(G109:G111)</f>
        <v>86</v>
      </c>
      <c r="H112" s="460">
        <f>G112+'6'!H112</f>
        <v>872</v>
      </c>
      <c r="I112" s="532"/>
      <c r="J112" s="558">
        <f>H112/DAY(B2)</f>
        <v>124.57142857142857</v>
      </c>
      <c r="N112" s="382"/>
    </row>
    <row r="113" spans="1:14" s="442" customFormat="1" ht="27.75">
      <c r="A113" s="1435" t="s">
        <v>223</v>
      </c>
      <c r="B113" s="1436"/>
      <c r="C113" s="1144"/>
      <c r="D113" s="622"/>
      <c r="E113" s="532"/>
      <c r="F113" s="662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'6'!F114</f>
        <v>10976</v>
      </c>
      <c r="F114" s="662">
        <v>10994</v>
      </c>
      <c r="G114" s="534">
        <f>F114-E114</f>
        <v>18</v>
      </c>
      <c r="H114" s="460">
        <f>G114+'6'!H114</f>
        <v>158</v>
      </c>
      <c r="I114" s="532"/>
      <c r="J114" s="558">
        <f>H114/DAY(B2)</f>
        <v>22.571428571428573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'6'!F115</f>
        <v>8006</v>
      </c>
      <c r="F115" s="662">
        <v>8012</v>
      </c>
      <c r="G115" s="534">
        <f t="shared" ref="G115:G116" si="13">F115-E115</f>
        <v>6</v>
      </c>
      <c r="H115" s="460">
        <f>G115+'6'!H115</f>
        <v>43</v>
      </c>
      <c r="I115" s="532"/>
      <c r="J115" s="558">
        <f>H115/DAY(B2)</f>
        <v>6.1428571428571432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24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139</v>
      </c>
      <c r="G118" s="536">
        <f>SUM(G19+G92)</f>
        <v>139</v>
      </c>
      <c r="H118" s="460">
        <f>G118+'6'!H118</f>
        <v>935</v>
      </c>
      <c r="I118" s="535"/>
      <c r="J118" s="559">
        <f>H118/DAY(B2)</f>
        <v>133.57142857142858</v>
      </c>
      <c r="N118" s="382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136</v>
      </c>
      <c r="G119" s="536">
        <f>SUM(G95,G96,G97,G99,G100)</f>
        <v>136</v>
      </c>
      <c r="H119" s="460">
        <f>G119+'6'!H119</f>
        <v>936</v>
      </c>
      <c r="I119" s="535"/>
      <c r="J119" s="559">
        <f>H119/DAY(B2)</f>
        <v>133.71428571428572</v>
      </c>
      <c r="N119" s="382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86</v>
      </c>
      <c r="G120" s="534">
        <f>SUM(G112)</f>
        <v>86</v>
      </c>
      <c r="H120" s="460">
        <f>G120+'6'!H120</f>
        <v>872</v>
      </c>
      <c r="I120" s="535"/>
      <c r="J120" s="559">
        <f>H120/DAY(B2)</f>
        <v>124.57142857142857</v>
      </c>
      <c r="N120" s="382"/>
    </row>
    <row r="121" spans="1:14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1061">
        <f>'6'!F123</f>
        <v>820332</v>
      </c>
      <c r="F123" s="1061">
        <v>820576</v>
      </c>
      <c r="G123" s="1062">
        <f t="shared" ref="G123:G127" si="14">F123-E123</f>
        <v>244</v>
      </c>
      <c r="H123" s="460">
        <f>G123+'6'!H123</f>
        <v>1766</v>
      </c>
      <c r="I123" s="526"/>
      <c r="J123" s="552">
        <f>H123/DAY(B2)</f>
        <v>252.28571428571428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1061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1061">
        <f>'6'!F125</f>
        <v>142687</v>
      </c>
      <c r="F125" s="1067">
        <v>142781</v>
      </c>
      <c r="G125" s="1063">
        <f t="shared" si="14"/>
        <v>94</v>
      </c>
      <c r="H125" s="460">
        <f>G125+'6'!H125</f>
        <v>645</v>
      </c>
      <c r="I125" s="526"/>
      <c r="J125" s="552">
        <f>H125/DAY(B2)</f>
        <v>92.142857142857139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1061">
        <f>'6'!F126</f>
        <v>31384</v>
      </c>
      <c r="F126" s="485">
        <v>31403</v>
      </c>
      <c r="G126" s="473">
        <f t="shared" si="14"/>
        <v>19</v>
      </c>
      <c r="H126" s="460">
        <f>G126+'6'!H126</f>
        <v>84.299999999999272</v>
      </c>
      <c r="I126" s="526"/>
      <c r="J126" s="552">
        <f>H126/DAY(B2)</f>
        <v>12.04285714285704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1061">
        <f>'6'!F127</f>
        <v>8966</v>
      </c>
      <c r="F127" s="485">
        <v>8966</v>
      </c>
      <c r="G127" s="473">
        <f t="shared" si="14"/>
        <v>0</v>
      </c>
      <c r="H127" s="460">
        <f>G127+'6'!H127</f>
        <v>4</v>
      </c>
      <c r="I127" s="480"/>
      <c r="J127" s="552">
        <f>H127/DAY(B2)</f>
        <v>0.5714285714285714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1059">
        <f>G15-SUM(G123:G127)</f>
        <v>541</v>
      </c>
      <c r="H128" s="460">
        <f>G128+'6'!H128</f>
        <v>4149.0999999999949</v>
      </c>
      <c r="I128" s="480"/>
      <c r="J128" s="552">
        <f>H128/DAY(B2)</f>
        <v>592.72857142857072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22">
        <f>'6'!F132</f>
        <v>39649</v>
      </c>
      <c r="F132" s="485">
        <v>39651</v>
      </c>
      <c r="G132" s="473">
        <f t="shared" si="15"/>
        <v>2</v>
      </c>
      <c r="H132" s="460">
        <f>G132+'6'!H132</f>
        <v>118</v>
      </c>
      <c r="I132" s="480"/>
      <c r="J132" s="552">
        <f>H132/DAY(B2)</f>
        <v>16.857142857142858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'6'!F133</f>
        <v>300</v>
      </c>
      <c r="F133" s="626">
        <v>300</v>
      </c>
      <c r="G133" s="777">
        <f t="shared" si="15"/>
        <v>0</v>
      </c>
      <c r="H133" s="460">
        <f>G133+'6'!H133</f>
        <v>0</v>
      </c>
      <c r="I133" s="480">
        <f>G132+G133+G134+G135</f>
        <v>26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522">
        <f>'6'!F134</f>
        <v>40885</v>
      </c>
      <c r="F134" s="485">
        <v>40909</v>
      </c>
      <c r="G134" s="473">
        <f t="shared" si="15"/>
        <v>24</v>
      </c>
      <c r="H134" s="460">
        <f>G134+'6'!H134</f>
        <v>70</v>
      </c>
      <c r="I134" s="480"/>
      <c r="J134" s="552">
        <f>H134/DAY(B2)</f>
        <v>10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'6'!F135</f>
        <v>32582.560000000001</v>
      </c>
      <c r="F135" s="626">
        <v>32582.560000000001</v>
      </c>
      <c r="G135" s="777">
        <f t="shared" si="15"/>
        <v>0</v>
      </c>
      <c r="H135" s="460">
        <f>G135+'6'!H135</f>
        <v>-0.43999999999869033</v>
      </c>
      <c r="I135" s="480"/>
      <c r="J135" s="552">
        <f>H135/DAY(B2)</f>
        <v>-6.2857142856955761E-2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'6'!F136</f>
        <v>22549.7</v>
      </c>
      <c r="F136" s="654">
        <v>22560.58</v>
      </c>
      <c r="G136" s="473">
        <f t="shared" si="15"/>
        <v>10.880000000001019</v>
      </c>
      <c r="H136" s="460">
        <f>G136+'6'!H136</f>
        <v>71.930000000000291</v>
      </c>
      <c r="I136" s="480">
        <f>G136+G137+G138</f>
        <v>10.880000000001019</v>
      </c>
      <c r="J136" s="552">
        <f>H136/DAY(B2)</f>
        <v>10.275714285714328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'6'!F137</f>
        <v>25048.97</v>
      </c>
      <c r="F137" s="654">
        <v>25048.97</v>
      </c>
      <c r="G137" s="473">
        <f t="shared" si="15"/>
        <v>0</v>
      </c>
      <c r="H137" s="460">
        <f>G137+'6'!H137</f>
        <v>0.18000000000029104</v>
      </c>
      <c r="I137" s="480"/>
      <c r="J137" s="552">
        <f>H137/DAY(B2)</f>
        <v>2.5714285714327292E-2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1065">
        <f>'6'!F138</f>
        <v>70273.94</v>
      </c>
      <c r="F138" s="1066">
        <v>70273.94</v>
      </c>
      <c r="G138" s="1059">
        <f t="shared" si="15"/>
        <v>0</v>
      </c>
      <c r="H138" s="460">
        <f>G138+'6'!H138</f>
        <v>19.910000000003492</v>
      </c>
      <c r="I138" s="480"/>
      <c r="J138" s="552">
        <f>H138/DAY(B2)</f>
        <v>2.844285714286213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522">
        <f>'6'!F139</f>
        <v>1536.52</v>
      </c>
      <c r="F139" s="485">
        <v>1536.52</v>
      </c>
      <c r="G139" s="473">
        <f t="shared" si="15"/>
        <v>0</v>
      </c>
      <c r="H139" s="460">
        <f>G139+'6'!H139</f>
        <v>0</v>
      </c>
      <c r="I139" s="542">
        <f>G139+G140</f>
        <v>7.8999999999996362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1064">
        <f>'6'!F140</f>
        <v>4518.1000000000004</v>
      </c>
      <c r="F140" s="1061">
        <v>4526</v>
      </c>
      <c r="G140" s="1062">
        <f t="shared" si="15"/>
        <v>7.8999999999996362</v>
      </c>
      <c r="H140" s="460">
        <f>G140+'6'!H140</f>
        <v>57.460000000000036</v>
      </c>
      <c r="I140" s="542"/>
      <c r="J140" s="552">
        <f>H140/DAY(B2)</f>
        <v>8.2085714285714335</v>
      </c>
      <c r="N140" s="382"/>
    </row>
    <row r="141" spans="1:14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5883</v>
      </c>
      <c r="H142" s="460">
        <f>G142+'6'!H142</f>
        <v>41195</v>
      </c>
      <c r="I142" s="480"/>
      <c r="J142" s="552">
        <f>H142/DAY(B2)</f>
        <v>5885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0.26823819077147548</v>
      </c>
      <c r="H143" s="460">
        <f>G143+'6'!H143</f>
        <v>1.8872346030779374</v>
      </c>
      <c r="I143" s="544"/>
      <c r="J143" s="552">
        <f>H143/DAY(B2)</f>
        <v>0.2696049432968482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6293</v>
      </c>
      <c r="H144" s="460">
        <f>G144+'6'!H144</f>
        <v>42485.84</v>
      </c>
      <c r="I144" s="480"/>
      <c r="J144" s="552">
        <f>H144/DAY(B2)</f>
        <v>6069.4057142857137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0.2869323363122378</v>
      </c>
      <c r="H145" s="460">
        <f>G145+'6'!H145</f>
        <v>1.9423576352722547</v>
      </c>
      <c r="I145" s="544"/>
      <c r="J145" s="552">
        <f>H145/DAY(B2)</f>
        <v>0.27747966218175069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4069</v>
      </c>
      <c r="H146" s="460">
        <f>G146+'6'!H146</f>
        <v>28808</v>
      </c>
      <c r="I146" s="545"/>
      <c r="J146" s="552">
        <f>H146/DAY(B2)</f>
        <v>4115.4285714285716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0.1855279956228342</v>
      </c>
      <c r="H147" s="460">
        <f>G147+'6'!H147</f>
        <v>1.3185746148123052</v>
      </c>
      <c r="I147" s="545"/>
      <c r="J147" s="552">
        <f>H147/DAY(B2)</f>
        <v>0.18836780211604359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1757</v>
      </c>
      <c r="H148" s="460">
        <f>G148+'6'!H148</f>
        <v>12195</v>
      </c>
      <c r="I148" s="480"/>
      <c r="J148" s="552">
        <f>H148/DAY(B2)</f>
        <v>1742.1428571428571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8.0111252963705998E-2</v>
      </c>
      <c r="H149" s="460">
        <f>G149+'6'!H149</f>
        <v>0.55876924258796101</v>
      </c>
      <c r="I149" s="545"/>
      <c r="J149" s="552">
        <f>H149/DAY(B2)</f>
        <v>7.9824177512565861E-2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1960</v>
      </c>
      <c r="H150" s="460">
        <f>G150+'6'!H150</f>
        <v>14121</v>
      </c>
      <c r="I150" s="545"/>
      <c r="J150" s="552">
        <f>H150/DAY(B2)</f>
        <v>2017.2857142857142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8.9367134780229798E-2</v>
      </c>
      <c r="H151" s="460">
        <f>G151+'6'!H151</f>
        <v>0.64510505053854972</v>
      </c>
      <c r="I151" s="480"/>
      <c r="J151" s="552">
        <f>H151/DAY(B2)</f>
        <v>9.2157864362649958E-2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1397</v>
      </c>
      <c r="H152" s="460">
        <f>G152+'6'!H152</f>
        <v>9829</v>
      </c>
      <c r="I152" s="480"/>
      <c r="J152" s="552">
        <f>H152/DAY(B2)</f>
        <v>1404.1428571428571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6.3696881269378072E-2</v>
      </c>
      <c r="H153" s="460">
        <f>G153+'6'!H153</f>
        <v>0.45036969858955583</v>
      </c>
      <c r="I153" s="568"/>
      <c r="J153" s="569">
        <f>H153/DAY(B2)</f>
        <v>6.4338528369936546E-2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33937</v>
      </c>
      <c r="F160" s="661">
        <v>34022</v>
      </c>
      <c r="G160" s="473">
        <f t="shared" ref="G160:G171" si="16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661">
        <v>71301</v>
      </c>
      <c r="F161" s="661">
        <v>71769</v>
      </c>
      <c r="G161" s="473">
        <f t="shared" si="16"/>
        <v>468</v>
      </c>
    </row>
    <row r="162" spans="1:7">
      <c r="A162" s="788" t="s">
        <v>265</v>
      </c>
      <c r="B162" s="789"/>
      <c r="C162" s="789"/>
      <c r="D162" s="511" t="s">
        <v>187</v>
      </c>
      <c r="E162" s="661">
        <v>31044</v>
      </c>
      <c r="F162" s="661">
        <v>31317</v>
      </c>
      <c r="G162" s="473">
        <f t="shared" si="16"/>
        <v>273</v>
      </c>
    </row>
    <row r="163" spans="1:7">
      <c r="A163" s="788" t="s">
        <v>266</v>
      </c>
      <c r="B163" s="789"/>
      <c r="C163" s="789"/>
      <c r="D163" s="511" t="s">
        <v>187</v>
      </c>
      <c r="E163" s="661">
        <v>5880</v>
      </c>
      <c r="F163" s="661">
        <v>5889</v>
      </c>
      <c r="G163" s="473">
        <f t="shared" si="16"/>
        <v>9</v>
      </c>
    </row>
    <row r="164" spans="1:7">
      <c r="A164" s="790" t="s">
        <v>98</v>
      </c>
      <c r="B164" s="604"/>
      <c r="C164" s="604"/>
      <c r="D164" s="511" t="s">
        <v>187</v>
      </c>
      <c r="E164" s="1064">
        <f>'6'!F164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'6'!F165</f>
        <v>2166</v>
      </c>
      <c r="F165" s="514">
        <f t="shared" ref="F165:F171" si="17">F63</f>
        <v>2178</v>
      </c>
      <c r="G165" s="473">
        <f t="shared" si="16"/>
        <v>12</v>
      </c>
    </row>
    <row r="166" spans="1:7" ht="27.75">
      <c r="A166" s="1412" t="s">
        <v>99</v>
      </c>
      <c r="B166" s="1412"/>
      <c r="C166" s="1412"/>
      <c r="D166" s="523" t="s">
        <v>187</v>
      </c>
      <c r="E166" s="1064">
        <f>'6'!F166</f>
        <v>141950</v>
      </c>
      <c r="F166" s="514">
        <f t="shared" si="17"/>
        <v>142423</v>
      </c>
      <c r="G166" s="473">
        <f t="shared" si="16"/>
        <v>473</v>
      </c>
    </row>
    <row r="167" spans="1:7" ht="27.75">
      <c r="A167" s="1412" t="s">
        <v>100</v>
      </c>
      <c r="B167" s="1412"/>
      <c r="C167" s="1412"/>
      <c r="D167" s="523" t="s">
        <v>187</v>
      </c>
      <c r="E167" s="1064">
        <f>'6'!F167</f>
        <v>146386</v>
      </c>
      <c r="F167" s="514">
        <f t="shared" si="17"/>
        <v>146745</v>
      </c>
      <c r="G167" s="473">
        <f t="shared" si="16"/>
        <v>359</v>
      </c>
    </row>
    <row r="168" spans="1:7" ht="27.75">
      <c r="A168" s="1412" t="s">
        <v>101</v>
      </c>
      <c r="B168" s="1412"/>
      <c r="C168" s="1412"/>
      <c r="D168" s="523" t="s">
        <v>187</v>
      </c>
      <c r="E168" s="1064">
        <f>'6'!F168</f>
        <v>39601</v>
      </c>
      <c r="F168" s="514">
        <f t="shared" si="17"/>
        <v>39987</v>
      </c>
      <c r="G168" s="473">
        <f t="shared" si="16"/>
        <v>386</v>
      </c>
    </row>
    <row r="169" spans="1:7" ht="27.75">
      <c r="A169" s="1412" t="s">
        <v>102</v>
      </c>
      <c r="B169" s="1412"/>
      <c r="C169" s="1412"/>
      <c r="D169" s="523" t="s">
        <v>187</v>
      </c>
      <c r="E169" s="1064">
        <f>'6'!F169</f>
        <v>232860</v>
      </c>
      <c r="F169" s="514">
        <f t="shared" si="17"/>
        <v>233478</v>
      </c>
      <c r="G169" s="473">
        <f t="shared" si="16"/>
        <v>618</v>
      </c>
    </row>
    <row r="170" spans="1:7" ht="27.75">
      <c r="A170" s="1412" t="s">
        <v>103</v>
      </c>
      <c r="B170" s="1412"/>
      <c r="C170" s="1412"/>
      <c r="D170" s="523" t="s">
        <v>187</v>
      </c>
      <c r="E170" s="1064">
        <f>'6'!F170</f>
        <v>85034</v>
      </c>
      <c r="F170" s="514">
        <f t="shared" si="17"/>
        <v>85321</v>
      </c>
      <c r="G170" s="473">
        <f t="shared" si="16"/>
        <v>287</v>
      </c>
    </row>
    <row r="171" spans="1:7" ht="27.75">
      <c r="A171" s="1412" t="s">
        <v>104</v>
      </c>
      <c r="B171" s="1412"/>
      <c r="C171" s="1412"/>
      <c r="D171" s="523" t="s">
        <v>187</v>
      </c>
      <c r="E171" s="1064">
        <f>'6'!F171</f>
        <v>76175</v>
      </c>
      <c r="F171" s="514">
        <f t="shared" si="17"/>
        <v>76475</v>
      </c>
      <c r="G171" s="473">
        <f t="shared" si="16"/>
        <v>300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22" zoomScale="55" zoomScaleSheetLayoutView="55" workbookViewId="0">
      <selection activeCell="F135" sqref="F13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360</v>
      </c>
      <c r="B2" s="1036">
        <v>44294</v>
      </c>
      <c r="C2" s="1147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27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5266838</v>
      </c>
      <c r="F7" s="455">
        <v>5288429</v>
      </c>
      <c r="G7" s="681">
        <f>F7-E7</f>
        <v>21591</v>
      </c>
      <c r="H7" s="682">
        <f>G7+'7'!H7</f>
        <v>174506</v>
      </c>
      <c r="I7" s="683">
        <f>'1'!I7</f>
        <v>12000</v>
      </c>
      <c r="J7" s="684">
        <f>H7/DAY(B2)</f>
        <v>21813.25</v>
      </c>
      <c r="K7" s="549"/>
      <c r="L7" s="377"/>
      <c r="N7" s="711">
        <v>11335</v>
      </c>
      <c r="O7" s="382">
        <f>G7-N7</f>
        <v>10256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5298954</v>
      </c>
      <c r="F8" s="475">
        <v>5320650</v>
      </c>
      <c r="G8" s="692">
        <f>F8-E8</f>
        <v>21696</v>
      </c>
      <c r="H8" s="682">
        <f>G8+'7'!H8</f>
        <v>175332</v>
      </c>
      <c r="I8" s="689">
        <v>12000</v>
      </c>
      <c r="J8" s="684">
        <f>H8/DAY(B2)</f>
        <v>21916.5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544278</v>
      </c>
      <c r="F9" s="478">
        <v>565332.15</v>
      </c>
      <c r="G9" s="705">
        <f t="shared" ref="G9:G12" si="0">F9-E9</f>
        <v>21054.150000000023</v>
      </c>
      <c r="H9" s="682">
        <f>G9+'7'!H9</f>
        <v>169263.15000000002</v>
      </c>
      <c r="I9" s="693">
        <f>I7-J7</f>
        <v>-9813.25</v>
      </c>
      <c r="J9" s="684">
        <f>H9/DAY(B2)</f>
        <v>21157.893750000003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21054.150000000023</v>
      </c>
      <c r="H13" s="682">
        <f>G13+'7'!H13</f>
        <v>169263.15000000002</v>
      </c>
      <c r="I13" s="698">
        <f>G7-G13</f>
        <v>536.84999999997672</v>
      </c>
      <c r="J13" s="684">
        <f>H13/DAY(B2)</f>
        <v>21157.893750000003</v>
      </c>
      <c r="K13" s="428"/>
      <c r="L13" s="377"/>
      <c r="N13" s="382"/>
    </row>
    <row r="14" spans="1:1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1653337</v>
      </c>
      <c r="F15" s="485">
        <v>1654289.0319999999</v>
      </c>
      <c r="G15" s="667">
        <f>(F15-E15)</f>
        <v>952.0319999998901</v>
      </c>
      <c r="H15" s="673">
        <f>G15+'7'!H15</f>
        <v>7600.0319999998901</v>
      </c>
      <c r="I15" s="674">
        <v>800</v>
      </c>
      <c r="J15" s="675">
        <f>H15/DAY(B2)</f>
        <v>950.00399999998626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-150.00399999998626</v>
      </c>
      <c r="J16" s="675"/>
      <c r="K16" s="428"/>
      <c r="L16" s="377"/>
      <c r="N16" s="382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8" t="s">
        <v>144</v>
      </c>
      <c r="E18" s="635">
        <f>'7'!F18</f>
        <v>10</v>
      </c>
      <c r="F18" s="626">
        <v>10</v>
      </c>
      <c r="G18" s="697">
        <f>F18*10</f>
        <v>100</v>
      </c>
      <c r="H18" s="682">
        <f>G18+'7'!H18</f>
        <v>900</v>
      </c>
      <c r="I18" s="683">
        <f>'1'!I18</f>
        <v>65</v>
      </c>
      <c r="J18" s="684">
        <f>H18/DAY(B2)</f>
        <v>112.5</v>
      </c>
      <c r="K18" s="428"/>
      <c r="L18" s="377"/>
      <c r="N18" s="382"/>
    </row>
    <row r="19" spans="1:14" ht="27.75">
      <c r="A19" s="1477" t="s">
        <v>71</v>
      </c>
      <c r="B19" s="1478"/>
      <c r="C19" s="1479"/>
      <c r="D19" s="638" t="s">
        <v>144</v>
      </c>
      <c r="E19" s="635">
        <f>'7'!F19</f>
        <v>136474</v>
      </c>
      <c r="F19" s="478">
        <v>136530</v>
      </c>
      <c r="G19" s="692">
        <f t="shared" ref="G19" si="1">F19-E19</f>
        <v>56</v>
      </c>
      <c r="H19" s="682">
        <f>G19+'7'!H19</f>
        <v>440</v>
      </c>
      <c r="I19" s="699"/>
      <c r="J19" s="684">
        <f>H19/DAY(B2)</f>
        <v>55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G20+'7'!H20</f>
        <v>1340</v>
      </c>
      <c r="I20" s="701">
        <f>I18-J20</f>
        <v>-102.5</v>
      </c>
      <c r="J20" s="684">
        <f>H20/DAY(B2)</f>
        <v>167.5</v>
      </c>
      <c r="K20" s="428"/>
      <c r="L20" s="377"/>
      <c r="N20" s="382"/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'7'!F22</f>
        <v>1290</v>
      </c>
      <c r="F22" s="478">
        <v>1290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'7'!F23</f>
        <v>1900</v>
      </c>
      <c r="F23" s="478">
        <v>1900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21696</v>
      </c>
      <c r="F27" s="501">
        <v>9</v>
      </c>
      <c r="G27" s="502">
        <f>E27*F27</f>
        <v>195264</v>
      </c>
      <c r="H27" s="460">
        <f>G27+'7'!H27</f>
        <v>1577988</v>
      </c>
      <c r="I27" s="503"/>
      <c r="J27" s="552">
        <f>H27/DAY(B2)</f>
        <v>197248.5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952.0319999998901</v>
      </c>
      <c r="F28" s="501">
        <v>51.45</v>
      </c>
      <c r="G28" s="502">
        <f t="shared" ref="G28:G31" si="2">E28*F28</f>
        <v>48982.046399994346</v>
      </c>
      <c r="H28" s="460">
        <f>G28+'7'!H28</f>
        <v>391021.64639999432</v>
      </c>
      <c r="I28" s="505"/>
      <c r="J28" s="552">
        <f>H28/DAY(B2)</f>
        <v>48877.70579999929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2"/>
        <v>7504</v>
      </c>
      <c r="H30" s="460">
        <f>G30+'7'!H30</f>
        <v>60328</v>
      </c>
      <c r="I30" s="505"/>
      <c r="J30" s="552">
        <f>H30/DAY(B2)</f>
        <v>7541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2"/>
        <v>8000</v>
      </c>
      <c r="H31" s="460">
        <f>G31+'7'!H31</f>
        <v>72000</v>
      </c>
      <c r="I31" s="505"/>
      <c r="J31" s="552">
        <f>H31/DAY(B2)</f>
        <v>9000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259750.04639999435</v>
      </c>
      <c r="H32" s="460">
        <f>G32+'7'!H32</f>
        <v>2101337.6463999944</v>
      </c>
      <c r="I32" s="509"/>
      <c r="J32" s="552">
        <f>H32/DAY(B2)</f>
        <v>262667.2057999993</v>
      </c>
      <c r="K32" s="373"/>
      <c r="L32" s="443"/>
      <c r="N32" s="382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822044</v>
      </c>
      <c r="F35" s="510">
        <v>825359.11</v>
      </c>
      <c r="G35" s="473">
        <f t="shared" ref="G35:G46" si="3">F35-E35</f>
        <v>3315.109999999986</v>
      </c>
      <c r="H35" s="460">
        <f>G35+'7'!H35</f>
        <v>26970.109999999986</v>
      </c>
      <c r="I35" s="455"/>
      <c r="J35" s="552">
        <f>H35/DAY(B2)</f>
        <v>3371.2637499999983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323572</v>
      </c>
      <c r="F36" s="510">
        <v>324405.46999999997</v>
      </c>
      <c r="G36" s="473">
        <f t="shared" si="3"/>
        <v>833.46999999997206</v>
      </c>
      <c r="H36" s="460">
        <f>G36+'7'!H36</f>
        <v>6969.4699999999721</v>
      </c>
      <c r="I36" s="455"/>
      <c r="J36" s="552">
        <f>H36/DAY(B2)</f>
        <v>871.18374999999651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64626</v>
      </c>
      <c r="F37" s="510">
        <v>66014.362999999998</v>
      </c>
      <c r="G37" s="473">
        <f t="shared" si="3"/>
        <v>1388.3629999999976</v>
      </c>
      <c r="H37" s="460">
        <f>G37+'7'!H37</f>
        <v>11217.362999999998</v>
      </c>
      <c r="I37" s="455"/>
      <c r="J37" s="552">
        <f>H37/DAY(B2)</f>
        <v>1402.1703749999997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84503</v>
      </c>
      <c r="F38" s="469">
        <v>86192.41</v>
      </c>
      <c r="G38" s="473">
        <f t="shared" si="3"/>
        <v>1689.4100000000035</v>
      </c>
      <c r="H38" s="460">
        <f>G38+'7'!H38</f>
        <v>13884.410000000003</v>
      </c>
      <c r="I38" s="455"/>
      <c r="J38" s="552">
        <f>H38/DAY(B2)</f>
        <v>1735.5512500000004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179780</v>
      </c>
      <c r="F39" s="510">
        <v>183273.29</v>
      </c>
      <c r="G39" s="473">
        <f t="shared" si="3"/>
        <v>3493.2900000000081</v>
      </c>
      <c r="H39" s="460">
        <f>G39+'7'!H39</f>
        <v>30451.290000000008</v>
      </c>
      <c r="I39" s="455"/>
      <c r="J39" s="552">
        <f>H39/DAY(B2)</f>
        <v>3806.411250000001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0.17</v>
      </c>
      <c r="G40" s="473">
        <f t="shared" si="3"/>
        <v>0.17</v>
      </c>
      <c r="H40" s="460">
        <f>G40+'7'!H40</f>
        <v>0.17</v>
      </c>
      <c r="I40" s="455"/>
      <c r="J40" s="552">
        <f>H40/DAY(B2)</f>
        <v>2.1250000000000002E-2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160241</v>
      </c>
      <c r="F41" s="1060">
        <v>160477.21</v>
      </c>
      <c r="G41" s="473">
        <f t="shared" si="3"/>
        <v>236.20999999999185</v>
      </c>
      <c r="H41" s="460">
        <f>G41+'7'!H41</f>
        <v>27336.209999999992</v>
      </c>
      <c r="I41" s="455"/>
      <c r="J41" s="552">
        <f>H41/DAY(B2)</f>
        <v>3417.026249999999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59128.163</v>
      </c>
      <c r="G42" s="473">
        <f t="shared" si="3"/>
        <v>0.16300000000046566</v>
      </c>
      <c r="H42" s="460">
        <f>G42+'7'!H42</f>
        <v>2.9999999969732016E-3</v>
      </c>
      <c r="I42" s="455"/>
      <c r="J42" s="552">
        <f>H42/DAY(B2)</f>
        <v>3.749999996216502E-4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919588</v>
      </c>
      <c r="F43" s="510">
        <v>922074.23</v>
      </c>
      <c r="G43" s="473">
        <f t="shared" si="3"/>
        <v>2486.2299999999814</v>
      </c>
      <c r="H43" s="460">
        <f>G43+'7'!H43</f>
        <v>20026.229999999981</v>
      </c>
      <c r="I43" s="455"/>
      <c r="J43" s="552">
        <f>H43/DAY(B2)</f>
        <v>2503.2787499999977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13442.415999999941</v>
      </c>
      <c r="H47" s="460">
        <f>G47+'7'!H47</f>
        <v>137656.25599999994</v>
      </c>
      <c r="I47" s="455"/>
      <c r="J47" s="552">
        <f>H47/DAY(B2)</f>
        <v>17207.031999999992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449217</v>
      </c>
      <c r="F50" s="510">
        <v>450325.75</v>
      </c>
      <c r="G50" s="473">
        <f>F50-E50</f>
        <v>1108.75</v>
      </c>
      <c r="H50" s="460">
        <f>G50+'7'!H50</f>
        <v>9093.75</v>
      </c>
      <c r="I50" s="455"/>
      <c r="J50" s="552">
        <f>H50/DAY(B2)</f>
        <v>1136.71875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539608</v>
      </c>
      <c r="F52" s="1060">
        <v>539608</v>
      </c>
      <c r="G52" s="473">
        <f t="shared" si="4"/>
        <v>0</v>
      </c>
      <c r="H52" s="460">
        <f>G52+'7'!H52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403114</v>
      </c>
      <c r="F53" s="1060">
        <v>403744.35</v>
      </c>
      <c r="G53" s="473">
        <f t="shared" si="4"/>
        <v>630.34999999997672</v>
      </c>
      <c r="H53" s="460">
        <f>G53+'7'!H53</f>
        <v>2480.3499999999767</v>
      </c>
      <c r="I53" s="455"/>
      <c r="J53" s="552">
        <f>H53/DAY(B2)</f>
        <v>310.04374999999709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9741.0400000000009</v>
      </c>
      <c r="G54" s="473">
        <f t="shared" si="4"/>
        <v>1541.0400000000009</v>
      </c>
      <c r="H54" s="460">
        <f>G54+'7'!H54</f>
        <v>2043.0400000000009</v>
      </c>
      <c r="I54" s="455"/>
      <c r="J54" s="552">
        <f>H54/DAY(B2)</f>
        <v>255.38000000000011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231419</v>
      </c>
      <c r="F55" s="656">
        <v>237367.41</v>
      </c>
      <c r="G55" s="655">
        <f t="shared" si="4"/>
        <v>5948.4100000000035</v>
      </c>
      <c r="H55" s="708">
        <f>G55+'7'!H55</f>
        <v>21270.410000000003</v>
      </c>
      <c r="I55" s="709"/>
      <c r="J55" s="710">
        <f>H55/DAY(B2)</f>
        <v>2658.8012500000004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589031</v>
      </c>
      <c r="F56" s="656">
        <v>589049.59</v>
      </c>
      <c r="G56" s="473">
        <f t="shared" si="4"/>
        <v>18.589999999967404</v>
      </c>
      <c r="H56" s="460">
        <f>G56+'7'!H56</f>
        <v>82.589999999967404</v>
      </c>
      <c r="I56" s="455"/>
      <c r="J56" s="552">
        <f>H56/DAY(B2)</f>
        <v>10.323749999995925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42882</v>
      </c>
      <c r="F58" s="656">
        <v>43080.23</v>
      </c>
      <c r="G58" s="473">
        <f t="shared" si="4"/>
        <v>198.2300000000032</v>
      </c>
      <c r="H58" s="460">
        <f>G58+'7'!H58</f>
        <v>1533.2300000000032</v>
      </c>
      <c r="I58" s="455"/>
      <c r="J58" s="552">
        <f>H58/DAY(B2)</f>
        <v>191.6537500000004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9445.3699999999517</v>
      </c>
      <c r="H59" s="460">
        <f>G59+'7'!H59</f>
        <v>36503.369999999952</v>
      </c>
      <c r="I59" s="455">
        <f>G7-G60</f>
        <v>-1296.7859999998909</v>
      </c>
      <c r="J59" s="552">
        <f>H59/DAY(B2)</f>
        <v>4562.921249999994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22887.785999999891</v>
      </c>
      <c r="H60" s="460">
        <f>G60+'7'!H60</f>
        <v>174159.62599999987</v>
      </c>
      <c r="I60" s="455">
        <f>G13-G60</f>
        <v>-1833.6359999998676</v>
      </c>
      <c r="J60" s="552">
        <f>H60/DAY(B2)</f>
        <v>21769.953249999984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2178</v>
      </c>
      <c r="F63" s="514">
        <v>2189.58</v>
      </c>
      <c r="G63" s="473">
        <f t="shared" si="5"/>
        <v>11.579999999999927</v>
      </c>
      <c r="H63" s="460">
        <f>G63+'7'!H63</f>
        <v>93.579999999999927</v>
      </c>
      <c r="I63" s="515"/>
      <c r="J63" s="552">
        <f>H63/DAY(B2)</f>
        <v>11.697499999999991</v>
      </c>
      <c r="K63" s="428"/>
      <c r="L63" s="377"/>
      <c r="N63" s="382"/>
    </row>
    <row r="64" spans="1:14" ht="27.75">
      <c r="A64" s="1416" t="s">
        <v>99</v>
      </c>
      <c r="B64" s="1417"/>
      <c r="C64" s="1418"/>
      <c r="D64" s="523" t="s">
        <v>187</v>
      </c>
      <c r="E64" s="514">
        <f>'7'!F64</f>
        <v>142423</v>
      </c>
      <c r="F64" s="478">
        <v>142907.71</v>
      </c>
      <c r="G64" s="473">
        <f t="shared" si="5"/>
        <v>484.70999999999185</v>
      </c>
      <c r="H64" s="460">
        <f>G64+'7'!H64</f>
        <v>3727.7099999999919</v>
      </c>
      <c r="I64" s="480"/>
      <c r="J64" s="552">
        <f>H64/DAY(B2)</f>
        <v>465.96374999999898</v>
      </c>
      <c r="K64" s="428"/>
      <c r="L64" s="377"/>
      <c r="N64" s="382"/>
    </row>
    <row r="65" spans="1:14" ht="27.75">
      <c r="A65" s="1416" t="s">
        <v>100</v>
      </c>
      <c r="B65" s="1417"/>
      <c r="C65" s="1418"/>
      <c r="D65" s="523" t="s">
        <v>187</v>
      </c>
      <c r="E65" s="514">
        <f>'7'!F65</f>
        <v>146745</v>
      </c>
      <c r="F65" s="654">
        <v>147109.56</v>
      </c>
      <c r="G65" s="473">
        <f t="shared" si="5"/>
        <v>364.55999999999767</v>
      </c>
      <c r="H65" s="460">
        <f>G65+'7'!H65</f>
        <v>2904.5599999999977</v>
      </c>
      <c r="I65" s="489"/>
      <c r="J65" s="552">
        <f>H65/DAY(B2)</f>
        <v>363.06999999999971</v>
      </c>
      <c r="K65" s="428"/>
      <c r="L65" s="377"/>
      <c r="N65" s="382"/>
    </row>
    <row r="66" spans="1:14" ht="27.75">
      <c r="A66" s="1416" t="s">
        <v>101</v>
      </c>
      <c r="B66" s="1417"/>
      <c r="C66" s="1418"/>
      <c r="D66" s="523" t="s">
        <v>187</v>
      </c>
      <c r="E66" s="514">
        <f>'7'!F66</f>
        <v>39987</v>
      </c>
      <c r="F66" s="478">
        <v>40971.85</v>
      </c>
      <c r="G66" s="473">
        <f t="shared" si="5"/>
        <v>984.84999999999854</v>
      </c>
      <c r="H66" s="460">
        <f>G66+'7'!H66</f>
        <v>3763.8499999999985</v>
      </c>
      <c r="I66" s="480"/>
      <c r="J66" s="552">
        <f>H66/DAY(B2)</f>
        <v>470.48124999999982</v>
      </c>
      <c r="K66" s="428"/>
      <c r="L66" s="377"/>
      <c r="N66" s="382"/>
    </row>
    <row r="67" spans="1:14" ht="27.75">
      <c r="A67" s="1416" t="s">
        <v>102</v>
      </c>
      <c r="B67" s="1417"/>
      <c r="C67" s="1418"/>
      <c r="D67" s="523" t="s">
        <v>187</v>
      </c>
      <c r="E67" s="514">
        <f>'7'!F67</f>
        <v>233478</v>
      </c>
      <c r="F67" s="478">
        <v>234109.79</v>
      </c>
      <c r="G67" s="473">
        <f t="shared" si="5"/>
        <v>631.79000000000815</v>
      </c>
      <c r="H67" s="460">
        <f>G67+'7'!H67</f>
        <v>5009.7900000000081</v>
      </c>
      <c r="I67" s="489"/>
      <c r="J67" s="552">
        <f>H67/DAY(B2)</f>
        <v>626.22375000000102</v>
      </c>
      <c r="K67" s="429"/>
      <c r="L67" s="377"/>
      <c r="N67" s="382"/>
    </row>
    <row r="68" spans="1:14" ht="27.75">
      <c r="A68" s="1416" t="s">
        <v>103</v>
      </c>
      <c r="B68" s="1417"/>
      <c r="C68" s="1418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2234</v>
      </c>
      <c r="I68" s="516"/>
      <c r="J68" s="552">
        <f>H68/DAY(B2)</f>
        <v>279.25</v>
      </c>
      <c r="K68" s="430"/>
      <c r="L68" s="377"/>
      <c r="N68" s="382"/>
    </row>
    <row r="69" spans="1:14" ht="27.75">
      <c r="A69" s="1416" t="s">
        <v>104</v>
      </c>
      <c r="B69" s="1417"/>
      <c r="C69" s="1418"/>
      <c r="D69" s="523" t="s">
        <v>187</v>
      </c>
      <c r="E69" s="514">
        <f>'7'!F69</f>
        <v>76475</v>
      </c>
      <c r="F69" s="478">
        <v>76765.649999999994</v>
      </c>
      <c r="G69" s="473">
        <f t="shared" si="5"/>
        <v>290.64999999999418</v>
      </c>
      <c r="H69" s="460">
        <f>G69+'7'!H69</f>
        <v>2436.6499999999942</v>
      </c>
      <c r="I69" s="516"/>
      <c r="J69" s="552">
        <f>H69/DAY(B2)</f>
        <v>304.58124999999927</v>
      </c>
      <c r="K69" s="431"/>
      <c r="L69" s="377"/>
      <c r="N69" s="382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519">
        <f>'7'!F72</f>
        <v>853878</v>
      </c>
      <c r="F72" s="657">
        <v>853970</v>
      </c>
      <c r="G72" s="473">
        <f t="shared" ref="G72:G84" si="6">F72-E72</f>
        <v>92</v>
      </c>
      <c r="H72" s="460">
        <f>G72+'7'!H72</f>
        <v>791</v>
      </c>
      <c r="I72" s="480"/>
      <c r="J72" s="552">
        <f>H72/DAY(B2)</f>
        <v>98.875</v>
      </c>
      <c r="K72" s="431"/>
      <c r="L72" s="377"/>
      <c r="N72" s="382"/>
    </row>
    <row r="73" spans="1:14" ht="27.75">
      <c r="A73" s="1416" t="s">
        <v>192</v>
      </c>
      <c r="B73" s="1417"/>
      <c r="C73" s="1418"/>
      <c r="D73" s="523" t="s">
        <v>187</v>
      </c>
      <c r="E73" s="519">
        <f>'7'!F73</f>
        <v>885811</v>
      </c>
      <c r="F73" s="658">
        <v>885812</v>
      </c>
      <c r="G73" s="655">
        <f t="shared" si="6"/>
        <v>1</v>
      </c>
      <c r="H73" s="460">
        <f>G73+'7'!H73</f>
        <v>12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416" t="s">
        <v>193</v>
      </c>
      <c r="B74" s="1417"/>
      <c r="C74" s="1418"/>
      <c r="D74" s="523" t="s">
        <v>187</v>
      </c>
      <c r="E74" s="519">
        <f>'7'!F74</f>
        <v>1552</v>
      </c>
      <c r="F74" s="657">
        <v>1584.65</v>
      </c>
      <c r="G74" s="473">
        <f t="shared" si="6"/>
        <v>32.650000000000091</v>
      </c>
      <c r="H74" s="460">
        <f>G74+'7'!H74</f>
        <v>214.65000000000009</v>
      </c>
      <c r="I74" s="480"/>
      <c r="J74" s="552">
        <f>H74/DAY(B2)</f>
        <v>26.831250000000011</v>
      </c>
      <c r="K74" s="431"/>
      <c r="L74" s="377"/>
      <c r="N74" s="382"/>
    </row>
    <row r="75" spans="1:14" ht="27.75">
      <c r="A75" s="1413" t="s">
        <v>194</v>
      </c>
      <c r="B75" s="1414"/>
      <c r="C75" s="1415"/>
      <c r="D75" s="523" t="s">
        <v>187</v>
      </c>
      <c r="E75" s="519">
        <f>'7'!F75</f>
        <v>9549</v>
      </c>
      <c r="F75" s="658">
        <v>9626.31</v>
      </c>
      <c r="G75" s="473">
        <f t="shared" si="6"/>
        <v>77.309999999999491</v>
      </c>
      <c r="H75" s="460">
        <f>G75+'7'!H75</f>
        <v>946.30999999999949</v>
      </c>
      <c r="I75" s="480"/>
      <c r="J75" s="552">
        <f>H75/DAY(B2)</f>
        <v>118.28874999999994</v>
      </c>
      <c r="K75" s="430"/>
      <c r="L75" s="377"/>
      <c r="N75" s="382"/>
    </row>
    <row r="76" spans="1:14" ht="27.75">
      <c r="A76" s="1413" t="s">
        <v>195</v>
      </c>
      <c r="B76" s="1414"/>
      <c r="C76" s="1415"/>
      <c r="D76" s="523" t="s">
        <v>187</v>
      </c>
      <c r="E76" s="519">
        <f>'7'!F76</f>
        <v>4496</v>
      </c>
      <c r="F76" s="658">
        <v>4562.55</v>
      </c>
      <c r="G76" s="473">
        <f t="shared" si="6"/>
        <v>66.550000000000182</v>
      </c>
      <c r="H76" s="460">
        <f>G76+'7'!H76</f>
        <v>525.55000000000018</v>
      </c>
      <c r="I76" s="505"/>
      <c r="J76" s="552">
        <f>H76/DAY(B2)</f>
        <v>65.693750000000023</v>
      </c>
      <c r="K76" s="430"/>
      <c r="L76" s="377"/>
      <c r="N76" s="382"/>
    </row>
    <row r="77" spans="1:14" ht="27.75">
      <c r="A77" s="1416" t="s">
        <v>196</v>
      </c>
      <c r="B77" s="1417"/>
      <c r="C77" s="1418"/>
      <c r="D77" s="523" t="s">
        <v>187</v>
      </c>
      <c r="E77" s="519">
        <f>'7'!F77</f>
        <v>700532</v>
      </c>
      <c r="F77" s="657">
        <v>700581</v>
      </c>
      <c r="G77" s="655">
        <f t="shared" si="6"/>
        <v>49</v>
      </c>
      <c r="H77" s="460">
        <f>G77+'7'!H77</f>
        <v>367</v>
      </c>
      <c r="I77" s="505"/>
      <c r="J77" s="552">
        <f>H77/DAY(B2)</f>
        <v>45.875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'7'!F78</f>
        <v>667667</v>
      </c>
      <c r="F78" s="659">
        <v>668006</v>
      </c>
      <c r="G78" s="473">
        <f t="shared" si="6"/>
        <v>339</v>
      </c>
      <c r="H78" s="460">
        <f>G78+'7'!H78</f>
        <v>2626</v>
      </c>
      <c r="I78" s="505"/>
      <c r="J78" s="552">
        <f>H78/DAY(B2)</f>
        <v>328.25</v>
      </c>
      <c r="K78" s="430"/>
      <c r="L78" s="377"/>
      <c r="N78" s="382"/>
    </row>
    <row r="79" spans="1:14" ht="27.75">
      <c r="A79" s="1413" t="s">
        <v>92</v>
      </c>
      <c r="B79" s="1414"/>
      <c r="C79" s="1415"/>
      <c r="D79" s="524" t="s">
        <v>187</v>
      </c>
      <c r="E79" s="519">
        <f>'7'!F79</f>
        <v>822508</v>
      </c>
      <c r="F79" s="657">
        <v>822712</v>
      </c>
      <c r="G79" s="473">
        <f t="shared" si="6"/>
        <v>204</v>
      </c>
      <c r="H79" s="460">
        <f>G79+'7'!H79</f>
        <v>1499</v>
      </c>
      <c r="I79" s="505"/>
      <c r="J79" s="552">
        <f>H79/DAY(B2)</f>
        <v>187.375</v>
      </c>
      <c r="K79" s="430"/>
      <c r="L79" s="377"/>
      <c r="N79" s="382"/>
    </row>
    <row r="80" spans="1:14" ht="27.75">
      <c r="A80" s="1413" t="s">
        <v>198</v>
      </c>
      <c r="B80" s="1414"/>
      <c r="C80" s="1415"/>
      <c r="D80" s="524" t="s">
        <v>187</v>
      </c>
      <c r="E80" s="519">
        <f>'7'!F80</f>
        <v>508129</v>
      </c>
      <c r="F80" s="658">
        <v>508491.88</v>
      </c>
      <c r="G80" s="473">
        <f t="shared" si="6"/>
        <v>362.88000000000466</v>
      </c>
      <c r="H80" s="460">
        <f>G80+'7'!H80</f>
        <v>2792.8800000000047</v>
      </c>
      <c r="I80" s="505"/>
      <c r="J80" s="552">
        <f>H80/DAY(B2)</f>
        <v>349.11000000000058</v>
      </c>
      <c r="K80" s="430"/>
      <c r="L80" s="377"/>
      <c r="N80" s="382"/>
    </row>
    <row r="81" spans="1:15" ht="27.75">
      <c r="A81" s="1413" t="s">
        <v>199</v>
      </c>
      <c r="B81" s="1414"/>
      <c r="C81" s="1415"/>
      <c r="D81" s="524" t="s">
        <v>187</v>
      </c>
      <c r="E81" s="519">
        <f>'7'!F81</f>
        <v>631973</v>
      </c>
      <c r="F81" s="658">
        <v>632208.43999999994</v>
      </c>
      <c r="G81" s="473">
        <f t="shared" si="6"/>
        <v>235.43999999994412</v>
      </c>
      <c r="H81" s="460">
        <f>G81+'7'!H81</f>
        <v>2023.4399999999441</v>
      </c>
      <c r="I81" s="505"/>
      <c r="J81" s="552">
        <f>H81/DAY(B2)</f>
        <v>252.92999999999302</v>
      </c>
      <c r="K81" s="430"/>
      <c r="L81" s="377"/>
      <c r="N81" s="382"/>
    </row>
    <row r="82" spans="1:15" ht="27.75">
      <c r="A82" s="1413" t="s">
        <v>93</v>
      </c>
      <c r="B82" s="1414"/>
      <c r="C82" s="1415"/>
      <c r="D82" s="485" t="s">
        <v>132</v>
      </c>
      <c r="E82" s="519">
        <f>'7'!F82</f>
        <v>107061</v>
      </c>
      <c r="F82" s="654">
        <v>107085.4</v>
      </c>
      <c r="G82" s="473">
        <f t="shared" si="6"/>
        <v>24.399999999994179</v>
      </c>
      <c r="H82" s="460">
        <f>G82+'7'!H82</f>
        <v>190.39999999999418</v>
      </c>
      <c r="I82" s="486"/>
      <c r="J82" s="552">
        <f>H82/DAY(B2)</f>
        <v>23.799999999999272</v>
      </c>
      <c r="K82" s="430"/>
      <c r="L82" s="377"/>
      <c r="N82" s="382"/>
    </row>
    <row r="83" spans="1:15" ht="27.75">
      <c r="A83" s="1413" t="s">
        <v>200</v>
      </c>
      <c r="B83" s="1414"/>
      <c r="C83" s="1415"/>
      <c r="D83" s="620" t="s">
        <v>132</v>
      </c>
      <c r="E83" s="519">
        <f>'7'!F83</f>
        <v>8850</v>
      </c>
      <c r="F83" s="620">
        <v>9159</v>
      </c>
      <c r="G83" s="473">
        <f t="shared" si="6"/>
        <v>309</v>
      </c>
      <c r="H83" s="460">
        <f>G83+'7'!H83</f>
        <v>2102</v>
      </c>
      <c r="I83" s="481"/>
      <c r="J83" s="552">
        <f>H83/DAY(B2)</f>
        <v>262.75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'7'!F84</f>
        <v>461192</v>
      </c>
      <c r="F84" s="627">
        <v>462213</v>
      </c>
      <c r="G84" s="473">
        <f t="shared" si="6"/>
        <v>1021</v>
      </c>
      <c r="H84" s="460">
        <f>G84+'7'!H84</f>
        <v>7529</v>
      </c>
      <c r="I84" s="481"/>
      <c r="J84" s="552">
        <f>H84/DAY(B2)</f>
        <v>941.125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2814.2299999999427</v>
      </c>
      <c r="H85" s="460">
        <f>G85+'7'!H85</f>
        <v>21619.229999999941</v>
      </c>
      <c r="I85" s="481"/>
      <c r="J85" s="552">
        <f>H85/DAY(B2)</f>
        <v>2702.4037499999927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455856</v>
      </c>
      <c r="F86" s="650">
        <v>456042.52</v>
      </c>
      <c r="G86" s="708">
        <f t="shared" ref="G86:G90" si="7">F86-E86</f>
        <v>186.52000000001863</v>
      </c>
      <c r="H86" s="708">
        <f t="shared" ref="H86:H88" si="8">G86</f>
        <v>186.52000000001863</v>
      </c>
      <c r="I86" s="655"/>
      <c r="J86" s="710">
        <f>H86/DAY(B2)</f>
        <v>23.315000000002328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80394</v>
      </c>
      <c r="F87" s="650">
        <v>80434.399999999994</v>
      </c>
      <c r="G87" s="708">
        <f t="shared" si="7"/>
        <v>40.399999999994179</v>
      </c>
      <c r="H87" s="708">
        <f t="shared" si="8"/>
        <v>40.399999999994179</v>
      </c>
      <c r="I87" s="655"/>
      <c r="J87" s="710">
        <f>H87/DAY(B2)</f>
        <v>5.0499999999992724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151004</v>
      </c>
      <c r="F88" s="650">
        <v>151037.53</v>
      </c>
      <c r="G88" s="708">
        <f t="shared" si="7"/>
        <v>33.529999999998836</v>
      </c>
      <c r="H88" s="708">
        <f t="shared" si="8"/>
        <v>33.529999999998836</v>
      </c>
      <c r="I88" s="655"/>
      <c r="J88" s="710">
        <f>H88/DAY(B2)</f>
        <v>4.1912499999998545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63856</v>
      </c>
      <c r="F89" s="650">
        <v>63899.8</v>
      </c>
      <c r="G89" s="708">
        <f t="shared" si="7"/>
        <v>43.80000000000291</v>
      </c>
      <c r="H89" s="708">
        <f>G89</f>
        <v>43.80000000000291</v>
      </c>
      <c r="I89" s="655"/>
      <c r="J89" s="710">
        <f>H89/DAY(B2)</f>
        <v>5.4750000000003638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3271.6</v>
      </c>
      <c r="G90" s="708">
        <f t="shared" si="7"/>
        <v>-0.40000000000009095</v>
      </c>
      <c r="H90" s="708">
        <f>G90</f>
        <v>-0.40000000000009095</v>
      </c>
      <c r="I90" s="655"/>
      <c r="J90" s="710">
        <f>H90/DAY(B2)</f>
        <v>-5.0000000000011369E-2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'7'!F92</f>
        <v>243197</v>
      </c>
      <c r="F92" s="478">
        <v>243273</v>
      </c>
      <c r="G92" s="473">
        <f t="shared" ref="G92" si="9">F92-E92</f>
        <v>76</v>
      </c>
      <c r="H92" s="460">
        <f>G92+'7'!H92</f>
        <v>627</v>
      </c>
      <c r="I92" s="480"/>
      <c r="J92" s="552">
        <f>H92/DAY(B2)</f>
        <v>78.375</v>
      </c>
      <c r="K92" s="429"/>
      <c r="L92" s="377"/>
      <c r="N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'7'!F93</f>
        <v>180758</v>
      </c>
      <c r="F93" s="485">
        <v>180938</v>
      </c>
      <c r="G93" s="473">
        <f>F93-E93</f>
        <v>180</v>
      </c>
      <c r="H93" s="460">
        <f>G93+'7'!H93</f>
        <v>1259</v>
      </c>
      <c r="I93" s="480"/>
      <c r="J93" s="552">
        <f>H93/DAY(B2)</f>
        <v>157.375</v>
      </c>
      <c r="K93" s="380"/>
      <c r="L93" s="377"/>
      <c r="N93" s="382"/>
    </row>
    <row r="94" spans="1:15">
      <c r="A94" s="1465" t="s">
        <v>208</v>
      </c>
      <c r="B94" s="1466"/>
      <c r="C94" s="1467"/>
      <c r="D94" s="523"/>
      <c r="E94" s="484">
        <f>'7'!F94</f>
        <v>0</v>
      </c>
      <c r="F94" s="478"/>
      <c r="G94" s="473">
        <f>G92+G93</f>
        <v>256</v>
      </c>
      <c r="H94" s="460">
        <f>G94+'7'!H94</f>
        <v>1667</v>
      </c>
      <c r="I94" s="480"/>
      <c r="J94" s="552">
        <f>H94/DAY(B2)</f>
        <v>208.375</v>
      </c>
      <c r="K94" s="380"/>
      <c r="L94" s="377"/>
      <c r="N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'7'!F95</f>
        <v>411307</v>
      </c>
      <c r="F95" s="478">
        <v>411385</v>
      </c>
      <c r="G95" s="473">
        <f t="shared" ref="G95:G100" si="10">F95-E95</f>
        <v>78</v>
      </c>
      <c r="H95" s="460">
        <f>G95+'7'!H95</f>
        <v>600</v>
      </c>
      <c r="I95" s="480"/>
      <c r="J95" s="552">
        <f>H95/DAY(B2)</f>
        <v>75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'7'!F96</f>
        <v>101956</v>
      </c>
      <c r="F96" s="478">
        <v>101973</v>
      </c>
      <c r="G96" s="473">
        <f t="shared" si="10"/>
        <v>17</v>
      </c>
      <c r="H96" s="460">
        <f>G96+'7'!H96</f>
        <v>142</v>
      </c>
      <c r="I96" s="480"/>
      <c r="J96" s="552">
        <f>H96/DAY(B2)</f>
        <v>17.75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'7'!F97</f>
        <v>97057</v>
      </c>
      <c r="F97" s="478">
        <v>97075</v>
      </c>
      <c r="G97" s="473">
        <f t="shared" si="10"/>
        <v>18</v>
      </c>
      <c r="H97" s="460">
        <f>G97+'7'!H97</f>
        <v>147</v>
      </c>
      <c r="I97" s="480"/>
      <c r="J97" s="552">
        <f>H97/DAY(B2)</f>
        <v>18.375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'7'!F98</f>
        <v>149174</v>
      </c>
      <c r="F98" s="478">
        <v>149209</v>
      </c>
      <c r="G98" s="473">
        <f t="shared" si="10"/>
        <v>35</v>
      </c>
      <c r="H98" s="460">
        <f>G98+'7'!H98</f>
        <v>300</v>
      </c>
      <c r="I98" s="480"/>
      <c r="J98" s="552">
        <f>H98/DAY(B2)</f>
        <v>37.5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'7'!F99</f>
        <v>6969</v>
      </c>
      <c r="F99" s="478">
        <v>6979</v>
      </c>
      <c r="G99" s="473">
        <f t="shared" si="10"/>
        <v>10</v>
      </c>
      <c r="H99" s="460">
        <f>G99+'7'!H99</f>
        <v>124</v>
      </c>
      <c r="I99" s="480"/>
      <c r="J99" s="552">
        <f>H99/DAY(B2)</f>
        <v>15.5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'7'!F100</f>
        <v>4989</v>
      </c>
      <c r="F100" s="478">
        <v>4996</v>
      </c>
      <c r="G100" s="473">
        <f t="shared" si="10"/>
        <v>7</v>
      </c>
      <c r="H100" s="460">
        <f>G100+'7'!H100</f>
        <v>53</v>
      </c>
      <c r="I100" s="480"/>
      <c r="J100" s="552">
        <f>H100/DAY(B2)</f>
        <v>6.625</v>
      </c>
      <c r="K100" s="380"/>
      <c r="L100" s="377"/>
      <c r="N100" s="382"/>
    </row>
    <row r="101" spans="1:14">
      <c r="A101" s="1465" t="s">
        <v>216</v>
      </c>
      <c r="B101" s="1466"/>
      <c r="C101" s="1467"/>
      <c r="D101" s="524"/>
      <c r="E101" s="524"/>
      <c r="F101" s="524"/>
      <c r="G101" s="525">
        <f>SUM(G95:G100)</f>
        <v>165</v>
      </c>
      <c r="H101" s="460">
        <f>G101+'7'!H101</f>
        <v>1366</v>
      </c>
      <c r="I101" s="526"/>
      <c r="J101" s="552">
        <f>H101/DAY(B2)</f>
        <v>170.75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532">
        <f>'7'!F104</f>
        <v>7344</v>
      </c>
      <c r="F104" s="661">
        <v>7344</v>
      </c>
      <c r="G104" s="532">
        <f>F104-E104</f>
        <v>0</v>
      </c>
      <c r="H104" s="460">
        <f>G104+'7'!H104</f>
        <v>19</v>
      </c>
      <c r="I104" s="532"/>
      <c r="J104" s="558">
        <f>H104/DAY(B2)</f>
        <v>2.375</v>
      </c>
      <c r="N104" s="382"/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532">
        <f>'7'!F105</f>
        <v>35697</v>
      </c>
      <c r="F105" s="807">
        <v>35703</v>
      </c>
      <c r="G105" s="532">
        <f t="shared" ref="G105:G106" si="11">F105-E105</f>
        <v>6</v>
      </c>
      <c r="H105" s="460">
        <f>G105+'7'!H105</f>
        <v>52</v>
      </c>
      <c r="I105" s="532"/>
      <c r="J105" s="558">
        <f>H105/DAY(B2)</f>
        <v>6.5</v>
      </c>
      <c r="N105" s="382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532">
        <f>'7'!F106</f>
        <v>19462</v>
      </c>
      <c r="F106" s="662">
        <v>19471</v>
      </c>
      <c r="G106" s="532">
        <f t="shared" si="11"/>
        <v>9</v>
      </c>
      <c r="H106" s="460">
        <f>G106+'7'!H106</f>
        <v>60</v>
      </c>
      <c r="I106" s="532"/>
      <c r="J106" s="558">
        <f>H106/DAY(B2)</f>
        <v>7.5</v>
      </c>
      <c r="N106" s="382"/>
    </row>
    <row r="107" spans="1:14" s="442" customFormat="1" ht="27.75">
      <c r="A107" s="1431" t="s">
        <v>202</v>
      </c>
      <c r="B107" s="1432"/>
      <c r="C107" s="1144"/>
      <c r="D107" s="622"/>
      <c r="E107" s="532"/>
      <c r="F107" s="662"/>
      <c r="G107" s="532">
        <f>SUM(G104:G106)</f>
        <v>15</v>
      </c>
      <c r="H107" s="460">
        <f>G107+'7'!H107</f>
        <v>131</v>
      </c>
      <c r="I107" s="532"/>
      <c r="J107" s="558">
        <f>H107/DAY(B2)</f>
        <v>16.375</v>
      </c>
      <c r="N107" s="382"/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532"/>
      <c r="F108" s="662"/>
      <c r="G108" s="532"/>
      <c r="H108" s="460">
        <f>G108+'7'!H108</f>
        <v>0</v>
      </c>
      <c r="I108" s="532"/>
      <c r="J108" s="558"/>
      <c r="N108" s="382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532">
        <f>'7'!F109</f>
        <v>59461</v>
      </c>
      <c r="F109" s="662">
        <v>59565</v>
      </c>
      <c r="G109" s="532">
        <f>F109-E109</f>
        <v>104</v>
      </c>
      <c r="H109" s="460">
        <f>G109+'7'!H109</f>
        <v>692</v>
      </c>
      <c r="I109" s="532"/>
      <c r="J109" s="558">
        <f>H109/DAY(B2)</f>
        <v>86.5</v>
      </c>
      <c r="N109" s="382"/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532">
        <f>'7'!F110</f>
        <v>31878</v>
      </c>
      <c r="F110" s="807">
        <v>31910</v>
      </c>
      <c r="G110" s="532">
        <f t="shared" ref="G110:G111" si="12">F110-E110</f>
        <v>32</v>
      </c>
      <c r="H110" s="460">
        <f>G110+'7'!H110</f>
        <v>264</v>
      </c>
      <c r="I110" s="532"/>
      <c r="J110" s="558">
        <f>H110/DAY(B2)</f>
        <v>33</v>
      </c>
      <c r="N110" s="382"/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532">
        <f>'7'!F111</f>
        <v>4208</v>
      </c>
      <c r="F111" s="807">
        <v>4224</v>
      </c>
      <c r="G111" s="532">
        <f t="shared" si="12"/>
        <v>16</v>
      </c>
      <c r="H111" s="460">
        <f>G111+'7'!H111</f>
        <v>68</v>
      </c>
      <c r="I111" s="532"/>
      <c r="J111" s="558">
        <f>H111/DAY(B2)</f>
        <v>8.5</v>
      </c>
      <c r="N111" s="382"/>
    </row>
    <row r="112" spans="1:14" s="442" customFormat="1" ht="27.75">
      <c r="A112" s="1431" t="s">
        <v>110</v>
      </c>
      <c r="B112" s="1432"/>
      <c r="C112" s="1144"/>
      <c r="D112" s="622"/>
      <c r="E112" s="532"/>
      <c r="F112" s="662"/>
      <c r="G112" s="532">
        <f>SUM(G109:G111)</f>
        <v>152</v>
      </c>
      <c r="H112" s="460">
        <f>G112+'7'!H112</f>
        <v>1024</v>
      </c>
      <c r="I112" s="532"/>
      <c r="J112" s="558">
        <f>H112/DAY(B2)</f>
        <v>128</v>
      </c>
      <c r="N112" s="382"/>
    </row>
    <row r="113" spans="1:14" s="442" customFormat="1" ht="27.75">
      <c r="A113" s="1435" t="s">
        <v>223</v>
      </c>
      <c r="B113" s="1436"/>
      <c r="C113" s="1144"/>
      <c r="D113" s="622"/>
      <c r="E113" s="532"/>
      <c r="F113" s="662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'7'!F114</f>
        <v>10994</v>
      </c>
      <c r="F114" s="662">
        <v>11006</v>
      </c>
      <c r="G114" s="534">
        <f>F114-E114</f>
        <v>12</v>
      </c>
      <c r="H114" s="460">
        <f>G114+'7'!H114</f>
        <v>170</v>
      </c>
      <c r="I114" s="532"/>
      <c r="J114" s="558">
        <f>H114/DAY(B2)</f>
        <v>21.25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'7'!F115</f>
        <v>8012</v>
      </c>
      <c r="F115" s="662">
        <v>8919</v>
      </c>
      <c r="G115" s="534">
        <f t="shared" ref="G115:G116" si="13">F115-E115</f>
        <v>907</v>
      </c>
      <c r="H115" s="460">
        <f>G115+'7'!H115</f>
        <v>950</v>
      </c>
      <c r="I115" s="532"/>
      <c r="J115" s="558">
        <f>H115/DAY(B2)</f>
        <v>118.75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919</v>
      </c>
      <c r="H117" s="460">
        <f>G117+'7'!H117</f>
        <v>1120</v>
      </c>
      <c r="I117" s="534"/>
      <c r="J117" s="558">
        <f>H117/DAY(B2)</f>
        <v>140</v>
      </c>
      <c r="N117" s="382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132</v>
      </c>
      <c r="G118" s="536">
        <f>SUM(G19+G92)</f>
        <v>132</v>
      </c>
      <c r="H118" s="460">
        <f>G118+'7'!H118</f>
        <v>1067</v>
      </c>
      <c r="I118" s="535"/>
      <c r="J118" s="559">
        <f>H118/DAY(B2)</f>
        <v>133.375</v>
      </c>
      <c r="N118" s="382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460">
        <f>G119+'7'!H119</f>
        <v>1066</v>
      </c>
      <c r="I119" s="535"/>
      <c r="J119" s="559">
        <f>H119/DAY(B2)</f>
        <v>133.25</v>
      </c>
      <c r="N119" s="382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152</v>
      </c>
      <c r="G120" s="534">
        <f>SUM(G112)</f>
        <v>152</v>
      </c>
      <c r="H120" s="460">
        <f>G120+'7'!H120</f>
        <v>1024</v>
      </c>
      <c r="I120" s="535"/>
      <c r="J120" s="559">
        <f>H120/DAY(B2)</f>
        <v>128</v>
      </c>
      <c r="N120" s="382"/>
    </row>
    <row r="121" spans="1:14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'7'!F123</f>
        <v>820576</v>
      </c>
      <c r="F123" s="478">
        <v>820823.2</v>
      </c>
      <c r="G123" s="473">
        <f t="shared" ref="G123:G127" si="14">F123-E123</f>
        <v>247.19999999995343</v>
      </c>
      <c r="H123" s="460">
        <f>G123+'7'!H123</f>
        <v>2013.1999999999534</v>
      </c>
      <c r="I123" s="526"/>
      <c r="J123" s="552">
        <f>H123/DAY(B2)</f>
        <v>251.64999999999418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'7'!F125</f>
        <v>142781</v>
      </c>
      <c r="F125" s="478">
        <v>142887.13</v>
      </c>
      <c r="G125" s="473">
        <f t="shared" si="14"/>
        <v>106.13000000000466</v>
      </c>
      <c r="H125" s="460">
        <f>G125+'7'!H125</f>
        <v>751.13000000000466</v>
      </c>
      <c r="I125" s="526"/>
      <c r="J125" s="552">
        <f>H125/DAY(B2)</f>
        <v>93.891250000000582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'7'!F126</f>
        <v>31403</v>
      </c>
      <c r="F126" s="626">
        <v>31404.2</v>
      </c>
      <c r="G126" s="473">
        <f t="shared" si="14"/>
        <v>1.2000000000007276</v>
      </c>
      <c r="H126" s="460">
        <f>G126+'7'!H126</f>
        <v>85.5</v>
      </c>
      <c r="I126" s="526"/>
      <c r="J126" s="552">
        <f>H126/DAY(B2)</f>
        <v>10.6875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'7'!F127</f>
        <v>8966</v>
      </c>
      <c r="F127" s="626">
        <v>8966</v>
      </c>
      <c r="G127" s="473">
        <f t="shared" si="14"/>
        <v>0</v>
      </c>
      <c r="H127" s="460">
        <f>G127+'7'!H127</f>
        <v>4</v>
      </c>
      <c r="I127" s="480"/>
      <c r="J127" s="552">
        <f>H127/DAY(B2)</f>
        <v>0.5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597.10199999993711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704">
        <f>'7'!F132</f>
        <v>39651</v>
      </c>
      <c r="F132" s="626">
        <v>39651</v>
      </c>
      <c r="G132" s="473">
        <f t="shared" si="15"/>
        <v>0</v>
      </c>
      <c r="H132" s="460">
        <f>G132+'7'!H132</f>
        <v>118</v>
      </c>
      <c r="I132" s="480"/>
      <c r="J132" s="552">
        <f>H132/DAY(B2)</f>
        <v>14.75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522">
        <f>'7'!F133</f>
        <v>300</v>
      </c>
      <c r="F133" s="485">
        <v>300</v>
      </c>
      <c r="G133" s="473">
        <f t="shared" si="15"/>
        <v>0</v>
      </c>
      <c r="H133" s="460">
        <f>G133+'7'!H133</f>
        <v>0</v>
      </c>
      <c r="I133" s="480">
        <f>G130+G131+G132+G133</f>
        <v>0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'7'!F134</f>
        <v>40909</v>
      </c>
      <c r="F134" s="626">
        <v>40933</v>
      </c>
      <c r="G134" s="473">
        <f t="shared" si="15"/>
        <v>24</v>
      </c>
      <c r="H134" s="460">
        <f>G134+'7'!H134</f>
        <v>94</v>
      </c>
      <c r="I134" s="480"/>
      <c r="J134" s="552">
        <f>H134/DAY(B2)</f>
        <v>11.75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-0.43999999999869033</v>
      </c>
      <c r="I135" s="480"/>
      <c r="J135" s="552">
        <f>H135/DAY(B2)</f>
        <v>-5.4999999999836291E-2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'7'!F136</f>
        <v>22560.58</v>
      </c>
      <c r="F136" s="654">
        <v>22570.46</v>
      </c>
      <c r="G136" s="473">
        <f t="shared" si="15"/>
        <v>9.8799999999973807</v>
      </c>
      <c r="H136" s="460">
        <f>G136+'7'!H136</f>
        <v>81.809999999997672</v>
      </c>
      <c r="I136" s="480">
        <f>G134+G135+G136</f>
        <v>33.879999999997381</v>
      </c>
      <c r="J136" s="552">
        <f>H136/DAY(B2)</f>
        <v>10.226249999999709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'7'!F137</f>
        <v>25048.97</v>
      </c>
      <c r="F137" s="654">
        <v>25048.97</v>
      </c>
      <c r="G137" s="473">
        <f t="shared" si="15"/>
        <v>0</v>
      </c>
      <c r="H137" s="460">
        <f>G137+'7'!H137</f>
        <v>0.18000000000029104</v>
      </c>
      <c r="I137" s="480"/>
      <c r="J137" s="552">
        <f>H137/DAY(B2)</f>
        <v>2.250000000003638E-2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'7'!F138</f>
        <v>70273.94</v>
      </c>
      <c r="F138" s="654">
        <v>70277.179999999993</v>
      </c>
      <c r="G138" s="473">
        <f t="shared" si="15"/>
        <v>3.2399999999906868</v>
      </c>
      <c r="H138" s="460">
        <f>G138+'7'!H138</f>
        <v>23.149999999994179</v>
      </c>
      <c r="I138" s="480">
        <f>G137+G138</f>
        <v>3.2399999999906868</v>
      </c>
      <c r="J138" s="552">
        <f>H138/DAY(B2)</f>
        <v>2.8937499999992724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'7'!F139</f>
        <v>1536.52</v>
      </c>
      <c r="F139" s="626">
        <v>1536.52</v>
      </c>
      <c r="G139" s="473">
        <f t="shared" si="15"/>
        <v>0</v>
      </c>
      <c r="H139" s="460">
        <f>G139+'7'!H139</f>
        <v>0</v>
      </c>
      <c r="I139" s="542"/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'7'!F140</f>
        <v>4526</v>
      </c>
      <c r="F140" s="478">
        <v>4534.2299999999996</v>
      </c>
      <c r="G140" s="473">
        <f t="shared" si="15"/>
        <v>8.2299999999995634</v>
      </c>
      <c r="H140" s="460">
        <f>G140+'7'!H140</f>
        <v>65.6899999999996</v>
      </c>
      <c r="I140" s="542"/>
      <c r="J140" s="552">
        <f>H140/DAY(B2)</f>
        <v>8.21124999999995</v>
      </c>
      <c r="N140" s="382"/>
    </row>
    <row r="141" spans="1:14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5801.4699999999721</v>
      </c>
      <c r="H142" s="460">
        <f>G142+'7'!H142</f>
        <v>46996.469999999972</v>
      </c>
      <c r="I142" s="480"/>
      <c r="J142" s="552">
        <f>H142/DAY(B2)</f>
        <v>5874.5587499999965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0.26869853179565428</v>
      </c>
      <c r="H143" s="460">
        <f>G143+'7'!H143</f>
        <v>2.1559331348735915</v>
      </c>
      <c r="I143" s="544"/>
      <c r="J143" s="552">
        <f>H143/DAY(B2)</f>
        <v>0.26949164185919894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6203.3729999999632</v>
      </c>
      <c r="H144" s="460">
        <f>G144+'7'!H144</f>
        <v>48689.21299999996</v>
      </c>
      <c r="I144" s="480"/>
      <c r="J144" s="552">
        <f>H144/DAY(B2)</f>
        <v>6086.151624999995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0.2873129081561745</v>
      </c>
      <c r="H145" s="460">
        <f>G145+'7'!H145</f>
        <v>2.229670543428429</v>
      </c>
      <c r="I145" s="544"/>
      <c r="J145" s="552">
        <f>H145/DAY(B2)</f>
        <v>0.27870881792855362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4123.6399999999849</v>
      </c>
      <c r="H146" s="460">
        <f>G146+'7'!H146</f>
        <v>32931.639999999985</v>
      </c>
      <c r="I146" s="545"/>
      <c r="J146" s="552">
        <f>H146/DAY(B2)</f>
        <v>4116.4549999999981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0.19098883794173427</v>
      </c>
      <c r="H147" s="460">
        <f>G147+'7'!H147</f>
        <v>1.5095634527540396</v>
      </c>
      <c r="I147" s="545"/>
      <c r="J147" s="552">
        <f>H147/DAY(B2)</f>
        <v>0.18869543159425495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1689.4100000000035</v>
      </c>
      <c r="H148" s="460">
        <f>G148+'7'!H148</f>
        <v>13884.410000000003</v>
      </c>
      <c r="I148" s="480"/>
      <c r="J148" s="552">
        <f>H148/DAY(B2)</f>
        <v>1735.5512500000004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7.8246028437775159E-2</v>
      </c>
      <c r="H149" s="460">
        <f>G149+'7'!H149</f>
        <v>0.63701527102573618</v>
      </c>
      <c r="I149" s="545"/>
      <c r="J149" s="552">
        <f>H149/DAY(B2)</f>
        <v>7.9626908878217023E-2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1942.2199999999721</v>
      </c>
      <c r="H150" s="460">
        <f>G150+'7'!H150</f>
        <v>16063.219999999972</v>
      </c>
      <c r="I150" s="545"/>
      <c r="J150" s="552">
        <f>H150/DAY(B2)</f>
        <v>2007.9024999999965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8.9955073873371871E-2</v>
      </c>
      <c r="H151" s="460">
        <f>G151+'7'!H151</f>
        <v>0.73506012441192159</v>
      </c>
      <c r="I151" s="480"/>
      <c r="J151" s="552">
        <f>H151/DAY(B2)</f>
        <v>9.1882515551490199E-2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1388.2329999999929</v>
      </c>
      <c r="H152" s="460">
        <f>G152+'7'!H152</f>
        <v>11217.232999999993</v>
      </c>
      <c r="I152" s="480"/>
      <c r="J152" s="552">
        <f>H152/DAY(B2)</f>
        <v>1402.1541249999991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6.4296836644898006E-2</v>
      </c>
      <c r="H153" s="460">
        <f>G153+'7'!H153</f>
        <v>0.51466653523445383</v>
      </c>
      <c r="I153" s="568"/>
      <c r="J153" s="569">
        <f>H153/DAY(B2)</f>
        <v>6.4333316904306728E-2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'7'!F160</f>
        <v>34022</v>
      </c>
      <c r="F160" s="661">
        <v>34107.43</v>
      </c>
      <c r="G160" s="473">
        <f t="shared" ref="G160:G171" si="16">F160-E160</f>
        <v>85.430000000000291</v>
      </c>
    </row>
    <row r="161" spans="1:7">
      <c r="A161" s="788" t="s">
        <v>264</v>
      </c>
      <c r="B161" s="789"/>
      <c r="C161" s="789"/>
      <c r="D161" s="511" t="s">
        <v>187</v>
      </c>
      <c r="E161" s="1064">
        <f>'7'!F161</f>
        <v>71769</v>
      </c>
      <c r="F161" s="661">
        <v>72251.490000000005</v>
      </c>
      <c r="G161" s="473">
        <f t="shared" si="16"/>
        <v>482.49000000000524</v>
      </c>
    </row>
    <row r="162" spans="1:7">
      <c r="A162" s="788" t="s">
        <v>265</v>
      </c>
      <c r="B162" s="789"/>
      <c r="C162" s="789"/>
      <c r="D162" s="511" t="s">
        <v>187</v>
      </c>
      <c r="E162" s="1064">
        <f>'7'!F162</f>
        <v>31317</v>
      </c>
      <c r="F162" s="661">
        <v>31593.43</v>
      </c>
      <c r="G162" s="473">
        <f t="shared" si="16"/>
        <v>276.43000000000029</v>
      </c>
    </row>
    <row r="163" spans="1:7">
      <c r="A163" s="788" t="s">
        <v>266</v>
      </c>
      <c r="B163" s="789"/>
      <c r="C163" s="789"/>
      <c r="D163" s="511" t="s">
        <v>187</v>
      </c>
      <c r="E163" s="1064">
        <f>'7'!F163</f>
        <v>5889</v>
      </c>
      <c r="F163" s="661">
        <v>5897</v>
      </c>
      <c r="G163" s="473">
        <f t="shared" si="16"/>
        <v>8</v>
      </c>
    </row>
    <row r="164" spans="1:7">
      <c r="A164" s="790" t="s">
        <v>98</v>
      </c>
      <c r="B164" s="604"/>
      <c r="C164" s="604"/>
      <c r="D164" s="511" t="s">
        <v>187</v>
      </c>
      <c r="E164" s="1064">
        <v>20419</v>
      </c>
      <c r="F164" s="514">
        <f>F62</f>
        <v>20419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'7'!F165</f>
        <v>2178</v>
      </c>
      <c r="F165" s="514">
        <f t="shared" ref="F165:F171" si="17">F63</f>
        <v>2189.58</v>
      </c>
      <c r="G165" s="473">
        <f t="shared" si="16"/>
        <v>11.579999999999927</v>
      </c>
    </row>
    <row r="166" spans="1:7" ht="27.75">
      <c r="A166" s="1412" t="s">
        <v>99</v>
      </c>
      <c r="B166" s="1412"/>
      <c r="C166" s="1412"/>
      <c r="D166" s="523" t="s">
        <v>187</v>
      </c>
      <c r="E166" s="1064">
        <f>'7'!F166</f>
        <v>142423</v>
      </c>
      <c r="F166" s="514">
        <f t="shared" si="17"/>
        <v>142907.71</v>
      </c>
      <c r="G166" s="473">
        <f t="shared" si="16"/>
        <v>484.70999999999185</v>
      </c>
    </row>
    <row r="167" spans="1:7" ht="27.75">
      <c r="A167" s="1412" t="s">
        <v>100</v>
      </c>
      <c r="B167" s="1412"/>
      <c r="C167" s="1412"/>
      <c r="D167" s="523" t="s">
        <v>187</v>
      </c>
      <c r="E167" s="1064">
        <f>'7'!F167</f>
        <v>146745</v>
      </c>
      <c r="F167" s="514">
        <f t="shared" si="17"/>
        <v>147109.56</v>
      </c>
      <c r="G167" s="473">
        <f t="shared" si="16"/>
        <v>364.55999999999767</v>
      </c>
    </row>
    <row r="168" spans="1:7" ht="27.75">
      <c r="A168" s="1412" t="s">
        <v>101</v>
      </c>
      <c r="B168" s="1412"/>
      <c r="C168" s="1412"/>
      <c r="D168" s="523" t="s">
        <v>187</v>
      </c>
      <c r="E168" s="1064">
        <f>'7'!F168</f>
        <v>39987</v>
      </c>
      <c r="F168" s="514">
        <f t="shared" si="17"/>
        <v>40971.85</v>
      </c>
      <c r="G168" s="473">
        <f t="shared" si="16"/>
        <v>984.84999999999854</v>
      </c>
    </row>
    <row r="169" spans="1:7" ht="27.75">
      <c r="A169" s="1412" t="s">
        <v>102</v>
      </c>
      <c r="B169" s="1412"/>
      <c r="C169" s="1412"/>
      <c r="D169" s="523" t="s">
        <v>187</v>
      </c>
      <c r="E169" s="1064">
        <f>'7'!F169</f>
        <v>233478</v>
      </c>
      <c r="F169" s="514">
        <f t="shared" si="17"/>
        <v>234109.79</v>
      </c>
      <c r="G169" s="473">
        <f t="shared" si="16"/>
        <v>631.79000000000815</v>
      </c>
    </row>
    <row r="170" spans="1:7" ht="27.75">
      <c r="A170" s="1412" t="s">
        <v>103</v>
      </c>
      <c r="B170" s="1412"/>
      <c r="C170" s="1412"/>
      <c r="D170" s="523" t="s">
        <v>187</v>
      </c>
      <c r="E170" s="1064">
        <f>'7'!F170</f>
        <v>85321</v>
      </c>
      <c r="F170" s="514">
        <f t="shared" si="17"/>
        <v>85321</v>
      </c>
      <c r="G170" s="473">
        <f t="shared" si="16"/>
        <v>0</v>
      </c>
    </row>
    <row r="171" spans="1:7" ht="27.75">
      <c r="A171" s="1412" t="s">
        <v>104</v>
      </c>
      <c r="B171" s="1412"/>
      <c r="C171" s="1412"/>
      <c r="D171" s="523" t="s">
        <v>187</v>
      </c>
      <c r="E171" s="1064">
        <f>'7'!F171</f>
        <v>76475</v>
      </c>
      <c r="F171" s="514">
        <f t="shared" si="17"/>
        <v>76765.649999999994</v>
      </c>
      <c r="G171" s="473">
        <f t="shared" si="16"/>
        <v>290.64999999999418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E13" sqref="E13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575" t="s">
        <v>316</v>
      </c>
      <c r="B2" s="1036">
        <v>44264</v>
      </c>
      <c r="C2" s="1147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7" t="s">
        <v>120</v>
      </c>
      <c r="D3" s="612">
        <v>29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5288429</v>
      </c>
      <c r="F7" s="455">
        <v>4638060</v>
      </c>
      <c r="G7" s="681">
        <f>F7-E7</f>
        <v>-650369</v>
      </c>
      <c r="H7" s="682">
        <f>G7+'8'!H7</f>
        <v>-475863</v>
      </c>
      <c r="I7" s="683">
        <f>'1'!I7</f>
        <v>12000</v>
      </c>
      <c r="J7" s="684">
        <f>H7/DAY(B2)</f>
        <v>-52873.666666666664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5320650</v>
      </c>
      <c r="F8" s="475">
        <v>4667409</v>
      </c>
      <c r="G8" s="692">
        <f>F8-E8</f>
        <v>-653241</v>
      </c>
      <c r="H8" s="682">
        <f>G8+'8'!H8</f>
        <v>-477909</v>
      </c>
      <c r="I8" s="689">
        <v>12000</v>
      </c>
      <c r="J8" s="684">
        <f>H8/DAY(B2)</f>
        <v>-53101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565332.15</v>
      </c>
      <c r="F9" s="478">
        <v>124354</v>
      </c>
      <c r="G9" s="705">
        <f t="shared" ref="G9:G12" si="0">F9-E9</f>
        <v>-440978.15</v>
      </c>
      <c r="H9" s="682">
        <f>G9+'8'!H9</f>
        <v>-271715</v>
      </c>
      <c r="I9" s="693">
        <f>I7-J7</f>
        <v>64873.666666666664</v>
      </c>
      <c r="J9" s="684">
        <f>H9/DAY(B2)</f>
        <v>-30190.555555555555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174625</v>
      </c>
      <c r="G10" s="692">
        <f t="shared" si="0"/>
        <v>172302.42</v>
      </c>
      <c r="H10" s="682">
        <f>G10+'8'!H10</f>
        <v>172302.42</v>
      </c>
      <c r="I10" s="694"/>
      <c r="J10" s="684">
        <f>H10/DAY(B2)</f>
        <v>19144.713333333333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'8'!E11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'8'!E12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-268675.73</v>
      </c>
      <c r="H13" s="682">
        <f>G13+'8'!H13</f>
        <v>-99412.579999999958</v>
      </c>
      <c r="I13" s="698">
        <f>G7-G13</f>
        <v>-381693.27</v>
      </c>
      <c r="J13" s="684">
        <f>H13/DAY(B2)</f>
        <v>-11045.842222222218</v>
      </c>
      <c r="K13" s="428"/>
      <c r="L13" s="377"/>
      <c r="N13" s="382">
        <v>11077</v>
      </c>
    </row>
    <row r="14" spans="1:14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3" t="s">
        <v>140</v>
      </c>
      <c r="B15" s="1184"/>
      <c r="C15" s="1184"/>
      <c r="D15" s="1185" t="s">
        <v>141</v>
      </c>
      <c r="E15" s="703">
        <f>'8'!F15</f>
        <v>1654289.0319999999</v>
      </c>
      <c r="F15" s="703">
        <v>1627874.87</v>
      </c>
      <c r="G15" s="681">
        <f>(F15-E15)</f>
        <v>-26414.161999999778</v>
      </c>
      <c r="H15" s="1178">
        <f>G15+'8'!H15</f>
        <v>-18814.129999999888</v>
      </c>
      <c r="I15" s="1179">
        <v>800</v>
      </c>
      <c r="J15" s="1180">
        <f>H15/DAY(B2)</f>
        <v>-2090.4588888888766</v>
      </c>
      <c r="K15" s="1172"/>
      <c r="L15" s="1173"/>
      <c r="M15" s="1174"/>
      <c r="N15" s="1175">
        <v>330.54600000008941</v>
      </c>
    </row>
    <row r="16" spans="1:14">
      <c r="A16" s="1176"/>
      <c r="B16" s="1177"/>
      <c r="C16" s="1177"/>
      <c r="D16" s="1170"/>
      <c r="E16" s="1171"/>
      <c r="F16" s="1171"/>
      <c r="G16" s="1181"/>
      <c r="H16" s="1178"/>
      <c r="I16" s="1182">
        <f>I15-J15</f>
        <v>2890.4588888888766</v>
      </c>
      <c r="J16" s="1180"/>
      <c r="K16" s="1172"/>
      <c r="L16" s="1173"/>
      <c r="M16" s="1174"/>
      <c r="N16" s="1175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8" t="s">
        <v>144</v>
      </c>
      <c r="E18" s="635">
        <f>'8'!F18</f>
        <v>10</v>
      </c>
      <c r="F18" s="478">
        <v>12</v>
      </c>
      <c r="G18" s="697">
        <f>F18*10</f>
        <v>120</v>
      </c>
      <c r="H18" s="682">
        <f>G18+'8'!H18</f>
        <v>1020</v>
      </c>
      <c r="I18" s="683">
        <v>65</v>
      </c>
      <c r="J18" s="684">
        <f>H18/DAY(B2)</f>
        <v>113.33333333333333</v>
      </c>
      <c r="K18" s="428"/>
      <c r="L18" s="377"/>
      <c r="N18" s="382">
        <v>0</v>
      </c>
    </row>
    <row r="19" spans="1:14" ht="27.75">
      <c r="A19" s="1477" t="s">
        <v>71</v>
      </c>
      <c r="B19" s="1478"/>
      <c r="C19" s="1479"/>
      <c r="D19" s="638" t="s">
        <v>144</v>
      </c>
      <c r="E19" s="635">
        <f>'8'!F19</f>
        <v>136530</v>
      </c>
      <c r="F19" s="478">
        <v>134930</v>
      </c>
      <c r="G19" s="692">
        <f t="shared" ref="G19" si="1">F19-E19</f>
        <v>-1600</v>
      </c>
      <c r="H19" s="682">
        <f>G19+'8'!H19</f>
        <v>-1160</v>
      </c>
      <c r="I19" s="699"/>
      <c r="J19" s="684">
        <f>H19/DAY(B2)</f>
        <v>-128.88888888888889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-1480</v>
      </c>
      <c r="H20" s="682">
        <f>G20+'8'!H20</f>
        <v>-140</v>
      </c>
      <c r="I20" s="701">
        <f>I18-J20</f>
        <v>80.555555555555557</v>
      </c>
      <c r="J20" s="684">
        <f>H20/DAY(B2)</f>
        <v>-15.555555555555555</v>
      </c>
      <c r="K20" s="428"/>
      <c r="L20" s="377"/>
      <c r="N20" s="382">
        <v>55</v>
      </c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'8'!F22</f>
        <v>1290</v>
      </c>
      <c r="F22" s="478">
        <v>2970</v>
      </c>
      <c r="G22" s="481">
        <f t="shared" ref="G22" si="2">(F22-E22)</f>
        <v>1680</v>
      </c>
      <c r="H22" s="460">
        <f>G22+'8'!H22</f>
        <v>1680</v>
      </c>
      <c r="I22" s="480"/>
      <c r="J22" s="552">
        <f>H22/DAY(B2)</f>
        <v>186.66666666666666</v>
      </c>
      <c r="K22" s="428"/>
      <c r="L22" s="377"/>
      <c r="N22" s="382">
        <v>0</v>
      </c>
    </row>
    <row r="23" spans="1:14">
      <c r="A23" s="1145" t="s">
        <v>149</v>
      </c>
      <c r="B23" s="589"/>
      <c r="C23" s="589"/>
      <c r="D23" s="523" t="s">
        <v>148</v>
      </c>
      <c r="E23" s="635">
        <f>'8'!F23</f>
        <v>1900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-653241</v>
      </c>
      <c r="F27" s="501">
        <v>9</v>
      </c>
      <c r="G27" s="502">
        <f>E27*F27</f>
        <v>-5879169</v>
      </c>
      <c r="H27" s="460">
        <f>G27+'8'!H27</f>
        <v>-4301181</v>
      </c>
      <c r="I27" s="503"/>
      <c r="J27" s="552">
        <f>H27/DAY(B2)</f>
        <v>-477909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-26414.161999999778</v>
      </c>
      <c r="F28" s="501">
        <v>51.45</v>
      </c>
      <c r="G28" s="502">
        <f>E28*F28</f>
        <v>-1359008.6348999888</v>
      </c>
      <c r="H28" s="460">
        <f>G28+'8'!H28</f>
        <v>-967986.98849999439</v>
      </c>
      <c r="I28" s="505"/>
      <c r="J28" s="552">
        <f>H28/DAY(B2)</f>
        <v>-107554.10983333271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-1600</v>
      </c>
      <c r="F30" s="501">
        <v>134</v>
      </c>
      <c r="G30" s="502">
        <f>E30*F30</f>
        <v>-214400</v>
      </c>
      <c r="H30" s="460">
        <f>G30+'8'!H30</f>
        <v>-154072</v>
      </c>
      <c r="I30" s="505"/>
      <c r="J30" s="552">
        <f>H30/DAY(B2)</f>
        <v>-17119.111111111109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G31+'8'!H31</f>
        <v>81600</v>
      </c>
      <c r="I31" s="505"/>
      <c r="J31" s="552">
        <f>H31/DAY(B2)</f>
        <v>9066.6666666666661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-7442977.6348999888</v>
      </c>
      <c r="H32" s="460">
        <f>G32+'8'!H32</f>
        <v>-5341639.9884999944</v>
      </c>
      <c r="I32" s="509"/>
      <c r="J32" s="552">
        <f>H32/DAY(B2)</f>
        <v>-593515.55427777721</v>
      </c>
      <c r="K32" s="373"/>
      <c r="L32" s="443"/>
      <c r="N32" s="382">
        <v>133809.11000000313</v>
      </c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825359.11</v>
      </c>
      <c r="F35" s="510">
        <v>723418</v>
      </c>
      <c r="G35" s="473">
        <f t="shared" ref="G35:G46" si="3">F35-E35</f>
        <v>-101941.10999999999</v>
      </c>
      <c r="H35" s="460">
        <f>G35+'8'!H35</f>
        <v>-74971</v>
      </c>
      <c r="I35" s="455"/>
      <c r="J35" s="552">
        <f>H35/DAY(B2)</f>
        <v>-8330.1111111111113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324405.46999999997</v>
      </c>
      <c r="F36" s="510">
        <v>302278</v>
      </c>
      <c r="G36" s="473">
        <f t="shared" si="3"/>
        <v>-22127.469999999972</v>
      </c>
      <c r="H36" s="460">
        <f>G36+'8'!H36</f>
        <v>-15158</v>
      </c>
      <c r="I36" s="455"/>
      <c r="J36" s="552">
        <f>H36/DAY(B2)</f>
        <v>-1684.2222222222222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66014.362999999998</v>
      </c>
      <c r="F37" s="510">
        <v>35167</v>
      </c>
      <c r="G37" s="473">
        <f t="shared" si="3"/>
        <v>-30847.362999999998</v>
      </c>
      <c r="H37" s="460">
        <f>G37+'8'!H37</f>
        <v>-19630</v>
      </c>
      <c r="I37" s="455"/>
      <c r="J37" s="552">
        <f>H37/DAY(B2)</f>
        <v>-2181.1111111111113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86192.41</v>
      </c>
      <c r="F38" s="469">
        <v>48333</v>
      </c>
      <c r="G38" s="473">
        <f t="shared" si="3"/>
        <v>-37859.410000000003</v>
      </c>
      <c r="H38" s="460">
        <f>G38+'8'!H38</f>
        <v>-23975</v>
      </c>
      <c r="I38" s="455"/>
      <c r="J38" s="552">
        <f>H38/DAY(B2)</f>
        <v>-2663.8888888888887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183273.29</v>
      </c>
      <c r="F39" s="510">
        <v>100066</v>
      </c>
      <c r="G39" s="473">
        <f t="shared" si="3"/>
        <v>-83207.290000000008</v>
      </c>
      <c r="H39" s="460">
        <f>G39+'8'!H39</f>
        <v>-52756</v>
      </c>
      <c r="I39" s="455"/>
      <c r="J39" s="552">
        <f>H39/DAY(B2)</f>
        <v>-5861.7777777777774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0.17</v>
      </c>
      <c r="I40" s="455"/>
      <c r="J40" s="552">
        <f>H40/DAY(B2)</f>
        <v>1.8888888888888889E-2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160477.21</v>
      </c>
      <c r="F41" s="510">
        <v>64767</v>
      </c>
      <c r="G41" s="473">
        <f t="shared" si="3"/>
        <v>-95710.209999999992</v>
      </c>
      <c r="H41" s="460">
        <f>G41+'8'!H41</f>
        <v>-68374</v>
      </c>
      <c r="I41" s="455"/>
      <c r="J41" s="552">
        <f>H41/DAY(B2)</f>
        <v>-7597.1111111111113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59128.163</v>
      </c>
      <c r="F42" s="510">
        <v>59128</v>
      </c>
      <c r="G42" s="473">
        <f t="shared" si="3"/>
        <v>-0.16300000000046566</v>
      </c>
      <c r="H42" s="460">
        <f>G42+'8'!H42</f>
        <v>-0.16000000000349246</v>
      </c>
      <c r="I42" s="455"/>
      <c r="J42" s="552">
        <f>H42/DAY(B2)</f>
        <v>-1.7777777778165828E-2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922074.23</v>
      </c>
      <c r="F43" s="510">
        <v>847898</v>
      </c>
      <c r="G43" s="473">
        <f t="shared" si="3"/>
        <v>-74176.229999999981</v>
      </c>
      <c r="H43" s="460">
        <f>G43+'8'!H43</f>
        <v>-54150</v>
      </c>
      <c r="I43" s="455"/>
      <c r="J43" s="552">
        <f>H43/DAY(B2)</f>
        <v>-6016.666666666667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-445869.24599999998</v>
      </c>
      <c r="H47" s="460">
        <f>G47+'8'!H47</f>
        <v>-308212.99000000005</v>
      </c>
      <c r="I47" s="455"/>
      <c r="J47" s="552">
        <f>H47/DAY(B2)</f>
        <v>-34245.887777777782</v>
      </c>
      <c r="K47" s="428"/>
      <c r="L47" s="377"/>
      <c r="N47" s="382">
        <v>9418.6299999999901</v>
      </c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</v>
      </c>
      <c r="G49" s="473">
        <f t="shared" ref="G49:G58" si="4">F49-E49</f>
        <v>-0.13000000000465661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450325.75</v>
      </c>
      <c r="F50" s="510">
        <v>413644</v>
      </c>
      <c r="G50" s="473">
        <f t="shared" si="4"/>
        <v>-36681.75</v>
      </c>
      <c r="H50" s="460">
        <f>G50+'8'!H50</f>
        <v>-27588</v>
      </c>
      <c r="I50" s="455"/>
      <c r="J50" s="552">
        <f>H50/DAY(B2)</f>
        <v>-3065.3333333333335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130295</v>
      </c>
      <c r="G51" s="473">
        <f t="shared" si="4"/>
        <v>-14344.869999999995</v>
      </c>
      <c r="H51" s="460">
        <f>G51+'8'!H51</f>
        <v>-14345</v>
      </c>
      <c r="I51" s="455"/>
      <c r="J51" s="552">
        <f>H51/DAY(B2)</f>
        <v>-1593.8888888888889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539608</v>
      </c>
      <c r="F52" s="510">
        <v>522363</v>
      </c>
      <c r="G52" s="473">
        <f t="shared" si="4"/>
        <v>-17245</v>
      </c>
      <c r="H52" s="460">
        <f>G52+'8'!H52</f>
        <v>-17245</v>
      </c>
      <c r="I52" s="455"/>
      <c r="J52" s="552">
        <f>H52/DAY(B2)</f>
        <v>-1916.1111111111111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403744.35</v>
      </c>
      <c r="F53" s="510">
        <v>360878</v>
      </c>
      <c r="G53" s="473">
        <f t="shared" si="4"/>
        <v>-42866.349999999977</v>
      </c>
      <c r="H53" s="460">
        <f>G53+'8'!H53</f>
        <v>-40386</v>
      </c>
      <c r="I53" s="455"/>
      <c r="J53" s="552">
        <f>H53/DAY(B2)</f>
        <v>-4487.333333333333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2043.0400000000009</v>
      </c>
      <c r="I54" s="455"/>
      <c r="J54" s="552">
        <f>H54/DAY(B2)</f>
        <v>227.00444444444454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237367.41</v>
      </c>
      <c r="F55" s="656">
        <v>161778</v>
      </c>
      <c r="G55" s="655">
        <f t="shared" si="4"/>
        <v>-75589.41</v>
      </c>
      <c r="H55" s="708">
        <f>G55+'8'!H55</f>
        <v>-54319</v>
      </c>
      <c r="I55" s="709"/>
      <c r="J55" s="710">
        <f>H55/DAY(B2)</f>
        <v>-6035.4444444444443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589049.59</v>
      </c>
      <c r="F56" s="656">
        <v>588761</v>
      </c>
      <c r="G56" s="473">
        <f t="shared" si="4"/>
        <v>-288.5899999999674</v>
      </c>
      <c r="H56" s="460">
        <f>G56+'8'!H56</f>
        <v>-206</v>
      </c>
      <c r="I56" s="455"/>
      <c r="J56" s="552">
        <f>H56/DAY(B2)</f>
        <v>-22.888888888888889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43080.23</v>
      </c>
      <c r="F58" s="656">
        <v>37646</v>
      </c>
      <c r="G58" s="473">
        <f t="shared" si="4"/>
        <v>-5434.2300000000032</v>
      </c>
      <c r="H58" s="460">
        <f>G58+'8'!H58</f>
        <v>-3901</v>
      </c>
      <c r="I58" s="455"/>
      <c r="J58" s="552">
        <f>H58/DAY(B2)</f>
        <v>-433.44444444444446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-192450.32999999996</v>
      </c>
      <c r="H59" s="460">
        <f>G59+'8'!H59</f>
        <v>-155946.96000000002</v>
      </c>
      <c r="I59" s="455">
        <f>G7-G60</f>
        <v>-12049.424000000115</v>
      </c>
      <c r="J59" s="552">
        <f>H59/DAY(B2)</f>
        <v>-17327.440000000002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-638319.57599999988</v>
      </c>
      <c r="H60" s="460">
        <f>G60+'8'!H60</f>
        <v>-464159.95</v>
      </c>
      <c r="I60" s="455">
        <f>G13-G60</f>
        <v>369643.8459999999</v>
      </c>
      <c r="J60" s="552">
        <f>H60/DAY(B2)</f>
        <v>-51573.327777777777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2189.58</v>
      </c>
      <c r="F63" s="514">
        <v>1825</v>
      </c>
      <c r="G63" s="473">
        <f t="shared" si="5"/>
        <v>-364.57999999999993</v>
      </c>
      <c r="H63" s="460">
        <f>G63+'8'!H63</f>
        <v>-271</v>
      </c>
      <c r="I63" s="515"/>
      <c r="J63" s="552">
        <f>H63/DAY(B2)</f>
        <v>-30.111111111111111</v>
      </c>
      <c r="K63" s="428"/>
      <c r="L63" s="377"/>
      <c r="N63" s="382">
        <v>0</v>
      </c>
    </row>
    <row r="64" spans="1:14" ht="27.75">
      <c r="A64" s="1416" t="s">
        <v>99</v>
      </c>
      <c r="B64" s="1417"/>
      <c r="C64" s="1418"/>
      <c r="D64" s="523" t="s">
        <v>187</v>
      </c>
      <c r="E64" s="514">
        <f>'8'!F64</f>
        <v>142907.71</v>
      </c>
      <c r="F64" s="478">
        <v>128296</v>
      </c>
      <c r="G64" s="473">
        <f t="shared" si="5"/>
        <v>-14611.709999999992</v>
      </c>
      <c r="H64" s="460">
        <f>G64+'8'!H64</f>
        <v>-10884</v>
      </c>
      <c r="I64" s="480"/>
      <c r="J64" s="552">
        <f>H64/DAY(B2)</f>
        <v>-1209.3333333333333</v>
      </c>
      <c r="K64" s="428"/>
      <c r="L64" s="377"/>
      <c r="N64" s="382">
        <v>161.90400000000227</v>
      </c>
    </row>
    <row r="65" spans="1:14" ht="27.75">
      <c r="A65" s="1416" t="s">
        <v>100</v>
      </c>
      <c r="B65" s="1417"/>
      <c r="C65" s="1418"/>
      <c r="D65" s="523" t="s">
        <v>187</v>
      </c>
      <c r="E65" s="514">
        <f>'8'!F65</f>
        <v>147109.56</v>
      </c>
      <c r="F65" s="654">
        <v>135987</v>
      </c>
      <c r="G65" s="473">
        <f t="shared" si="5"/>
        <v>-11122.559999999998</v>
      </c>
      <c r="H65" s="460">
        <f>G65+'8'!H65</f>
        <v>-8218</v>
      </c>
      <c r="I65" s="489"/>
      <c r="J65" s="552">
        <f>H65/DAY(B2)</f>
        <v>-913.11111111111109</v>
      </c>
      <c r="K65" s="428"/>
      <c r="L65" s="377"/>
      <c r="N65" s="382">
        <v>215.74700000000303</v>
      </c>
    </row>
    <row r="66" spans="1:14" ht="27.75">
      <c r="A66" s="1416" t="s">
        <v>101</v>
      </c>
      <c r="B66" s="1417"/>
      <c r="C66" s="1418"/>
      <c r="D66" s="523" t="s">
        <v>187</v>
      </c>
      <c r="E66" s="514">
        <f>'8'!F66</f>
        <v>40971.85</v>
      </c>
      <c r="F66" s="478">
        <v>28723</v>
      </c>
      <c r="G66" s="473">
        <f t="shared" si="5"/>
        <v>-12248.849999999999</v>
      </c>
      <c r="H66" s="460">
        <f>G66+'8'!H66</f>
        <v>-8485</v>
      </c>
      <c r="I66" s="480"/>
      <c r="J66" s="552">
        <f>H66/DAY(B2)</f>
        <v>-942.77777777777783</v>
      </c>
      <c r="K66" s="428"/>
      <c r="L66" s="377"/>
      <c r="N66" s="382">
        <v>243.63500000000204</v>
      </c>
    </row>
    <row r="67" spans="1:14" ht="27.75">
      <c r="A67" s="1416" t="s">
        <v>102</v>
      </c>
      <c r="B67" s="1417"/>
      <c r="C67" s="1418"/>
      <c r="D67" s="523" t="s">
        <v>187</v>
      </c>
      <c r="E67" s="514">
        <f>'8'!F67</f>
        <v>234109.79</v>
      </c>
      <c r="F67" s="478">
        <v>213978</v>
      </c>
      <c r="G67" s="473">
        <f t="shared" si="5"/>
        <v>-20131.790000000008</v>
      </c>
      <c r="H67" s="460">
        <f>G67+'8'!H67</f>
        <v>-15122</v>
      </c>
      <c r="I67" s="489"/>
      <c r="J67" s="552">
        <f>H67/DAY(B2)</f>
        <v>-1680.2222222222222</v>
      </c>
      <c r="K67" s="429"/>
      <c r="L67" s="377"/>
      <c r="N67" s="382">
        <v>74.99199999999837</v>
      </c>
    </row>
    <row r="68" spans="1:14" ht="27.75">
      <c r="A68" s="1416" t="s">
        <v>103</v>
      </c>
      <c r="B68" s="1417"/>
      <c r="C68" s="1418"/>
      <c r="D68" s="523" t="s">
        <v>187</v>
      </c>
      <c r="E68" s="514">
        <f>'8'!F68</f>
        <v>85321</v>
      </c>
      <c r="F68" s="478">
        <v>75751</v>
      </c>
      <c r="G68" s="473">
        <f t="shared" si="5"/>
        <v>-9570</v>
      </c>
      <c r="H68" s="460">
        <f>G68+'8'!H68</f>
        <v>-7336</v>
      </c>
      <c r="I68" s="516"/>
      <c r="J68" s="552">
        <f>H68/DAY(B2)</f>
        <v>-815.11111111111109</v>
      </c>
      <c r="K68" s="430"/>
      <c r="L68" s="377"/>
      <c r="N68" s="382">
        <v>92.599999999999909</v>
      </c>
    </row>
    <row r="69" spans="1:14" ht="27.75">
      <c r="A69" s="1416" t="s">
        <v>104</v>
      </c>
      <c r="B69" s="1417"/>
      <c r="C69" s="1418"/>
      <c r="D69" s="523" t="s">
        <v>187</v>
      </c>
      <c r="E69" s="514">
        <f>'8'!F69</f>
        <v>76765.649999999994</v>
      </c>
      <c r="F69" s="478">
        <v>67385</v>
      </c>
      <c r="G69" s="473">
        <f t="shared" si="5"/>
        <v>-9380.6499999999942</v>
      </c>
      <c r="H69" s="460">
        <f>G69+'8'!H69</f>
        <v>-6944</v>
      </c>
      <c r="I69" s="516"/>
      <c r="J69" s="552">
        <f>H69/DAY(B2)</f>
        <v>-771.55555555555554</v>
      </c>
      <c r="K69" s="431"/>
      <c r="L69" s="377"/>
      <c r="N69" s="382">
        <v>12.727999999999156</v>
      </c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519">
        <f>'8'!F72</f>
        <v>853970</v>
      </c>
      <c r="F72" s="657">
        <v>851351</v>
      </c>
      <c r="G72" s="473">
        <f t="shared" ref="G72:G84" si="6">F72-E72</f>
        <v>-2619</v>
      </c>
      <c r="H72" s="460">
        <f>G72+'8'!H72</f>
        <v>-1828</v>
      </c>
      <c r="I72" s="480"/>
      <c r="J72" s="552">
        <f>H72/DAY(B2)</f>
        <v>-203.11111111111111</v>
      </c>
      <c r="K72" s="431"/>
      <c r="L72" s="377"/>
      <c r="N72" s="382">
        <v>11</v>
      </c>
    </row>
    <row r="73" spans="1:14" ht="27.75">
      <c r="A73" s="1416" t="s">
        <v>192</v>
      </c>
      <c r="B73" s="1417"/>
      <c r="C73" s="1418"/>
      <c r="D73" s="523" t="s">
        <v>187</v>
      </c>
      <c r="E73" s="519">
        <f>'8'!F73</f>
        <v>885812</v>
      </c>
      <c r="F73" s="658">
        <v>885775</v>
      </c>
      <c r="G73" s="655">
        <f t="shared" si="6"/>
        <v>-37</v>
      </c>
      <c r="H73" s="460">
        <f>G73+'8'!H73</f>
        <v>-25</v>
      </c>
      <c r="I73" s="480"/>
      <c r="J73" s="552">
        <f>H73/DAY(B2)</f>
        <v>-2.7777777777777777</v>
      </c>
      <c r="K73" s="430"/>
      <c r="L73" s="377"/>
      <c r="N73" s="382">
        <v>2</v>
      </c>
    </row>
    <row r="74" spans="1:14" ht="27.75">
      <c r="A74" s="1416" t="s">
        <v>193</v>
      </c>
      <c r="B74" s="1417"/>
      <c r="C74" s="1418"/>
      <c r="D74" s="523" t="s">
        <v>187</v>
      </c>
      <c r="E74" s="519">
        <f>'8'!F74</f>
        <v>1584.65</v>
      </c>
      <c r="F74" s="657">
        <v>847</v>
      </c>
      <c r="G74" s="473">
        <f t="shared" si="6"/>
        <v>-737.65000000000009</v>
      </c>
      <c r="H74" s="460">
        <f>G74+'8'!H74</f>
        <v>-523</v>
      </c>
      <c r="I74" s="480"/>
      <c r="J74" s="552">
        <f>H74/DAY(B2)</f>
        <v>-58.111111111111114</v>
      </c>
      <c r="K74" s="431"/>
      <c r="L74" s="377"/>
      <c r="N74" s="382">
        <v>11</v>
      </c>
    </row>
    <row r="75" spans="1:14" ht="27.75">
      <c r="A75" s="1413" t="s">
        <v>194</v>
      </c>
      <c r="B75" s="1414"/>
      <c r="C75" s="1415"/>
      <c r="D75" s="523" t="s">
        <v>187</v>
      </c>
      <c r="E75" s="519">
        <f>'8'!F75</f>
        <v>9626.31</v>
      </c>
      <c r="F75" s="658">
        <v>4989</v>
      </c>
      <c r="G75" s="473">
        <f t="shared" si="6"/>
        <v>-4637.3099999999995</v>
      </c>
      <c r="H75" s="460">
        <f>G75+'8'!H75</f>
        <v>-3691</v>
      </c>
      <c r="I75" s="480"/>
      <c r="J75" s="552">
        <f>H75/DAY(B2)</f>
        <v>-410.11111111111109</v>
      </c>
      <c r="K75" s="430"/>
      <c r="L75" s="377"/>
      <c r="N75" s="382">
        <v>62</v>
      </c>
    </row>
    <row r="76" spans="1:14" ht="27.75">
      <c r="A76" s="1413" t="s">
        <v>195</v>
      </c>
      <c r="B76" s="1414"/>
      <c r="C76" s="1415"/>
      <c r="D76" s="523" t="s">
        <v>187</v>
      </c>
      <c r="E76" s="519">
        <f>'8'!F76</f>
        <v>4562.55</v>
      </c>
      <c r="F76" s="658">
        <v>2263</v>
      </c>
      <c r="G76" s="473">
        <f t="shared" si="6"/>
        <v>-2299.5500000000002</v>
      </c>
      <c r="H76" s="460">
        <f>G76+'8'!H76</f>
        <v>-1774</v>
      </c>
      <c r="I76" s="505"/>
      <c r="J76" s="552">
        <f>H76/DAY(B2)</f>
        <v>-197.11111111111111</v>
      </c>
      <c r="K76" s="430"/>
      <c r="L76" s="377"/>
      <c r="N76" s="382">
        <v>4</v>
      </c>
    </row>
    <row r="77" spans="1:14" ht="27.75">
      <c r="A77" s="1416" t="s">
        <v>196</v>
      </c>
      <c r="B77" s="1417"/>
      <c r="C77" s="1418"/>
      <c r="D77" s="523" t="s">
        <v>187</v>
      </c>
      <c r="E77" s="519">
        <f>'8'!F77</f>
        <v>700581</v>
      </c>
      <c r="F77" s="658">
        <v>699058</v>
      </c>
      <c r="G77" s="655">
        <f t="shared" si="6"/>
        <v>-1523</v>
      </c>
      <c r="H77" s="460">
        <f>G77+'8'!H77</f>
        <v>-1156</v>
      </c>
      <c r="I77" s="505"/>
      <c r="J77" s="552">
        <f>H77/DAY(B2)</f>
        <v>-128.44444444444446</v>
      </c>
      <c r="K77" s="430"/>
      <c r="L77" s="377"/>
      <c r="N77" s="382">
        <v>19</v>
      </c>
    </row>
    <row r="78" spans="1:14" ht="27.75">
      <c r="A78" s="1148" t="s">
        <v>197</v>
      </c>
      <c r="B78" s="1121"/>
      <c r="C78" s="1121"/>
      <c r="D78" s="523" t="s">
        <v>187</v>
      </c>
      <c r="E78" s="519">
        <f>'8'!F78</f>
        <v>668006</v>
      </c>
      <c r="F78" s="659">
        <v>656365</v>
      </c>
      <c r="G78" s="473">
        <f t="shared" si="6"/>
        <v>-11641</v>
      </c>
      <c r="H78" s="460">
        <f>G78+'8'!H78</f>
        <v>-9015</v>
      </c>
      <c r="I78" s="505"/>
      <c r="J78" s="552">
        <f>H78/DAY(B2)</f>
        <v>-1001.6666666666666</v>
      </c>
      <c r="K78" s="430"/>
      <c r="L78" s="377"/>
      <c r="N78" s="382">
        <v>31</v>
      </c>
    </row>
    <row r="79" spans="1:14" ht="27.75">
      <c r="A79" s="1413" t="s">
        <v>92</v>
      </c>
      <c r="B79" s="1414"/>
      <c r="C79" s="1415"/>
      <c r="D79" s="524" t="s">
        <v>187</v>
      </c>
      <c r="E79" s="519">
        <f>'8'!F79</f>
        <v>822712</v>
      </c>
      <c r="F79" s="659">
        <v>817034</v>
      </c>
      <c r="G79" s="473">
        <f t="shared" si="6"/>
        <v>-5678</v>
      </c>
      <c r="H79" s="460">
        <f>G79+'8'!H79</f>
        <v>-4179</v>
      </c>
      <c r="I79" s="505"/>
      <c r="J79" s="552">
        <f>H79/DAY(B2)</f>
        <v>-464.33333333333331</v>
      </c>
      <c r="K79" s="430"/>
      <c r="L79" s="377"/>
      <c r="N79" s="382">
        <v>100</v>
      </c>
    </row>
    <row r="80" spans="1:14" ht="27.75">
      <c r="A80" s="1413" t="s">
        <v>198</v>
      </c>
      <c r="B80" s="1414"/>
      <c r="C80" s="1415"/>
      <c r="D80" s="524" t="s">
        <v>187</v>
      </c>
      <c r="E80" s="519">
        <f>'8'!F80</f>
        <v>508491.88</v>
      </c>
      <c r="F80" s="1319">
        <v>497753</v>
      </c>
      <c r="G80" s="473">
        <f t="shared" si="6"/>
        <v>-10738.880000000005</v>
      </c>
      <c r="H80" s="460">
        <f>G80+'8'!H80</f>
        <v>-7946</v>
      </c>
      <c r="I80" s="505"/>
      <c r="J80" s="552">
        <f>H80/DAY(B2)</f>
        <v>-882.88888888888891</v>
      </c>
      <c r="K80" s="430"/>
      <c r="L80" s="377"/>
      <c r="N80" s="382">
        <v>158.95999999996275</v>
      </c>
    </row>
    <row r="81" spans="1:15" ht="27.75">
      <c r="A81" s="1413" t="s">
        <v>199</v>
      </c>
      <c r="B81" s="1414"/>
      <c r="C81" s="1415"/>
      <c r="D81" s="524" t="s">
        <v>187</v>
      </c>
      <c r="E81" s="519">
        <f>'8'!F81</f>
        <v>632208.43999999994</v>
      </c>
      <c r="F81" s="658">
        <v>626928</v>
      </c>
      <c r="G81" s="473">
        <f t="shared" si="6"/>
        <v>-5280.4399999999441</v>
      </c>
      <c r="H81" s="460">
        <f>G81+'8'!H81</f>
        <v>-3257</v>
      </c>
      <c r="I81" s="505"/>
      <c r="J81" s="552">
        <f>H81/DAY(B2)</f>
        <v>-361.88888888888891</v>
      </c>
      <c r="K81" s="430"/>
      <c r="L81" s="377"/>
      <c r="N81" s="382">
        <v>79.199999999953434</v>
      </c>
    </row>
    <row r="82" spans="1:15" ht="27.75">
      <c r="A82" s="1413" t="s">
        <v>93</v>
      </c>
      <c r="B82" s="1414"/>
      <c r="C82" s="1415"/>
      <c r="D82" s="485" t="s">
        <v>132</v>
      </c>
      <c r="E82" s="519">
        <f>'8'!F82</f>
        <v>107085.4</v>
      </c>
      <c r="F82" s="654">
        <v>106394</v>
      </c>
      <c r="G82" s="473">
        <f t="shared" si="6"/>
        <v>-691.39999999999418</v>
      </c>
      <c r="H82" s="460">
        <f>G82+'8'!H82</f>
        <v>-501</v>
      </c>
      <c r="I82" s="486"/>
      <c r="J82" s="552">
        <f>H82/DAY(B2)</f>
        <v>-55.666666666666664</v>
      </c>
      <c r="K82" s="430"/>
      <c r="L82" s="377"/>
      <c r="N82" s="382">
        <v>30.149999999994179</v>
      </c>
    </row>
    <row r="83" spans="1:15" ht="27.75">
      <c r="A83" s="1413" t="s">
        <v>200</v>
      </c>
      <c r="B83" s="1414"/>
      <c r="C83" s="1415"/>
      <c r="D83" s="620" t="s">
        <v>132</v>
      </c>
      <c r="E83" s="519">
        <f>'8'!F83</f>
        <v>9159</v>
      </c>
      <c r="F83" s="511">
        <v>783</v>
      </c>
      <c r="G83" s="473">
        <f t="shared" si="6"/>
        <v>-8376</v>
      </c>
      <c r="H83" s="460">
        <f>G83+'8'!H83</f>
        <v>-6274</v>
      </c>
      <c r="I83" s="481"/>
      <c r="J83" s="552">
        <f>H83/DAY(B2)</f>
        <v>-697.11111111111109</v>
      </c>
      <c r="K83" s="429"/>
      <c r="L83" s="377"/>
      <c r="N83" s="382">
        <v>316</v>
      </c>
    </row>
    <row r="84" spans="1:15">
      <c r="A84" s="1149" t="s">
        <v>201</v>
      </c>
      <c r="B84" s="571"/>
      <c r="C84" s="571"/>
      <c r="D84" s="478" t="s">
        <v>132</v>
      </c>
      <c r="E84" s="519">
        <f>'8'!F84</f>
        <v>462213</v>
      </c>
      <c r="F84" s="627">
        <v>437575</v>
      </c>
      <c r="G84" s="473">
        <f t="shared" si="6"/>
        <v>-24638</v>
      </c>
      <c r="H84" s="460">
        <f>G84+'8'!H84</f>
        <v>-17109</v>
      </c>
      <c r="I84" s="481"/>
      <c r="J84" s="552">
        <f>H84/DAY(B2)</f>
        <v>-1901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-78897.229999999938</v>
      </c>
      <c r="H85" s="460">
        <f>G85+'8'!H85</f>
        <v>-57278</v>
      </c>
      <c r="I85" s="481"/>
      <c r="J85" s="552">
        <f>H85/DAY(B2)</f>
        <v>-6364.2222222222226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456042.52</v>
      </c>
      <c r="F86" s="639">
        <v>451394</v>
      </c>
      <c r="G86" s="708">
        <f t="shared" ref="G86:G90" si="7">F86-E86</f>
        <v>-4648.5200000000186</v>
      </c>
      <c r="H86" s="460">
        <f>G86+'8'!H86</f>
        <v>-4462</v>
      </c>
      <c r="I86" s="655"/>
      <c r="J86" s="710">
        <f>H86/DAY(B2)</f>
        <v>-495.77777777777777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80434.399999999994</v>
      </c>
      <c r="F87" s="650">
        <v>79491</v>
      </c>
      <c r="G87" s="708">
        <f t="shared" si="7"/>
        <v>-943.39999999999418</v>
      </c>
      <c r="H87" s="460">
        <f>G87+'8'!H87</f>
        <v>-903</v>
      </c>
      <c r="I87" s="655"/>
      <c r="J87" s="710">
        <f>H87/DAY(B2)</f>
        <v>-100.33333333333333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151037.53</v>
      </c>
      <c r="F88" s="639">
        <v>148916</v>
      </c>
      <c r="G88" s="708">
        <f t="shared" si="7"/>
        <v>-2121.5299999999988</v>
      </c>
      <c r="H88" s="460">
        <f>G88+'8'!H88</f>
        <v>-2088</v>
      </c>
      <c r="I88" s="655"/>
      <c r="J88" s="710">
        <f>H88/DAY(B2)</f>
        <v>-232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63899.8</v>
      </c>
      <c r="F89" s="650">
        <v>62354</v>
      </c>
      <c r="G89" s="708">
        <f t="shared" si="7"/>
        <v>-1545.8000000000029</v>
      </c>
      <c r="H89" s="460">
        <f>G89+'8'!H89</f>
        <v>-1502</v>
      </c>
      <c r="I89" s="655"/>
      <c r="J89" s="710">
        <f>H89/DAY(B2)</f>
        <v>-166.88888888888889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3271.6</v>
      </c>
      <c r="F90" s="650">
        <v>3203</v>
      </c>
      <c r="G90" s="708">
        <f t="shared" si="7"/>
        <v>-68.599999999999909</v>
      </c>
      <c r="H90" s="460">
        <f>G90+'8'!H90</f>
        <v>-69</v>
      </c>
      <c r="I90" s="655"/>
      <c r="J90" s="710">
        <f>H90/DAY(B2)</f>
        <v>-7.666666666666667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'8'!F92</f>
        <v>243273</v>
      </c>
      <c r="F92" s="478">
        <v>240633</v>
      </c>
      <c r="G92" s="473">
        <f t="shared" ref="G92:G93" si="8">F92-E92</f>
        <v>-2640</v>
      </c>
      <c r="H92" s="460">
        <f>G92+'8'!H92</f>
        <v>-2013</v>
      </c>
      <c r="I92" s="480"/>
      <c r="J92" s="552">
        <f>H92/DAY(B2)</f>
        <v>-223.66666666666666</v>
      </c>
      <c r="K92" s="429"/>
      <c r="L92" s="377"/>
      <c r="N92" s="382">
        <v>0</v>
      </c>
    </row>
    <row r="93" spans="1:15" ht="27.75">
      <c r="A93" s="1437" t="s">
        <v>207</v>
      </c>
      <c r="B93" s="1438"/>
      <c r="C93" s="1439"/>
      <c r="D93" s="523" t="s">
        <v>144</v>
      </c>
      <c r="E93" s="484">
        <f>'8'!F93</f>
        <v>180938</v>
      </c>
      <c r="F93" s="478">
        <v>176871</v>
      </c>
      <c r="G93" s="473">
        <f t="shared" si="8"/>
        <v>-4067</v>
      </c>
      <c r="H93" s="460">
        <f>G93+'8'!H93</f>
        <v>-2808</v>
      </c>
      <c r="I93" s="480"/>
      <c r="J93" s="552">
        <f>H93/DAY(B2)</f>
        <v>-312</v>
      </c>
      <c r="K93" s="380"/>
      <c r="L93" s="377"/>
      <c r="N93" s="382">
        <v>71</v>
      </c>
    </row>
    <row r="94" spans="1:15">
      <c r="A94" s="1465" t="s">
        <v>208</v>
      </c>
      <c r="B94" s="1466"/>
      <c r="C94" s="1467"/>
      <c r="D94" s="523"/>
      <c r="E94" s="484">
        <f>'8'!F94</f>
        <v>0</v>
      </c>
      <c r="F94" s="478"/>
      <c r="G94" s="473">
        <f>G92+G93</f>
        <v>-6707</v>
      </c>
      <c r="H94" s="460">
        <f>G94+'8'!H94</f>
        <v>-5040</v>
      </c>
      <c r="I94" s="480"/>
      <c r="J94" s="552">
        <f>H94/DAY(B2)</f>
        <v>-560</v>
      </c>
      <c r="K94" s="380"/>
      <c r="L94" s="377"/>
      <c r="N94" s="382">
        <v>71</v>
      </c>
    </row>
    <row r="95" spans="1:15" ht="27.75">
      <c r="A95" s="1437" t="s">
        <v>209</v>
      </c>
      <c r="B95" s="1438"/>
      <c r="C95" s="1439"/>
      <c r="D95" s="523" t="s">
        <v>144</v>
      </c>
      <c r="E95" s="484">
        <f>'8'!F95</f>
        <v>411385</v>
      </c>
      <c r="F95" s="478">
        <v>408976</v>
      </c>
      <c r="G95" s="473">
        <f t="shared" ref="G95:G100" si="9">F95-E95</f>
        <v>-2409</v>
      </c>
      <c r="H95" s="460">
        <f>G95+'8'!H95</f>
        <v>-1809</v>
      </c>
      <c r="I95" s="480"/>
      <c r="J95" s="552">
        <f>H95/DAY(B2)</f>
        <v>-201</v>
      </c>
      <c r="K95" s="380"/>
      <c r="L95" s="377"/>
      <c r="N95" s="382">
        <v>26</v>
      </c>
    </row>
    <row r="96" spans="1:15" ht="27.75">
      <c r="A96" s="1145" t="s">
        <v>210</v>
      </c>
      <c r="B96" s="1146"/>
      <c r="C96" s="1146"/>
      <c r="D96" s="523" t="s">
        <v>144</v>
      </c>
      <c r="E96" s="484">
        <f>'8'!F96</f>
        <v>101973</v>
      </c>
      <c r="F96" s="478">
        <v>101479</v>
      </c>
      <c r="G96" s="473">
        <f t="shared" si="9"/>
        <v>-494</v>
      </c>
      <c r="H96" s="460">
        <f>G96+'8'!H96</f>
        <v>-352</v>
      </c>
      <c r="I96" s="480"/>
      <c r="J96" s="552">
        <f>H96/DAY(B2)</f>
        <v>-39.111111111111114</v>
      </c>
      <c r="K96" s="427"/>
      <c r="L96" s="377"/>
      <c r="N96" s="382">
        <v>11</v>
      </c>
    </row>
    <row r="97" spans="1:14" ht="27.75">
      <c r="A97" s="1145" t="s">
        <v>211</v>
      </c>
      <c r="B97" s="1146"/>
      <c r="C97" s="1146"/>
      <c r="D97" s="523" t="s">
        <v>144</v>
      </c>
      <c r="E97" s="484">
        <f>'8'!F97</f>
        <v>97075</v>
      </c>
      <c r="F97" s="478">
        <v>96618</v>
      </c>
      <c r="G97" s="473">
        <f t="shared" si="9"/>
        <v>-457</v>
      </c>
      <c r="H97" s="460">
        <f>G97+'8'!H97</f>
        <v>-310</v>
      </c>
      <c r="I97" s="480"/>
      <c r="J97" s="552">
        <f>H97/DAY(B2)</f>
        <v>-34.444444444444443</v>
      </c>
      <c r="K97" s="432"/>
      <c r="L97" s="377"/>
      <c r="N97" s="382">
        <v>9</v>
      </c>
    </row>
    <row r="98" spans="1:14" ht="27.75">
      <c r="A98" s="1145" t="s">
        <v>212</v>
      </c>
      <c r="B98" s="1146"/>
      <c r="C98" s="1146"/>
      <c r="D98" s="523" t="s">
        <v>144</v>
      </c>
      <c r="E98" s="484">
        <f>'8'!F98</f>
        <v>149209</v>
      </c>
      <c r="F98" s="478">
        <v>148116</v>
      </c>
      <c r="G98" s="473">
        <f t="shared" si="9"/>
        <v>-1093</v>
      </c>
      <c r="H98" s="460">
        <f>G98+'8'!H98</f>
        <v>-793</v>
      </c>
      <c r="I98" s="480"/>
      <c r="J98" s="552">
        <f>H98/DAY(B2)</f>
        <v>-88.111111111111114</v>
      </c>
      <c r="K98" s="380"/>
      <c r="L98" s="377"/>
      <c r="N98" s="707">
        <v>24</v>
      </c>
    </row>
    <row r="99" spans="1:14" ht="27.75">
      <c r="A99" s="1145" t="s">
        <v>213</v>
      </c>
      <c r="B99" s="1146"/>
      <c r="C99" s="1146"/>
      <c r="D99" s="523" t="s">
        <v>144</v>
      </c>
      <c r="E99" s="484">
        <f>'8'!F99</f>
        <v>6979</v>
      </c>
      <c r="F99" s="478">
        <v>6540</v>
      </c>
      <c r="G99" s="473">
        <f t="shared" si="9"/>
        <v>-439</v>
      </c>
      <c r="H99" s="460">
        <f>G99+'8'!H99</f>
        <v>-315</v>
      </c>
      <c r="I99" s="480"/>
      <c r="J99" s="552">
        <f>H99/DAY(B2)</f>
        <v>-35</v>
      </c>
      <c r="K99" s="380"/>
      <c r="L99" s="377"/>
      <c r="N99" s="382">
        <v>3</v>
      </c>
    </row>
    <row r="100" spans="1:14" ht="27.75">
      <c r="A100" s="1145" t="s">
        <v>214</v>
      </c>
      <c r="B100" s="1146"/>
      <c r="C100" s="1146"/>
      <c r="D100" s="523" t="s">
        <v>144</v>
      </c>
      <c r="E100" s="484">
        <f>'8'!F100</f>
        <v>4996</v>
      </c>
      <c r="F100" s="478">
        <v>4638</v>
      </c>
      <c r="G100" s="473">
        <f t="shared" si="9"/>
        <v>-358</v>
      </c>
      <c r="H100" s="460">
        <f>G100+'8'!H100</f>
        <v>-305</v>
      </c>
      <c r="I100" s="480"/>
      <c r="J100" s="552">
        <f>H100/DAY(B2)</f>
        <v>-33.888888888888886</v>
      </c>
      <c r="K100" s="380"/>
      <c r="L100" s="377"/>
      <c r="N100" s="382">
        <v>0</v>
      </c>
    </row>
    <row r="101" spans="1:14">
      <c r="A101" s="1465" t="s">
        <v>216</v>
      </c>
      <c r="B101" s="1466"/>
      <c r="C101" s="1467"/>
      <c r="D101" s="524"/>
      <c r="E101" s="484"/>
      <c r="F101" s="524"/>
      <c r="G101" s="525">
        <f>SUM(G95:G100)</f>
        <v>-5250</v>
      </c>
      <c r="H101" s="460">
        <f>G101+'8'!H101</f>
        <v>-3884</v>
      </c>
      <c r="I101" s="526"/>
      <c r="J101" s="552">
        <f>H101/DAY(B2)</f>
        <v>-431.55555555555554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484">
        <f>'8'!F104</f>
        <v>7344</v>
      </c>
      <c r="F104" s="661">
        <v>7155</v>
      </c>
      <c r="G104" s="532">
        <f>F104-E104</f>
        <v>-189</v>
      </c>
      <c r="H104" s="460">
        <f>G104+'8'!H104</f>
        <v>-170</v>
      </c>
      <c r="I104" s="532"/>
      <c r="J104" s="558">
        <f>H104/DAY(B2)</f>
        <v>-18.888888888888889</v>
      </c>
      <c r="N104" s="382">
        <v>0</v>
      </c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484">
        <f>'8'!F105</f>
        <v>35703</v>
      </c>
      <c r="F105" s="662">
        <v>35481</v>
      </c>
      <c r="G105" s="532">
        <f t="shared" ref="G105:G106" si="10">F105-E105</f>
        <v>-222</v>
      </c>
      <c r="H105" s="460">
        <f>G105+'8'!H105</f>
        <v>-170</v>
      </c>
      <c r="I105" s="532"/>
      <c r="J105" s="558">
        <f>H105/DAY(B2)</f>
        <v>-18.888888888888889</v>
      </c>
      <c r="N105" s="382">
        <v>0</v>
      </c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484">
        <f>'8'!F106</f>
        <v>19471</v>
      </c>
      <c r="F106" s="787">
        <v>19292</v>
      </c>
      <c r="G106" s="532">
        <f t="shared" si="10"/>
        <v>-179</v>
      </c>
      <c r="H106" s="460">
        <f>G106+'8'!H106</f>
        <v>-119</v>
      </c>
      <c r="I106" s="532"/>
      <c r="J106" s="558">
        <f>H106/DAY(B2)</f>
        <v>-13.222222222222221</v>
      </c>
      <c r="N106" s="382">
        <v>4</v>
      </c>
    </row>
    <row r="107" spans="1:14" s="442" customFormat="1" ht="27.75">
      <c r="A107" s="1431" t="s">
        <v>202</v>
      </c>
      <c r="B107" s="1432"/>
      <c r="C107" s="1144"/>
      <c r="D107" s="622"/>
      <c r="E107" s="484"/>
      <c r="F107" s="662"/>
      <c r="G107" s="532">
        <f>SUM(G104:G106)</f>
        <v>-590</v>
      </c>
      <c r="H107" s="460">
        <f>G107+'8'!H107</f>
        <v>-459</v>
      </c>
      <c r="I107" s="532"/>
      <c r="J107" s="558">
        <f>H107/DAY(B2)</f>
        <v>-51</v>
      </c>
      <c r="N107" s="382">
        <v>4</v>
      </c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484">
        <f>'8'!F108</f>
        <v>0</v>
      </c>
      <c r="F108" s="662"/>
      <c r="G108" s="532"/>
      <c r="H108" s="460">
        <f>G108+'8'!H108</f>
        <v>0</v>
      </c>
      <c r="I108" s="532"/>
      <c r="J108" s="558"/>
      <c r="N108" s="382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484">
        <f>'8'!F109</f>
        <v>59565</v>
      </c>
      <c r="F109" s="662">
        <v>57061</v>
      </c>
      <c r="G109" s="532">
        <f>F109-E109</f>
        <v>-2504</v>
      </c>
      <c r="H109" s="460">
        <f>G109+'8'!H109</f>
        <v>-1812</v>
      </c>
      <c r="I109" s="532"/>
      <c r="J109" s="558">
        <f>H109/DAY(B2)</f>
        <v>-201.33333333333334</v>
      </c>
      <c r="N109" s="382">
        <v>40</v>
      </c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484">
        <f>'8'!F110</f>
        <v>31910</v>
      </c>
      <c r="F110" s="662">
        <v>31060</v>
      </c>
      <c r="G110" s="532">
        <f t="shared" ref="G110:G111" si="11">F110-E110</f>
        <v>-850</v>
      </c>
      <c r="H110" s="460">
        <f>G110+'8'!H110</f>
        <v>-586</v>
      </c>
      <c r="I110" s="532"/>
      <c r="J110" s="558">
        <f>H110/DAY(B2)</f>
        <v>-65.111111111111114</v>
      </c>
      <c r="N110" s="382">
        <v>43</v>
      </c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484">
        <f>'8'!F111</f>
        <v>4224</v>
      </c>
      <c r="F111" s="662">
        <v>4043</v>
      </c>
      <c r="G111" s="532">
        <f t="shared" si="11"/>
        <v>-181</v>
      </c>
      <c r="H111" s="460">
        <f>G111+'8'!H111</f>
        <v>-113</v>
      </c>
      <c r="I111" s="532"/>
      <c r="J111" s="558">
        <f>H111/DAY(B2)</f>
        <v>-12.555555555555555</v>
      </c>
      <c r="N111" s="382">
        <v>0</v>
      </c>
    </row>
    <row r="112" spans="1:14" s="442" customFormat="1" ht="27.75">
      <c r="A112" s="1431" t="s">
        <v>110</v>
      </c>
      <c r="B112" s="1432"/>
      <c r="C112" s="1144"/>
      <c r="D112" s="622"/>
      <c r="E112" s="484"/>
      <c r="F112" s="662"/>
      <c r="G112" s="532">
        <f>SUM(G109:G111)</f>
        <v>-3535</v>
      </c>
      <c r="H112" s="460">
        <f>G112+'8'!H112</f>
        <v>-2511</v>
      </c>
      <c r="I112" s="532"/>
      <c r="J112" s="558">
        <f>H112/DAY(B2)</f>
        <v>-279</v>
      </c>
      <c r="N112" s="382">
        <v>83</v>
      </c>
    </row>
    <row r="113" spans="1:14" s="442" customFormat="1" ht="27.75">
      <c r="A113" s="1435" t="s">
        <v>223</v>
      </c>
      <c r="B113" s="1436"/>
      <c r="C113" s="1144"/>
      <c r="D113" s="622"/>
      <c r="E113" s="484"/>
      <c r="F113" s="662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484">
        <f>'8'!F114</f>
        <v>11006</v>
      </c>
      <c r="F114" s="662">
        <v>10480</v>
      </c>
      <c r="G114" s="534">
        <f>F114-E114</f>
        <v>-526</v>
      </c>
      <c r="H114" s="460">
        <f>G114+'8'!H114</f>
        <v>-356</v>
      </c>
      <c r="I114" s="532"/>
      <c r="J114" s="558">
        <f>H114/DAY(B2)</f>
        <v>-39.555555555555557</v>
      </c>
      <c r="N114" s="382">
        <v>5</v>
      </c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484">
        <f>'8'!F115</f>
        <v>8919</v>
      </c>
      <c r="F115" s="662">
        <v>7746</v>
      </c>
      <c r="G115" s="534">
        <f t="shared" ref="G115:G116" si="12">F115-E115</f>
        <v>-1173</v>
      </c>
      <c r="H115" s="460">
        <f>G115+'8'!H115</f>
        <v>-223</v>
      </c>
      <c r="I115" s="532"/>
      <c r="J115" s="558">
        <f>H115/DAY(B2)</f>
        <v>-24.777777777777779</v>
      </c>
      <c r="N115" s="382">
        <v>3</v>
      </c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-1699</v>
      </c>
      <c r="H117" s="460">
        <f>G117+'8'!H117</f>
        <v>-579</v>
      </c>
      <c r="I117" s="534"/>
      <c r="J117" s="558">
        <f>H117/DAY(B2)</f>
        <v>-64.333333333333329</v>
      </c>
      <c r="N117" s="382">
        <v>8</v>
      </c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-4240</v>
      </c>
      <c r="G118" s="536">
        <f>SUM(G19+G92)</f>
        <v>-4240</v>
      </c>
      <c r="H118" s="460">
        <f>G118+'8'!H118</f>
        <v>-3173</v>
      </c>
      <c r="I118" s="535"/>
      <c r="J118" s="559">
        <f>H118/DAY(B2)</f>
        <v>-352.55555555555554</v>
      </c>
      <c r="N118" s="382">
        <v>55</v>
      </c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-4157</v>
      </c>
      <c r="G119" s="536">
        <f>SUM(G95,G96,G97,G99,G100)</f>
        <v>-4157</v>
      </c>
      <c r="H119" s="460">
        <f>G119+'8'!H119</f>
        <v>-3091</v>
      </c>
      <c r="I119" s="535"/>
      <c r="J119" s="559">
        <f>H119/DAY(B2)</f>
        <v>-343.44444444444446</v>
      </c>
      <c r="N119" s="382">
        <v>49</v>
      </c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-3535</v>
      </c>
      <c r="G120" s="534">
        <f>SUM(G112)</f>
        <v>-3535</v>
      </c>
      <c r="H120" s="460">
        <f>G120+'8'!H120</f>
        <v>-2511</v>
      </c>
      <c r="I120" s="535"/>
      <c r="J120" s="559">
        <f>H120/DAY(B2)</f>
        <v>-279</v>
      </c>
      <c r="N120" s="382">
        <v>83</v>
      </c>
    </row>
    <row r="121" spans="1:14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'8'!F123</f>
        <v>820823.2</v>
      </c>
      <c r="F123" s="478">
        <v>813320</v>
      </c>
      <c r="G123" s="473">
        <f t="shared" ref="G123:G127" si="13">F123-E123</f>
        <v>-7503.1999999999534</v>
      </c>
      <c r="H123" s="460">
        <f>G123+'8'!H123</f>
        <v>-5490</v>
      </c>
      <c r="I123" s="526"/>
      <c r="J123" s="552">
        <f>H123/DAY(B2)</f>
        <v>-610</v>
      </c>
      <c r="K123" s="380"/>
      <c r="L123" s="377"/>
      <c r="N123" s="382">
        <v>111.45100000000093</v>
      </c>
    </row>
    <row r="124" spans="1:14" ht="27.75">
      <c r="A124" s="1145" t="s">
        <v>232</v>
      </c>
      <c r="B124" s="1146"/>
      <c r="C124" s="1146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16" t="s">
        <v>233</v>
      </c>
      <c r="B125" s="1417"/>
      <c r="C125" s="1418"/>
      <c r="D125" s="523" t="s">
        <v>141</v>
      </c>
      <c r="E125" s="478">
        <f>'8'!F125</f>
        <v>142887.13</v>
      </c>
      <c r="F125" s="478">
        <v>140570</v>
      </c>
      <c r="G125" s="473">
        <f t="shared" si="13"/>
        <v>-2317.1300000000047</v>
      </c>
      <c r="H125" s="460">
        <f>G125+'8'!H125</f>
        <v>-1566</v>
      </c>
      <c r="I125" s="526"/>
      <c r="J125" s="552">
        <f>H125/DAY(B2)</f>
        <v>-174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6"/>
      <c r="C126" s="1146"/>
      <c r="D126" s="523" t="s">
        <v>141</v>
      </c>
      <c r="E126" s="626">
        <f>'8'!F126</f>
        <v>31404.2</v>
      </c>
      <c r="F126" s="626">
        <v>59599</v>
      </c>
      <c r="G126" s="473">
        <f t="shared" si="13"/>
        <v>28194.799999999999</v>
      </c>
      <c r="H126" s="460">
        <f>G126+'8'!H126</f>
        <v>28280.3</v>
      </c>
      <c r="I126" s="526"/>
      <c r="J126" s="552">
        <f>H126/DAY(B2)</f>
        <v>3142.2555555555555</v>
      </c>
      <c r="K126" s="380"/>
      <c r="L126" s="377"/>
      <c r="N126" s="382">
        <v>0</v>
      </c>
    </row>
    <row r="127" spans="1:14" ht="27.75">
      <c r="A127" s="609" t="s">
        <v>235</v>
      </c>
      <c r="B127" s="1146"/>
      <c r="C127" s="1146"/>
      <c r="D127" s="523" t="s">
        <v>141</v>
      </c>
      <c r="E127" s="626">
        <f>'8'!F127</f>
        <v>8966</v>
      </c>
      <c r="F127" s="626">
        <v>8908</v>
      </c>
      <c r="G127" s="473">
        <f t="shared" si="13"/>
        <v>-58</v>
      </c>
      <c r="H127" s="460">
        <f>G127+'8'!H127</f>
        <v>-54</v>
      </c>
      <c r="I127" s="480"/>
      <c r="J127" s="552">
        <f>H127/DAY(B2)</f>
        <v>-6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-44730.631999999823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5" t="s">
        <v>240</v>
      </c>
      <c r="B131" s="1146"/>
      <c r="C131" s="1146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5" t="s">
        <v>241</v>
      </c>
      <c r="B132" s="1146"/>
      <c r="C132" s="1146"/>
      <c r="D132" s="523" t="s">
        <v>239</v>
      </c>
      <c r="E132" s="484">
        <f>'8'!F132</f>
        <v>39651</v>
      </c>
      <c r="F132" s="626">
        <v>39219.35</v>
      </c>
      <c r="G132" s="473">
        <f t="shared" si="14"/>
        <v>-431.65000000000146</v>
      </c>
      <c r="H132" s="460">
        <f>G132+'8'!H132</f>
        <v>-313.65000000000146</v>
      </c>
      <c r="I132" s="480"/>
      <c r="J132" s="552">
        <f>H132/DAY(B2)</f>
        <v>-34.850000000000165</v>
      </c>
      <c r="N132" s="382">
        <v>22</v>
      </c>
    </row>
    <row r="133" spans="1:14" ht="27.75">
      <c r="A133" s="1145" t="s">
        <v>242</v>
      </c>
      <c r="B133" s="1146"/>
      <c r="C133" s="1146"/>
      <c r="D133" s="523" t="s">
        <v>239</v>
      </c>
      <c r="E133" s="484">
        <f>'8'!F133</f>
        <v>300</v>
      </c>
      <c r="F133" s="485">
        <v>299</v>
      </c>
      <c r="G133" s="473">
        <f t="shared" si="14"/>
        <v>-1</v>
      </c>
      <c r="H133" s="460">
        <f>G133+'8'!H133</f>
        <v>-1</v>
      </c>
      <c r="I133" s="480">
        <f>G130+G131+G132+G133</f>
        <v>-432.65000000000146</v>
      </c>
      <c r="J133" s="552">
        <f>H133/DAY(B2)</f>
        <v>-0.1111111111111111</v>
      </c>
      <c r="N133" s="382">
        <v>0</v>
      </c>
    </row>
    <row r="134" spans="1:14" ht="27.75">
      <c r="A134" s="1145" t="s">
        <v>243</v>
      </c>
      <c r="B134" s="1146"/>
      <c r="C134" s="1146"/>
      <c r="D134" s="523" t="s">
        <v>239</v>
      </c>
      <c r="E134" s="484">
        <f>'8'!F134</f>
        <v>40933</v>
      </c>
      <c r="F134" s="626">
        <v>40578.42</v>
      </c>
      <c r="G134" s="473">
        <f t="shared" si="14"/>
        <v>-354.58000000000175</v>
      </c>
      <c r="H134" s="460">
        <f>G134+'8'!H134</f>
        <v>-260.58000000000175</v>
      </c>
      <c r="I134" s="480"/>
      <c r="J134" s="552">
        <f>H134/DAY(B2)</f>
        <v>-28.953333333333529</v>
      </c>
      <c r="N134" s="382">
        <v>0</v>
      </c>
    </row>
    <row r="135" spans="1:14" ht="27.75">
      <c r="A135" s="1145" t="s">
        <v>244</v>
      </c>
      <c r="B135" s="1146"/>
      <c r="C135" s="1146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-0.43999999999869033</v>
      </c>
      <c r="I135" s="480"/>
      <c r="J135" s="552">
        <f>H135/DAY(B2)</f>
        <v>-4.8888888888743369E-2</v>
      </c>
      <c r="N135" s="382">
        <v>0</v>
      </c>
    </row>
    <row r="136" spans="1:14" ht="27.75">
      <c r="A136" s="1145" t="s">
        <v>245</v>
      </c>
      <c r="B136" s="1146"/>
      <c r="C136" s="1146"/>
      <c r="D136" s="523" t="s">
        <v>239</v>
      </c>
      <c r="E136" s="484">
        <f>'8'!F136</f>
        <v>22570.46</v>
      </c>
      <c r="F136" s="654">
        <v>22301.83</v>
      </c>
      <c r="G136" s="473">
        <f t="shared" si="14"/>
        <v>-268.62999999999738</v>
      </c>
      <c r="H136" s="460">
        <f>G136+'8'!H136</f>
        <v>-186.81999999999971</v>
      </c>
      <c r="I136" s="480">
        <f>G134+G135+G136</f>
        <v>-623.20999999999913</v>
      </c>
      <c r="J136" s="552">
        <f>H136/DAY(B2)</f>
        <v>-20.757777777777747</v>
      </c>
      <c r="N136" s="382">
        <v>-0.2999999999992724</v>
      </c>
    </row>
    <row r="137" spans="1:14" ht="27.75">
      <c r="A137" s="1145" t="s">
        <v>246</v>
      </c>
      <c r="B137" s="1146"/>
      <c r="C137" s="1146"/>
      <c r="D137" s="523" t="s">
        <v>239</v>
      </c>
      <c r="E137" s="484">
        <f>'8'!F137</f>
        <v>25048.97</v>
      </c>
      <c r="F137" s="654">
        <v>25044</v>
      </c>
      <c r="G137" s="473">
        <f t="shared" si="14"/>
        <v>-4.9700000000011642</v>
      </c>
      <c r="H137" s="460">
        <f>G137+'8'!H137</f>
        <v>-4.7900000000008731</v>
      </c>
      <c r="I137" s="480"/>
      <c r="J137" s="552">
        <f>H137/DAY(B2)</f>
        <v>-0.53222222222231919</v>
      </c>
      <c r="N137" s="382">
        <v>0</v>
      </c>
    </row>
    <row r="138" spans="1:14" ht="27.75">
      <c r="A138" s="1145" t="s">
        <v>247</v>
      </c>
      <c r="B138" s="1146"/>
      <c r="C138" s="1146"/>
      <c r="D138" s="523" t="s">
        <v>239</v>
      </c>
      <c r="E138" s="484">
        <f>'8'!F138</f>
        <v>70277.179999999993</v>
      </c>
      <c r="F138" s="654">
        <v>70186.820000000007</v>
      </c>
      <c r="G138" s="473">
        <f t="shared" si="14"/>
        <v>-90.35999999998603</v>
      </c>
      <c r="H138" s="460">
        <f>G138+'8'!H138</f>
        <v>-67.209999999991851</v>
      </c>
      <c r="I138" s="480">
        <f>G137+G138</f>
        <v>-95.329999999987194</v>
      </c>
      <c r="J138" s="552">
        <f>H138/DAY(B2)</f>
        <v>-7.4677777777768721</v>
      </c>
      <c r="N138" s="382">
        <v>9.7100000000064028</v>
      </c>
    </row>
    <row r="139" spans="1:14" ht="27.75">
      <c r="A139" s="1145" t="s">
        <v>248</v>
      </c>
      <c r="B139" s="1146"/>
      <c r="C139" s="1146"/>
      <c r="D139" s="523" t="s">
        <v>239</v>
      </c>
      <c r="E139" s="484">
        <f>'8'!F139</f>
        <v>1536.52</v>
      </c>
      <c r="F139" s="626">
        <v>1490</v>
      </c>
      <c r="G139" s="473">
        <f t="shared" si="14"/>
        <v>-46.519999999999982</v>
      </c>
      <c r="H139" s="460">
        <f>G139+'8'!H139</f>
        <v>-46.519999999999982</v>
      </c>
      <c r="I139" s="542"/>
      <c r="J139" s="552">
        <f>H139/DAY(B2)</f>
        <v>-5.1688888888888869</v>
      </c>
      <c r="N139" s="382">
        <v>0</v>
      </c>
    </row>
    <row r="140" spans="1:14" ht="27.75">
      <c r="A140" s="1145" t="s">
        <v>249</v>
      </c>
      <c r="B140" s="1146"/>
      <c r="C140" s="1146"/>
      <c r="D140" s="523" t="s">
        <v>239</v>
      </c>
      <c r="E140" s="484">
        <f>'8'!F140</f>
        <v>4534.2299999999996</v>
      </c>
      <c r="F140" s="478">
        <v>4334</v>
      </c>
      <c r="G140" s="473">
        <f t="shared" si="14"/>
        <v>-200.22999999999956</v>
      </c>
      <c r="H140" s="460">
        <f>G140+'8'!H140</f>
        <v>-134.53999999999996</v>
      </c>
      <c r="I140" s="542"/>
      <c r="J140" s="552">
        <f>H140/DAY(B2)</f>
        <v>-14.948888888888884</v>
      </c>
      <c r="N140" s="382">
        <v>3.6500000000000909</v>
      </c>
    </row>
    <row r="141" spans="1:14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-176117.46999999997</v>
      </c>
      <c r="H142" s="460">
        <f>G142+'8'!H142</f>
        <v>-129121</v>
      </c>
      <c r="I142" s="480"/>
      <c r="J142" s="552">
        <f>H142/DAY(B2)</f>
        <v>-14346.777777777777</v>
      </c>
      <c r="K142" s="380"/>
      <c r="L142" s="377"/>
      <c r="N142" s="382">
        <v>2912.0800000000163</v>
      </c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0.27079622491231897</v>
      </c>
      <c r="H143" s="460">
        <f>G143+'8'!H143</f>
        <v>2.4267293597859103</v>
      </c>
      <c r="I143" s="544"/>
      <c r="J143" s="552">
        <f>H143/DAY(B2)</f>
        <v>0.26963659553176783</v>
      </c>
      <c r="K143" s="380"/>
      <c r="L143" s="377"/>
      <c r="N143" s="382">
        <v>0.25636763799630391</v>
      </c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-171588.37299999996</v>
      </c>
      <c r="H144" s="460">
        <f>G144+'8'!H144</f>
        <v>-122899.16</v>
      </c>
      <c r="I144" s="480"/>
      <c r="J144" s="552">
        <f>H144/DAY(B2)</f>
        <v>-13655.462222222222</v>
      </c>
      <c r="K144" s="380"/>
      <c r="L144" s="377"/>
      <c r="N144" s="382">
        <v>2876.3199999999779</v>
      </c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0.26383233671961603</v>
      </c>
      <c r="H145" s="460">
        <f>G145+'8'!H145</f>
        <v>2.493502880148045</v>
      </c>
      <c r="I145" s="544"/>
      <c r="J145" s="552">
        <f>H145/DAY(B2)</f>
        <v>0.27705587557200501</v>
      </c>
      <c r="K145" s="380"/>
      <c r="L145" s="377"/>
      <c r="N145" s="382">
        <v>0.25321947354520452</v>
      </c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-126073.63999999998</v>
      </c>
      <c r="H146" s="460">
        <f>G146+'8'!H146</f>
        <v>-93142</v>
      </c>
      <c r="I146" s="545"/>
      <c r="J146" s="552">
        <f>H146/DAY(B2)</f>
        <v>-10349.111111111111</v>
      </c>
      <c r="K146" s="380"/>
      <c r="L146" s="377"/>
      <c r="N146" s="382">
        <v>2036.5859000000055</v>
      </c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0.19384939934098946</v>
      </c>
      <c r="H147" s="460">
        <f>G147+'8'!H147</f>
        <v>1.7034128520950291</v>
      </c>
      <c r="I147" s="545"/>
      <c r="J147" s="552">
        <f>H147/DAY(B2)</f>
        <v>0.18926809467722547</v>
      </c>
      <c r="N147" s="382">
        <v>0.17929271062593585</v>
      </c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-55104.41</v>
      </c>
      <c r="H148" s="460">
        <f>G148+'8'!H148</f>
        <v>-41220</v>
      </c>
      <c r="I148" s="480"/>
      <c r="J148" s="552">
        <f>H148/DAY(B2)</f>
        <v>-4580</v>
      </c>
      <c r="K148" s="381"/>
      <c r="N148" s="382">
        <v>1071.8899999999849</v>
      </c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8.4727915998456263E-2</v>
      </c>
      <c r="H149" s="460">
        <f>G149+'8'!H149</f>
        <v>0.72174318702419249</v>
      </c>
      <c r="I149" s="545"/>
      <c r="J149" s="552">
        <f>H149/DAY(B2)</f>
        <v>8.0193687447132497E-2</v>
      </c>
      <c r="N149" s="382">
        <v>9.4364820846904202E-2</v>
      </c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-58809.219999999972</v>
      </c>
      <c r="H150" s="460">
        <f>G150+'8'!H150</f>
        <v>-42746</v>
      </c>
      <c r="I150" s="545"/>
      <c r="J150" s="552">
        <f>H150/DAY(B2)</f>
        <v>-4749.5555555555557</v>
      </c>
      <c r="N150" s="382">
        <v>1124.1299999999901</v>
      </c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9.0424389846379474E-2</v>
      </c>
      <c r="H151" s="460">
        <f>G151+'8'!H151</f>
        <v>0.82548451425830105</v>
      </c>
      <c r="I151" s="480"/>
      <c r="J151" s="552">
        <f>H151/DAY(B2)</f>
        <v>9.1720501584255668E-2</v>
      </c>
      <c r="N151" s="382">
        <v>9.8963817237432E-2</v>
      </c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-45192.232999999993</v>
      </c>
      <c r="H152" s="460">
        <f>G152+'8'!H152</f>
        <v>-33975</v>
      </c>
      <c r="I152" s="480"/>
      <c r="J152" s="552">
        <f>H152/DAY(B2)</f>
        <v>-3775</v>
      </c>
      <c r="N152" s="382">
        <v>1164.4599999999919</v>
      </c>
    </row>
    <row r="153" spans="1:14" ht="27" customHeight="1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6.9487065035387596E-2</v>
      </c>
      <c r="H153" s="460">
        <f>G153+'8'!H153</f>
        <v>0.58415360026984142</v>
      </c>
      <c r="I153" s="568"/>
      <c r="J153" s="569">
        <f>H153/DAY(B2)</f>
        <v>6.4905955585537939E-2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'8'!F160</f>
        <v>34107.43</v>
      </c>
      <c r="F160" s="661">
        <v>31564.65</v>
      </c>
      <c r="G160" s="473">
        <f t="shared" ref="G160:G171" si="15">F160-E160</f>
        <v>-2542.7799999999988</v>
      </c>
    </row>
    <row r="161" spans="1:7">
      <c r="A161" s="788" t="s">
        <v>264</v>
      </c>
      <c r="B161" s="789"/>
      <c r="C161" s="789"/>
      <c r="D161" s="511" t="s">
        <v>187</v>
      </c>
      <c r="E161" s="1064">
        <f>'8'!F161</f>
        <v>72251.490000000005</v>
      </c>
      <c r="F161" s="661">
        <v>59197</v>
      </c>
      <c r="G161" s="473">
        <f t="shared" si="15"/>
        <v>-13054.490000000005</v>
      </c>
    </row>
    <row r="162" spans="1:7">
      <c r="A162" s="788" t="s">
        <v>265</v>
      </c>
      <c r="B162" s="789"/>
      <c r="C162" s="789"/>
      <c r="D162" s="511" t="s">
        <v>187</v>
      </c>
      <c r="E162" s="1064">
        <f>'8'!F162</f>
        <v>31593.43</v>
      </c>
      <c r="F162" s="661">
        <v>23100</v>
      </c>
      <c r="G162" s="473">
        <f t="shared" si="15"/>
        <v>-8493.43</v>
      </c>
    </row>
    <row r="163" spans="1:7">
      <c r="A163" s="788" t="s">
        <v>266</v>
      </c>
      <c r="B163" s="789"/>
      <c r="C163" s="789"/>
      <c r="D163" s="511" t="s">
        <v>187</v>
      </c>
      <c r="E163" s="1064">
        <f>'8'!F163</f>
        <v>5897</v>
      </c>
      <c r="F163" s="661">
        <v>5536</v>
      </c>
      <c r="G163" s="473">
        <f t="shared" si="15"/>
        <v>-361</v>
      </c>
    </row>
    <row r="164" spans="1:7">
      <c r="A164" s="790" t="s">
        <v>98</v>
      </c>
      <c r="B164" s="604"/>
      <c r="C164" s="604"/>
      <c r="D164" s="511" t="s">
        <v>187</v>
      </c>
      <c r="E164" s="1064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'8'!F165</f>
        <v>2189.58</v>
      </c>
      <c r="F165" s="514">
        <f t="shared" ref="F165:F171" si="16">F63</f>
        <v>1825</v>
      </c>
      <c r="G165" s="473">
        <f t="shared" si="15"/>
        <v>-364.57999999999993</v>
      </c>
    </row>
    <row r="166" spans="1:7" ht="27.75">
      <c r="A166" s="1412" t="s">
        <v>99</v>
      </c>
      <c r="B166" s="1412"/>
      <c r="C166" s="1412"/>
      <c r="D166" s="523" t="s">
        <v>187</v>
      </c>
      <c r="E166" s="1064">
        <f>'8'!F166</f>
        <v>142907.71</v>
      </c>
      <c r="F166" s="514">
        <f t="shared" si="16"/>
        <v>128296</v>
      </c>
      <c r="G166" s="473">
        <f t="shared" si="15"/>
        <v>-14611.709999999992</v>
      </c>
    </row>
    <row r="167" spans="1:7" ht="27.75">
      <c r="A167" s="1412" t="s">
        <v>100</v>
      </c>
      <c r="B167" s="1412"/>
      <c r="C167" s="1412"/>
      <c r="D167" s="523" t="s">
        <v>187</v>
      </c>
      <c r="E167" s="1064">
        <f>'8'!F167</f>
        <v>147109.56</v>
      </c>
      <c r="F167" s="514">
        <f t="shared" si="16"/>
        <v>135987</v>
      </c>
      <c r="G167" s="473">
        <f t="shared" si="15"/>
        <v>-11122.559999999998</v>
      </c>
    </row>
    <row r="168" spans="1:7" ht="27.75">
      <c r="A168" s="1412" t="s">
        <v>101</v>
      </c>
      <c r="B168" s="1412"/>
      <c r="C168" s="1412"/>
      <c r="D168" s="523" t="s">
        <v>187</v>
      </c>
      <c r="E168" s="1064">
        <f>'8'!F168</f>
        <v>40971.85</v>
      </c>
      <c r="F168" s="514">
        <f t="shared" si="16"/>
        <v>28723</v>
      </c>
      <c r="G168" s="473">
        <f t="shared" si="15"/>
        <v>-12248.849999999999</v>
      </c>
    </row>
    <row r="169" spans="1:7" ht="27.75">
      <c r="A169" s="1412" t="s">
        <v>102</v>
      </c>
      <c r="B169" s="1412"/>
      <c r="C169" s="1412"/>
      <c r="D169" s="523" t="s">
        <v>187</v>
      </c>
      <c r="E169" s="1064">
        <f>'8'!F169</f>
        <v>234109.79</v>
      </c>
      <c r="F169" s="514">
        <f t="shared" si="16"/>
        <v>213978</v>
      </c>
      <c r="G169" s="473">
        <f t="shared" si="15"/>
        <v>-20131.790000000008</v>
      </c>
    </row>
    <row r="170" spans="1:7" ht="27.75">
      <c r="A170" s="1412" t="s">
        <v>103</v>
      </c>
      <c r="B170" s="1412"/>
      <c r="C170" s="1412"/>
      <c r="D170" s="523" t="s">
        <v>187</v>
      </c>
      <c r="E170" s="1064">
        <f>'8'!F170</f>
        <v>85321</v>
      </c>
      <c r="F170" s="514">
        <f t="shared" si="16"/>
        <v>75751</v>
      </c>
      <c r="G170" s="473">
        <f t="shared" si="15"/>
        <v>-9570</v>
      </c>
    </row>
    <row r="171" spans="1:7" ht="27.75">
      <c r="A171" s="1412" t="s">
        <v>104</v>
      </c>
      <c r="B171" s="1412"/>
      <c r="C171" s="1412"/>
      <c r="D171" s="523" t="s">
        <v>187</v>
      </c>
      <c r="E171" s="1064">
        <f>'8'!F171</f>
        <v>76765.649999999994</v>
      </c>
      <c r="F171" s="514">
        <f t="shared" si="16"/>
        <v>67385</v>
      </c>
      <c r="G171" s="473">
        <f t="shared" si="15"/>
        <v>-9380.6499999999942</v>
      </c>
    </row>
    <row r="176" spans="1:7" ht="18.75" customHeight="1"/>
    <row r="177" spans="6:6" ht="18.75" customHeight="1">
      <c r="F177" s="666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4" zoomScale="60" zoomScaleNormal="55" workbookViewId="0">
      <selection activeCell="E11" sqref="E11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575" t="s">
        <v>317</v>
      </c>
      <c r="B2" s="1036">
        <v>44265</v>
      </c>
      <c r="C2" s="1147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7" t="s">
        <v>120</v>
      </c>
      <c r="D3" s="612">
        <v>28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4638060</v>
      </c>
      <c r="F7" s="455">
        <v>4659850</v>
      </c>
      <c r="G7" s="681">
        <f>F7-E7</f>
        <v>21790</v>
      </c>
      <c r="H7" s="682">
        <f>G7+'9'!H7</f>
        <v>-454073</v>
      </c>
      <c r="I7" s="683">
        <v>12000</v>
      </c>
      <c r="J7" s="684">
        <f>H7/DAY(B2)</f>
        <v>-45407.3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4667409</v>
      </c>
      <c r="F8" s="475">
        <v>4689349</v>
      </c>
      <c r="G8" s="692">
        <f>F8-E8</f>
        <v>21940</v>
      </c>
      <c r="H8" s="682">
        <f>G8+'9'!H8</f>
        <v>-455969</v>
      </c>
      <c r="I8" s="689">
        <v>12000</v>
      </c>
      <c r="J8" s="684">
        <f>H8/DAY(B2)</f>
        <v>-45596.9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124354</v>
      </c>
      <c r="F9" s="478">
        <v>124354</v>
      </c>
      <c r="G9" s="705">
        <f t="shared" ref="G9:G12" si="0">F9-E9</f>
        <v>0</v>
      </c>
      <c r="H9" s="682">
        <f>G9+'9'!H9</f>
        <v>-271715</v>
      </c>
      <c r="I9" s="693">
        <f>I7-J7</f>
        <v>57407.3</v>
      </c>
      <c r="J9" s="684">
        <f>H9/DAY(B2)</f>
        <v>-27171.5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174625</v>
      </c>
      <c r="F10" s="478">
        <v>195619</v>
      </c>
      <c r="G10" s="692">
        <f t="shared" si="0"/>
        <v>20994</v>
      </c>
      <c r="H10" s="682">
        <f>G10+'9'!H10</f>
        <v>193296.42</v>
      </c>
      <c r="I10" s="694"/>
      <c r="J10" s="684">
        <f>H10/DAY(B2)</f>
        <v>19329.642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20994</v>
      </c>
      <c r="H13" s="682">
        <f>G13+'9'!H13</f>
        <v>-78418.579999999958</v>
      </c>
      <c r="I13" s="698">
        <f>G7-G13</f>
        <v>796</v>
      </c>
      <c r="J13" s="684">
        <f>H13/DAY(B2)</f>
        <v>-7841.8579999999956</v>
      </c>
      <c r="K13" s="428"/>
      <c r="L13" s="377"/>
      <c r="N13" s="716"/>
    </row>
    <row r="14" spans="1:14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1627874.87</v>
      </c>
      <c r="F15" s="485">
        <v>1628722</v>
      </c>
      <c r="G15" s="667">
        <f>(F15-E15)</f>
        <v>847.12999999988824</v>
      </c>
      <c r="H15" s="486">
        <f>G15+'9'!H15</f>
        <v>-17967</v>
      </c>
      <c r="I15" s="474">
        <v>800</v>
      </c>
      <c r="J15" s="553">
        <f>H15/DAY(B2)</f>
        <v>-1796.7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2596.6999999999998</v>
      </c>
      <c r="J16" s="553"/>
      <c r="K16" s="428"/>
      <c r="L16" s="377"/>
      <c r="N16" s="716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477" t="s">
        <v>143</v>
      </c>
      <c r="B18" s="1478"/>
      <c r="C18" s="1479"/>
      <c r="D18" s="638" t="s">
        <v>144</v>
      </c>
      <c r="E18" s="635">
        <f>'9'!F18</f>
        <v>12</v>
      </c>
      <c r="F18" s="478">
        <v>10</v>
      </c>
      <c r="G18" s="697">
        <f>F18*10</f>
        <v>100</v>
      </c>
      <c r="H18" s="682">
        <f>G18+'9'!H18</f>
        <v>1120</v>
      </c>
      <c r="I18" s="683">
        <v>65</v>
      </c>
      <c r="J18" s="684">
        <f>H18/DAY(B2)</f>
        <v>112</v>
      </c>
      <c r="K18" s="428"/>
      <c r="L18" s="377"/>
      <c r="N18" s="716"/>
    </row>
    <row r="19" spans="1:14" ht="27.75">
      <c r="A19" s="1477" t="s">
        <v>71</v>
      </c>
      <c r="B19" s="1478"/>
      <c r="C19" s="1479"/>
      <c r="D19" s="638" t="s">
        <v>144</v>
      </c>
      <c r="E19" s="635">
        <f>'9'!F19</f>
        <v>134930</v>
      </c>
      <c r="F19" s="478">
        <v>134982</v>
      </c>
      <c r="G19" s="692">
        <f t="shared" ref="G19" si="1">F19-E19</f>
        <v>52</v>
      </c>
      <c r="H19" s="682">
        <f>G19+'9'!H19</f>
        <v>-1108</v>
      </c>
      <c r="I19" s="699"/>
      <c r="J19" s="684">
        <f>H19/DAY(B2)</f>
        <v>-110.8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152</v>
      </c>
      <c r="H20" s="682">
        <f>G20+'9'!H20</f>
        <v>12</v>
      </c>
      <c r="I20" s="701">
        <f>I18-J20</f>
        <v>63.8</v>
      </c>
      <c r="J20" s="684">
        <f>H20/DAY(B2)</f>
        <v>1.2</v>
      </c>
      <c r="K20" s="428"/>
      <c r="L20" s="377"/>
      <c r="N20" s="716"/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5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1680</v>
      </c>
      <c r="I22" s="480"/>
      <c r="J22" s="552">
        <f>H22/DAY(B2)</f>
        <v>168</v>
      </c>
      <c r="K22" s="428"/>
      <c r="L22" s="377"/>
      <c r="N22" s="716"/>
    </row>
    <row r="23" spans="1:14">
      <c r="A23" s="1145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21940</v>
      </c>
      <c r="F27" s="501">
        <v>9</v>
      </c>
      <c r="G27" s="502">
        <f>E27*F27</f>
        <v>197460</v>
      </c>
      <c r="H27" s="460">
        <f>G27+'9'!H27</f>
        <v>-4103721</v>
      </c>
      <c r="I27" s="503"/>
      <c r="J27" s="552">
        <f>H27/DAY(B2)</f>
        <v>-410372.1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847.12999999988824</v>
      </c>
      <c r="F28" s="501">
        <v>51.45</v>
      </c>
      <c r="G28" s="502">
        <f>E28*F28</f>
        <v>43584.83849999425</v>
      </c>
      <c r="H28" s="460">
        <f>G28+'9'!H28</f>
        <v>-924402.15000000014</v>
      </c>
      <c r="I28" s="505"/>
      <c r="J28" s="552">
        <f>H28/DAY(B2)</f>
        <v>-92440.215000000011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G30+'9'!H30</f>
        <v>-147104</v>
      </c>
      <c r="I30" s="505"/>
      <c r="J30" s="552">
        <f>H30/DAY(B2)</f>
        <v>-14710.4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G31+'9'!H31</f>
        <v>89600</v>
      </c>
      <c r="I31" s="505"/>
      <c r="J31" s="552">
        <f>H31/DAY(B2)</f>
        <v>8960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256012.83849999425</v>
      </c>
      <c r="H32" s="460">
        <f>G32+'9'!H32</f>
        <v>-5085627.1500000004</v>
      </c>
      <c r="I32" s="509"/>
      <c r="J32" s="552">
        <f>H32/DAY(B2)</f>
        <v>-508562.71500000003</v>
      </c>
      <c r="K32" s="373"/>
      <c r="L32" s="443"/>
      <c r="N32" s="716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16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723418</v>
      </c>
      <c r="F35" s="1037">
        <v>726865</v>
      </c>
      <c r="G35" s="473">
        <f t="shared" ref="G35:G46" si="3">F35-E35</f>
        <v>3447</v>
      </c>
      <c r="H35" s="460">
        <f>G35+'9'!H35</f>
        <v>-71524</v>
      </c>
      <c r="I35" s="455"/>
      <c r="J35" s="552">
        <f>H35/DAY(B2)</f>
        <v>-7152.4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302278</v>
      </c>
      <c r="F36" s="1037">
        <v>302980</v>
      </c>
      <c r="G36" s="473">
        <f t="shared" si="3"/>
        <v>702</v>
      </c>
      <c r="H36" s="460">
        <f>G36+'9'!H36</f>
        <v>-14456</v>
      </c>
      <c r="I36" s="455"/>
      <c r="J36" s="552">
        <f>H36/DAY(B2)</f>
        <v>-1445.6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35167</v>
      </c>
      <c r="F37" s="1037">
        <v>35167</v>
      </c>
      <c r="G37" s="473">
        <f t="shared" si="3"/>
        <v>0</v>
      </c>
      <c r="H37" s="460">
        <f>G37+'9'!H37</f>
        <v>-19630</v>
      </c>
      <c r="I37" s="455"/>
      <c r="J37" s="552">
        <f>H37/DAY(B2)</f>
        <v>-1963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-23975</v>
      </c>
      <c r="I38" s="455"/>
      <c r="J38" s="552">
        <f>H38/DAY(B2)</f>
        <v>-2397.5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100066</v>
      </c>
      <c r="F39" s="1037">
        <v>100066</v>
      </c>
      <c r="G39" s="473">
        <f t="shared" si="3"/>
        <v>0</v>
      </c>
      <c r="H39" s="460">
        <f>G39+'9'!H39</f>
        <v>-52756</v>
      </c>
      <c r="I39" s="455"/>
      <c r="J39" s="552">
        <f>H39/DAY(B2)</f>
        <v>-5275.6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0.17</v>
      </c>
      <c r="I40" s="455"/>
      <c r="J40" s="552">
        <f>H40/DAY(B2)</f>
        <v>1.7000000000000001E-2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64767</v>
      </c>
      <c r="F41" s="1037">
        <v>64767</v>
      </c>
      <c r="G41" s="473">
        <f>F41-E41</f>
        <v>0</v>
      </c>
      <c r="H41" s="460">
        <f>G41+'9'!H41</f>
        <v>-68374</v>
      </c>
      <c r="I41" s="455"/>
      <c r="J41" s="552">
        <f>H41/DAY(B2)</f>
        <v>-6837.4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</v>
      </c>
      <c r="F42" s="1037">
        <v>59128</v>
      </c>
      <c r="G42" s="473">
        <f t="shared" si="3"/>
        <v>0</v>
      </c>
      <c r="H42" s="460">
        <f>G42+'9'!H42</f>
        <v>-0.16000000000349246</v>
      </c>
      <c r="I42" s="455"/>
      <c r="J42" s="552">
        <f>H42/DAY(B2)</f>
        <v>-1.6000000000349245E-2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847898</v>
      </c>
      <c r="F43" s="1037">
        <v>850405</v>
      </c>
      <c r="G43" s="473">
        <f t="shared" si="3"/>
        <v>2507</v>
      </c>
      <c r="H43" s="460">
        <f>G43+'9'!H43</f>
        <v>-51643</v>
      </c>
      <c r="I43" s="455"/>
      <c r="J43" s="552">
        <f>H43/DAY(B2)</f>
        <v>-5164.3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6656</v>
      </c>
      <c r="H47" s="460">
        <f>G47+'9'!H47</f>
        <v>-301556.99000000005</v>
      </c>
      <c r="I47" s="455"/>
      <c r="J47" s="552">
        <f>H47/DAY(B2)</f>
        <v>-30155.699000000004</v>
      </c>
      <c r="K47" s="428"/>
      <c r="L47" s="377"/>
      <c r="N47" s="716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413644</v>
      </c>
      <c r="F50" s="1037">
        <v>414838</v>
      </c>
      <c r="G50" s="473">
        <f t="shared" si="4"/>
        <v>1194</v>
      </c>
      <c r="H50" s="460">
        <f>G50+'9'!H50</f>
        <v>-26394</v>
      </c>
      <c r="I50" s="455"/>
      <c r="J50" s="552">
        <f>H50/DAY(B2)</f>
        <v>-2639.4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-12796</v>
      </c>
      <c r="I51" s="455"/>
      <c r="J51" s="552">
        <f>H51/DAY(B2)</f>
        <v>-1279.5999999999999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-15199</v>
      </c>
      <c r="I52" s="455"/>
      <c r="J52" s="552">
        <f>H52/DAY(B2)</f>
        <v>-1519.9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-36201</v>
      </c>
      <c r="I53" s="455"/>
      <c r="J53" s="552">
        <f>H53/DAY(B2)</f>
        <v>-3620.1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2043.0400000000009</v>
      </c>
      <c r="I54" s="455"/>
      <c r="J54" s="552">
        <f>H54/DAY(B2)</f>
        <v>204.30400000000009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161778</v>
      </c>
      <c r="F55" s="656">
        <v>166777</v>
      </c>
      <c r="G55" s="655">
        <f t="shared" si="4"/>
        <v>4999</v>
      </c>
      <c r="H55" s="708">
        <f>G55+'9'!H55</f>
        <v>-49320</v>
      </c>
      <c r="I55" s="709"/>
      <c r="J55" s="710">
        <f>H55/DAY(B2)</f>
        <v>-4932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588761</v>
      </c>
      <c r="F56" s="656">
        <v>588761</v>
      </c>
      <c r="G56" s="473">
        <f t="shared" si="4"/>
        <v>0</v>
      </c>
      <c r="H56" s="460">
        <f>G56+'9'!H56</f>
        <v>-206</v>
      </c>
      <c r="I56" s="455"/>
      <c r="J56" s="552">
        <f>H56/DAY(B2)</f>
        <v>-20.6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37646</v>
      </c>
      <c r="F58" s="656">
        <v>37842</v>
      </c>
      <c r="G58" s="473">
        <f t="shared" si="4"/>
        <v>196</v>
      </c>
      <c r="H58" s="460">
        <f>G58+'9'!H58</f>
        <v>-3705</v>
      </c>
      <c r="I58" s="455"/>
      <c r="J58" s="552">
        <f>H58/DAY(B2)</f>
        <v>-370.5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14169</v>
      </c>
      <c r="H59" s="460">
        <f>G59+'9'!H59</f>
        <v>-141777.96000000002</v>
      </c>
      <c r="I59" s="455">
        <f>G7-G60</f>
        <v>965</v>
      </c>
      <c r="J59" s="552">
        <f>H59/DAY(B2)</f>
        <v>-14177.796000000002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20825</v>
      </c>
      <c r="H60" s="460">
        <f>G60+'9'!H60</f>
        <v>-443334.95</v>
      </c>
      <c r="I60" s="455">
        <f>G8-G60</f>
        <v>1115</v>
      </c>
      <c r="J60" s="552">
        <f>H60/DAY(B2)</f>
        <v>-44333.495000000003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-257</v>
      </c>
      <c r="I63" s="515"/>
      <c r="J63" s="552">
        <f>H63/DAY(B2)</f>
        <v>-25.7</v>
      </c>
      <c r="K63" s="428"/>
      <c r="L63" s="377"/>
      <c r="N63" s="716"/>
    </row>
    <row r="64" spans="1:14" ht="27.75">
      <c r="A64" s="1416" t="s">
        <v>99</v>
      </c>
      <c r="B64" s="1417"/>
      <c r="C64" s="1418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-10339</v>
      </c>
      <c r="I64" s="480"/>
      <c r="J64" s="552">
        <f>H64/DAY(B2)</f>
        <v>-1033.9000000000001</v>
      </c>
      <c r="K64" s="428"/>
      <c r="L64" s="377"/>
      <c r="N64" s="716"/>
    </row>
    <row r="65" spans="1:14" ht="27.75">
      <c r="A65" s="1416" t="s">
        <v>100</v>
      </c>
      <c r="B65" s="1417"/>
      <c r="C65" s="1418"/>
      <c r="D65" s="523" t="s">
        <v>187</v>
      </c>
      <c r="E65" s="514">
        <f>'9'!F65</f>
        <v>135987</v>
      </c>
      <c r="F65" s="654">
        <v>136358</v>
      </c>
      <c r="G65" s="473">
        <f t="shared" si="5"/>
        <v>371</v>
      </c>
      <c r="H65" s="460">
        <f>G65+'9'!H65</f>
        <v>-7847</v>
      </c>
      <c r="I65" s="489"/>
      <c r="J65" s="552">
        <f>H65/DAY(B2)</f>
        <v>-784.7</v>
      </c>
      <c r="K65" s="428"/>
      <c r="L65" s="377"/>
      <c r="N65" s="716"/>
    </row>
    <row r="66" spans="1:14" ht="27.75">
      <c r="A66" s="1416" t="s">
        <v>101</v>
      </c>
      <c r="B66" s="1417"/>
      <c r="C66" s="1418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-8130</v>
      </c>
      <c r="I66" s="480"/>
      <c r="J66" s="552">
        <f>H66/DAY(B2)</f>
        <v>-813</v>
      </c>
      <c r="K66" s="428"/>
      <c r="L66" s="377"/>
      <c r="N66" s="716"/>
    </row>
    <row r="67" spans="1:14" ht="27.75">
      <c r="A67" s="1416" t="s">
        <v>102</v>
      </c>
      <c r="B67" s="1417"/>
      <c r="C67" s="1418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-14465</v>
      </c>
      <c r="I67" s="489"/>
      <c r="J67" s="552">
        <f>H67/DAY(B2)</f>
        <v>-1446.5</v>
      </c>
      <c r="K67" s="429"/>
      <c r="L67" s="377"/>
      <c r="N67" s="716"/>
    </row>
    <row r="68" spans="1:14" ht="27.75">
      <c r="A68" s="1416" t="s">
        <v>103</v>
      </c>
      <c r="B68" s="1417"/>
      <c r="C68" s="1418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-7008</v>
      </c>
      <c r="I68" s="516"/>
      <c r="J68" s="552">
        <f>H68/DAY(B2)</f>
        <v>-700.8</v>
      </c>
      <c r="K68" s="430"/>
      <c r="L68" s="377"/>
      <c r="N68" s="716"/>
    </row>
    <row r="69" spans="1:14" ht="27.75">
      <c r="A69" s="1416" t="s">
        <v>104</v>
      </c>
      <c r="B69" s="1417"/>
      <c r="C69" s="1418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-6617</v>
      </c>
      <c r="I69" s="516"/>
      <c r="J69" s="552">
        <f>H69/DAY(B2)</f>
        <v>-661.7</v>
      </c>
      <c r="K69" s="431"/>
      <c r="L69" s="377"/>
      <c r="N69" s="716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16"/>
    </row>
    <row r="72" spans="1:14" ht="27.75">
      <c r="A72" s="1416" t="s">
        <v>191</v>
      </c>
      <c r="B72" s="1417"/>
      <c r="C72" s="1418"/>
      <c r="D72" s="523" t="s">
        <v>187</v>
      </c>
      <c r="E72" s="519">
        <f>'9'!F72</f>
        <v>851351</v>
      </c>
      <c r="F72" s="657">
        <v>851438</v>
      </c>
      <c r="G72" s="473">
        <f t="shared" ref="G72:G84" si="6">F72-E72</f>
        <v>87</v>
      </c>
      <c r="H72" s="460">
        <f>G72+'9'!H72</f>
        <v>-1741</v>
      </c>
      <c r="I72" s="480"/>
      <c r="J72" s="552">
        <f>H72/DAY(B2)</f>
        <v>-174.1</v>
      </c>
      <c r="K72" s="431"/>
      <c r="L72" s="377"/>
      <c r="N72" s="716"/>
    </row>
    <row r="73" spans="1:14" ht="27.75">
      <c r="A73" s="1416" t="s">
        <v>192</v>
      </c>
      <c r="B73" s="1417"/>
      <c r="C73" s="1418"/>
      <c r="D73" s="523" t="s">
        <v>187</v>
      </c>
      <c r="E73" s="519">
        <f>'9'!F73</f>
        <v>885775</v>
      </c>
      <c r="F73" s="658">
        <v>885775</v>
      </c>
      <c r="G73" s="655">
        <f t="shared" si="6"/>
        <v>0</v>
      </c>
      <c r="H73" s="460">
        <f>G73+'9'!H73</f>
        <v>-25</v>
      </c>
      <c r="I73" s="480"/>
      <c r="J73" s="552">
        <f>H73/DAY(B2)</f>
        <v>-2.5</v>
      </c>
      <c r="K73" s="430"/>
      <c r="L73" s="377"/>
      <c r="N73" s="716"/>
    </row>
    <row r="74" spans="1:14" ht="27.75">
      <c r="A74" s="1416" t="s">
        <v>193</v>
      </c>
      <c r="B74" s="1417"/>
      <c r="C74" s="1418"/>
      <c r="D74" s="523" t="s">
        <v>187</v>
      </c>
      <c r="E74" s="519">
        <f>'9'!F74</f>
        <v>847</v>
      </c>
      <c r="F74" s="657">
        <v>872</v>
      </c>
      <c r="G74" s="473">
        <f t="shared" si="6"/>
        <v>25</v>
      </c>
      <c r="H74" s="460">
        <f>G74+'9'!H74</f>
        <v>-498</v>
      </c>
      <c r="I74" s="480"/>
      <c r="J74" s="552">
        <f>H74/DAY(B2)</f>
        <v>-49.8</v>
      </c>
      <c r="K74" s="431"/>
      <c r="L74" s="377"/>
      <c r="N74" s="716"/>
    </row>
    <row r="75" spans="1:14" ht="27.75">
      <c r="A75" s="1413" t="s">
        <v>194</v>
      </c>
      <c r="B75" s="1414"/>
      <c r="C75" s="1415"/>
      <c r="D75" s="523" t="s">
        <v>187</v>
      </c>
      <c r="E75" s="519">
        <f>'9'!F75</f>
        <v>4989</v>
      </c>
      <c r="F75" s="658">
        <v>5150</v>
      </c>
      <c r="G75" s="473">
        <f t="shared" si="6"/>
        <v>161</v>
      </c>
      <c r="H75" s="460">
        <f>G75+'9'!H75</f>
        <v>-3530</v>
      </c>
      <c r="I75" s="480"/>
      <c r="J75" s="552">
        <f>H75/DAY(B2)</f>
        <v>-353</v>
      </c>
      <c r="K75" s="430"/>
      <c r="L75" s="377"/>
      <c r="N75" s="716"/>
    </row>
    <row r="76" spans="1:14" ht="27.75">
      <c r="A76" s="1413" t="s">
        <v>195</v>
      </c>
      <c r="B76" s="1414"/>
      <c r="C76" s="1415"/>
      <c r="D76" s="523" t="s">
        <v>187</v>
      </c>
      <c r="E76" s="519">
        <f>'9'!F76</f>
        <v>2263</v>
      </c>
      <c r="F76" s="658">
        <v>2353</v>
      </c>
      <c r="G76" s="473">
        <f t="shared" si="6"/>
        <v>90</v>
      </c>
      <c r="H76" s="460">
        <f>G76+'9'!H76</f>
        <v>-1684</v>
      </c>
      <c r="I76" s="505"/>
      <c r="J76" s="552">
        <f>H76/DAY(B2)</f>
        <v>-168.4</v>
      </c>
      <c r="K76" s="430"/>
      <c r="L76" s="377"/>
      <c r="N76" s="716"/>
    </row>
    <row r="77" spans="1:14" ht="27.75">
      <c r="A77" s="1416" t="s">
        <v>196</v>
      </c>
      <c r="B77" s="1417"/>
      <c r="C77" s="1418"/>
      <c r="D77" s="523" t="s">
        <v>187</v>
      </c>
      <c r="E77" s="519">
        <f>'9'!F77</f>
        <v>699058</v>
      </c>
      <c r="F77" s="658">
        <v>699114</v>
      </c>
      <c r="G77" s="655">
        <f t="shared" si="6"/>
        <v>56</v>
      </c>
      <c r="H77" s="460">
        <f>G77+'9'!H77</f>
        <v>-1100</v>
      </c>
      <c r="I77" s="505"/>
      <c r="J77" s="552">
        <f>H77/DAY(B2)</f>
        <v>-110</v>
      </c>
      <c r="K77" s="430"/>
      <c r="L77" s="377"/>
      <c r="N77" s="716"/>
    </row>
    <row r="78" spans="1:14" ht="27.75">
      <c r="A78" s="1148" t="s">
        <v>197</v>
      </c>
      <c r="B78" s="1121"/>
      <c r="C78" s="1121"/>
      <c r="D78" s="523" t="s">
        <v>187</v>
      </c>
      <c r="E78" s="519">
        <f>'9'!F78</f>
        <v>656365</v>
      </c>
      <c r="F78" s="659">
        <v>656774</v>
      </c>
      <c r="G78" s="473">
        <f t="shared" si="6"/>
        <v>409</v>
      </c>
      <c r="H78" s="460">
        <f>G78+'9'!H78</f>
        <v>-8606</v>
      </c>
      <c r="I78" s="505"/>
      <c r="J78" s="552">
        <f>H78/DAY(B2)</f>
        <v>-860.6</v>
      </c>
      <c r="K78" s="430"/>
      <c r="L78" s="377"/>
      <c r="N78" s="716"/>
    </row>
    <row r="79" spans="1:14" ht="27.75">
      <c r="A79" s="1413" t="s">
        <v>92</v>
      </c>
      <c r="B79" s="1414"/>
      <c r="C79" s="1415"/>
      <c r="D79" s="524" t="s">
        <v>187</v>
      </c>
      <c r="E79" s="519">
        <f>'9'!F79</f>
        <v>817034</v>
      </c>
      <c r="F79" s="659">
        <v>817239</v>
      </c>
      <c r="G79" s="473">
        <f t="shared" si="6"/>
        <v>205</v>
      </c>
      <c r="H79" s="460">
        <f>G79+'9'!H79</f>
        <v>-3974</v>
      </c>
      <c r="I79" s="505"/>
      <c r="J79" s="552">
        <f>H79/DAY(B2)</f>
        <v>-397.4</v>
      </c>
      <c r="K79" s="430"/>
      <c r="L79" s="377"/>
      <c r="N79" s="716"/>
    </row>
    <row r="80" spans="1:14" ht="27.75">
      <c r="A80" s="1413" t="s">
        <v>198</v>
      </c>
      <c r="B80" s="1414"/>
      <c r="C80" s="1415"/>
      <c r="D80" s="524" t="s">
        <v>187</v>
      </c>
      <c r="E80" s="519">
        <f>'9'!F80</f>
        <v>497753</v>
      </c>
      <c r="F80" s="658">
        <v>498270</v>
      </c>
      <c r="G80" s="473">
        <f t="shared" si="6"/>
        <v>517</v>
      </c>
      <c r="H80" s="460">
        <f>G80+'9'!H80</f>
        <v>-7429</v>
      </c>
      <c r="I80" s="505"/>
      <c r="J80" s="552">
        <f>H80/DAY(B2)</f>
        <v>-742.9</v>
      </c>
      <c r="K80" s="430"/>
      <c r="L80" s="377"/>
      <c r="N80" s="716"/>
    </row>
    <row r="81" spans="1:15" ht="27.75">
      <c r="A81" s="1413" t="s">
        <v>199</v>
      </c>
      <c r="B81" s="1414"/>
      <c r="C81" s="1415"/>
      <c r="D81" s="524" t="s">
        <v>187</v>
      </c>
      <c r="E81" s="519">
        <f>'9'!F81</f>
        <v>626928</v>
      </c>
      <c r="F81" s="658">
        <v>627017</v>
      </c>
      <c r="G81" s="473">
        <f t="shared" si="6"/>
        <v>89</v>
      </c>
      <c r="H81" s="460">
        <f>G81+'9'!H81</f>
        <v>-3168</v>
      </c>
      <c r="I81" s="505"/>
      <c r="J81" s="552">
        <f>H81/DAY(B2)</f>
        <v>-316.8</v>
      </c>
      <c r="K81" s="430"/>
      <c r="L81" s="377"/>
      <c r="N81" s="716"/>
    </row>
    <row r="82" spans="1:15" ht="27.75">
      <c r="A82" s="1413" t="s">
        <v>93</v>
      </c>
      <c r="B82" s="1414"/>
      <c r="C82" s="1415"/>
      <c r="D82" s="485" t="s">
        <v>132</v>
      </c>
      <c r="E82" s="519">
        <f>'9'!F82</f>
        <v>106394</v>
      </c>
      <c r="F82" s="654">
        <v>106419</v>
      </c>
      <c r="G82" s="473">
        <f t="shared" si="6"/>
        <v>25</v>
      </c>
      <c r="H82" s="460">
        <f>G82+'9'!H82</f>
        <v>-476</v>
      </c>
      <c r="I82" s="486"/>
      <c r="J82" s="552">
        <f>H82/DAY(B2)</f>
        <v>-47.6</v>
      </c>
      <c r="K82" s="430"/>
      <c r="L82" s="377"/>
      <c r="N82" s="716"/>
    </row>
    <row r="83" spans="1:15" ht="27.75">
      <c r="A83" s="1413" t="s">
        <v>200</v>
      </c>
      <c r="B83" s="1414"/>
      <c r="C83" s="1415"/>
      <c r="D83" s="620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-5783</v>
      </c>
      <c r="I83" s="481"/>
      <c r="J83" s="552">
        <f>H83/DAY(B2)</f>
        <v>-578.29999999999995</v>
      </c>
      <c r="K83" s="429"/>
      <c r="L83" s="377"/>
      <c r="N83" s="716"/>
    </row>
    <row r="84" spans="1:15">
      <c r="A84" s="1149" t="s">
        <v>201</v>
      </c>
      <c r="B84" s="571"/>
      <c r="C84" s="571"/>
      <c r="D84" s="478" t="s">
        <v>132</v>
      </c>
      <c r="E84" s="519">
        <f>'9'!F84</f>
        <v>437575</v>
      </c>
      <c r="F84" s="627">
        <v>438460</v>
      </c>
      <c r="G84" s="473">
        <f t="shared" si="6"/>
        <v>885</v>
      </c>
      <c r="H84" s="460">
        <f>G84+'9'!H84</f>
        <v>-16224</v>
      </c>
      <c r="I84" s="481"/>
      <c r="J84" s="552">
        <f>H84/DAY(B2)</f>
        <v>-1622.4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G85+'9'!H85</f>
        <v>-54238</v>
      </c>
      <c r="I85" s="481"/>
      <c r="J85" s="552">
        <f>H85/DAY(B2)</f>
        <v>-5423.8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451394</v>
      </c>
      <c r="F86" s="650">
        <v>451553</v>
      </c>
      <c r="G86" s="708">
        <f t="shared" ref="G86:G90" si="7">F86-E86</f>
        <v>159</v>
      </c>
      <c r="H86" s="460">
        <f>G86+'9'!H86</f>
        <v>-4303</v>
      </c>
      <c r="I86" s="655"/>
      <c r="J86" s="710">
        <f>H86/DAY(B2)</f>
        <v>-430.3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79491</v>
      </c>
      <c r="F87" s="650">
        <v>79518</v>
      </c>
      <c r="G87" s="708">
        <f t="shared" si="7"/>
        <v>27</v>
      </c>
      <c r="H87" s="460">
        <f>G87+'9'!H87</f>
        <v>-876</v>
      </c>
      <c r="I87" s="655"/>
      <c r="J87" s="710">
        <f>H87/DAY(B2)</f>
        <v>-87.6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148916</v>
      </c>
      <c r="F88" s="639">
        <v>149012</v>
      </c>
      <c r="G88" s="708">
        <f t="shared" si="7"/>
        <v>96</v>
      </c>
      <c r="H88" s="460">
        <f>G88+'9'!H88</f>
        <v>-1992</v>
      </c>
      <c r="I88" s="655"/>
      <c r="J88" s="710">
        <f>H88/DAY(B2)</f>
        <v>-199.2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62354</v>
      </c>
      <c r="F89" s="650">
        <v>62437</v>
      </c>
      <c r="G89" s="708">
        <f t="shared" si="7"/>
        <v>83</v>
      </c>
      <c r="H89" s="460">
        <f>G89+'9'!H89</f>
        <v>-1419</v>
      </c>
      <c r="I89" s="655"/>
      <c r="J89" s="710">
        <f>H89/DAY(B2)</f>
        <v>-141.9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3203</v>
      </c>
      <c r="F90" s="650">
        <v>3209</v>
      </c>
      <c r="G90" s="708">
        <f t="shared" si="7"/>
        <v>6</v>
      </c>
      <c r="H90" s="460">
        <f>G90+'9'!H90</f>
        <v>-63</v>
      </c>
      <c r="I90" s="655"/>
      <c r="J90" s="710">
        <f>H90/DAY(B2)</f>
        <v>-6.3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16"/>
    </row>
    <row r="92" spans="1:15" ht="27.75">
      <c r="A92" s="1437" t="s">
        <v>206</v>
      </c>
      <c r="B92" s="1438"/>
      <c r="C92" s="1439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-1966</v>
      </c>
      <c r="I92" s="480"/>
      <c r="J92" s="552">
        <f>H92/DAY(B2)</f>
        <v>-196.6</v>
      </c>
      <c r="K92" s="429"/>
      <c r="L92" s="377"/>
      <c r="N92" s="716"/>
    </row>
    <row r="93" spans="1:15" ht="27.75">
      <c r="A93" s="1437" t="s">
        <v>207</v>
      </c>
      <c r="B93" s="1438"/>
      <c r="C93" s="1439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-2700</v>
      </c>
      <c r="I93" s="480"/>
      <c r="J93" s="552">
        <f>H93/DAY(B2)</f>
        <v>-270</v>
      </c>
      <c r="K93" s="380"/>
      <c r="L93" s="377"/>
      <c r="N93" s="716"/>
    </row>
    <row r="94" spans="1:15">
      <c r="A94" s="1465" t="s">
        <v>208</v>
      </c>
      <c r="B94" s="1466"/>
      <c r="C94" s="1467"/>
      <c r="D94" s="523"/>
      <c r="E94" s="484"/>
      <c r="F94" s="478"/>
      <c r="G94" s="473">
        <f>G92+G93</f>
        <v>155</v>
      </c>
      <c r="H94" s="460">
        <f>G94+'9'!H94</f>
        <v>-4885</v>
      </c>
      <c r="I94" s="480"/>
      <c r="J94" s="552">
        <f>H94/DAY(B2)</f>
        <v>-488.5</v>
      </c>
      <c r="K94" s="380"/>
      <c r="L94" s="377"/>
      <c r="N94" s="716"/>
    </row>
    <row r="95" spans="1:15" ht="27.75">
      <c r="A95" s="1437" t="s">
        <v>209</v>
      </c>
      <c r="B95" s="1438"/>
      <c r="C95" s="1439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-1741</v>
      </c>
      <c r="I95" s="480"/>
      <c r="J95" s="552">
        <f>H95/DAY(B2)</f>
        <v>-174.1</v>
      </c>
      <c r="K95" s="380"/>
      <c r="L95" s="377"/>
      <c r="N95" s="716"/>
    </row>
    <row r="96" spans="1:15" ht="27.75">
      <c r="A96" s="1145" t="s">
        <v>210</v>
      </c>
      <c r="B96" s="1146"/>
      <c r="C96" s="1146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-341</v>
      </c>
      <c r="I96" s="480"/>
      <c r="J96" s="552">
        <f>H96/DAY(B2)</f>
        <v>-34.1</v>
      </c>
      <c r="K96" s="427"/>
      <c r="L96" s="377"/>
      <c r="N96" s="716"/>
    </row>
    <row r="97" spans="1:14" ht="27.75">
      <c r="A97" s="1145" t="s">
        <v>211</v>
      </c>
      <c r="B97" s="1146"/>
      <c r="C97" s="1146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-292</v>
      </c>
      <c r="I97" s="480"/>
      <c r="J97" s="552">
        <f>H97/DAY(B2)</f>
        <v>-29.2</v>
      </c>
      <c r="K97" s="432"/>
      <c r="L97" s="377"/>
      <c r="N97" s="716"/>
    </row>
    <row r="98" spans="1:14" ht="27.75">
      <c r="A98" s="1145" t="s">
        <v>212</v>
      </c>
      <c r="B98" s="1146"/>
      <c r="C98" s="1146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-749</v>
      </c>
      <c r="I98" s="480"/>
      <c r="J98" s="552">
        <f>H98/DAY(B2)</f>
        <v>-74.900000000000006</v>
      </c>
      <c r="K98" s="380"/>
      <c r="L98" s="377"/>
      <c r="N98" s="718"/>
    </row>
    <row r="99" spans="1:14" ht="27.75">
      <c r="A99" s="1145" t="s">
        <v>213</v>
      </c>
      <c r="B99" s="1146"/>
      <c r="C99" s="1146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-308</v>
      </c>
      <c r="I99" s="480"/>
      <c r="J99" s="552">
        <f>H99/DAY(B2)</f>
        <v>-30.8</v>
      </c>
      <c r="K99" s="380"/>
      <c r="L99" s="377"/>
      <c r="N99" s="716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-297</v>
      </c>
      <c r="I100" s="480"/>
      <c r="J100" s="552">
        <f>H100/DAY(B2)</f>
        <v>-29.7</v>
      </c>
      <c r="K100" s="380"/>
      <c r="L100" s="377"/>
      <c r="N100" s="716"/>
    </row>
    <row r="101" spans="1:14">
      <c r="A101" s="1465" t="s">
        <v>216</v>
      </c>
      <c r="B101" s="1466"/>
      <c r="C101" s="1467"/>
      <c r="D101" s="524"/>
      <c r="E101" s="484"/>
      <c r="F101" s="524"/>
      <c r="G101" s="525">
        <f>SUM(G95:G100)</f>
        <v>156</v>
      </c>
      <c r="H101" s="460">
        <f>G101+'9'!H101</f>
        <v>-3728</v>
      </c>
      <c r="I101" s="526"/>
      <c r="J101" s="552">
        <f>H101/DAY(B2)</f>
        <v>-372.8</v>
      </c>
      <c r="K101" s="380"/>
      <c r="L101" s="377"/>
      <c r="N101" s="716"/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16"/>
    </row>
    <row r="103" spans="1:14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16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484">
        <v>7225</v>
      </c>
      <c r="F104" s="661">
        <v>7233</v>
      </c>
      <c r="G104" s="532">
        <v>8</v>
      </c>
      <c r="H104" s="460">
        <f>G104+'9'!H104</f>
        <v>-162</v>
      </c>
      <c r="I104" s="532"/>
      <c r="J104" s="558">
        <f>H104/DAY(B2)</f>
        <v>-16.2</v>
      </c>
      <c r="N104" s="716"/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484">
        <f>'9'!F105</f>
        <v>35481</v>
      </c>
      <c r="F105" s="662">
        <v>35488</v>
      </c>
      <c r="G105" s="532">
        <f t="shared" ref="G105:G106" si="10">F105-E105</f>
        <v>7</v>
      </c>
      <c r="H105" s="460">
        <f>G105+'9'!H105</f>
        <v>-163</v>
      </c>
      <c r="I105" s="532"/>
      <c r="J105" s="558">
        <f>H105/DAY(B2)</f>
        <v>-16.3</v>
      </c>
      <c r="N105" s="716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484">
        <f>'9'!F106</f>
        <v>19292</v>
      </c>
      <c r="F106" s="662">
        <v>19297</v>
      </c>
      <c r="G106" s="532">
        <f t="shared" si="10"/>
        <v>5</v>
      </c>
      <c r="H106" s="460">
        <f>G106+'9'!H106</f>
        <v>-114</v>
      </c>
      <c r="I106" s="532"/>
      <c r="J106" s="558">
        <f>H106/DAY(B2)</f>
        <v>-11.4</v>
      </c>
      <c r="N106" s="716"/>
    </row>
    <row r="107" spans="1:14" s="442" customFormat="1" ht="27.75">
      <c r="A107" s="1431" t="s">
        <v>202</v>
      </c>
      <c r="B107" s="1432"/>
      <c r="C107" s="1144"/>
      <c r="D107" s="622"/>
      <c r="E107" s="484"/>
      <c r="F107" s="662"/>
      <c r="G107" s="532">
        <f>SUM(G104:G106)</f>
        <v>20</v>
      </c>
      <c r="H107" s="460">
        <f>G107+'9'!H107</f>
        <v>-439</v>
      </c>
      <c r="I107" s="532"/>
      <c r="J107" s="558">
        <f>H107/DAY(B2)</f>
        <v>-43.9</v>
      </c>
      <c r="N107" s="716"/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16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484">
        <f>'9'!F109</f>
        <v>57061</v>
      </c>
      <c r="F109" s="662">
        <v>57144</v>
      </c>
      <c r="G109" s="532">
        <f>F109-E109</f>
        <v>83</v>
      </c>
      <c r="H109" s="460">
        <f>G109+'9'!H109</f>
        <v>-1729</v>
      </c>
      <c r="I109" s="532"/>
      <c r="J109" s="558">
        <f>H109/DAY(B2)</f>
        <v>-172.9</v>
      </c>
      <c r="N109" s="716"/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484">
        <f>'9'!F110</f>
        <v>31060</v>
      </c>
      <c r="F110" s="662">
        <v>31098</v>
      </c>
      <c r="G110" s="532">
        <f t="shared" ref="G110:G111" si="11">F110-E110</f>
        <v>38</v>
      </c>
      <c r="H110" s="460">
        <f>G110+'9'!H110</f>
        <v>-548</v>
      </c>
      <c r="I110" s="532"/>
      <c r="J110" s="558">
        <f>H110/DAY(B2)</f>
        <v>-54.8</v>
      </c>
      <c r="N110" s="716"/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484">
        <f>'9'!F111</f>
        <v>4043</v>
      </c>
      <c r="F111" s="662">
        <v>4047</v>
      </c>
      <c r="G111" s="532">
        <f t="shared" si="11"/>
        <v>4</v>
      </c>
      <c r="H111" s="460">
        <f>G111+'9'!H111</f>
        <v>-109</v>
      </c>
      <c r="I111" s="532"/>
      <c r="J111" s="558">
        <f>H111/DAY(B2)</f>
        <v>-10.9</v>
      </c>
      <c r="N111" s="716"/>
    </row>
    <row r="112" spans="1:14" s="442" customFormat="1" ht="27.75">
      <c r="A112" s="1431" t="s">
        <v>110</v>
      </c>
      <c r="B112" s="1432"/>
      <c r="C112" s="1144"/>
      <c r="D112" s="622"/>
      <c r="E112" s="484"/>
      <c r="F112" s="662"/>
      <c r="G112" s="532">
        <f>SUM(G109:G111)</f>
        <v>125</v>
      </c>
      <c r="H112" s="460">
        <f>G112+'9'!H112</f>
        <v>-2386</v>
      </c>
      <c r="I112" s="532"/>
      <c r="J112" s="558">
        <f>H112/DAY(B2)</f>
        <v>-238.6</v>
      </c>
      <c r="N112" s="716"/>
    </row>
    <row r="113" spans="1:14" s="442" customFormat="1" ht="27.75">
      <c r="A113" s="1435" t="s">
        <v>223</v>
      </c>
      <c r="B113" s="1436"/>
      <c r="C113" s="1144"/>
      <c r="D113" s="622"/>
      <c r="E113" s="484"/>
      <c r="F113" s="662"/>
      <c r="G113" s="532"/>
      <c r="H113" s="460">
        <f>G113+'9'!H113</f>
        <v>0</v>
      </c>
      <c r="I113" s="532"/>
      <c r="J113" s="558">
        <f>H113/DAY(B2)</f>
        <v>0</v>
      </c>
      <c r="N113" s="716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484">
        <f>'9'!F114</f>
        <v>10480</v>
      </c>
      <c r="F114" s="662">
        <v>10488</v>
      </c>
      <c r="G114" s="534">
        <f>F114-E114</f>
        <v>8</v>
      </c>
      <c r="H114" s="460">
        <f>G114+'9'!H114</f>
        <v>-348</v>
      </c>
      <c r="I114" s="532"/>
      <c r="J114" s="558">
        <f>H114/DAY(B2)</f>
        <v>-34.799999999999997</v>
      </c>
      <c r="N114" s="716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484">
        <f>'9'!F115</f>
        <v>7746</v>
      </c>
      <c r="F115" s="662">
        <v>7749</v>
      </c>
      <c r="G115" s="534">
        <f t="shared" ref="G115:G116" si="12">F115-E115</f>
        <v>3</v>
      </c>
      <c r="H115" s="460">
        <f>G115+'9'!H115</f>
        <v>-220</v>
      </c>
      <c r="I115" s="532"/>
      <c r="J115" s="558">
        <f>H115/DAY(B2)</f>
        <v>-22</v>
      </c>
      <c r="N115" s="716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6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11</v>
      </c>
      <c r="H117" s="460">
        <f>G117+'9'!H117</f>
        <v>-568</v>
      </c>
      <c r="I117" s="534"/>
      <c r="J117" s="558">
        <f>H117/DAY(B2)</f>
        <v>-56.8</v>
      </c>
      <c r="N117" s="716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99</v>
      </c>
      <c r="G118" s="536">
        <f>SUM(G19+G92)</f>
        <v>99</v>
      </c>
      <c r="H118" s="460">
        <f>G118+'9'!H118</f>
        <v>-3074</v>
      </c>
      <c r="I118" s="535"/>
      <c r="J118" s="559">
        <f>H118/DAY(B2)</f>
        <v>-307.39999999999998</v>
      </c>
      <c r="N118" s="716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112</v>
      </c>
      <c r="G119" s="536">
        <f>SUM(G95,G96,G97,G99,G100)</f>
        <v>112</v>
      </c>
      <c r="H119" s="460">
        <f>G119+'9'!H119</f>
        <v>-2979</v>
      </c>
      <c r="I119" s="535"/>
      <c r="J119" s="559">
        <f>H119/DAY(B2)</f>
        <v>-297.89999999999998</v>
      </c>
      <c r="N119" s="716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125</v>
      </c>
      <c r="G120" s="534">
        <f>SUM(G112)</f>
        <v>125</v>
      </c>
      <c r="H120" s="460">
        <f>G120+'9'!H120</f>
        <v>-2386</v>
      </c>
      <c r="I120" s="535"/>
      <c r="J120" s="559">
        <f>H120/DAY(B2)</f>
        <v>-238.6</v>
      </c>
      <c r="N120" s="716"/>
    </row>
    <row r="121" spans="1:14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16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16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-5243</v>
      </c>
      <c r="I123" s="526"/>
      <c r="J123" s="552">
        <f>H123/DAY(B2)</f>
        <v>-524.29999999999995</v>
      </c>
      <c r="K123" s="380"/>
      <c r="L123" s="377"/>
      <c r="N123" s="716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'9'!F124</f>
        <v>73583.399999999994</v>
      </c>
      <c r="F124" s="626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2">
        <f>H124/DAY(B2)</f>
        <v>-3.9999999999417925E-2</v>
      </c>
      <c r="K124" s="380"/>
      <c r="L124" s="377"/>
      <c r="N124" s="716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-1490</v>
      </c>
      <c r="I125" s="526"/>
      <c r="J125" s="552">
        <f>H125/DAY(B2)</f>
        <v>-149</v>
      </c>
      <c r="K125" s="380"/>
      <c r="L125" s="377"/>
      <c r="N125" s="716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'9'!F126</f>
        <v>59599</v>
      </c>
      <c r="F126" s="626">
        <v>59650</v>
      </c>
      <c r="G126" s="473">
        <f t="shared" si="13"/>
        <v>51</v>
      </c>
      <c r="H126" s="460">
        <f>G126+'9'!H126</f>
        <v>28331.3</v>
      </c>
      <c r="I126" s="526"/>
      <c r="J126" s="552">
        <f>H126/DAY(B2)</f>
        <v>2833.13</v>
      </c>
      <c r="K126" s="380"/>
      <c r="L126" s="377"/>
      <c r="N126" s="716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'9'!F127</f>
        <v>8908</v>
      </c>
      <c r="F127" s="626">
        <v>8911</v>
      </c>
      <c r="G127" s="473">
        <f t="shared" si="13"/>
        <v>3</v>
      </c>
      <c r="H127" s="460">
        <f>G127+'9'!H127</f>
        <v>-51</v>
      </c>
      <c r="I127" s="480"/>
      <c r="J127" s="552">
        <f>H127/DAY(B2)</f>
        <v>-5.0999999999999996</v>
      </c>
      <c r="K127" s="380"/>
      <c r="L127" s="377"/>
      <c r="N127" s="716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470.52999999988242</v>
      </c>
      <c r="H128" s="460"/>
      <c r="I128" s="480"/>
      <c r="J128" s="552"/>
      <c r="K128" s="364"/>
      <c r="L128" s="292"/>
      <c r="N128" s="716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6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6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5" t="s">
        <v>241</v>
      </c>
      <c r="B132" s="1146"/>
      <c r="C132" s="1146"/>
      <c r="D132" s="523" t="s">
        <v>239</v>
      </c>
      <c r="E132" s="484">
        <f>'9'!F132</f>
        <v>39219.35</v>
      </c>
      <c r="F132" s="626">
        <v>39219.35</v>
      </c>
      <c r="G132" s="473">
        <f t="shared" si="14"/>
        <v>0</v>
      </c>
      <c r="H132" s="460">
        <f>G132+'9'!H132</f>
        <v>-313.65000000000146</v>
      </c>
      <c r="I132" s="480"/>
      <c r="J132" s="552">
        <f>H132/DAY(B2)</f>
        <v>-31.365000000000144</v>
      </c>
      <c r="N132" s="716"/>
    </row>
    <row r="133" spans="1:14" ht="27.75">
      <c r="A133" s="1145" t="s">
        <v>242</v>
      </c>
      <c r="B133" s="1146"/>
      <c r="C133" s="1146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2">
        <f>H133/DAY(B2)</f>
        <v>-0.1</v>
      </c>
      <c r="N133" s="716"/>
    </row>
    <row r="134" spans="1:14" ht="27.75">
      <c r="A134" s="1145" t="s">
        <v>243</v>
      </c>
      <c r="B134" s="1146"/>
      <c r="C134" s="1146"/>
      <c r="D134" s="523" t="s">
        <v>239</v>
      </c>
      <c r="E134" s="484">
        <f>'9'!F134</f>
        <v>40578.42</v>
      </c>
      <c r="F134" s="626">
        <v>40602.43</v>
      </c>
      <c r="G134" s="473">
        <f t="shared" si="14"/>
        <v>24.010000000002037</v>
      </c>
      <c r="H134" s="460">
        <f>G134+'9'!H134</f>
        <v>-236.56999999999971</v>
      </c>
      <c r="I134" s="480"/>
      <c r="J134" s="552">
        <f>H134/DAY(B2)</f>
        <v>-23.656999999999972</v>
      </c>
      <c r="N134" s="716"/>
    </row>
    <row r="135" spans="1:14" ht="27.75">
      <c r="A135" s="1145" t="s">
        <v>244</v>
      </c>
      <c r="B135" s="1146"/>
      <c r="C135" s="1146"/>
      <c r="D135" s="523" t="s">
        <v>239</v>
      </c>
      <c r="E135" s="484">
        <f>'9'!F135</f>
        <v>32582.560000000001</v>
      </c>
      <c r="F135" s="626">
        <v>32582.560000000001</v>
      </c>
      <c r="G135" s="473">
        <f t="shared" si="14"/>
        <v>0</v>
      </c>
      <c r="H135" s="460">
        <f>G135+'9'!H135</f>
        <v>-0.43999999999869033</v>
      </c>
      <c r="I135" s="480"/>
      <c r="J135" s="552">
        <f>H135/DAY(B2)</f>
        <v>-4.3999999999869033E-2</v>
      </c>
      <c r="N135" s="716"/>
    </row>
    <row r="136" spans="1:14" ht="27.75">
      <c r="A136" s="1145" t="s">
        <v>245</v>
      </c>
      <c r="B136" s="1146"/>
      <c r="C136" s="1146"/>
      <c r="D136" s="523" t="s">
        <v>239</v>
      </c>
      <c r="E136" s="484">
        <f>'9'!F136</f>
        <v>22301.83</v>
      </c>
      <c r="F136" s="654">
        <v>22310</v>
      </c>
      <c r="G136" s="473">
        <f t="shared" si="14"/>
        <v>8.1699999999982538</v>
      </c>
      <c r="H136" s="460">
        <f>G136+'9'!H136</f>
        <v>-178.65000000000146</v>
      </c>
      <c r="I136" s="480">
        <f>G134+G135+G136</f>
        <v>32.180000000000291</v>
      </c>
      <c r="J136" s="552">
        <f>H136/DAY(B2)</f>
        <v>-17.865000000000144</v>
      </c>
      <c r="N136" s="716"/>
    </row>
    <row r="137" spans="1:14" ht="27.75">
      <c r="A137" s="1145" t="s">
        <v>246</v>
      </c>
      <c r="B137" s="1146"/>
      <c r="C137" s="1146"/>
      <c r="D137" s="523" t="s">
        <v>239</v>
      </c>
      <c r="E137" s="484">
        <f>'9'!F137</f>
        <v>25044</v>
      </c>
      <c r="F137" s="654">
        <v>25044</v>
      </c>
      <c r="G137" s="473">
        <f t="shared" si="14"/>
        <v>0</v>
      </c>
      <c r="H137" s="460">
        <f>G137+'9'!H137</f>
        <v>-4.7900000000008731</v>
      </c>
      <c r="I137" s="480"/>
      <c r="J137" s="552">
        <f>H137/DAY(B2)</f>
        <v>-0.4790000000000873</v>
      </c>
      <c r="N137" s="716"/>
    </row>
    <row r="138" spans="1:14" ht="27.75">
      <c r="A138" s="1145" t="s">
        <v>247</v>
      </c>
      <c r="B138" s="1146"/>
      <c r="C138" s="1146"/>
      <c r="D138" s="523" t="s">
        <v>239</v>
      </c>
      <c r="E138" s="484">
        <f>'9'!F138</f>
        <v>70186.820000000007</v>
      </c>
      <c r="F138" s="654">
        <v>70190</v>
      </c>
      <c r="G138" s="473">
        <f t="shared" si="14"/>
        <v>3.1799999999930151</v>
      </c>
      <c r="H138" s="460">
        <f>G138+'9'!H138</f>
        <v>-64.029999999998836</v>
      </c>
      <c r="I138" s="480">
        <f>G137+G138</f>
        <v>3.1799999999930151</v>
      </c>
      <c r="J138" s="552">
        <f>H138/DAY(B2)</f>
        <v>-6.4029999999998832</v>
      </c>
      <c r="N138" s="716"/>
    </row>
    <row r="139" spans="1:14" ht="27.75">
      <c r="A139" s="1145" t="s">
        <v>248</v>
      </c>
      <c r="B139" s="1146"/>
      <c r="C139" s="1146"/>
      <c r="D139" s="523" t="s">
        <v>239</v>
      </c>
      <c r="E139" s="484">
        <f>'9'!F139</f>
        <v>1490</v>
      </c>
      <c r="F139" s="626">
        <v>1497</v>
      </c>
      <c r="G139" s="473">
        <f t="shared" si="14"/>
        <v>7</v>
      </c>
      <c r="H139" s="460">
        <f>G139+'9'!H139</f>
        <v>-39.519999999999982</v>
      </c>
      <c r="I139" s="542"/>
      <c r="J139" s="552">
        <f>H139/DAY(B2)</f>
        <v>-3.9519999999999982</v>
      </c>
      <c r="N139" s="716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-134.53999999999996</v>
      </c>
      <c r="I140" s="542"/>
      <c r="J140" s="552">
        <f>H140/DAY(B2)</f>
        <v>-13.453999999999997</v>
      </c>
      <c r="N140" s="716"/>
    </row>
    <row r="141" spans="1:14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16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5954</v>
      </c>
      <c r="H142" s="460">
        <f>G142+'9'!H142</f>
        <v>-123167</v>
      </c>
      <c r="I142" s="480"/>
      <c r="J142" s="552">
        <f>H142/DAY(B2)</f>
        <v>-12316.7</v>
      </c>
      <c r="K142" s="380"/>
      <c r="L142" s="377"/>
      <c r="N142" s="716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0.27324460761817349</v>
      </c>
      <c r="H143" s="460">
        <f>G143+'9'!H143</f>
        <v>2.6999739674040839</v>
      </c>
      <c r="I143" s="544"/>
      <c r="J143" s="552">
        <f>H143/DAY(B2)</f>
        <v>0.2699973967404084</v>
      </c>
      <c r="K143" s="380"/>
      <c r="L143" s="377"/>
      <c r="N143" s="716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4999</v>
      </c>
      <c r="H144" s="460">
        <f>G144+'9'!H144</f>
        <v>-117900.16</v>
      </c>
      <c r="I144" s="480"/>
      <c r="J144" s="552">
        <f>H144/DAY(B2)</f>
        <v>-11790.016</v>
      </c>
      <c r="K144" s="380"/>
      <c r="L144" s="377"/>
      <c r="N144" s="716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0.22941716383662231</v>
      </c>
      <c r="H145" s="460">
        <f>G145+'9'!H145</f>
        <v>2.7229200439846672</v>
      </c>
      <c r="I145" s="544"/>
      <c r="J145" s="552">
        <f>H145/DAY(B2)</f>
        <v>0.27229200439846674</v>
      </c>
      <c r="K145" s="380"/>
      <c r="L145" s="377"/>
      <c r="N145" s="716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4185</v>
      </c>
      <c r="H146" s="460">
        <f>G146+'9'!H146</f>
        <v>-88957</v>
      </c>
      <c r="I146" s="545"/>
      <c r="J146" s="552">
        <f>H146/DAY(B2)</f>
        <v>-8895.7000000000007</v>
      </c>
      <c r="K146" s="380"/>
      <c r="L146" s="377"/>
      <c r="N146" s="716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0.19206057824690226</v>
      </c>
      <c r="H147" s="460">
        <f>G147+'9'!H147</f>
        <v>1.8954734303419314</v>
      </c>
      <c r="I147" s="545"/>
      <c r="J147" s="552">
        <f>H147/DAY(B2)</f>
        <v>0.18954734303419313</v>
      </c>
      <c r="N147" s="716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2046</v>
      </c>
      <c r="H148" s="460">
        <f>G148+'9'!H148</f>
        <v>-39174</v>
      </c>
      <c r="I148" s="480"/>
      <c r="J148" s="552">
        <f>H148/DAY(B2)</f>
        <v>-3917.4</v>
      </c>
      <c r="K148" s="381"/>
      <c r="N148" s="716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9.3896282698485545E-2</v>
      </c>
      <c r="H149" s="460">
        <f>G149+'9'!H149</f>
        <v>0.81563946972267809</v>
      </c>
      <c r="I149" s="545"/>
      <c r="J149" s="552">
        <f>H149/DAY(B2)</f>
        <v>8.1563946972267806E-2</v>
      </c>
      <c r="N149" s="716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1896</v>
      </c>
      <c r="H150" s="460">
        <f>G150+'9'!H150</f>
        <v>-40850</v>
      </c>
      <c r="I150" s="545"/>
      <c r="J150" s="552">
        <f>H150/DAY(B2)</f>
        <v>-4085</v>
      </c>
      <c r="N150" s="716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8.7012391005048192E-2</v>
      </c>
      <c r="H151" s="460">
        <f>G151+'9'!H151</f>
        <v>0.91249690526334926</v>
      </c>
      <c r="I151" s="480"/>
      <c r="J151" s="552">
        <f>H151/DAY(B2)</f>
        <v>9.1249690526334928E-2</v>
      </c>
      <c r="N151" s="716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1549</v>
      </c>
      <c r="H152" s="460">
        <f>G152+'9'!H152</f>
        <v>-32426</v>
      </c>
      <c r="I152" s="480"/>
      <c r="J152" s="552">
        <f>H152/DAY(B2)</f>
        <v>-3242.6</v>
      </c>
      <c r="N152" s="716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7.1087654887563106E-2</v>
      </c>
      <c r="H153" s="567">
        <f>G153+'9'!H153</f>
        <v>0.6552412551574045</v>
      </c>
      <c r="I153" s="568"/>
      <c r="J153" s="569">
        <f>H153/DAY(B2)</f>
        <v>6.5524125515740453E-2</v>
      </c>
      <c r="N153" s="716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16"/>
    </row>
    <row r="157" spans="1:14" ht="27.75">
      <c r="A157" s="1471" t="s">
        <v>267</v>
      </c>
      <c r="B157" s="1472"/>
      <c r="C157" s="1472"/>
      <c r="D157" s="1472"/>
      <c r="E157" s="1472"/>
      <c r="F157" s="1472"/>
      <c r="G157" s="147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'9'!F160</f>
        <v>31564.65</v>
      </c>
      <c r="F160" s="661">
        <v>31650</v>
      </c>
      <c r="G160" s="473">
        <f>F160-E160</f>
        <v>85.349999999998545</v>
      </c>
    </row>
    <row r="161" spans="1:8">
      <c r="A161" s="788" t="s">
        <v>264</v>
      </c>
      <c r="B161" s="789"/>
      <c r="C161" s="789"/>
      <c r="D161" s="511" t="s">
        <v>187</v>
      </c>
      <c r="E161" s="1064">
        <f>'9'!F161</f>
        <v>59197</v>
      </c>
      <c r="F161" s="661">
        <v>59649</v>
      </c>
      <c r="G161" s="473">
        <f t="shared" ref="G161:G171" si="15">F161-E161</f>
        <v>452</v>
      </c>
    </row>
    <row r="162" spans="1:8">
      <c r="A162" s="788" t="s">
        <v>265</v>
      </c>
      <c r="B162" s="789"/>
      <c r="C162" s="789"/>
      <c r="D162" s="511" t="s">
        <v>187</v>
      </c>
      <c r="E162" s="1064">
        <f>'9'!F162</f>
        <v>23100</v>
      </c>
      <c r="F162" s="661">
        <v>23381</v>
      </c>
      <c r="G162" s="473">
        <f t="shared" si="15"/>
        <v>281</v>
      </c>
      <c r="H162" s="514"/>
    </row>
    <row r="163" spans="1:8">
      <c r="A163" s="788" t="s">
        <v>266</v>
      </c>
      <c r="B163" s="789"/>
      <c r="C163" s="789"/>
      <c r="D163" s="511" t="s">
        <v>187</v>
      </c>
      <c r="E163" s="1064">
        <f>'9'!F163</f>
        <v>5536</v>
      </c>
      <c r="F163" s="661">
        <v>5545</v>
      </c>
      <c r="G163" s="473">
        <f t="shared" si="15"/>
        <v>9</v>
      </c>
    </row>
    <row r="164" spans="1:8">
      <c r="A164" s="790" t="s">
        <v>98</v>
      </c>
      <c r="B164" s="604"/>
      <c r="C164" s="604"/>
      <c r="D164" s="511" t="s">
        <v>187</v>
      </c>
      <c r="E164" s="1064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0" t="s">
        <v>188</v>
      </c>
      <c r="B165" s="604"/>
      <c r="C165" s="604"/>
      <c r="D165" s="511" t="s">
        <v>187</v>
      </c>
      <c r="E165" s="1064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12" t="s">
        <v>99</v>
      </c>
      <c r="B166" s="1412"/>
      <c r="C166" s="1412"/>
      <c r="D166" s="523" t="s">
        <v>187</v>
      </c>
      <c r="E166" s="1064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12" t="s">
        <v>100</v>
      </c>
      <c r="B167" s="1412"/>
      <c r="C167" s="1412"/>
      <c r="D167" s="523" t="s">
        <v>187</v>
      </c>
      <c r="E167" s="1064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12" t="s">
        <v>101</v>
      </c>
      <c r="B168" s="1412"/>
      <c r="C168" s="1412"/>
      <c r="D168" s="523" t="s">
        <v>187</v>
      </c>
      <c r="E168" s="1064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12" t="s">
        <v>102</v>
      </c>
      <c r="B169" s="1412"/>
      <c r="C169" s="1412"/>
      <c r="D169" s="523" t="s">
        <v>187</v>
      </c>
      <c r="E169" s="1064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12" t="s">
        <v>103</v>
      </c>
      <c r="B170" s="1412"/>
      <c r="C170" s="1412"/>
      <c r="D170" s="523" t="s">
        <v>187</v>
      </c>
      <c r="E170" s="1064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12" t="s">
        <v>104</v>
      </c>
      <c r="B171" s="1412"/>
      <c r="C171" s="1412"/>
      <c r="D171" s="523" t="s">
        <v>187</v>
      </c>
      <c r="E171" s="1064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6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6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6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6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6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6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6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6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6">
        <f>SUM(G92+G19)</f>
        <v>99</v>
      </c>
      <c r="G194" s="537">
        <f>F194+'[4]9'!I145</f>
        <v>99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6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6">
        <f>H188+H139</f>
        <v>-39.519999999999982</v>
      </c>
      <c r="G198" s="537">
        <f>SUM(G98,G184:G186)</f>
        <v>95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E11" sqref="E11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312</v>
      </c>
      <c r="B2" s="1036">
        <v>44266</v>
      </c>
      <c r="C2" s="1147" t="s">
        <v>69</v>
      </c>
      <c r="D2" s="611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 t="s">
        <v>118</v>
      </c>
    </row>
    <row r="3" spans="1:16" s="281" customFormat="1" ht="27">
      <c r="A3" s="570"/>
      <c r="B3" s="614"/>
      <c r="C3" s="1147" t="s">
        <v>120</v>
      </c>
      <c r="D3" s="612">
        <v>24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</row>
    <row r="4" spans="1:16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19" t="s">
        <v>126</v>
      </c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  <c r="P6" s="376" t="s">
        <v>270</v>
      </c>
    </row>
    <row r="7" spans="1:16" ht="30" thickBot="1">
      <c r="A7" s="679" t="s">
        <v>131</v>
      </c>
      <c r="B7" s="680"/>
      <c r="C7" s="680"/>
      <c r="D7" s="638" t="s">
        <v>132</v>
      </c>
      <c r="E7" s="633">
        <f>'10'!F7</f>
        <v>4659850</v>
      </c>
      <c r="F7" s="455">
        <v>4681166</v>
      </c>
      <c r="G7" s="681">
        <f>F7-E7</f>
        <v>21316</v>
      </c>
      <c r="H7" s="682">
        <f>G7+'10'!H7</f>
        <v>-432757</v>
      </c>
      <c r="I7" s="683">
        <v>12000</v>
      </c>
      <c r="J7" s="684">
        <f>H7/DAY(B2)</f>
        <v>-39341.545454545456</v>
      </c>
      <c r="K7" s="549"/>
      <c r="L7" s="377"/>
      <c r="N7" s="721">
        <v>11918</v>
      </c>
      <c r="P7" s="724">
        <f>G7-N7</f>
        <v>9398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'10'!F8</f>
        <v>4689349</v>
      </c>
      <c r="F8" s="475">
        <v>4710747</v>
      </c>
      <c r="G8" s="692">
        <f t="shared" ref="G8:G12" si="0">F8-E8</f>
        <v>21398</v>
      </c>
      <c r="H8" s="682">
        <f>G8+'10'!H8</f>
        <v>-434571</v>
      </c>
      <c r="I8" s="689">
        <v>12000</v>
      </c>
      <c r="J8" s="684">
        <f>H8/DAY(B2)</f>
        <v>-39506.454545454544</v>
      </c>
      <c r="K8" s="549"/>
      <c r="L8" s="425"/>
      <c r="M8" s="440"/>
      <c r="N8" s="721">
        <v>12018</v>
      </c>
      <c r="P8" s="382">
        <f t="shared" ref="P8:P71" si="1">G8-N8</f>
        <v>9380</v>
      </c>
    </row>
    <row r="9" spans="1:16">
      <c r="A9" s="690" t="s">
        <v>134</v>
      </c>
      <c r="B9" s="691"/>
      <c r="C9" s="691"/>
      <c r="D9" s="638" t="s">
        <v>132</v>
      </c>
      <c r="E9" s="633">
        <f>'10'!F9</f>
        <v>124354</v>
      </c>
      <c r="F9" s="478">
        <v>124354</v>
      </c>
      <c r="G9" s="705">
        <f t="shared" si="0"/>
        <v>0</v>
      </c>
      <c r="H9" s="682">
        <f>G9+'10'!H9</f>
        <v>-271715</v>
      </c>
      <c r="I9" s="693">
        <f>I7-J7</f>
        <v>51341.545454545456</v>
      </c>
      <c r="J9" s="684">
        <f>H9/DAY(B2)</f>
        <v>-24701.363636363636</v>
      </c>
      <c r="K9" s="428"/>
      <c r="L9" s="377"/>
      <c r="N9" s="721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79" t="s">
        <v>135</v>
      </c>
      <c r="B10" s="680"/>
      <c r="C10" s="680"/>
      <c r="D10" s="638" t="s">
        <v>132</v>
      </c>
      <c r="E10" s="633">
        <f>'10'!F10</f>
        <v>195619</v>
      </c>
      <c r="F10" s="478">
        <v>216161</v>
      </c>
      <c r="G10" s="692">
        <f t="shared" si="0"/>
        <v>20542</v>
      </c>
      <c r="H10" s="682">
        <f>G10+'10'!H10</f>
        <v>213838.42</v>
      </c>
      <c r="I10" s="694"/>
      <c r="J10" s="684">
        <f>H10/DAY(B2)</f>
        <v>19439.856363636365</v>
      </c>
      <c r="K10" s="428"/>
      <c r="L10" s="377"/>
      <c r="N10" s="721">
        <v>0</v>
      </c>
      <c r="P10" s="382">
        <f t="shared" si="1"/>
        <v>20542</v>
      </c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G11+'10'!H11</f>
        <v>0</v>
      </c>
      <c r="I11" s="694"/>
      <c r="J11" s="684">
        <f>H11/DAY(B2)</f>
        <v>0</v>
      </c>
      <c r="K11" s="428"/>
      <c r="L11" s="377"/>
      <c r="N11" s="721">
        <v>0</v>
      </c>
      <c r="P11" s="382">
        <f t="shared" si="1"/>
        <v>0</v>
      </c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G12+'10'!H12</f>
        <v>0</v>
      </c>
      <c r="I12" s="694"/>
      <c r="J12" s="684">
        <f>H12/DAY(B2)</f>
        <v>0</v>
      </c>
      <c r="K12" s="428"/>
      <c r="L12" s="377"/>
      <c r="N12" s="721">
        <v>0</v>
      </c>
      <c r="P12" s="382">
        <f t="shared" si="1"/>
        <v>0</v>
      </c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20542</v>
      </c>
      <c r="H13" s="682">
        <f>G13+'9'!H13</f>
        <v>-78870.579999999958</v>
      </c>
      <c r="I13" s="698">
        <f>G7-G13</f>
        <v>774</v>
      </c>
      <c r="J13" s="684">
        <f>H13/DAY(B2)</f>
        <v>-7170.0527272727231</v>
      </c>
      <c r="K13" s="428"/>
      <c r="L13" s="377"/>
      <c r="N13" s="721">
        <v>11759.219000000001</v>
      </c>
      <c r="P13" s="382">
        <f t="shared" si="1"/>
        <v>8782.780999999999</v>
      </c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P14" s="382">
        <f t="shared" si="1"/>
        <v>0</v>
      </c>
    </row>
    <row r="15" spans="1:16">
      <c r="A15" s="796" t="s">
        <v>140</v>
      </c>
      <c r="B15" s="797"/>
      <c r="C15" s="797"/>
      <c r="D15" s="524" t="s">
        <v>141</v>
      </c>
      <c r="E15" s="485">
        <f>'10'!F15</f>
        <v>1628722</v>
      </c>
      <c r="F15" s="485">
        <v>1629574</v>
      </c>
      <c r="G15" s="667">
        <f>(F15-E15)</f>
        <v>852</v>
      </c>
      <c r="H15" s="486">
        <f>G15+'10'!H15</f>
        <v>-17115</v>
      </c>
      <c r="I15" s="474">
        <v>800</v>
      </c>
      <c r="J15" s="553">
        <f>H15/DAY(B2)</f>
        <v>-1555.909090909091</v>
      </c>
      <c r="K15" s="428"/>
      <c r="L15" s="377"/>
      <c r="N15" s="721">
        <v>339.24300000001676</v>
      </c>
      <c r="P15" s="382">
        <f t="shared" si="1"/>
        <v>512.75699999998324</v>
      </c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2355.909090909091</v>
      </c>
      <c r="J16" s="553"/>
      <c r="K16" s="428"/>
      <c r="L16" s="377"/>
      <c r="N16" s="721"/>
      <c r="P16" s="382">
        <f t="shared" si="1"/>
        <v>0</v>
      </c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P17" s="382">
        <f t="shared" si="1"/>
        <v>0</v>
      </c>
    </row>
    <row r="18" spans="1:16" ht="27.75">
      <c r="A18" s="1477" t="s">
        <v>143</v>
      </c>
      <c r="B18" s="1478"/>
      <c r="C18" s="1479"/>
      <c r="D18" s="638" t="s">
        <v>144</v>
      </c>
      <c r="E18" s="635">
        <f>'10'!F18</f>
        <v>10</v>
      </c>
      <c r="F18" s="478">
        <v>12</v>
      </c>
      <c r="G18" s="697">
        <f>F18*10</f>
        <v>120</v>
      </c>
      <c r="H18" s="682">
        <f>G18+'10'!H18</f>
        <v>1240</v>
      </c>
      <c r="I18" s="683">
        <v>65</v>
      </c>
      <c r="J18" s="684">
        <f>H18/DAY(B2)</f>
        <v>112.72727272727273</v>
      </c>
      <c r="K18" s="428"/>
      <c r="L18" s="377"/>
      <c r="N18" s="721">
        <v>20</v>
      </c>
      <c r="P18" s="382">
        <f t="shared" si="1"/>
        <v>100</v>
      </c>
    </row>
    <row r="19" spans="1:16" ht="27.75">
      <c r="A19" s="1477" t="s">
        <v>71</v>
      </c>
      <c r="B19" s="1478"/>
      <c r="C19" s="1479"/>
      <c r="D19" s="638" t="s">
        <v>144</v>
      </c>
      <c r="E19" s="635">
        <f>'10'!F19</f>
        <v>134982</v>
      </c>
      <c r="F19" s="478">
        <v>135033</v>
      </c>
      <c r="G19" s="692">
        <f t="shared" ref="G19" si="2">F19-E19</f>
        <v>51</v>
      </c>
      <c r="H19" s="682">
        <f>G19+'10'!H19</f>
        <v>-1057</v>
      </c>
      <c r="I19" s="699"/>
      <c r="J19" s="684">
        <f>H19/DAY(B2)</f>
        <v>-96.090909090909093</v>
      </c>
      <c r="K19" s="428"/>
      <c r="L19" s="377"/>
      <c r="N19" s="721">
        <v>55</v>
      </c>
      <c r="P19" s="382">
        <f t="shared" si="1"/>
        <v>-4</v>
      </c>
    </row>
    <row r="20" spans="1:16">
      <c r="A20" s="695" t="s">
        <v>145</v>
      </c>
      <c r="B20" s="696"/>
      <c r="C20" s="696"/>
      <c r="D20" s="638"/>
      <c r="E20" s="638"/>
      <c r="F20" s="524"/>
      <c r="G20" s="700">
        <f>G18+G19</f>
        <v>171</v>
      </c>
      <c r="H20" s="682">
        <f>G20+'10'!H20</f>
        <v>183</v>
      </c>
      <c r="I20" s="701">
        <f>I18-J20</f>
        <v>48.36363636363636</v>
      </c>
      <c r="J20" s="684">
        <f>H20/DAY(B2)</f>
        <v>16.636363636363637</v>
      </c>
      <c r="K20" s="428"/>
      <c r="L20" s="377"/>
      <c r="N20" s="721">
        <v>75</v>
      </c>
      <c r="P20" s="382">
        <f t="shared" si="1"/>
        <v>96</v>
      </c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P21" s="382">
        <f t="shared" si="1"/>
        <v>0</v>
      </c>
    </row>
    <row r="22" spans="1:16">
      <c r="A22" s="1145" t="s">
        <v>147</v>
      </c>
      <c r="B22" s="589"/>
      <c r="C22" s="589"/>
      <c r="D22" s="523" t="s">
        <v>148</v>
      </c>
      <c r="E22" s="635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1680</v>
      </c>
      <c r="I22" s="480"/>
      <c r="J22" s="552">
        <f>H22/DAY(B2)</f>
        <v>152.72727272727272</v>
      </c>
      <c r="K22" s="428"/>
      <c r="L22" s="377"/>
      <c r="N22" s="721">
        <v>0</v>
      </c>
      <c r="P22" s="382">
        <f t="shared" si="1"/>
        <v>0</v>
      </c>
    </row>
    <row r="23" spans="1:16">
      <c r="A23" s="1145" t="s">
        <v>149</v>
      </c>
      <c r="B23" s="589"/>
      <c r="C23" s="589"/>
      <c r="D23" s="523" t="s">
        <v>148</v>
      </c>
      <c r="E23" s="635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2">
        <f>H23/DAY(B2)</f>
        <v>0</v>
      </c>
      <c r="K23" s="428"/>
      <c r="L23" s="377"/>
      <c r="N23" s="721">
        <v>0</v>
      </c>
      <c r="P23" s="382">
        <f t="shared" si="1"/>
        <v>0</v>
      </c>
    </row>
    <row r="24" spans="1:16">
      <c r="A24" s="590" t="s">
        <v>150</v>
      </c>
      <c r="B24" s="591"/>
      <c r="C24" s="591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2">
        <f>H24/DAY(B2)</f>
        <v>0</v>
      </c>
      <c r="K24" s="428"/>
      <c r="L24" s="377"/>
      <c r="N24" s="721">
        <v>0</v>
      </c>
      <c r="P24" s="382">
        <f t="shared" si="1"/>
        <v>0</v>
      </c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P25" s="382">
        <f t="shared" si="1"/>
        <v>0</v>
      </c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P26" s="382">
        <f t="shared" si="1"/>
        <v>0</v>
      </c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21398</v>
      </c>
      <c r="F27" s="501">
        <v>9</v>
      </c>
      <c r="G27" s="502">
        <f>E27*F27</f>
        <v>192582</v>
      </c>
      <c r="H27" s="460">
        <f>G27+'10'!H27</f>
        <v>-3911139</v>
      </c>
      <c r="I27" s="503"/>
      <c r="J27" s="552">
        <f>H27/DAY(B2)</f>
        <v>-355558.09090909088</v>
      </c>
      <c r="K27" s="373"/>
      <c r="L27" s="443"/>
      <c r="N27" s="721">
        <v>120180</v>
      </c>
      <c r="P27" s="382">
        <f t="shared" si="1"/>
        <v>72402</v>
      </c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852</v>
      </c>
      <c r="F28" s="501">
        <v>51.45</v>
      </c>
      <c r="G28" s="502">
        <f>E28*F28</f>
        <v>43835.4</v>
      </c>
      <c r="H28" s="460">
        <f>G28+'10'!H28</f>
        <v>-880566.75000000012</v>
      </c>
      <c r="I28" s="505"/>
      <c r="J28" s="552">
        <f>H28/DAY(B2)</f>
        <v>-80051.522727272735</v>
      </c>
      <c r="K28" s="373"/>
      <c r="L28" s="443"/>
      <c r="N28" s="721">
        <v>11873.505000000587</v>
      </c>
      <c r="P28" s="382">
        <f t="shared" si="1"/>
        <v>31961.894999999415</v>
      </c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2">
        <f>H29/DAY(B2)</f>
        <v>0</v>
      </c>
      <c r="K29" s="373"/>
      <c r="L29" s="443"/>
      <c r="N29" s="721">
        <v>0</v>
      </c>
      <c r="P29" s="382">
        <f t="shared" si="1"/>
        <v>0</v>
      </c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51</v>
      </c>
      <c r="F30" s="501">
        <v>134</v>
      </c>
      <c r="G30" s="502">
        <f>E30*F30</f>
        <v>6834</v>
      </c>
      <c r="H30" s="460">
        <f>G30+'10'!H30</f>
        <v>-140270</v>
      </c>
      <c r="I30" s="505"/>
      <c r="J30" s="552">
        <f>H30/DAY(B2)</f>
        <v>-12751.818181818182</v>
      </c>
      <c r="K30" s="373"/>
      <c r="L30" s="443"/>
      <c r="N30" s="721">
        <v>7370</v>
      </c>
      <c r="P30" s="382">
        <f t="shared" si="1"/>
        <v>-536</v>
      </c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G31+'10'!H31</f>
        <v>99200</v>
      </c>
      <c r="I31" s="505"/>
      <c r="J31" s="552">
        <f>H31/DAY(B2)</f>
        <v>9018.181818181818</v>
      </c>
      <c r="K31" s="373"/>
      <c r="L31" s="443"/>
      <c r="N31" s="721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252851.4</v>
      </c>
      <c r="H32" s="460">
        <f>G32+'10'!H32</f>
        <v>-4832775.75</v>
      </c>
      <c r="I32" s="509"/>
      <c r="J32" s="552">
        <f>H32/DAY(B2)</f>
        <v>-439343.25</v>
      </c>
      <c r="K32" s="373"/>
      <c r="L32" s="443"/>
      <c r="N32" s="721">
        <v>141023.50500000059</v>
      </c>
      <c r="P32" s="382">
        <f>G32-N32</f>
        <v>111827.89499999941</v>
      </c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P33" s="382">
        <f t="shared" si="1"/>
        <v>0</v>
      </c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P34" s="382">
        <f t="shared" si="1"/>
        <v>0</v>
      </c>
    </row>
    <row r="35" spans="1:16">
      <c r="A35" s="578" t="s">
        <v>164</v>
      </c>
      <c r="B35" s="579"/>
      <c r="C35" s="579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-67674</v>
      </c>
      <c r="I35" s="455"/>
      <c r="J35" s="552">
        <f>H35/DAY(B2)</f>
        <v>-6152.181818181818</v>
      </c>
      <c r="K35" s="428"/>
      <c r="L35" s="377"/>
      <c r="N35" s="721">
        <v>1428.320000000007</v>
      </c>
      <c r="P35" s="382">
        <f t="shared" si="1"/>
        <v>2421.679999999993</v>
      </c>
    </row>
    <row r="36" spans="1:16">
      <c r="A36" s="578" t="s">
        <v>165</v>
      </c>
      <c r="B36" s="579"/>
      <c r="C36" s="579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-13858</v>
      </c>
      <c r="I36" s="455"/>
      <c r="J36" s="552">
        <f>H36/DAY(B2)</f>
        <v>-1259.8181818181818</v>
      </c>
      <c r="K36" s="428"/>
      <c r="L36" s="377"/>
      <c r="N36" s="722">
        <v>535.05999999999767</v>
      </c>
      <c r="P36" s="382">
        <f t="shared" si="1"/>
        <v>62.940000000002328</v>
      </c>
    </row>
    <row r="37" spans="1:16">
      <c r="A37" s="578" t="s">
        <v>166</v>
      </c>
      <c r="B37" s="579"/>
      <c r="C37" s="579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-19630</v>
      </c>
      <c r="I37" s="455"/>
      <c r="J37" s="552">
        <f>H37/DAY(B2)</f>
        <v>-1784.5454545454545</v>
      </c>
      <c r="K37" s="428"/>
      <c r="L37" s="377"/>
      <c r="N37" s="722">
        <v>1155.7000000000116</v>
      </c>
      <c r="P37" s="382">
        <f t="shared" si="1"/>
        <v>-1155.7000000000116</v>
      </c>
    </row>
    <row r="38" spans="1:16">
      <c r="A38" s="578" t="s">
        <v>167</v>
      </c>
      <c r="B38" s="579"/>
      <c r="C38" s="579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-23975</v>
      </c>
      <c r="I38" s="455"/>
      <c r="J38" s="552">
        <f>H38/DAY(B2)</f>
        <v>-2179.5454545454545</v>
      </c>
      <c r="K38" s="428"/>
      <c r="L38" s="377"/>
      <c r="N38" s="721">
        <v>0.39000000001396984</v>
      </c>
      <c r="P38" s="382">
        <f t="shared" si="1"/>
        <v>-0.39000000001396984</v>
      </c>
    </row>
    <row r="39" spans="1:16">
      <c r="A39" s="578" t="s">
        <v>168</v>
      </c>
      <c r="B39" s="579"/>
      <c r="C39" s="579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-52756</v>
      </c>
      <c r="I39" s="455"/>
      <c r="J39" s="552">
        <f>H39/DAY(B2)</f>
        <v>-4796</v>
      </c>
      <c r="K39" s="428"/>
      <c r="L39" s="377"/>
      <c r="N39" s="721">
        <v>2080</v>
      </c>
      <c r="P39" s="382">
        <f t="shared" si="1"/>
        <v>-2080</v>
      </c>
    </row>
    <row r="40" spans="1:16">
      <c r="A40" s="599" t="s">
        <v>169</v>
      </c>
      <c r="B40" s="600"/>
      <c r="C40" s="600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0.17</v>
      </c>
      <c r="I40" s="455"/>
      <c r="J40" s="552">
        <f>H40/DAY(B2)</f>
        <v>1.5454545454545455E-2</v>
      </c>
      <c r="K40" s="429"/>
      <c r="L40" s="377"/>
      <c r="N40" s="721">
        <v>0</v>
      </c>
      <c r="P40" s="382">
        <f t="shared" si="1"/>
        <v>0</v>
      </c>
    </row>
    <row r="41" spans="1:16">
      <c r="A41" s="578" t="s">
        <v>170</v>
      </c>
      <c r="B41" s="579"/>
      <c r="C41" s="579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-68374</v>
      </c>
      <c r="I41" s="455"/>
      <c r="J41" s="552">
        <f>H41/DAY(B2)</f>
        <v>-6215.818181818182</v>
      </c>
      <c r="K41" s="428"/>
      <c r="L41" s="377"/>
      <c r="N41" s="721">
        <v>3297.5400000000081</v>
      </c>
      <c r="P41" s="724">
        <f t="shared" si="1"/>
        <v>-3297.5400000000081</v>
      </c>
    </row>
    <row r="42" spans="1:16">
      <c r="A42" s="578" t="s">
        <v>171</v>
      </c>
      <c r="B42" s="579"/>
      <c r="C42" s="579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-0.16000000000349246</v>
      </c>
      <c r="I42" s="455"/>
      <c r="J42" s="552">
        <f>H42/DAY(B2)</f>
        <v>-1.4545454545772041E-2</v>
      </c>
      <c r="K42" s="428"/>
      <c r="L42" s="377"/>
      <c r="N42" s="721">
        <v>0</v>
      </c>
      <c r="P42" s="382">
        <f t="shared" si="1"/>
        <v>0</v>
      </c>
    </row>
    <row r="43" spans="1:16">
      <c r="A43" s="578" t="s">
        <v>172</v>
      </c>
      <c r="B43" s="579"/>
      <c r="C43" s="579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-49249</v>
      </c>
      <c r="I43" s="455"/>
      <c r="J43" s="552">
        <f>H43/DAY(B2)</f>
        <v>-4477.181818181818</v>
      </c>
      <c r="K43" s="428"/>
      <c r="L43" s="377"/>
      <c r="N43" s="721">
        <v>1592.9000000000233</v>
      </c>
      <c r="P43" s="382">
        <f t="shared" si="1"/>
        <v>801.09999999997672</v>
      </c>
    </row>
    <row r="44" spans="1:16">
      <c r="A44" s="578" t="s">
        <v>173</v>
      </c>
      <c r="B44" s="579"/>
      <c r="C44" s="579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2">
        <f>H44/DAY(B2)</f>
        <v>0</v>
      </c>
      <c r="K44" s="428"/>
      <c r="L44" s="377"/>
      <c r="N44" s="721">
        <v>0</v>
      </c>
      <c r="P44" s="382">
        <f t="shared" si="1"/>
        <v>0</v>
      </c>
    </row>
    <row r="45" spans="1:16">
      <c r="A45" s="578" t="s">
        <v>174</v>
      </c>
      <c r="B45" s="579"/>
      <c r="C45" s="579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614</v>
      </c>
      <c r="I45" s="455"/>
      <c r="J45" s="552">
        <f>H45/DAY(B2)</f>
        <v>55.81818181818182</v>
      </c>
      <c r="K45" s="428"/>
      <c r="L45" s="377"/>
      <c r="N45" s="721">
        <v>0</v>
      </c>
      <c r="P45" s="382">
        <f t="shared" si="1"/>
        <v>0</v>
      </c>
    </row>
    <row r="46" spans="1:16">
      <c r="A46" s="578" t="s">
        <v>175</v>
      </c>
      <c r="B46" s="579"/>
      <c r="C46" s="579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187.49</v>
      </c>
      <c r="I46" s="455"/>
      <c r="J46" s="552">
        <f>H46/DAY(B2)</f>
        <v>17.044545454545457</v>
      </c>
      <c r="K46" s="428"/>
      <c r="L46" s="377"/>
      <c r="N46" s="721">
        <v>0</v>
      </c>
      <c r="P46" s="382">
        <f t="shared" si="1"/>
        <v>0.49000000000000909</v>
      </c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6842.49</v>
      </c>
      <c r="H47" s="460">
        <f>G47+'10'!H47</f>
        <v>-294714.50000000006</v>
      </c>
      <c r="I47" s="455"/>
      <c r="J47" s="552">
        <f>H47/DAY(B2)</f>
        <v>-26792.227272727279</v>
      </c>
      <c r="K47" s="428"/>
      <c r="L47" s="377"/>
      <c r="N47" s="721">
        <v>10089.910000000062</v>
      </c>
      <c r="P47" s="382">
        <f>G47-N47</f>
        <v>-3247.4200000000619</v>
      </c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P48" s="382">
        <f t="shared" si="1"/>
        <v>0</v>
      </c>
    </row>
    <row r="49" spans="1:16">
      <c r="A49" s="578" t="s">
        <v>164</v>
      </c>
      <c r="B49" s="601"/>
      <c r="C49" s="601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21">
        <v>0</v>
      </c>
      <c r="P49" s="382">
        <f t="shared" si="1"/>
        <v>0</v>
      </c>
    </row>
    <row r="50" spans="1:16">
      <c r="A50" s="578" t="s">
        <v>178</v>
      </c>
      <c r="B50" s="601"/>
      <c r="C50" s="601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-26453</v>
      </c>
      <c r="I50" s="455"/>
      <c r="J50" s="552">
        <f>H50/DAY(B2)</f>
        <v>-2404.818181818182</v>
      </c>
      <c r="K50" s="428"/>
      <c r="L50" s="377"/>
      <c r="N50" s="721">
        <v>559.97000000000116</v>
      </c>
      <c r="P50" s="382">
        <f t="shared" si="1"/>
        <v>575.02999999999884</v>
      </c>
    </row>
    <row r="51" spans="1:16">
      <c r="A51" s="578" t="s">
        <v>166</v>
      </c>
      <c r="B51" s="601"/>
      <c r="C51" s="601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-12794</v>
      </c>
      <c r="I51" s="455"/>
      <c r="J51" s="552">
        <f>H51/DAY(B2)</f>
        <v>-1163.090909090909</v>
      </c>
      <c r="K51" s="428"/>
      <c r="L51" s="377"/>
      <c r="N51" s="721">
        <v>0</v>
      </c>
      <c r="P51" s="382">
        <f t="shared" si="1"/>
        <v>1551</v>
      </c>
    </row>
    <row r="52" spans="1:16">
      <c r="A52" s="578" t="s">
        <v>179</v>
      </c>
      <c r="B52" s="601"/>
      <c r="C52" s="601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-15160</v>
      </c>
      <c r="I52" s="455"/>
      <c r="J52" s="552">
        <f>H52/DAY(B2)</f>
        <v>-1378.1818181818182</v>
      </c>
      <c r="K52" s="428"/>
      <c r="L52" s="377"/>
      <c r="N52" s="721">
        <v>1007.1900000000023</v>
      </c>
      <c r="P52" s="382">
        <f t="shared" si="1"/>
        <v>1077.8099999999977</v>
      </c>
    </row>
    <row r="53" spans="1:16">
      <c r="A53" s="578" t="s">
        <v>168</v>
      </c>
      <c r="B53" s="601"/>
      <c r="C53" s="601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-36281</v>
      </c>
      <c r="I53" s="455"/>
      <c r="J53" s="552">
        <f>H53/DAY(B2)</f>
        <v>-3298.2727272727275</v>
      </c>
      <c r="K53" s="428"/>
      <c r="L53" s="377"/>
      <c r="N53" s="721">
        <v>85.61410000000069</v>
      </c>
      <c r="P53" s="382">
        <f t="shared" si="1"/>
        <v>4019.3858999999993</v>
      </c>
    </row>
    <row r="54" spans="1:16">
      <c r="A54" s="578" t="s">
        <v>180</v>
      </c>
      <c r="B54" s="601"/>
      <c r="C54" s="601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2043.0400000000009</v>
      </c>
      <c r="I54" s="455"/>
      <c r="J54" s="552">
        <f>H54/DAY(B2)</f>
        <v>185.73090909090917</v>
      </c>
      <c r="K54" s="428"/>
      <c r="L54" s="377"/>
      <c r="N54" s="721">
        <v>0</v>
      </c>
      <c r="P54" s="382">
        <f t="shared" si="1"/>
        <v>0</v>
      </c>
    </row>
    <row r="55" spans="1:16">
      <c r="A55" s="578" t="s">
        <v>181</v>
      </c>
      <c r="B55" s="601"/>
      <c r="C55" s="601"/>
      <c r="D55" s="523" t="s">
        <v>132</v>
      </c>
      <c r="E55" s="510">
        <f>'10'!F55</f>
        <v>166777</v>
      </c>
      <c r="F55" s="656">
        <v>171852</v>
      </c>
      <c r="G55" s="655">
        <f t="shared" si="5"/>
        <v>5075</v>
      </c>
      <c r="H55" s="708">
        <f>G55+'9'!H55</f>
        <v>-49244</v>
      </c>
      <c r="I55" s="709"/>
      <c r="J55" s="710">
        <f>H55/DAY(B2)</f>
        <v>-4476.727272727273</v>
      </c>
      <c r="K55" s="428"/>
      <c r="L55" s="377"/>
      <c r="N55" s="721">
        <v>29.730000000010477</v>
      </c>
      <c r="P55" s="382">
        <f t="shared" si="1"/>
        <v>5045.2699999999895</v>
      </c>
    </row>
    <row r="56" spans="1:16">
      <c r="A56" s="578" t="s">
        <v>182</v>
      </c>
      <c r="B56" s="601"/>
      <c r="C56" s="601"/>
      <c r="D56" s="523" t="s">
        <v>183</v>
      </c>
      <c r="E56" s="510">
        <f>'10'!F56</f>
        <v>588761</v>
      </c>
      <c r="F56" s="656">
        <v>588761</v>
      </c>
      <c r="G56" s="473">
        <f t="shared" si="5"/>
        <v>0</v>
      </c>
      <c r="H56" s="460">
        <f>G56+'9'!H56</f>
        <v>-206</v>
      </c>
      <c r="I56" s="455"/>
      <c r="J56" s="552">
        <f>H56/DAY(B2)</f>
        <v>-18.727272727272727</v>
      </c>
      <c r="K56" s="427"/>
      <c r="L56" s="377"/>
      <c r="N56" s="721">
        <v>0</v>
      </c>
      <c r="P56" s="382">
        <f t="shared" si="1"/>
        <v>0</v>
      </c>
    </row>
    <row r="57" spans="1:16">
      <c r="A57" s="578" t="s">
        <v>172</v>
      </c>
      <c r="B57" s="601"/>
      <c r="C57" s="601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21">
        <v>0</v>
      </c>
      <c r="P57" s="382">
        <f t="shared" si="1"/>
        <v>0</v>
      </c>
    </row>
    <row r="58" spans="1:16">
      <c r="A58" s="578" t="s">
        <v>184</v>
      </c>
      <c r="B58" s="601"/>
      <c r="C58" s="601"/>
      <c r="D58" s="523" t="s">
        <v>132</v>
      </c>
      <c r="E58" s="510">
        <f>'10'!F58</f>
        <v>37842</v>
      </c>
      <c r="F58" s="656">
        <v>38003</v>
      </c>
      <c r="G58" s="473">
        <f t="shared" si="5"/>
        <v>161</v>
      </c>
      <c r="H58" s="460">
        <f>G58+'9'!H58</f>
        <v>-3740</v>
      </c>
      <c r="I58" s="455"/>
      <c r="J58" s="552">
        <f>H58/DAY(B2)</f>
        <v>-340</v>
      </c>
      <c r="K58" s="428"/>
      <c r="L58" s="377"/>
      <c r="N58" s="721">
        <v>7.3549999999995634</v>
      </c>
      <c r="P58" s="382">
        <f t="shared" si="1"/>
        <v>153.64500000000044</v>
      </c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14112</v>
      </c>
      <c r="H59" s="460">
        <f>G59+'9'!H59</f>
        <v>-141834.96000000002</v>
      </c>
      <c r="I59" s="455">
        <f>G7-G60</f>
        <v>361.51000000000204</v>
      </c>
      <c r="J59" s="552">
        <f>H59/DAY(B2)</f>
        <v>-12894.087272727274</v>
      </c>
      <c r="K59" s="428"/>
      <c r="L59" s="377"/>
      <c r="N59" s="721">
        <v>1689.8591000000142</v>
      </c>
      <c r="P59" s="382">
        <f t="shared" si="1"/>
        <v>12422.140899999986</v>
      </c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20954.489999999998</v>
      </c>
      <c r="H60" s="460">
        <f>G60+'10'!H60</f>
        <v>-422380.46</v>
      </c>
      <c r="I60" s="455">
        <f>G13-G60</f>
        <v>-412.48999999999796</v>
      </c>
      <c r="J60" s="552">
        <f>H60/DAY(B2)</f>
        <v>-38398.22363636364</v>
      </c>
      <c r="K60" s="428"/>
      <c r="L60" s="377"/>
      <c r="N60" s="721">
        <v>11779.769100000076</v>
      </c>
      <c r="P60" s="382">
        <f>G60-N60</f>
        <v>9174.720899999922</v>
      </c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P61" s="382">
        <f t="shared" si="1"/>
        <v>0</v>
      </c>
    </row>
    <row r="62" spans="1:16">
      <c r="A62" s="603" t="s">
        <v>98</v>
      </c>
      <c r="B62" s="604"/>
      <c r="C62" s="604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1.9999999967694748E-3</v>
      </c>
      <c r="I62" s="515"/>
      <c r="J62" s="552">
        <f>H62/DAY(B2)</f>
        <v>1.818181815244977E-4</v>
      </c>
      <c r="K62" s="428"/>
      <c r="L62" s="377"/>
      <c r="N62" s="721">
        <v>0</v>
      </c>
      <c r="P62" s="382">
        <f t="shared" si="1"/>
        <v>0</v>
      </c>
    </row>
    <row r="63" spans="1:16">
      <c r="A63" s="603" t="s">
        <v>188</v>
      </c>
      <c r="B63" s="604"/>
      <c r="C63" s="604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-243</v>
      </c>
      <c r="I63" s="515"/>
      <c r="J63" s="552">
        <f>H63/DAY(B2)</f>
        <v>-22.09090909090909</v>
      </c>
      <c r="K63" s="428"/>
      <c r="L63" s="377"/>
      <c r="N63" s="721">
        <v>0</v>
      </c>
      <c r="P63" s="382">
        <f t="shared" si="1"/>
        <v>14</v>
      </c>
    </row>
    <row r="64" spans="1:16" ht="27.75">
      <c r="A64" s="1416" t="s">
        <v>99</v>
      </c>
      <c r="B64" s="1417"/>
      <c r="C64" s="1418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-9832</v>
      </c>
      <c r="I64" s="480"/>
      <c r="J64" s="552">
        <f>H64/DAY(B2)</f>
        <v>-893.81818181818187</v>
      </c>
      <c r="K64" s="428"/>
      <c r="L64" s="377"/>
      <c r="N64" s="721">
        <v>163.8269999999975</v>
      </c>
      <c r="P64" s="382">
        <f t="shared" si="1"/>
        <v>343.1730000000025</v>
      </c>
    </row>
    <row r="65" spans="1:16" ht="27.75">
      <c r="A65" s="1416" t="s">
        <v>100</v>
      </c>
      <c r="B65" s="1417"/>
      <c r="C65" s="1418"/>
      <c r="D65" s="523" t="s">
        <v>187</v>
      </c>
      <c r="E65" s="514">
        <f>'10'!F65</f>
        <v>136358</v>
      </c>
      <c r="F65" s="654">
        <v>136712</v>
      </c>
      <c r="G65" s="473">
        <f t="shared" si="6"/>
        <v>354</v>
      </c>
      <c r="H65" s="460">
        <f>G65+'10'!H65</f>
        <v>-7493</v>
      </c>
      <c r="I65" s="489"/>
      <c r="J65" s="552">
        <f>H65/DAY(B2)</f>
        <v>-681.18181818181813</v>
      </c>
      <c r="K65" s="428"/>
      <c r="L65" s="377"/>
      <c r="N65" s="721">
        <v>268.47299999999814</v>
      </c>
      <c r="P65" s="382">
        <f t="shared" si="1"/>
        <v>85.527000000001863</v>
      </c>
    </row>
    <row r="66" spans="1:16" ht="27.75">
      <c r="A66" s="1416" t="s">
        <v>101</v>
      </c>
      <c r="B66" s="1417"/>
      <c r="C66" s="1418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-7784</v>
      </c>
      <c r="I66" s="480"/>
      <c r="J66" s="552">
        <f>H66/DAY(B2)</f>
        <v>-707.63636363636363</v>
      </c>
      <c r="K66" s="428"/>
      <c r="L66" s="377"/>
      <c r="N66" s="721">
        <v>269.34500000000116</v>
      </c>
      <c r="P66" s="382">
        <f t="shared" si="1"/>
        <v>76.654999999998836</v>
      </c>
    </row>
    <row r="67" spans="1:16" ht="27.75">
      <c r="A67" s="1416" t="s">
        <v>102</v>
      </c>
      <c r="B67" s="1417"/>
      <c r="C67" s="1418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-13801</v>
      </c>
      <c r="I67" s="489"/>
      <c r="J67" s="552">
        <f>H67/DAY(B2)</f>
        <v>-1254.6363636363637</v>
      </c>
      <c r="K67" s="429"/>
      <c r="L67" s="377"/>
      <c r="N67" s="721">
        <v>278.32000000000698</v>
      </c>
      <c r="P67" s="382">
        <f t="shared" si="1"/>
        <v>385.67999999999302</v>
      </c>
    </row>
    <row r="68" spans="1:16" ht="27.75">
      <c r="A68" s="1416" t="s">
        <v>103</v>
      </c>
      <c r="B68" s="1417"/>
      <c r="C68" s="1418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-6706</v>
      </c>
      <c r="I68" s="516"/>
      <c r="J68" s="552">
        <f>H68/DAY(B2)</f>
        <v>-609.63636363636363</v>
      </c>
      <c r="K68" s="430"/>
      <c r="L68" s="377"/>
      <c r="N68" s="721">
        <v>96.661499999999705</v>
      </c>
      <c r="P68" s="382">
        <f t="shared" si="1"/>
        <v>205.33850000000029</v>
      </c>
    </row>
    <row r="69" spans="1:16" ht="27.75">
      <c r="A69" s="1416" t="s">
        <v>104</v>
      </c>
      <c r="B69" s="1417"/>
      <c r="C69" s="1418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-6287</v>
      </c>
      <c r="I69" s="516"/>
      <c r="J69" s="552">
        <f>H69/DAY(B2)</f>
        <v>-571.5454545454545</v>
      </c>
      <c r="K69" s="431"/>
      <c r="L69" s="377"/>
      <c r="N69" s="721">
        <v>12.966000000000349</v>
      </c>
      <c r="P69" s="382">
        <f t="shared" si="1"/>
        <v>317.03399999999965</v>
      </c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G70+'10'!H70</f>
        <v>0</v>
      </c>
      <c r="I70" s="518"/>
      <c r="J70" s="556">
        <f>H70/DAY(B2)</f>
        <v>0</v>
      </c>
      <c r="K70" s="431"/>
      <c r="L70" s="377"/>
      <c r="N70" s="721"/>
      <c r="P70" s="382">
        <f t="shared" si="1"/>
        <v>0</v>
      </c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P71" s="382">
        <f t="shared" si="1"/>
        <v>0</v>
      </c>
    </row>
    <row r="72" spans="1:16" ht="27.75">
      <c r="A72" s="1416" t="s">
        <v>191</v>
      </c>
      <c r="B72" s="1417"/>
      <c r="C72" s="1418"/>
      <c r="D72" s="523" t="s">
        <v>187</v>
      </c>
      <c r="E72" s="519">
        <f>'10'!F72</f>
        <v>851438</v>
      </c>
      <c r="F72" s="657">
        <v>851533</v>
      </c>
      <c r="G72" s="777">
        <f t="shared" ref="G72:G84" si="7">F72-E72</f>
        <v>95</v>
      </c>
      <c r="H72" s="460">
        <f>G72+'10'!H72</f>
        <v>-1646</v>
      </c>
      <c r="I72" s="480"/>
      <c r="J72" s="552">
        <f>H72/DAY(B2)</f>
        <v>-149.63636363636363</v>
      </c>
      <c r="K72" s="431"/>
      <c r="L72" s="377"/>
      <c r="N72" s="721">
        <v>17</v>
      </c>
      <c r="P72" s="382">
        <f t="shared" ref="P72:P140" si="8">G72-N72</f>
        <v>78</v>
      </c>
    </row>
    <row r="73" spans="1:16" ht="27.75">
      <c r="A73" s="1416" t="s">
        <v>192</v>
      </c>
      <c r="B73" s="1417"/>
      <c r="C73" s="1418"/>
      <c r="D73" s="523" t="s">
        <v>187</v>
      </c>
      <c r="E73" s="519">
        <f>'10'!F73</f>
        <v>885775</v>
      </c>
      <c r="F73" s="658">
        <v>885775</v>
      </c>
      <c r="G73" s="655">
        <f t="shared" si="7"/>
        <v>0</v>
      </c>
      <c r="H73" s="460">
        <f>G73+'10'!H73</f>
        <v>-25</v>
      </c>
      <c r="I73" s="480"/>
      <c r="J73" s="552">
        <f>H73/DAY(B2)</f>
        <v>-2.2727272727272729</v>
      </c>
      <c r="K73" s="430"/>
      <c r="L73" s="377"/>
      <c r="N73" s="721">
        <v>1</v>
      </c>
      <c r="P73" s="382">
        <f t="shared" si="8"/>
        <v>-1</v>
      </c>
    </row>
    <row r="74" spans="1:16" ht="27.75">
      <c r="A74" s="1416" t="s">
        <v>193</v>
      </c>
      <c r="B74" s="1417"/>
      <c r="C74" s="1418"/>
      <c r="D74" s="523" t="s">
        <v>187</v>
      </c>
      <c r="E74" s="519">
        <f>'10'!F74</f>
        <v>872</v>
      </c>
      <c r="F74" s="658">
        <v>898</v>
      </c>
      <c r="G74" s="473">
        <f t="shared" si="7"/>
        <v>26</v>
      </c>
      <c r="H74" s="460">
        <f>G74+'10'!H74</f>
        <v>-472</v>
      </c>
      <c r="I74" s="480"/>
      <c r="J74" s="552">
        <f>H74/DAY(B2)</f>
        <v>-42.909090909090907</v>
      </c>
      <c r="K74" s="431"/>
      <c r="L74" s="377"/>
      <c r="N74" s="721">
        <v>7</v>
      </c>
      <c r="P74" s="382">
        <f t="shared" si="8"/>
        <v>19</v>
      </c>
    </row>
    <row r="75" spans="1:16" ht="27.75">
      <c r="A75" s="1413" t="s">
        <v>194</v>
      </c>
      <c r="B75" s="1414"/>
      <c r="C75" s="1415"/>
      <c r="D75" s="523" t="s">
        <v>187</v>
      </c>
      <c r="E75" s="519">
        <f>'10'!F75</f>
        <v>5150</v>
      </c>
      <c r="F75" s="658">
        <v>5314</v>
      </c>
      <c r="G75" s="473">
        <f t="shared" si="7"/>
        <v>164</v>
      </c>
      <c r="H75" s="460">
        <f>G75+'10'!H75</f>
        <v>-3366</v>
      </c>
      <c r="I75" s="480"/>
      <c r="J75" s="552">
        <f>H75/DAY(B2)</f>
        <v>-306</v>
      </c>
      <c r="K75" s="430"/>
      <c r="L75" s="377"/>
      <c r="N75" s="721">
        <v>63</v>
      </c>
      <c r="P75" s="382">
        <f t="shared" si="8"/>
        <v>101</v>
      </c>
    </row>
    <row r="76" spans="1:16" ht="27.75">
      <c r="A76" s="1413" t="s">
        <v>195</v>
      </c>
      <c r="B76" s="1414"/>
      <c r="C76" s="1415"/>
      <c r="D76" s="523" t="s">
        <v>187</v>
      </c>
      <c r="E76" s="519">
        <f>'10'!F76</f>
        <v>2353</v>
      </c>
      <c r="F76" s="658">
        <v>2444</v>
      </c>
      <c r="G76" s="473">
        <f t="shared" si="7"/>
        <v>91</v>
      </c>
      <c r="H76" s="460">
        <f>G76+'10'!H76</f>
        <v>-1593</v>
      </c>
      <c r="I76" s="505"/>
      <c r="J76" s="552">
        <f>H76/DAY(B2)</f>
        <v>-144.81818181818181</v>
      </c>
      <c r="K76" s="430"/>
      <c r="L76" s="377"/>
      <c r="N76" s="721">
        <v>2</v>
      </c>
      <c r="P76" s="382">
        <f t="shared" si="8"/>
        <v>89</v>
      </c>
    </row>
    <row r="77" spans="1:16" ht="27.75">
      <c r="A77" s="1416" t="s">
        <v>196</v>
      </c>
      <c r="B77" s="1417"/>
      <c r="C77" s="1418"/>
      <c r="D77" s="523" t="s">
        <v>187</v>
      </c>
      <c r="E77" s="519">
        <f>'10'!F77</f>
        <v>699114</v>
      </c>
      <c r="F77" s="1319">
        <v>699169</v>
      </c>
      <c r="G77" s="655">
        <f t="shared" si="7"/>
        <v>55</v>
      </c>
      <c r="H77" s="460">
        <f>G77+'10'!H77</f>
        <v>-1045</v>
      </c>
      <c r="I77" s="505"/>
      <c r="J77" s="552">
        <f>H77/DAY(B2)</f>
        <v>-95</v>
      </c>
      <c r="K77" s="430"/>
      <c r="L77" s="377"/>
      <c r="N77" s="721">
        <v>15</v>
      </c>
      <c r="P77" s="382">
        <f t="shared" si="8"/>
        <v>40</v>
      </c>
    </row>
    <row r="78" spans="1:16" ht="27.75">
      <c r="A78" s="1148" t="s">
        <v>197</v>
      </c>
      <c r="B78" s="1121"/>
      <c r="C78" s="1121"/>
      <c r="D78" s="523" t="s">
        <v>187</v>
      </c>
      <c r="E78" s="519">
        <f>'10'!F78</f>
        <v>656774</v>
      </c>
      <c r="F78" s="1319">
        <v>657185</v>
      </c>
      <c r="G78" s="473">
        <f t="shared" si="7"/>
        <v>411</v>
      </c>
      <c r="H78" s="460">
        <f>G78+'10'!H78</f>
        <v>-8195</v>
      </c>
      <c r="I78" s="505"/>
      <c r="J78" s="552">
        <f>H78/DAY(B2)</f>
        <v>-745</v>
      </c>
      <c r="K78" s="430"/>
      <c r="L78" s="377"/>
      <c r="N78" s="721">
        <v>38</v>
      </c>
      <c r="P78" s="382">
        <f t="shared" si="8"/>
        <v>373</v>
      </c>
    </row>
    <row r="79" spans="1:16" ht="27.75">
      <c r="A79" s="1413" t="s">
        <v>92</v>
      </c>
      <c r="B79" s="1414"/>
      <c r="C79" s="1415"/>
      <c r="D79" s="524" t="s">
        <v>187</v>
      </c>
      <c r="E79" s="519">
        <f>'10'!F79</f>
        <v>817239</v>
      </c>
      <c r="F79" s="659">
        <v>817412</v>
      </c>
      <c r="G79" s="473">
        <f t="shared" si="7"/>
        <v>173</v>
      </c>
      <c r="H79" s="460">
        <f>G79+'10'!H79</f>
        <v>-3801</v>
      </c>
      <c r="I79" s="505"/>
      <c r="J79" s="552">
        <f>H79/DAY(B2)</f>
        <v>-345.54545454545456</v>
      </c>
      <c r="K79" s="430"/>
      <c r="L79" s="377"/>
      <c r="N79" s="721">
        <v>94</v>
      </c>
      <c r="P79" s="382">
        <f t="shared" si="8"/>
        <v>79</v>
      </c>
    </row>
    <row r="80" spans="1:16" ht="27.75">
      <c r="A80" s="1413" t="s">
        <v>198</v>
      </c>
      <c r="B80" s="1414"/>
      <c r="C80" s="1415"/>
      <c r="D80" s="524" t="s">
        <v>187</v>
      </c>
      <c r="E80" s="519">
        <f>'10'!F80</f>
        <v>498270</v>
      </c>
      <c r="F80" s="1319">
        <v>498367</v>
      </c>
      <c r="G80" s="473">
        <f t="shared" si="7"/>
        <v>97</v>
      </c>
      <c r="H80" s="460">
        <f>G80+'10'!H80</f>
        <v>-7332</v>
      </c>
      <c r="I80" s="505"/>
      <c r="J80" s="552">
        <f>H80/DAY(B2)</f>
        <v>-666.5454545454545</v>
      </c>
      <c r="K80" s="430"/>
      <c r="L80" s="377"/>
      <c r="N80" s="721">
        <v>188.48000000003958</v>
      </c>
      <c r="P80" s="382">
        <f t="shared" si="8"/>
        <v>-91.480000000039581</v>
      </c>
    </row>
    <row r="81" spans="1:16" ht="27.75">
      <c r="A81" s="1413" t="s">
        <v>199</v>
      </c>
      <c r="B81" s="1414"/>
      <c r="C81" s="1415"/>
      <c r="D81" s="524" t="s">
        <v>187</v>
      </c>
      <c r="E81" s="519">
        <f>'10'!F81</f>
        <v>627017</v>
      </c>
      <c r="F81" s="658">
        <v>627101</v>
      </c>
      <c r="G81" s="473">
        <f t="shared" si="7"/>
        <v>84</v>
      </c>
      <c r="H81" s="460">
        <f>G81+'10'!H81</f>
        <v>-3084</v>
      </c>
      <c r="I81" s="505"/>
      <c r="J81" s="552">
        <f>H81/DAY(B2)</f>
        <v>-280.36363636363637</v>
      </c>
      <c r="K81" s="430"/>
      <c r="L81" s="377"/>
      <c r="N81" s="721">
        <v>84.92000000004191</v>
      </c>
      <c r="P81" s="382">
        <f t="shared" si="8"/>
        <v>-0.92000000004190952</v>
      </c>
    </row>
    <row r="82" spans="1:16" ht="27.75">
      <c r="A82" s="1413" t="s">
        <v>93</v>
      </c>
      <c r="B82" s="1414"/>
      <c r="C82" s="1415"/>
      <c r="D82" s="485" t="s">
        <v>132</v>
      </c>
      <c r="E82" s="519">
        <f>'10'!F82</f>
        <v>106419</v>
      </c>
      <c r="F82" s="654">
        <v>106445</v>
      </c>
      <c r="G82" s="473">
        <f t="shared" si="7"/>
        <v>26</v>
      </c>
      <c r="H82" s="460">
        <f>G82+'10'!H82</f>
        <v>-450</v>
      </c>
      <c r="I82" s="486"/>
      <c r="J82" s="552">
        <f>H82/DAY(B2)</f>
        <v>-40.909090909090907</v>
      </c>
      <c r="K82" s="430"/>
      <c r="L82" s="377"/>
      <c r="N82" s="721">
        <v>31.630000000004657</v>
      </c>
      <c r="P82" s="382">
        <f t="shared" si="8"/>
        <v>-5.6300000000046566</v>
      </c>
    </row>
    <row r="83" spans="1:16" ht="27.75">
      <c r="A83" s="1413" t="s">
        <v>200</v>
      </c>
      <c r="B83" s="1414"/>
      <c r="C83" s="1415"/>
      <c r="D83" s="620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-5376</v>
      </c>
      <c r="I83" s="481"/>
      <c r="J83" s="552">
        <f>H83/DAY(B2)</f>
        <v>-488.72727272727275</v>
      </c>
      <c r="K83" s="429"/>
      <c r="L83" s="377"/>
      <c r="N83" s="721">
        <v>235</v>
      </c>
      <c r="P83" s="382">
        <f t="shared" si="8"/>
        <v>172</v>
      </c>
    </row>
    <row r="84" spans="1:16">
      <c r="A84" s="1149" t="s">
        <v>201</v>
      </c>
      <c r="B84" s="571"/>
      <c r="C84" s="571"/>
      <c r="D84" s="478" t="s">
        <v>132</v>
      </c>
      <c r="E84" s="519">
        <f>'10'!F84</f>
        <v>438460</v>
      </c>
      <c r="F84" s="712">
        <v>439458</v>
      </c>
      <c r="G84" s="473">
        <f t="shared" si="7"/>
        <v>998</v>
      </c>
      <c r="H84" s="460">
        <f>G84+'10'!H84</f>
        <v>-15226</v>
      </c>
      <c r="I84" s="481"/>
      <c r="J84" s="552">
        <f>H84/DAY(B2)</f>
        <v>-1384.1818181818182</v>
      </c>
      <c r="K84" s="380"/>
      <c r="L84" s="377"/>
      <c r="N84" s="721">
        <v>433</v>
      </c>
      <c r="P84" s="382">
        <f t="shared" si="8"/>
        <v>565</v>
      </c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2627</v>
      </c>
      <c r="H85" s="460">
        <f>G85+'10'!H85</f>
        <v>-51611</v>
      </c>
      <c r="I85" s="481"/>
      <c r="J85" s="552">
        <f>H85/DAY(B2)</f>
        <v>-4691.909090909091</v>
      </c>
      <c r="K85" s="380"/>
      <c r="L85" s="378"/>
      <c r="N85" s="721">
        <v>1210.0300000000861</v>
      </c>
      <c r="P85" s="382">
        <f t="shared" si="8"/>
        <v>1416.9699999999139</v>
      </c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451553</v>
      </c>
      <c r="F86" s="650">
        <v>451722</v>
      </c>
      <c r="G86" s="708">
        <f t="shared" ref="G86:G90" si="9">F86-E86</f>
        <v>169</v>
      </c>
      <c r="H86" s="708">
        <f t="shared" ref="H86:H88" si="10">G86</f>
        <v>169</v>
      </c>
      <c r="I86" s="655"/>
      <c r="J86" s="710">
        <f>H86/DAY(B2)</f>
        <v>15.363636363636363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79518</v>
      </c>
      <c r="F87" s="1320">
        <v>79543</v>
      </c>
      <c r="G87" s="708">
        <f t="shared" si="9"/>
        <v>25</v>
      </c>
      <c r="H87" s="708">
        <f t="shared" si="10"/>
        <v>25</v>
      </c>
      <c r="I87" s="655"/>
      <c r="J87" s="710">
        <f>H87/DAY(B2)</f>
        <v>2.2727272727272729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149012</v>
      </c>
      <c r="F88" s="650">
        <v>149095</v>
      </c>
      <c r="G88" s="708">
        <f t="shared" si="9"/>
        <v>83</v>
      </c>
      <c r="H88" s="708">
        <f t="shared" si="10"/>
        <v>83</v>
      </c>
      <c r="I88" s="655"/>
      <c r="J88" s="710">
        <f>H88/DAY(B2)</f>
        <v>7.5454545454545459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62437</v>
      </c>
      <c r="F89" s="1320">
        <v>62495</v>
      </c>
      <c r="G89" s="708">
        <f t="shared" si="9"/>
        <v>58</v>
      </c>
      <c r="H89" s="708">
        <f>G89</f>
        <v>58</v>
      </c>
      <c r="I89" s="655"/>
      <c r="J89" s="710">
        <f>H89/DAY(B2)</f>
        <v>5.2727272727272725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3209</v>
      </c>
      <c r="F90" s="1320">
        <v>3214</v>
      </c>
      <c r="G90" s="708">
        <f t="shared" si="9"/>
        <v>5</v>
      </c>
      <c r="H90" s="708">
        <f>G90</f>
        <v>5</v>
      </c>
      <c r="I90" s="655"/>
      <c r="J90" s="710">
        <f>H90/DAY(B2)</f>
        <v>0.45454545454545453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P91" s="382">
        <f t="shared" si="8"/>
        <v>0</v>
      </c>
    </row>
    <row r="92" spans="1:16" ht="27.75">
      <c r="A92" s="1437" t="s">
        <v>206</v>
      </c>
      <c r="B92" s="1438"/>
      <c r="C92" s="1439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-1887</v>
      </c>
      <c r="I92" s="480"/>
      <c r="J92" s="552">
        <f>H92/DAY(B2)</f>
        <v>-171.54545454545453</v>
      </c>
      <c r="K92" s="429"/>
      <c r="L92" s="377"/>
      <c r="N92" s="721">
        <v>6</v>
      </c>
      <c r="P92" s="382">
        <f t="shared" si="8"/>
        <v>73</v>
      </c>
    </row>
    <row r="93" spans="1:16" ht="27.75">
      <c r="A93" s="1437" t="s">
        <v>207</v>
      </c>
      <c r="B93" s="1438"/>
      <c r="C93" s="1439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-2587</v>
      </c>
      <c r="I93" s="480"/>
      <c r="J93" s="552">
        <f>H93/DAY(B2)</f>
        <v>-235.18181818181819</v>
      </c>
      <c r="K93" s="380"/>
      <c r="L93" s="377"/>
      <c r="N93" s="721">
        <v>73</v>
      </c>
      <c r="P93" s="382">
        <f t="shared" si="8"/>
        <v>40</v>
      </c>
    </row>
    <row r="94" spans="1:16">
      <c r="A94" s="1465" t="s">
        <v>208</v>
      </c>
      <c r="B94" s="1466"/>
      <c r="C94" s="1467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-4693</v>
      </c>
      <c r="I94" s="480"/>
      <c r="J94" s="552">
        <f>H94/DAY(B2)</f>
        <v>-426.63636363636363</v>
      </c>
      <c r="K94" s="380"/>
      <c r="L94" s="377"/>
      <c r="N94" s="721">
        <v>79</v>
      </c>
      <c r="P94" s="382">
        <f t="shared" si="8"/>
        <v>113</v>
      </c>
    </row>
    <row r="95" spans="1:16" ht="27.75">
      <c r="A95" s="1437" t="s">
        <v>209</v>
      </c>
      <c r="B95" s="1438"/>
      <c r="C95" s="1439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-1662</v>
      </c>
      <c r="I95" s="480"/>
      <c r="J95" s="552">
        <f>H95/DAY(B2)</f>
        <v>-151.09090909090909</v>
      </c>
      <c r="K95" s="380"/>
      <c r="L95" s="377"/>
      <c r="N95" s="721">
        <v>28</v>
      </c>
      <c r="P95" s="382">
        <f t="shared" si="8"/>
        <v>51</v>
      </c>
    </row>
    <row r="96" spans="1:16" ht="27.75">
      <c r="A96" s="1145" t="s">
        <v>210</v>
      </c>
      <c r="B96" s="1146"/>
      <c r="C96" s="1146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-331</v>
      </c>
      <c r="I96" s="480"/>
      <c r="J96" s="552">
        <f>H96/DAY(B2)</f>
        <v>-30.09090909090909</v>
      </c>
      <c r="K96" s="427"/>
      <c r="L96" s="377"/>
      <c r="N96" s="721">
        <v>10</v>
      </c>
      <c r="P96" s="382">
        <f t="shared" si="8"/>
        <v>0</v>
      </c>
    </row>
    <row r="97" spans="1:16" ht="27.75">
      <c r="A97" s="1145" t="s">
        <v>211</v>
      </c>
      <c r="B97" s="1146"/>
      <c r="C97" s="1146"/>
      <c r="D97" s="523" t="s">
        <v>144</v>
      </c>
      <c r="E97" s="484">
        <f>'10'!F97</f>
        <v>96636</v>
      </c>
      <c r="F97" s="626">
        <v>96658</v>
      </c>
      <c r="G97" s="473">
        <f t="shared" si="12"/>
        <v>22</v>
      </c>
      <c r="H97" s="460">
        <f>G97+'10'!H97</f>
        <v>-270</v>
      </c>
      <c r="I97" s="480"/>
      <c r="J97" s="552">
        <f>H97/DAY(B2)</f>
        <v>-24.545454545454547</v>
      </c>
      <c r="K97" s="432"/>
      <c r="L97" s="377"/>
      <c r="N97" s="721">
        <v>10</v>
      </c>
      <c r="P97" s="382">
        <f t="shared" si="8"/>
        <v>12</v>
      </c>
    </row>
    <row r="98" spans="1:16" ht="27.75">
      <c r="A98" s="1145" t="s">
        <v>212</v>
      </c>
      <c r="B98" s="1146"/>
      <c r="C98" s="1146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-677</v>
      </c>
      <c r="I98" s="480"/>
      <c r="J98" s="552">
        <f>H98/DAY(B2)</f>
        <v>-61.545454545454547</v>
      </c>
      <c r="K98" s="380"/>
      <c r="L98" s="377"/>
      <c r="N98" s="723">
        <v>28</v>
      </c>
      <c r="P98" s="382">
        <f t="shared" si="8"/>
        <v>44</v>
      </c>
    </row>
    <row r="99" spans="1:16" ht="27.75">
      <c r="A99" s="1145" t="s">
        <v>213</v>
      </c>
      <c r="B99" s="1146"/>
      <c r="C99" s="1146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-299</v>
      </c>
      <c r="I99" s="480"/>
      <c r="J99" s="552">
        <f>H99/DAY(B2)</f>
        <v>-27.181818181818183</v>
      </c>
      <c r="K99" s="380"/>
      <c r="L99" s="377"/>
      <c r="N99" s="721">
        <v>5</v>
      </c>
      <c r="P99" s="382">
        <f t="shared" si="8"/>
        <v>4</v>
      </c>
    </row>
    <row r="100" spans="1:16" ht="27.75">
      <c r="A100" s="1145" t="s">
        <v>214</v>
      </c>
      <c r="B100" s="1146"/>
      <c r="C100" s="1146"/>
      <c r="D100" s="523" t="s">
        <v>144</v>
      </c>
      <c r="E100" s="484">
        <f>'10'!F100</f>
        <v>4646</v>
      </c>
      <c r="F100" s="626">
        <v>4661</v>
      </c>
      <c r="G100" s="473">
        <f t="shared" si="12"/>
        <v>15</v>
      </c>
      <c r="H100" s="460">
        <f>G100+'10'!H100</f>
        <v>-282</v>
      </c>
      <c r="I100" s="480"/>
      <c r="J100" s="552">
        <f>H100/DAY(B2)</f>
        <v>-25.636363636363637</v>
      </c>
      <c r="K100" s="380"/>
      <c r="L100" s="377"/>
      <c r="N100" s="721">
        <v>0</v>
      </c>
      <c r="P100" s="382">
        <f t="shared" si="8"/>
        <v>15</v>
      </c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207</v>
      </c>
      <c r="H101" s="460">
        <f>G101+'10'!H101</f>
        <v>-3521</v>
      </c>
      <c r="I101" s="526"/>
      <c r="J101" s="552">
        <f>H101/DAY(B2)</f>
        <v>-320.09090909090907</v>
      </c>
      <c r="K101" s="380"/>
      <c r="L101" s="377"/>
      <c r="N101" s="721">
        <v>81</v>
      </c>
      <c r="P101" s="382">
        <f t="shared" si="8"/>
        <v>126</v>
      </c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P102" s="382">
        <f t="shared" si="8"/>
        <v>0</v>
      </c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P103" s="382">
        <f t="shared" si="8"/>
        <v>0</v>
      </c>
    </row>
    <row r="104" spans="1:16" s="442" customFormat="1" ht="27.75">
      <c r="A104" s="1429" t="s">
        <v>219</v>
      </c>
      <c r="B104" s="1430"/>
      <c r="C104" s="1144"/>
      <c r="D104" s="622" t="s">
        <v>144</v>
      </c>
      <c r="E104" s="484">
        <f>'10'!F104</f>
        <v>7233</v>
      </c>
      <c r="F104" s="661">
        <v>7233</v>
      </c>
      <c r="G104" s="532">
        <f>F104-E104</f>
        <v>0</v>
      </c>
      <c r="H104" s="533">
        <f>SUM(G104+'1'!G76)</f>
        <v>59</v>
      </c>
      <c r="I104" s="532"/>
      <c r="J104" s="558">
        <f>H104/DAY(B2)</f>
        <v>5.3636363636363633</v>
      </c>
      <c r="N104" s="721">
        <v>0</v>
      </c>
      <c r="P104" s="382">
        <f t="shared" si="8"/>
        <v>0</v>
      </c>
    </row>
    <row r="105" spans="1:16" s="442" customFormat="1" ht="27.75">
      <c r="A105" s="1429" t="s">
        <v>77</v>
      </c>
      <c r="B105" s="1430"/>
      <c r="C105" s="1144"/>
      <c r="D105" s="622" t="s">
        <v>144</v>
      </c>
      <c r="E105" s="484">
        <f>'10'!F105</f>
        <v>35488</v>
      </c>
      <c r="F105" s="662">
        <v>35494</v>
      </c>
      <c r="G105" s="532">
        <f t="shared" ref="G105:G106" si="13">F105-E105</f>
        <v>6</v>
      </c>
      <c r="H105" s="533">
        <f>SUM(G105+'1'!G77)</f>
        <v>56</v>
      </c>
      <c r="I105" s="532"/>
      <c r="J105" s="558">
        <f>H105/DAY(B2)</f>
        <v>5.0909090909090908</v>
      </c>
      <c r="N105" s="721">
        <v>0</v>
      </c>
      <c r="P105" s="382">
        <f t="shared" si="8"/>
        <v>6</v>
      </c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'10'!F106</f>
        <v>19297</v>
      </c>
      <c r="F106" s="662">
        <v>19308</v>
      </c>
      <c r="G106" s="532">
        <f t="shared" si="13"/>
        <v>11</v>
      </c>
      <c r="H106" s="533">
        <f>SUM(G106+'1'!G78)</f>
        <v>406</v>
      </c>
      <c r="I106" s="532"/>
      <c r="J106" s="558">
        <f>H106/DAY(B2)</f>
        <v>36.909090909090907</v>
      </c>
      <c r="N106" s="721">
        <v>4</v>
      </c>
      <c r="P106" s="382">
        <f t="shared" si="8"/>
        <v>7</v>
      </c>
    </row>
    <row r="107" spans="1:16" s="442" customFormat="1" ht="27.75">
      <c r="A107" s="1431" t="s">
        <v>202</v>
      </c>
      <c r="B107" s="1432"/>
      <c r="C107" s="1144"/>
      <c r="D107" s="622"/>
      <c r="E107" s="484"/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19.181818181818183</v>
      </c>
      <c r="N107" s="721">
        <v>4</v>
      </c>
      <c r="P107" s="382">
        <f t="shared" si="8"/>
        <v>13</v>
      </c>
    </row>
    <row r="108" spans="1:16" s="442" customFormat="1" ht="27.75">
      <c r="A108" s="1435" t="s">
        <v>79</v>
      </c>
      <c r="B108" s="1436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P108" s="382">
        <f t="shared" si="8"/>
        <v>0</v>
      </c>
    </row>
    <row r="109" spans="1:16" s="442" customFormat="1" ht="27.75">
      <c r="A109" s="1429" t="s">
        <v>220</v>
      </c>
      <c r="B109" s="1430"/>
      <c r="C109" s="1144"/>
      <c r="D109" s="622" t="s">
        <v>144</v>
      </c>
      <c r="E109" s="484">
        <f>'10'!F109</f>
        <v>57144</v>
      </c>
      <c r="F109" s="787">
        <v>57226</v>
      </c>
      <c r="G109" s="532">
        <f>F109-E109</f>
        <v>82</v>
      </c>
      <c r="H109" s="533">
        <f>SUM(G109+'1'!G81)</f>
        <v>280</v>
      </c>
      <c r="I109" s="532"/>
      <c r="J109" s="558">
        <f>H109/DAY(B2)</f>
        <v>25.454545454545453</v>
      </c>
      <c r="N109" s="721">
        <v>40</v>
      </c>
      <c r="P109" s="382">
        <f t="shared" si="8"/>
        <v>42</v>
      </c>
    </row>
    <row r="110" spans="1:16" s="442" customFormat="1" ht="27.75">
      <c r="A110" s="1429" t="s">
        <v>221</v>
      </c>
      <c r="B110" s="1430"/>
      <c r="C110" s="1144"/>
      <c r="D110" s="622" t="s">
        <v>144</v>
      </c>
      <c r="E110" s="484">
        <f>'10'!F110</f>
        <v>31098</v>
      </c>
      <c r="F110" s="662">
        <v>31156</v>
      </c>
      <c r="G110" s="532">
        <f t="shared" ref="G110:G111" si="14">F110-E110</f>
        <v>58</v>
      </c>
      <c r="H110" s="533">
        <f>SUM(G110+'1'!G82)</f>
        <v>81</v>
      </c>
      <c r="I110" s="532"/>
      <c r="J110" s="558">
        <f>H110/DAY(B2)</f>
        <v>7.3636363636363633</v>
      </c>
      <c r="N110" s="721">
        <v>0</v>
      </c>
      <c r="P110" s="382">
        <f t="shared" si="8"/>
        <v>58</v>
      </c>
    </row>
    <row r="111" spans="1:16" s="442" customFormat="1" ht="27.75">
      <c r="A111" s="1429" t="s">
        <v>222</v>
      </c>
      <c r="B111" s="1430"/>
      <c r="C111" s="1144"/>
      <c r="D111" s="622" t="s">
        <v>144</v>
      </c>
      <c r="E111" s="484">
        <f>'10'!F111</f>
        <v>4047</v>
      </c>
      <c r="F111" s="662">
        <v>4047</v>
      </c>
      <c r="G111" s="532">
        <f t="shared" si="14"/>
        <v>0</v>
      </c>
      <c r="H111" s="533">
        <f>SUM(G111+'1'!G83)</f>
        <v>239</v>
      </c>
      <c r="I111" s="532"/>
      <c r="J111" s="558">
        <f>H111/DAY(B2)</f>
        <v>21.727272727272727</v>
      </c>
      <c r="N111" s="721">
        <v>0</v>
      </c>
      <c r="P111" s="382">
        <f t="shared" si="8"/>
        <v>0</v>
      </c>
    </row>
    <row r="112" spans="1:16" s="442" customFormat="1" ht="27.75">
      <c r="A112" s="1431" t="s">
        <v>110</v>
      </c>
      <c r="B112" s="1432"/>
      <c r="C112" s="1144"/>
      <c r="D112" s="622"/>
      <c r="E112" s="484"/>
      <c r="F112" s="662"/>
      <c r="G112" s="532">
        <f>SUM(G109:G111)</f>
        <v>140</v>
      </c>
      <c r="H112" s="533">
        <f>SUM(G112+'1'!G84)</f>
        <v>1055</v>
      </c>
      <c r="I112" s="532"/>
      <c r="J112" s="558">
        <f>H112/DAY(B2)</f>
        <v>95.909090909090907</v>
      </c>
      <c r="N112" s="721">
        <v>40</v>
      </c>
      <c r="P112" s="382">
        <f t="shared" si="8"/>
        <v>100</v>
      </c>
    </row>
    <row r="113" spans="1:16" s="442" customFormat="1" ht="27.75">
      <c r="A113" s="1435" t="s">
        <v>223</v>
      </c>
      <c r="B113" s="1436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P113" s="382">
        <f t="shared" si="8"/>
        <v>0</v>
      </c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'10'!F114</f>
        <v>10488</v>
      </c>
      <c r="F114" s="662">
        <v>10502</v>
      </c>
      <c r="G114" s="534">
        <f>F114-E114</f>
        <v>14</v>
      </c>
      <c r="H114" s="533">
        <f>SUM(G114+'1'!G91)</f>
        <v>14</v>
      </c>
      <c r="I114" s="532"/>
      <c r="J114" s="558">
        <f>H114/DAY(B2)</f>
        <v>1.2727272727272727</v>
      </c>
      <c r="N114" s="721">
        <v>5</v>
      </c>
      <c r="P114" s="382">
        <f t="shared" si="8"/>
        <v>9</v>
      </c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'10'!F115</f>
        <v>7749</v>
      </c>
      <c r="F115" s="662">
        <v>7762</v>
      </c>
      <c r="G115" s="534">
        <f t="shared" ref="G115:G116" si="15">F115-E115</f>
        <v>13</v>
      </c>
      <c r="H115" s="533">
        <f>SUM(G115+'1'!G92)</f>
        <v>105</v>
      </c>
      <c r="I115" s="532"/>
      <c r="J115" s="558">
        <f>H115/DAY(B2)</f>
        <v>9.545454545454545</v>
      </c>
      <c r="N115" s="721">
        <v>2</v>
      </c>
      <c r="P115" s="382">
        <f t="shared" si="8"/>
        <v>11</v>
      </c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5"/>
        <v>0</v>
      </c>
      <c r="H116" s="533">
        <f>SUM(G116+'1'!G93)</f>
        <v>127</v>
      </c>
      <c r="I116" s="532"/>
      <c r="J116" s="558">
        <f>H116/DAY(B2)</f>
        <v>11.545454545454545</v>
      </c>
      <c r="N116" s="721">
        <v>0</v>
      </c>
      <c r="P116" s="382">
        <f t="shared" si="8"/>
        <v>0</v>
      </c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27</v>
      </c>
      <c r="H117" s="533">
        <f>SUM(G117+'1'!G95)</f>
        <v>104</v>
      </c>
      <c r="I117" s="534"/>
      <c r="J117" s="558">
        <f>H117/DAY(B2)</f>
        <v>9.454545454545455</v>
      </c>
      <c r="N117" s="721">
        <v>7</v>
      </c>
      <c r="P117" s="382">
        <f t="shared" si="8"/>
        <v>20</v>
      </c>
    </row>
    <row r="118" spans="1:16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130</v>
      </c>
      <c r="G118" s="536">
        <f>SUM(G19+G92)</f>
        <v>130</v>
      </c>
      <c r="H118" s="533">
        <f>SUM(G118+'1'!G96)</f>
        <v>147</v>
      </c>
      <c r="I118" s="535"/>
      <c r="J118" s="559">
        <f>H118/DAY(B2)</f>
        <v>13.363636363636363</v>
      </c>
      <c r="N118" s="721">
        <v>61</v>
      </c>
      <c r="P118" s="382">
        <f t="shared" si="8"/>
        <v>69</v>
      </c>
    </row>
    <row r="119" spans="1:16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135</v>
      </c>
      <c r="G119" s="536">
        <f>SUM(G95,G96,G97,G99,G100)</f>
        <v>135</v>
      </c>
      <c r="H119" s="533">
        <f>SUM(G119+'1'!G98)</f>
        <v>163</v>
      </c>
      <c r="I119" s="535"/>
      <c r="J119" s="559">
        <f>H119/DAY(B2)</f>
        <v>14.818181818181818</v>
      </c>
      <c r="N119" s="721">
        <v>53</v>
      </c>
      <c r="P119" s="382">
        <f t="shared" si="8"/>
        <v>82</v>
      </c>
    </row>
    <row r="120" spans="1:16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140</v>
      </c>
      <c r="G120" s="534">
        <f>SUM(G112)</f>
        <v>140</v>
      </c>
      <c r="H120" s="533">
        <f>SUM(G120+'1'!G100)</f>
        <v>146</v>
      </c>
      <c r="I120" s="535"/>
      <c r="J120" s="559">
        <f>H120/DAY(B2)</f>
        <v>13.272727272727273</v>
      </c>
      <c r="N120" s="721">
        <v>40</v>
      </c>
      <c r="P120" s="382">
        <f t="shared" si="8"/>
        <v>100</v>
      </c>
    </row>
    <row r="121" spans="1:16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P121" s="382">
        <f t="shared" si="8"/>
        <v>0</v>
      </c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P122" s="382">
        <f t="shared" si="8"/>
        <v>0</v>
      </c>
    </row>
    <row r="123" spans="1:16" ht="27.75">
      <c r="A123" s="1145" t="s">
        <v>231</v>
      </c>
      <c r="B123" s="1146"/>
      <c r="C123" s="1146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-5010</v>
      </c>
      <c r="I123" s="526"/>
      <c r="J123" s="552">
        <f>H123/DAY(B2)</f>
        <v>-455.45454545454544</v>
      </c>
      <c r="K123" s="380"/>
      <c r="L123" s="377"/>
      <c r="N123" s="721">
        <v>139.71999999997206</v>
      </c>
      <c r="P123" s="382">
        <f t="shared" si="8"/>
        <v>93.28000000002794</v>
      </c>
    </row>
    <row r="124" spans="1:16" ht="27.75">
      <c r="A124" s="1145" t="s">
        <v>232</v>
      </c>
      <c r="B124" s="1146"/>
      <c r="C124" s="1146"/>
      <c r="D124" s="523" t="s">
        <v>141</v>
      </c>
      <c r="E124" s="626">
        <f>'10'!F124</f>
        <v>73583</v>
      </c>
      <c r="F124" s="626">
        <v>73583</v>
      </c>
      <c r="G124" s="473">
        <f t="shared" si="16"/>
        <v>0</v>
      </c>
      <c r="H124" s="460">
        <f>G124+'10'!H124</f>
        <v>-0.39999999999417923</v>
      </c>
      <c r="I124" s="526"/>
      <c r="J124" s="552">
        <f>H124/DAY(B2)</f>
        <v>-3.6363636363107202E-2</v>
      </c>
      <c r="K124" s="380"/>
      <c r="L124" s="377"/>
      <c r="N124" s="721">
        <v>0</v>
      </c>
      <c r="P124" s="382">
        <f t="shared" si="8"/>
        <v>0</v>
      </c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-1422</v>
      </c>
      <c r="I125" s="526"/>
      <c r="J125" s="552">
        <f>H125/DAY(B2)</f>
        <v>-129.27272727272728</v>
      </c>
      <c r="K125" s="380"/>
      <c r="L125" s="377"/>
      <c r="N125" s="721">
        <v>53.380000000004657</v>
      </c>
      <c r="P125" s="382">
        <f t="shared" si="8"/>
        <v>14.619999999995343</v>
      </c>
    </row>
    <row r="126" spans="1:16" ht="27.75">
      <c r="A126" s="609" t="s">
        <v>234</v>
      </c>
      <c r="B126" s="1146"/>
      <c r="C126" s="1146"/>
      <c r="D126" s="523" t="s">
        <v>141</v>
      </c>
      <c r="E126" s="626">
        <f>'10'!F126</f>
        <v>59650</v>
      </c>
      <c r="F126" s="626">
        <v>59667</v>
      </c>
      <c r="G126" s="473">
        <f t="shared" si="16"/>
        <v>17</v>
      </c>
      <c r="H126" s="460">
        <f>G126+'10'!H126</f>
        <v>28348.3</v>
      </c>
      <c r="I126" s="526"/>
      <c r="J126" s="552">
        <f>H126/DAY(B2)</f>
        <v>2577.1181818181817</v>
      </c>
      <c r="K126" s="380"/>
      <c r="L126" s="377"/>
      <c r="N126" s="721">
        <v>0</v>
      </c>
      <c r="P126" s="382">
        <f t="shared" si="8"/>
        <v>17</v>
      </c>
    </row>
    <row r="127" spans="1:16" ht="27.75">
      <c r="A127" s="609" t="s">
        <v>235</v>
      </c>
      <c r="B127" s="1146"/>
      <c r="C127" s="1146"/>
      <c r="D127" s="523" t="s">
        <v>141</v>
      </c>
      <c r="E127" s="626">
        <f>'10'!F127</f>
        <v>8911</v>
      </c>
      <c r="F127" s="626">
        <v>8914</v>
      </c>
      <c r="G127" s="473">
        <f t="shared" si="16"/>
        <v>3</v>
      </c>
      <c r="H127" s="460">
        <f>G127+'10'!H127</f>
        <v>-48</v>
      </c>
      <c r="I127" s="480"/>
      <c r="J127" s="552">
        <f>H127/DAY(B2)</f>
        <v>-4.3636363636363633</v>
      </c>
      <c r="K127" s="380"/>
      <c r="L127" s="377"/>
      <c r="N127" s="721">
        <v>0</v>
      </c>
      <c r="P127" s="382">
        <f t="shared" si="8"/>
        <v>3</v>
      </c>
    </row>
    <row r="128" spans="1:16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531</v>
      </c>
      <c r="H128" s="460"/>
      <c r="I128" s="480"/>
      <c r="J128" s="552"/>
      <c r="K128" s="364"/>
      <c r="L128" s="292"/>
      <c r="N128" s="721">
        <v>146.14300000004005</v>
      </c>
      <c r="P128" s="382">
        <f t="shared" si="8"/>
        <v>384.85699999995995</v>
      </c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P129" s="382">
        <f t="shared" si="8"/>
        <v>0</v>
      </c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2">
        <f>H130/DAY(B2)</f>
        <v>0</v>
      </c>
      <c r="N130" s="721">
        <v>0</v>
      </c>
      <c r="P130" s="382">
        <f t="shared" si="8"/>
        <v>0</v>
      </c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2">
        <f>H131/DAY(B2)</f>
        <v>0</v>
      </c>
      <c r="N131" s="721">
        <v>0</v>
      </c>
      <c r="P131" s="382">
        <f t="shared" si="8"/>
        <v>0</v>
      </c>
    </row>
    <row r="132" spans="1:16" ht="27.75">
      <c r="A132" s="1145" t="s">
        <v>241</v>
      </c>
      <c r="B132" s="1146"/>
      <c r="C132" s="1146"/>
      <c r="D132" s="523" t="s">
        <v>239</v>
      </c>
      <c r="E132" s="484">
        <f>'10'!F132</f>
        <v>39219.35</v>
      </c>
      <c r="F132" s="654">
        <v>39219.35</v>
      </c>
      <c r="G132" s="473">
        <f t="shared" si="17"/>
        <v>0</v>
      </c>
      <c r="H132" s="460">
        <f>G132+'10'!H132</f>
        <v>-313.65000000000146</v>
      </c>
      <c r="I132" s="480"/>
      <c r="J132" s="552">
        <f>H132/DAY(B2)</f>
        <v>-28.513636363636497</v>
      </c>
      <c r="N132" s="721">
        <v>22</v>
      </c>
      <c r="P132" s="382">
        <f t="shared" si="8"/>
        <v>-22</v>
      </c>
    </row>
    <row r="133" spans="1:16" ht="27.75">
      <c r="A133" s="1145" t="s">
        <v>242</v>
      </c>
      <c r="B133" s="1146"/>
      <c r="C133" s="1146"/>
      <c r="D133" s="523" t="s">
        <v>239</v>
      </c>
      <c r="E133" s="484">
        <f>'10'!F133</f>
        <v>299</v>
      </c>
      <c r="F133" s="626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2">
        <f>H133/DAY(B2)</f>
        <v>-9.0909090909090912E-2</v>
      </c>
      <c r="N133" s="721">
        <v>9.0000000000145519E-2</v>
      </c>
      <c r="P133" s="382">
        <f t="shared" si="8"/>
        <v>-9.0000000000145519E-2</v>
      </c>
    </row>
    <row r="134" spans="1:16" ht="27.75">
      <c r="A134" s="1145" t="s">
        <v>243</v>
      </c>
      <c r="B134" s="1146"/>
      <c r="C134" s="1146"/>
      <c r="D134" s="523" t="s">
        <v>239</v>
      </c>
      <c r="E134" s="484">
        <f>'10'!F134</f>
        <v>40602.43</v>
      </c>
      <c r="F134" s="626">
        <v>40626.51</v>
      </c>
      <c r="G134" s="473">
        <f t="shared" si="17"/>
        <v>24.080000000001746</v>
      </c>
      <c r="H134" s="460">
        <f>G134+'10'!H134</f>
        <v>-212.48999999999796</v>
      </c>
      <c r="I134" s="480"/>
      <c r="J134" s="552">
        <f>H134/DAY(B2)</f>
        <v>-19.317272727272542</v>
      </c>
      <c r="N134" s="721">
        <v>1</v>
      </c>
      <c r="P134" s="382">
        <f t="shared" si="8"/>
        <v>23.080000000001746</v>
      </c>
    </row>
    <row r="135" spans="1:16" ht="27.75">
      <c r="A135" s="1145" t="s">
        <v>244</v>
      </c>
      <c r="B135" s="1146"/>
      <c r="C135" s="1146"/>
      <c r="D135" s="523" t="s">
        <v>239</v>
      </c>
      <c r="E135" s="484">
        <f>'10'!F135</f>
        <v>32582.560000000001</v>
      </c>
      <c r="F135" s="626">
        <v>32582.560000000001</v>
      </c>
      <c r="G135" s="473">
        <f t="shared" si="17"/>
        <v>0</v>
      </c>
      <c r="H135" s="460">
        <f>G135+'10'!H135</f>
        <v>-0.43999999999869033</v>
      </c>
      <c r="I135" s="480"/>
      <c r="J135" s="552">
        <f>H135/DAY(B2)</f>
        <v>-3.9999999999880936E-2</v>
      </c>
      <c r="N135" s="721">
        <v>0</v>
      </c>
      <c r="P135" s="382">
        <f t="shared" si="8"/>
        <v>0</v>
      </c>
    </row>
    <row r="136" spans="1:16" ht="27.75">
      <c r="A136" s="1145" t="s">
        <v>245</v>
      </c>
      <c r="B136" s="1146"/>
      <c r="C136" s="1146"/>
      <c r="D136" s="523" t="s">
        <v>239</v>
      </c>
      <c r="E136" s="484">
        <f>'10'!F136</f>
        <v>22310</v>
      </c>
      <c r="F136" s="654">
        <v>22318</v>
      </c>
      <c r="G136" s="473">
        <f t="shared" si="17"/>
        <v>8</v>
      </c>
      <c r="H136" s="460">
        <f>G136+'10'!H136</f>
        <v>-170.65000000000146</v>
      </c>
      <c r="I136" s="480">
        <f>G134+G135+G136</f>
        <v>32.080000000001746</v>
      </c>
      <c r="J136" s="552">
        <f>H136/DAY(B2)</f>
        <v>-15.513636363636495</v>
      </c>
      <c r="N136" s="721">
        <v>0</v>
      </c>
      <c r="P136" s="382">
        <f t="shared" si="8"/>
        <v>8</v>
      </c>
    </row>
    <row r="137" spans="1:16" ht="27.75">
      <c r="A137" s="1145" t="s">
        <v>246</v>
      </c>
      <c r="B137" s="1146"/>
      <c r="C137" s="1146"/>
      <c r="D137" s="523" t="s">
        <v>239</v>
      </c>
      <c r="E137" s="484">
        <f>'10'!F137</f>
        <v>25044</v>
      </c>
      <c r="F137" s="654">
        <v>25044.31</v>
      </c>
      <c r="G137" s="473">
        <f t="shared" si="17"/>
        <v>0.31000000000130967</v>
      </c>
      <c r="H137" s="460">
        <f>G137+'10'!H137</f>
        <v>-4.4799999999995634</v>
      </c>
      <c r="I137" s="480"/>
      <c r="J137" s="552">
        <f>H137/DAY(B2)</f>
        <v>-0.4072727272726876</v>
      </c>
      <c r="N137" s="721">
        <v>0</v>
      </c>
      <c r="P137" s="382">
        <f t="shared" si="8"/>
        <v>0.31000000000130967</v>
      </c>
    </row>
    <row r="138" spans="1:16" ht="27.75">
      <c r="A138" s="1145" t="s">
        <v>247</v>
      </c>
      <c r="B138" s="1146"/>
      <c r="C138" s="1146"/>
      <c r="D138" s="523" t="s">
        <v>239</v>
      </c>
      <c r="E138" s="484">
        <f>'10'!F138</f>
        <v>70190</v>
      </c>
      <c r="F138" s="654">
        <v>70196</v>
      </c>
      <c r="G138" s="473">
        <f t="shared" si="17"/>
        <v>6</v>
      </c>
      <c r="H138" s="460">
        <f>G138+'10'!H138</f>
        <v>-58.029999999998836</v>
      </c>
      <c r="I138" s="480">
        <f>G137+G138</f>
        <v>6.3100000000013097</v>
      </c>
      <c r="J138" s="552">
        <f>H138/DAY(B2)</f>
        <v>-5.2754545454544397</v>
      </c>
      <c r="N138" s="721">
        <v>7.75</v>
      </c>
      <c r="P138" s="382">
        <f t="shared" si="8"/>
        <v>-1.75</v>
      </c>
    </row>
    <row r="139" spans="1:16" ht="27.75">
      <c r="A139" s="1145" t="s">
        <v>248</v>
      </c>
      <c r="B139" s="1146"/>
      <c r="C139" s="1146"/>
      <c r="D139" s="523" t="s">
        <v>239</v>
      </c>
      <c r="E139" s="484">
        <f>'10'!F139</f>
        <v>1497</v>
      </c>
      <c r="F139" s="626">
        <v>1504</v>
      </c>
      <c r="G139" s="473">
        <f t="shared" si="17"/>
        <v>7</v>
      </c>
      <c r="H139" s="460">
        <f>G139+'10'!H139</f>
        <v>-32.519999999999982</v>
      </c>
      <c r="I139" s="542"/>
      <c r="J139" s="552">
        <f>H139/DAY(B2)</f>
        <v>-2.9563636363636348</v>
      </c>
      <c r="N139" s="721">
        <v>0</v>
      </c>
      <c r="P139" s="382">
        <f t="shared" si="8"/>
        <v>7</v>
      </c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-134.53999999999996</v>
      </c>
      <c r="I140" s="542"/>
      <c r="J140" s="552">
        <f>H140/DAY(B2)</f>
        <v>-12.230909090909087</v>
      </c>
      <c r="N140" s="721">
        <v>4.6199999999998909</v>
      </c>
      <c r="P140" s="382">
        <f t="shared" si="8"/>
        <v>-4.6199999999998909</v>
      </c>
    </row>
    <row r="141" spans="1:16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P141" s="382">
        <f t="shared" ref="P141:P153" si="18">G141-N141</f>
        <v>0</v>
      </c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-116923</v>
      </c>
      <c r="I142" s="480"/>
      <c r="J142" s="552">
        <f>H142/DAY(B2)</f>
        <v>-10629.363636363636</v>
      </c>
      <c r="K142" s="380"/>
      <c r="L142" s="377"/>
      <c r="N142" s="721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0.29292550197035089</v>
      </c>
      <c r="H143" s="460">
        <f>G143+'10'!H143</f>
        <v>2.9928994693744349</v>
      </c>
      <c r="I143" s="544"/>
      <c r="J143" s="552">
        <f>H143/DAY(B2)</f>
        <v>0.27208176994313044</v>
      </c>
      <c r="K143" s="380"/>
      <c r="L143" s="377"/>
      <c r="N143" s="721">
        <v>0.25350058734687281</v>
      </c>
      <c r="P143" s="382">
        <f t="shared" si="18"/>
        <v>3.942491462347808E-2</v>
      </c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-112825.16</v>
      </c>
      <c r="I144" s="480"/>
      <c r="J144" s="552">
        <f>H144/DAY(B2)</f>
        <v>-10256.832727272727</v>
      </c>
      <c r="K144" s="380"/>
      <c r="L144" s="377"/>
      <c r="N144" s="721">
        <v>3327.2700000000186</v>
      </c>
      <c r="P144" s="382">
        <f t="shared" si="18"/>
        <v>1747.7299999999814</v>
      </c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0.23808406830549822</v>
      </c>
      <c r="H145" s="460">
        <f>G145+'10'!H145</f>
        <v>2.9610041122901656</v>
      </c>
      <c r="I145" s="544"/>
      <c r="J145" s="552">
        <f>H145/DAY(B2)</f>
        <v>0.26918219202637866</v>
      </c>
      <c r="K145" s="380"/>
      <c r="L145" s="377"/>
      <c r="N145" s="721">
        <v>0.27918023158248184</v>
      </c>
      <c r="P145" s="382">
        <f t="shared" si="18"/>
        <v>-4.1096163276983622E-2</v>
      </c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4105</v>
      </c>
      <c r="H146" s="460">
        <f>G146+'10'!H146</f>
        <v>-84852</v>
      </c>
      <c r="I146" s="545"/>
      <c r="J146" s="552">
        <f>H146/DAY(B2)</f>
        <v>-7713.818181818182</v>
      </c>
      <c r="K146" s="380"/>
      <c r="L146" s="377"/>
      <c r="N146" s="721">
        <v>2165.6141000000007</v>
      </c>
      <c r="P146" s="382">
        <f t="shared" si="18"/>
        <v>1939.3858999999993</v>
      </c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0.19257834490523551</v>
      </c>
      <c r="H147" s="460">
        <f>G147+'10'!H147</f>
        <v>2.088051775247167</v>
      </c>
      <c r="I147" s="545"/>
      <c r="J147" s="552">
        <f>H147/DAY(B2)</f>
        <v>0.18982288865883337</v>
      </c>
      <c r="N147" s="721">
        <v>0.18170952340996818</v>
      </c>
      <c r="P147" s="382">
        <f t="shared" si="18"/>
        <v>1.0868821495267328E-2</v>
      </c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2085</v>
      </c>
      <c r="H148" s="460">
        <f>G148+'10'!H148</f>
        <v>-37089</v>
      </c>
      <c r="I148" s="480"/>
      <c r="J148" s="552">
        <f>H148/DAY(B2)</f>
        <v>-3371.7272727272725</v>
      </c>
      <c r="K148" s="381"/>
      <c r="N148" s="721">
        <v>1007.5800000000163</v>
      </c>
      <c r="P148" s="382">
        <f t="shared" si="18"/>
        <v>1077.4199999999837</v>
      </c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 t="s">
        <v>215</v>
      </c>
      <c r="G149" s="543">
        <f>G148/G7</f>
        <v>9.7813848752111091E-2</v>
      </c>
      <c r="H149" s="460">
        <f>G149+'10'!H149</f>
        <v>0.91345331847478917</v>
      </c>
      <c r="I149" s="545"/>
      <c r="J149" s="552">
        <f>H149/DAY(B2)</f>
        <v>8.3041210770435372E-2</v>
      </c>
      <c r="N149" s="721">
        <v>8.4542708508140316E-2</v>
      </c>
      <c r="P149" s="382">
        <f t="shared" si="18"/>
        <v>1.3271140243970775E-2</v>
      </c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1733</v>
      </c>
      <c r="H150" s="460">
        <f>G150+'10'!H150</f>
        <v>-39117</v>
      </c>
      <c r="I150" s="545"/>
      <c r="J150" s="552">
        <f>H150/DAY(B2)</f>
        <v>-3556.090909090909</v>
      </c>
      <c r="N150" s="721">
        <v>1095.0299999999988</v>
      </c>
      <c r="P150" s="382">
        <f t="shared" si="18"/>
        <v>637.97000000000116</v>
      </c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8.1300431600675543E-2</v>
      </c>
      <c r="H151" s="460">
        <f>G151+'10'!H151</f>
        <v>0.99379733686402483</v>
      </c>
      <c r="I151" s="480"/>
      <c r="J151" s="552">
        <f>H151/DAY(B2)</f>
        <v>9.0345212442184075E-2</v>
      </c>
      <c r="N151" s="721">
        <v>9.1880349051854243E-2</v>
      </c>
      <c r="P151" s="382">
        <f t="shared" si="18"/>
        <v>-1.05799174511787E-2</v>
      </c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1551</v>
      </c>
      <c r="H152" s="460">
        <f>G152+'10'!H152</f>
        <v>-30875</v>
      </c>
      <c r="I152" s="480"/>
      <c r="J152" s="552"/>
      <c r="N152" s="721">
        <v>1155.7000000000116</v>
      </c>
      <c r="P152" s="382">
        <f t="shared" si="18"/>
        <v>395.29999999998836</v>
      </c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7.2762244323512859E-2</v>
      </c>
      <c r="H153" s="460">
        <f>G153+'10'!H153</f>
        <v>0.72800349948091736</v>
      </c>
      <c r="I153" s="568"/>
      <c r="J153" s="569">
        <f>H153/DAY(B2)</f>
        <v>6.6182136316447038E-2</v>
      </c>
      <c r="N153" s="721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485">
        <f>'10'!F160</f>
        <v>31650</v>
      </c>
      <c r="F160" s="787">
        <v>31736</v>
      </c>
      <c r="G160" s="473">
        <f t="shared" ref="G160:G163" si="19">F160-E160</f>
        <v>86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485">
        <f>'10'!F161</f>
        <v>59649</v>
      </c>
      <c r="F161" s="661">
        <v>60111</v>
      </c>
      <c r="G161" s="473">
        <f t="shared" si="19"/>
        <v>462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485">
        <f>'10'!F162</f>
        <v>23381</v>
      </c>
      <c r="F162" s="661">
        <v>23660</v>
      </c>
      <c r="G162" s="473">
        <f t="shared" si="19"/>
        <v>279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485">
        <f>'10'!F163</f>
        <v>5545</v>
      </c>
      <c r="F163" s="661">
        <v>5555.55</v>
      </c>
      <c r="G163" s="473">
        <f t="shared" si="19"/>
        <v>10.550000000000182</v>
      </c>
      <c r="N163" s="721"/>
    </row>
    <row r="164" spans="1:14" ht="37.5" customHeight="1">
      <c r="A164" s="790" t="s">
        <v>98</v>
      </c>
      <c r="B164" s="604"/>
      <c r="C164" s="604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744">
        <f>E63</f>
        <v>1839</v>
      </c>
      <c r="F165" s="514">
        <f>F63</f>
        <v>1853</v>
      </c>
      <c r="G165" s="473">
        <f t="shared" si="20"/>
        <v>14</v>
      </c>
      <c r="N165" s="721"/>
    </row>
    <row r="166" spans="1:14" ht="35.25" customHeight="1">
      <c r="A166" s="1412" t="s">
        <v>99</v>
      </c>
      <c r="B166" s="1412"/>
      <c r="C166" s="1412"/>
      <c r="D166" s="523" t="s">
        <v>187</v>
      </c>
      <c r="E166" s="744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1"/>
    </row>
    <row r="167" spans="1:14" ht="33" customHeight="1">
      <c r="A167" s="1412" t="s">
        <v>100</v>
      </c>
      <c r="B167" s="1412"/>
      <c r="C167" s="1412"/>
      <c r="D167" s="523" t="s">
        <v>187</v>
      </c>
      <c r="E167" s="744">
        <f t="shared" si="21"/>
        <v>136358</v>
      </c>
      <c r="F167" s="514">
        <f t="shared" si="22"/>
        <v>136712</v>
      </c>
      <c r="G167" s="473">
        <f t="shared" si="20"/>
        <v>354</v>
      </c>
      <c r="N167" s="721"/>
    </row>
    <row r="168" spans="1:14" ht="40.5" customHeight="1">
      <c r="A168" s="1412" t="s">
        <v>101</v>
      </c>
      <c r="B168" s="1412"/>
      <c r="C168" s="1412"/>
      <c r="D168" s="523" t="s">
        <v>187</v>
      </c>
      <c r="E168" s="744">
        <f t="shared" si="21"/>
        <v>29078</v>
      </c>
      <c r="F168" s="514">
        <f t="shared" si="22"/>
        <v>29424</v>
      </c>
      <c r="G168" s="473">
        <f t="shared" si="20"/>
        <v>346</v>
      </c>
      <c r="N168" s="721"/>
    </row>
    <row r="169" spans="1:14" ht="30.75" customHeight="1">
      <c r="A169" s="1412" t="s">
        <v>102</v>
      </c>
      <c r="B169" s="1412"/>
      <c r="C169" s="1412"/>
      <c r="D169" s="523" t="s">
        <v>187</v>
      </c>
      <c r="E169" s="744">
        <f t="shared" si="21"/>
        <v>214635</v>
      </c>
      <c r="F169" s="514">
        <f t="shared" si="22"/>
        <v>215299</v>
      </c>
      <c r="G169" s="473">
        <f t="shared" si="20"/>
        <v>664</v>
      </c>
      <c r="N169" s="721"/>
    </row>
    <row r="170" spans="1:14" ht="30.75" customHeight="1">
      <c r="A170" s="1412" t="s">
        <v>103</v>
      </c>
      <c r="B170" s="1412"/>
      <c r="C170" s="1412"/>
      <c r="D170" s="523" t="s">
        <v>187</v>
      </c>
      <c r="E170" s="744">
        <f t="shared" si="21"/>
        <v>76079</v>
      </c>
      <c r="F170" s="514">
        <f t="shared" si="22"/>
        <v>76381</v>
      </c>
      <c r="G170" s="473">
        <f t="shared" si="20"/>
        <v>302</v>
      </c>
      <c r="N170" s="721"/>
    </row>
    <row r="171" spans="1:14" ht="28.5" customHeight="1">
      <c r="A171" s="1412" t="s">
        <v>104</v>
      </c>
      <c r="B171" s="1412"/>
      <c r="C171" s="1412"/>
      <c r="D171" s="523" t="s">
        <v>187</v>
      </c>
      <c r="E171" s="744">
        <f t="shared" si="21"/>
        <v>67712</v>
      </c>
      <c r="F171" s="514">
        <f t="shared" si="22"/>
        <v>68042</v>
      </c>
      <c r="G171" s="473">
        <f t="shared" si="20"/>
        <v>330</v>
      </c>
      <c r="N171" s="721"/>
    </row>
    <row r="172" spans="1:14">
      <c r="G172" s="539">
        <f>SUM(G160:G171)</f>
        <v>3354.55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44.25" customHeight="1">
      <c r="N177" s="721"/>
    </row>
    <row r="178" spans="14:14" ht="21.75" customHeight="1">
      <c r="N178" s="721"/>
    </row>
    <row r="179" spans="14:14" ht="21.75" customHeight="1">
      <c r="N179" s="721">
        <v>0</v>
      </c>
    </row>
    <row r="180" spans="14:14" ht="21.75" customHeight="1">
      <c r="N180" s="721">
        <v>0</v>
      </c>
    </row>
    <row r="181" spans="14:14" ht="21.75" customHeight="1">
      <c r="N181" s="721">
        <v>11</v>
      </c>
    </row>
    <row r="182" spans="14:14" ht="21.75" customHeight="1">
      <c r="N182" s="721">
        <v>11</v>
      </c>
    </row>
    <row r="183" spans="14:14" ht="21.75" customHeight="1">
      <c r="N183" s="721"/>
    </row>
    <row r="184" spans="14:14" ht="21.75" customHeight="1">
      <c r="N184" s="721">
        <v>51</v>
      </c>
    </row>
    <row r="185" spans="14:14" ht="21.75" customHeight="1">
      <c r="N185" s="721">
        <v>0</v>
      </c>
    </row>
    <row r="186" spans="14:14" ht="21.75" customHeight="1">
      <c r="N186" s="721">
        <v>0</v>
      </c>
    </row>
    <row r="187" spans="14:14" ht="21.75" customHeight="1">
      <c r="N187" s="721">
        <v>51</v>
      </c>
    </row>
    <row r="188" spans="14:14" ht="21.75" customHeight="1">
      <c r="N188" s="721"/>
    </row>
    <row r="189" spans="14:14" ht="21.75" customHeight="1">
      <c r="N189" s="721">
        <v>4</v>
      </c>
    </row>
    <row r="190" spans="14:14" ht="21.75" customHeight="1">
      <c r="N190" s="721">
        <v>3</v>
      </c>
    </row>
    <row r="191" spans="14:14" ht="21.75" customHeight="1">
      <c r="N191" s="721">
        <v>0</v>
      </c>
    </row>
    <row r="192" spans="14:14" ht="21.75" customHeight="1">
      <c r="N192" s="721"/>
    </row>
    <row r="193" spans="14:14" ht="36.75" customHeight="1">
      <c r="N193" s="721">
        <v>7</v>
      </c>
    </row>
    <row r="194" spans="14:14">
      <c r="N194" s="721">
        <v>61</v>
      </c>
    </row>
    <row r="195" spans="14:14">
      <c r="N195" s="721"/>
    </row>
    <row r="196" spans="14:14">
      <c r="N196" s="721">
        <v>55</v>
      </c>
    </row>
    <row r="197" spans="14:14">
      <c r="N197" s="721"/>
    </row>
    <row r="198" spans="14:14">
      <c r="N198" s="719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7" zoomScale="55" zoomScaleNormal="75" zoomScaleSheetLayoutView="55" workbookViewId="0">
      <selection activeCell="E11" sqref="E11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6"/>
    <col min="16" max="17" width="22.33203125" style="441"/>
    <col min="18" max="16384" width="22.33203125" style="376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575" t="s">
        <v>272</v>
      </c>
      <c r="B2" s="1036">
        <v>44267</v>
      </c>
      <c r="C2" s="1147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7"/>
      <c r="P2" s="713"/>
      <c r="Q2" s="713"/>
    </row>
    <row r="3" spans="1:17" s="281" customFormat="1" ht="27">
      <c r="A3" s="570"/>
      <c r="B3" s="614"/>
      <c r="C3" s="1147" t="s">
        <v>120</v>
      </c>
      <c r="D3" s="612">
        <v>32</v>
      </c>
      <c r="E3" s="1454" t="s">
        <v>121</v>
      </c>
      <c r="F3" s="1455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7"/>
      <c r="P3" s="713"/>
      <c r="Q3" s="713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1187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4681166</v>
      </c>
      <c r="F7" s="455">
        <v>4702348</v>
      </c>
      <c r="G7" s="681">
        <f>F7-E7</f>
        <v>21182</v>
      </c>
      <c r="H7" s="682">
        <f>G7+'11'!H7</f>
        <v>-411575</v>
      </c>
      <c r="I7" s="683">
        <f>'1'!I7</f>
        <v>12000</v>
      </c>
      <c r="J7" s="684">
        <f>H7/DAY(B2)</f>
        <v>-34297.916666666664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4710747</v>
      </c>
      <c r="F8" s="475">
        <v>4732018</v>
      </c>
      <c r="G8" s="692">
        <f>F8-E8</f>
        <v>21271</v>
      </c>
      <c r="H8" s="682">
        <f>G8+'11'!H8</f>
        <v>-413300</v>
      </c>
      <c r="I8" s="689">
        <f>'1'!I8</f>
        <v>12000</v>
      </c>
      <c r="J8" s="684">
        <f>H8/DAY(B2)</f>
        <v>-34441.666666666664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124354</v>
      </c>
      <c r="F9" s="478">
        <v>124354</v>
      </c>
      <c r="G9" s="705">
        <f t="shared" ref="G9:G12" si="0">F9-E9</f>
        <v>0</v>
      </c>
      <c r="H9" s="682">
        <f>G9+'11'!H9</f>
        <v>-271715</v>
      </c>
      <c r="I9" s="693">
        <f>I7-J7</f>
        <v>46297.916666666664</v>
      </c>
      <c r="J9" s="684">
        <f>H9/DAY(B2)</f>
        <v>-22642.916666666668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216161</v>
      </c>
      <c r="F10" s="478">
        <v>236581</v>
      </c>
      <c r="G10" s="692">
        <f t="shared" si="0"/>
        <v>20420</v>
      </c>
      <c r="H10" s="682">
        <f>G10+'11'!H10</f>
        <v>234258.42</v>
      </c>
      <c r="I10" s="694"/>
      <c r="J10" s="684">
        <f>H10/DAY(B2)</f>
        <v>19521.535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G13+'11'!H13</f>
        <v>-58450.579999999958</v>
      </c>
      <c r="I13" s="698">
        <f>G7-G13</f>
        <v>762</v>
      </c>
      <c r="J13" s="684">
        <f>H13/DAY(B2)</f>
        <v>-4870.8816666666635</v>
      </c>
      <c r="K13" s="428"/>
      <c r="L13" s="377"/>
      <c r="N13" s="721"/>
      <c r="O13" s="730"/>
      <c r="P13" s="716"/>
    </row>
    <row r="14" spans="1:17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1629574</v>
      </c>
      <c r="F15" s="485">
        <v>1630378.77</v>
      </c>
      <c r="G15" s="667">
        <f>(F15-E15)</f>
        <v>804.77000000001863</v>
      </c>
      <c r="H15" s="486">
        <f>G15+'11'!H15</f>
        <v>-16310.229999999981</v>
      </c>
      <c r="I15" s="474">
        <v>800</v>
      </c>
      <c r="J15" s="553">
        <f>H15/DAY(B2)</f>
        <v>-1359.1858333333319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2159.1858333333321</v>
      </c>
      <c r="J16" s="553"/>
      <c r="K16" s="428"/>
      <c r="L16" s="377"/>
      <c r="N16" s="721"/>
      <c r="O16" s="730"/>
      <c r="P16" s="716"/>
    </row>
    <row r="17" spans="1:17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477" t="s">
        <v>143</v>
      </c>
      <c r="B18" s="1478"/>
      <c r="C18" s="1479"/>
      <c r="D18" s="638" t="s">
        <v>144</v>
      </c>
      <c r="E18" s="635">
        <f>'11'!F18</f>
        <v>12</v>
      </c>
      <c r="F18" s="478">
        <v>10</v>
      </c>
      <c r="G18" s="697">
        <f>F18*10</f>
        <v>100</v>
      </c>
      <c r="H18" s="682">
        <f>G18+'11'!H18</f>
        <v>1340</v>
      </c>
      <c r="I18" s="683">
        <f>'1'!I18</f>
        <v>65</v>
      </c>
      <c r="J18" s="684">
        <f>H18/DAY(B2)</f>
        <v>111.66666666666667</v>
      </c>
      <c r="K18" s="428"/>
      <c r="L18" s="377"/>
      <c r="N18" s="721"/>
      <c r="O18" s="730"/>
      <c r="P18" s="716"/>
    </row>
    <row r="19" spans="1:17" ht="27.75">
      <c r="A19" s="1477" t="s">
        <v>71</v>
      </c>
      <c r="B19" s="1478"/>
      <c r="C19" s="1479"/>
      <c r="D19" s="638" t="s">
        <v>144</v>
      </c>
      <c r="E19" s="635">
        <f>'11'!F19</f>
        <v>135033</v>
      </c>
      <c r="F19" s="478">
        <v>135087</v>
      </c>
      <c r="G19" s="692">
        <f t="shared" ref="G19" si="1">F19-E19</f>
        <v>54</v>
      </c>
      <c r="H19" s="682">
        <f>G19+'11'!H19</f>
        <v>-1003</v>
      </c>
      <c r="I19" s="699"/>
      <c r="J19" s="684">
        <f>H19/DAY(B2)</f>
        <v>-83.583333333333329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154</v>
      </c>
      <c r="H20" s="682">
        <f>G20+'11'!H20</f>
        <v>337</v>
      </c>
      <c r="I20" s="701">
        <f>I18-J20</f>
        <v>36.916666666666671</v>
      </c>
      <c r="J20" s="684">
        <f>H20/DAY(B2)</f>
        <v>28.083333333333332</v>
      </c>
      <c r="K20" s="428"/>
      <c r="L20" s="377"/>
      <c r="N20" s="721"/>
      <c r="O20" s="730"/>
      <c r="P20" s="716"/>
    </row>
    <row r="21" spans="1:17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5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1680</v>
      </c>
      <c r="I22" s="480"/>
      <c r="J22" s="552">
        <f>H22/DAY(B2)</f>
        <v>140</v>
      </c>
      <c r="K22" s="428"/>
      <c r="L22" s="377"/>
      <c r="N22" s="721"/>
      <c r="O22" s="730"/>
      <c r="P22" s="716"/>
    </row>
    <row r="23" spans="1:17">
      <c r="A23" s="1145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21271</v>
      </c>
      <c r="F27" s="501">
        <v>9</v>
      </c>
      <c r="G27" s="502">
        <f>E27*F27</f>
        <v>191439</v>
      </c>
      <c r="H27" s="460">
        <f>G27+'11'!H27</f>
        <v>-3719700</v>
      </c>
      <c r="I27" s="503"/>
      <c r="J27" s="552">
        <f>H27/DAY(B2)</f>
        <v>-309975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804.77000000001863</v>
      </c>
      <c r="F28" s="501">
        <v>51.45</v>
      </c>
      <c r="G28" s="502">
        <f>E28*F28</f>
        <v>41405.41650000096</v>
      </c>
      <c r="H28" s="460">
        <f>G28+'11'!H28</f>
        <v>-839161.33349999913</v>
      </c>
      <c r="I28" s="505"/>
      <c r="J28" s="552">
        <f>H28/DAY(B2)</f>
        <v>-69930.111124999923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460">
        <f>G30+'11'!H30</f>
        <v>-133034</v>
      </c>
      <c r="I30" s="505"/>
      <c r="J30" s="552">
        <f>H30/DAY(B2)</f>
        <v>-11086.166666666666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G31+'11'!H31</f>
        <v>107200</v>
      </c>
      <c r="I31" s="505"/>
      <c r="J31" s="552"/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248080.41650000095</v>
      </c>
      <c r="H32" s="460">
        <f>G32+'11'!H32</f>
        <v>-4584695.3334999988</v>
      </c>
      <c r="I32" s="509"/>
      <c r="J32" s="552">
        <f>H32/DAY(B2)</f>
        <v>-382057.94445833325</v>
      </c>
      <c r="K32" s="373"/>
      <c r="L32" s="443"/>
      <c r="N32" s="721"/>
      <c r="O32" s="730"/>
      <c r="P32" s="716"/>
      <c r="Q32" s="445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30"/>
      <c r="P33" s="716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-63891</v>
      </c>
      <c r="I35" s="455"/>
      <c r="J35" s="552">
        <f>H35/DAY(B2)</f>
        <v>-5324.25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-13229</v>
      </c>
      <c r="I36" s="455"/>
      <c r="J36" s="552">
        <f>H36/DAY(B2)</f>
        <v>-1102.4166666666667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-19630</v>
      </c>
      <c r="I37" s="455"/>
      <c r="J37" s="552">
        <f>H37/DAY(B2)</f>
        <v>-1635.8333333333333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-23975</v>
      </c>
      <c r="I38" s="455"/>
      <c r="J38" s="552">
        <f>H38/DAY(B2)</f>
        <v>-1997.9166666666667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-52756</v>
      </c>
      <c r="I39" s="455"/>
      <c r="J39" s="552">
        <f>H39/DAY(B2)</f>
        <v>-4396.333333333333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0.17</v>
      </c>
      <c r="I40" s="455"/>
      <c r="J40" s="552">
        <f>H40/DAY(B2)</f>
        <v>1.4166666666666668E-2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-68374</v>
      </c>
      <c r="I41" s="455"/>
      <c r="J41" s="552">
        <f>H41/DAY(B2)</f>
        <v>-5697.833333333333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-0.16000000000349246</v>
      </c>
      <c r="I42" s="455"/>
      <c r="J42" s="552">
        <f>H42/DAY(B2)</f>
        <v>-1.3333333333624372E-2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-46857</v>
      </c>
      <c r="I43" s="455"/>
      <c r="J43" s="552">
        <f>H43/DAY(B2)</f>
        <v>-3904.75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614</v>
      </c>
      <c r="I45" s="455"/>
      <c r="J45" s="552">
        <f>H45/DAY(B2)</f>
        <v>51.166666666666664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187.49</v>
      </c>
      <c r="I46" s="455"/>
      <c r="J46" s="552">
        <f>H46/DAY(B2)</f>
        <v>15.624166666666667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6804</v>
      </c>
      <c r="H47" s="460">
        <f>G47+'11'!H47</f>
        <v>-287910.50000000006</v>
      </c>
      <c r="I47" s="455"/>
      <c r="J47" s="552">
        <f>H47/DAY(B2)</f>
        <v>-23992.541666666672</v>
      </c>
      <c r="K47" s="428"/>
      <c r="L47" s="377"/>
      <c r="N47" s="721"/>
      <c r="O47" s="730"/>
      <c r="P47" s="716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-25274</v>
      </c>
      <c r="I50" s="455"/>
      <c r="J50" s="552">
        <f>H50/DAY(B2)</f>
        <v>-2106.1666666666665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-11225</v>
      </c>
      <c r="I51" s="455"/>
      <c r="J51" s="552">
        <f>H51/DAY(B2)</f>
        <v>-935.41666666666663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-13340</v>
      </c>
      <c r="I52" s="455"/>
      <c r="J52" s="552">
        <f>H52/DAY(B2)</f>
        <v>-1111.6666666666667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-32116</v>
      </c>
      <c r="I53" s="455"/>
      <c r="J53" s="552">
        <f>H53/DAY(B2)</f>
        <v>-2676.3333333333335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2043.0400000000009</v>
      </c>
      <c r="I54" s="455"/>
      <c r="J54" s="552">
        <f>H54/DAY(B2)</f>
        <v>170.25333333333342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171852</v>
      </c>
      <c r="F55" s="656">
        <v>176974</v>
      </c>
      <c r="G55" s="655">
        <f t="shared" si="4"/>
        <v>5122</v>
      </c>
      <c r="H55" s="708">
        <f>G55+'11'!H55</f>
        <v>-44122</v>
      </c>
      <c r="I55" s="709"/>
      <c r="J55" s="710">
        <f>H55/DAY(B2)</f>
        <v>-3676.8333333333335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588761</v>
      </c>
      <c r="F56" s="656">
        <v>588761</v>
      </c>
      <c r="G56" s="473">
        <f t="shared" si="4"/>
        <v>0</v>
      </c>
      <c r="H56" s="460">
        <f>G56+'11'!H56</f>
        <v>-206</v>
      </c>
      <c r="I56" s="455"/>
      <c r="J56" s="552">
        <f>H56/DAY(B2)</f>
        <v>-17.166666666666668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38003</v>
      </c>
      <c r="F58" s="656">
        <v>38176</v>
      </c>
      <c r="G58" s="473">
        <f t="shared" si="4"/>
        <v>173</v>
      </c>
      <c r="H58" s="460">
        <f>G58+'11'!H58</f>
        <v>-3567</v>
      </c>
      <c r="I58" s="455"/>
      <c r="J58" s="552">
        <f>H58/DAY(B2)</f>
        <v>-297.25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14028</v>
      </c>
      <c r="H59" s="460">
        <f>G59+'11'!H59</f>
        <v>-127806.96000000002</v>
      </c>
      <c r="I59" s="455">
        <f>G7-G60</f>
        <v>350</v>
      </c>
      <c r="J59" s="552">
        <f>H59/DAY(B2)</f>
        <v>-10650.580000000002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20832</v>
      </c>
      <c r="H60" s="460">
        <f>G60+'11'!H60</f>
        <v>-401548.46</v>
      </c>
      <c r="I60" s="455">
        <f>G13-G60</f>
        <v>-412</v>
      </c>
      <c r="J60" s="552">
        <f>H60/DAY(B2)</f>
        <v>-33462.371666666666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-231</v>
      </c>
      <c r="I63" s="515"/>
      <c r="J63" s="552">
        <f>H63/DAY(B2)</f>
        <v>-19.25</v>
      </c>
      <c r="K63" s="428"/>
      <c r="L63" s="377"/>
      <c r="N63" s="721"/>
      <c r="O63" s="730"/>
      <c r="P63" s="716"/>
    </row>
    <row r="64" spans="1:16" ht="27.75">
      <c r="A64" s="1416" t="s">
        <v>99</v>
      </c>
      <c r="B64" s="1417"/>
      <c r="C64" s="1418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-9318</v>
      </c>
      <c r="I64" s="480"/>
      <c r="J64" s="552">
        <f>H64/DAY(B2)</f>
        <v>-776.5</v>
      </c>
      <c r="K64" s="428"/>
      <c r="L64" s="377"/>
      <c r="N64" s="721"/>
      <c r="O64" s="730"/>
      <c r="P64" s="716"/>
    </row>
    <row r="65" spans="1:16" ht="27.75">
      <c r="A65" s="1416" t="s">
        <v>100</v>
      </c>
      <c r="B65" s="1417"/>
      <c r="C65" s="1418"/>
      <c r="D65" s="523" t="s">
        <v>187</v>
      </c>
      <c r="E65" s="514">
        <f>'11'!F65</f>
        <v>136712</v>
      </c>
      <c r="F65" s="654">
        <v>137064</v>
      </c>
      <c r="G65" s="473">
        <f t="shared" si="5"/>
        <v>352</v>
      </c>
      <c r="H65" s="460">
        <f>G65+'11'!H65</f>
        <v>-7141</v>
      </c>
      <c r="I65" s="489"/>
      <c r="J65" s="552">
        <f>H65/DAY(B2)</f>
        <v>-595.08333333333337</v>
      </c>
      <c r="K65" s="428"/>
      <c r="L65" s="377"/>
      <c r="N65" s="721"/>
      <c r="O65" s="730"/>
      <c r="P65" s="716"/>
    </row>
    <row r="66" spans="1:16" ht="27.75">
      <c r="A66" s="1416" t="s">
        <v>101</v>
      </c>
      <c r="B66" s="1417"/>
      <c r="C66" s="1418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-7418</v>
      </c>
      <c r="I66" s="480"/>
      <c r="J66" s="552">
        <f>H66/DAY(B2)</f>
        <v>-618.16666666666663</v>
      </c>
      <c r="K66" s="428"/>
      <c r="L66" s="377"/>
      <c r="N66" s="721"/>
      <c r="O66" s="730"/>
      <c r="P66" s="716"/>
    </row>
    <row r="67" spans="1:16" ht="27.75">
      <c r="A67" s="1416" t="s">
        <v>102</v>
      </c>
      <c r="B67" s="1417"/>
      <c r="C67" s="1418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-13126</v>
      </c>
      <c r="I67" s="489"/>
      <c r="J67" s="552">
        <f>H67/DAY(B2)</f>
        <v>-1093.8333333333333</v>
      </c>
      <c r="K67" s="429"/>
      <c r="L67" s="377"/>
      <c r="N67" s="721"/>
      <c r="O67" s="730"/>
      <c r="P67" s="716"/>
    </row>
    <row r="68" spans="1:16" ht="27.75">
      <c r="A68" s="1416" t="s">
        <v>103</v>
      </c>
      <c r="B68" s="1417"/>
      <c r="C68" s="1418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-6373</v>
      </c>
      <c r="I68" s="516"/>
      <c r="J68" s="552">
        <f>H68/DAY(B2)</f>
        <v>-531.08333333333337</v>
      </c>
      <c r="K68" s="430"/>
      <c r="L68" s="377"/>
      <c r="N68" s="721"/>
      <c r="O68" s="730"/>
      <c r="P68" s="716"/>
    </row>
    <row r="69" spans="1:16" ht="27.75">
      <c r="A69" s="1416" t="s">
        <v>104</v>
      </c>
      <c r="B69" s="1417"/>
      <c r="C69" s="1418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-5959</v>
      </c>
      <c r="I69" s="516"/>
      <c r="J69" s="552">
        <f>H69/DAY(B2)</f>
        <v>-496.58333333333331</v>
      </c>
      <c r="K69" s="431"/>
      <c r="L69" s="377"/>
      <c r="N69" s="721"/>
      <c r="O69" s="730"/>
      <c r="P69" s="716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30"/>
      <c r="P71" s="716"/>
    </row>
    <row r="72" spans="1:16" ht="27.75">
      <c r="A72" s="1416" t="s">
        <v>191</v>
      </c>
      <c r="B72" s="1417"/>
      <c r="C72" s="1418"/>
      <c r="D72" s="523" t="s">
        <v>187</v>
      </c>
      <c r="E72" s="519">
        <f>'11'!F72</f>
        <v>851533</v>
      </c>
      <c r="F72" s="657">
        <v>851620</v>
      </c>
      <c r="G72" s="473">
        <f t="shared" ref="G72:G84" si="6">F72-E72</f>
        <v>87</v>
      </c>
      <c r="H72" s="460">
        <f>G72+'11'!H72</f>
        <v>-1559</v>
      </c>
      <c r="I72" s="480"/>
      <c r="J72" s="552">
        <f>H72/DAY(B2)</f>
        <v>-129.91666666666666</v>
      </c>
      <c r="K72" s="431"/>
      <c r="L72" s="377"/>
      <c r="N72" s="721"/>
      <c r="O72" s="730"/>
      <c r="P72" s="716"/>
    </row>
    <row r="73" spans="1:16" ht="27.75">
      <c r="A73" s="1416" t="s">
        <v>192</v>
      </c>
      <c r="B73" s="1417"/>
      <c r="C73" s="1418"/>
      <c r="D73" s="523" t="s">
        <v>187</v>
      </c>
      <c r="E73" s="519">
        <f>'11'!F73</f>
        <v>885775</v>
      </c>
      <c r="F73" s="658">
        <v>885776</v>
      </c>
      <c r="G73" s="655">
        <f t="shared" si="6"/>
        <v>1</v>
      </c>
      <c r="H73" s="460">
        <f>G73+'11'!H73</f>
        <v>-24</v>
      </c>
      <c r="I73" s="480"/>
      <c r="J73" s="552">
        <f>H73/DAY(B2)</f>
        <v>-2</v>
      </c>
      <c r="K73" s="430"/>
      <c r="L73" s="377"/>
      <c r="N73" s="721"/>
      <c r="O73" s="730"/>
      <c r="P73" s="716"/>
    </row>
    <row r="74" spans="1:16" ht="27.75">
      <c r="A74" s="1416" t="s">
        <v>193</v>
      </c>
      <c r="B74" s="1417"/>
      <c r="C74" s="1418"/>
      <c r="D74" s="523" t="s">
        <v>187</v>
      </c>
      <c r="E74" s="519">
        <f>'11'!F74</f>
        <v>898</v>
      </c>
      <c r="F74" s="658">
        <v>922</v>
      </c>
      <c r="G74" s="473">
        <f t="shared" si="6"/>
        <v>24</v>
      </c>
      <c r="H74" s="460">
        <f>G74+'11'!H74</f>
        <v>-448</v>
      </c>
      <c r="I74" s="480"/>
      <c r="J74" s="552">
        <f>H74/DAY(B2)</f>
        <v>-37.333333333333336</v>
      </c>
      <c r="K74" s="431"/>
      <c r="L74" s="377"/>
      <c r="N74" s="721"/>
      <c r="O74" s="730"/>
      <c r="P74" s="716"/>
    </row>
    <row r="75" spans="1:16" ht="27.75">
      <c r="A75" s="1413" t="s">
        <v>194</v>
      </c>
      <c r="B75" s="1414"/>
      <c r="C75" s="1415"/>
      <c r="D75" s="523" t="s">
        <v>187</v>
      </c>
      <c r="E75" s="519">
        <f>'11'!F75</f>
        <v>5314</v>
      </c>
      <c r="F75" s="658">
        <v>5482</v>
      </c>
      <c r="G75" s="473">
        <f t="shared" si="6"/>
        <v>168</v>
      </c>
      <c r="H75" s="460">
        <f>G75+'11'!H75</f>
        <v>-3198</v>
      </c>
      <c r="I75" s="480"/>
      <c r="J75" s="552">
        <f>H75/DAY(B2)</f>
        <v>-266.5</v>
      </c>
      <c r="K75" s="430"/>
      <c r="L75" s="377"/>
      <c r="N75" s="721"/>
      <c r="O75" s="730"/>
      <c r="P75" s="716"/>
    </row>
    <row r="76" spans="1:16" ht="27.75">
      <c r="A76" s="1413" t="s">
        <v>195</v>
      </c>
      <c r="B76" s="1414"/>
      <c r="C76" s="1415"/>
      <c r="D76" s="523" t="s">
        <v>187</v>
      </c>
      <c r="E76" s="519">
        <f>'11'!F76</f>
        <v>2444</v>
      </c>
      <c r="F76" s="658">
        <v>2531</v>
      </c>
      <c r="G76" s="473">
        <f t="shared" si="6"/>
        <v>87</v>
      </c>
      <c r="H76" s="460">
        <f>G76+'11'!H76</f>
        <v>-1506</v>
      </c>
      <c r="I76" s="505"/>
      <c r="J76" s="552">
        <f>H76/DAY(B2)</f>
        <v>-125.5</v>
      </c>
      <c r="K76" s="430"/>
      <c r="L76" s="377"/>
      <c r="N76" s="721"/>
      <c r="O76" s="730"/>
      <c r="P76" s="716"/>
    </row>
    <row r="77" spans="1:16" ht="27.75">
      <c r="A77" s="1416" t="s">
        <v>196</v>
      </c>
      <c r="B77" s="1417"/>
      <c r="C77" s="1418"/>
      <c r="D77" s="523" t="s">
        <v>187</v>
      </c>
      <c r="E77" s="519">
        <f>'11'!F77</f>
        <v>699169</v>
      </c>
      <c r="F77" s="658">
        <v>699222</v>
      </c>
      <c r="G77" s="655">
        <f t="shared" si="6"/>
        <v>53</v>
      </c>
      <c r="H77" s="460">
        <f>G77+'11'!H77</f>
        <v>-992</v>
      </c>
      <c r="I77" s="505"/>
      <c r="J77" s="552">
        <f>H77/DAY(B2)</f>
        <v>-82.666666666666671</v>
      </c>
      <c r="K77" s="430"/>
      <c r="L77" s="377"/>
      <c r="N77" s="721"/>
      <c r="O77" s="730"/>
      <c r="P77" s="716"/>
    </row>
    <row r="78" spans="1:16" ht="27.75">
      <c r="A78" s="1148" t="s">
        <v>197</v>
      </c>
      <c r="B78" s="1121"/>
      <c r="C78" s="1121"/>
      <c r="D78" s="523" t="s">
        <v>187</v>
      </c>
      <c r="E78" s="519">
        <f>'11'!F78</f>
        <v>657185</v>
      </c>
      <c r="F78" s="659">
        <v>657592</v>
      </c>
      <c r="G78" s="473">
        <f t="shared" si="6"/>
        <v>407</v>
      </c>
      <c r="H78" s="460">
        <f>G78+'11'!H78</f>
        <v>-7788</v>
      </c>
      <c r="I78" s="505"/>
      <c r="J78" s="552">
        <f>H78/DAY(B2)</f>
        <v>-649</v>
      </c>
      <c r="K78" s="430"/>
      <c r="L78" s="377"/>
      <c r="N78" s="721"/>
      <c r="O78" s="730"/>
      <c r="P78" s="716"/>
    </row>
    <row r="79" spans="1:16" ht="27.75">
      <c r="A79" s="1413" t="s">
        <v>92</v>
      </c>
      <c r="B79" s="1414"/>
      <c r="C79" s="1415"/>
      <c r="D79" s="524" t="s">
        <v>187</v>
      </c>
      <c r="E79" s="519">
        <f>'11'!F79</f>
        <v>817412</v>
      </c>
      <c r="F79" s="659">
        <v>817602</v>
      </c>
      <c r="G79" s="473">
        <f t="shared" si="6"/>
        <v>190</v>
      </c>
      <c r="H79" s="460">
        <f>G79+'11'!H79</f>
        <v>-3611</v>
      </c>
      <c r="I79" s="505"/>
      <c r="J79" s="552">
        <f>H79/DAY(B2)</f>
        <v>-300.91666666666669</v>
      </c>
      <c r="K79" s="430"/>
      <c r="L79" s="377"/>
      <c r="N79" s="721"/>
      <c r="O79" s="730"/>
      <c r="P79" s="716"/>
    </row>
    <row r="80" spans="1:16" ht="27.75">
      <c r="A80" s="1413" t="s">
        <v>198</v>
      </c>
      <c r="B80" s="1414"/>
      <c r="C80" s="1415"/>
      <c r="D80" s="524" t="s">
        <v>187</v>
      </c>
      <c r="E80" s="519">
        <f>'11'!F80</f>
        <v>498367</v>
      </c>
      <c r="F80" s="658">
        <v>498943</v>
      </c>
      <c r="G80" s="473">
        <f t="shared" si="6"/>
        <v>576</v>
      </c>
      <c r="H80" s="460">
        <f>G80+'11'!H80</f>
        <v>-6756</v>
      </c>
      <c r="I80" s="505"/>
      <c r="J80" s="552">
        <f>H80/DAY(B2)</f>
        <v>-563</v>
      </c>
      <c r="K80" s="430"/>
      <c r="L80" s="377"/>
      <c r="N80" s="721"/>
      <c r="O80" s="730"/>
      <c r="P80" s="716"/>
    </row>
    <row r="81" spans="1:17" ht="27.75">
      <c r="A81" s="1413" t="s">
        <v>199</v>
      </c>
      <c r="B81" s="1414"/>
      <c r="C81" s="1415"/>
      <c r="D81" s="524" t="s">
        <v>187</v>
      </c>
      <c r="E81" s="519">
        <f>'11'!F81</f>
        <v>627101</v>
      </c>
      <c r="F81" s="658">
        <v>627189</v>
      </c>
      <c r="G81" s="473">
        <f t="shared" si="6"/>
        <v>88</v>
      </c>
      <c r="H81" s="460">
        <f>G81+'11'!H81</f>
        <v>-2996</v>
      </c>
      <c r="I81" s="505"/>
      <c r="J81" s="552">
        <f>H81/DAY(B2)</f>
        <v>-249.66666666666666</v>
      </c>
      <c r="K81" s="430"/>
      <c r="L81" s="377"/>
      <c r="N81" s="721"/>
      <c r="O81" s="730"/>
      <c r="P81" s="716"/>
    </row>
    <row r="82" spans="1:17" ht="27.75">
      <c r="A82" s="1413" t="s">
        <v>93</v>
      </c>
      <c r="B82" s="1414"/>
      <c r="C82" s="1415"/>
      <c r="D82" s="485" t="s">
        <v>132</v>
      </c>
      <c r="E82" s="519">
        <f>'11'!F82</f>
        <v>106445</v>
      </c>
      <c r="F82" s="654">
        <v>106468</v>
      </c>
      <c r="G82" s="473">
        <f t="shared" si="6"/>
        <v>23</v>
      </c>
      <c r="H82" s="460">
        <f>G82+'11'!H82</f>
        <v>-427</v>
      </c>
      <c r="I82" s="486"/>
      <c r="J82" s="552">
        <f>H82/DAY(B2)</f>
        <v>-35.583333333333336</v>
      </c>
      <c r="K82" s="430"/>
      <c r="L82" s="377"/>
      <c r="N82" s="721"/>
      <c r="O82" s="730"/>
      <c r="P82" s="716"/>
    </row>
    <row r="83" spans="1:17" ht="27.75">
      <c r="A83" s="1413" t="s">
        <v>200</v>
      </c>
      <c r="B83" s="1414"/>
      <c r="C83" s="1415"/>
      <c r="D83" s="620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-5165</v>
      </c>
      <c r="I83" s="481"/>
      <c r="J83" s="552">
        <f>H83/DAY(B2)</f>
        <v>-430.41666666666669</v>
      </c>
      <c r="K83" s="429"/>
      <c r="L83" s="377"/>
      <c r="N83" s="721"/>
      <c r="O83" s="730"/>
      <c r="P83" s="716"/>
    </row>
    <row r="84" spans="1:17">
      <c r="A84" s="1149" t="s">
        <v>201</v>
      </c>
      <c r="B84" s="571"/>
      <c r="C84" s="571"/>
      <c r="D84" s="478" t="s">
        <v>132</v>
      </c>
      <c r="E84" s="519">
        <f>'11'!F84</f>
        <v>439458</v>
      </c>
      <c r="F84" s="627">
        <v>440449</v>
      </c>
      <c r="G84" s="473">
        <f t="shared" si="6"/>
        <v>991</v>
      </c>
      <c r="H84" s="460">
        <f>G84+'11'!H84</f>
        <v>-14235</v>
      </c>
      <c r="I84" s="481"/>
      <c r="J84" s="552">
        <f>H84/DAY(B2)</f>
        <v>-1186.25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2906</v>
      </c>
      <c r="H85" s="460">
        <f>G85+'11'!H85</f>
        <v>-48705</v>
      </c>
      <c r="I85" s="481"/>
      <c r="J85" s="552">
        <f>H85/DAY(B2)</f>
        <v>-4058.75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451722</v>
      </c>
      <c r="F86" s="650">
        <v>451971</v>
      </c>
      <c r="G86" s="708">
        <f t="shared" ref="G86:G90" si="7">F86-E86</f>
        <v>249</v>
      </c>
      <c r="H86" s="708">
        <f t="shared" ref="H86:H88" si="8">G86</f>
        <v>249</v>
      </c>
      <c r="I86" s="655"/>
      <c r="J86" s="710">
        <f>H86/DAY(B2)</f>
        <v>20.75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79543</v>
      </c>
      <c r="F87" s="650">
        <v>79571</v>
      </c>
      <c r="G87" s="708">
        <f t="shared" si="7"/>
        <v>28</v>
      </c>
      <c r="H87" s="708">
        <f t="shared" si="8"/>
        <v>28</v>
      </c>
      <c r="I87" s="655"/>
      <c r="J87" s="710">
        <f>H87/DAY(B2)</f>
        <v>2.3333333333333335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149095</v>
      </c>
      <c r="F88" s="650">
        <v>149169</v>
      </c>
      <c r="G88" s="708">
        <f t="shared" si="7"/>
        <v>74</v>
      </c>
      <c r="H88" s="708">
        <f t="shared" si="8"/>
        <v>74</v>
      </c>
      <c r="I88" s="655"/>
      <c r="J88" s="710">
        <f>H88/DAY(B2)</f>
        <v>6.166666666666667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62495</v>
      </c>
      <c r="F89" s="650">
        <v>62558</v>
      </c>
      <c r="G89" s="708">
        <f t="shared" si="7"/>
        <v>63</v>
      </c>
      <c r="H89" s="708">
        <f>G89</f>
        <v>63</v>
      </c>
      <c r="I89" s="655"/>
      <c r="J89" s="710">
        <f>H89/DAY(B2)</f>
        <v>5.25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3214</v>
      </c>
      <c r="F90" s="650">
        <v>3218</v>
      </c>
      <c r="G90" s="708">
        <f t="shared" si="7"/>
        <v>4</v>
      </c>
      <c r="H90" s="708">
        <f>G90</f>
        <v>4</v>
      </c>
      <c r="I90" s="655"/>
      <c r="J90" s="710">
        <f>H90/DAY(B2)</f>
        <v>0.33333333333333331</v>
      </c>
      <c r="K90" s="736"/>
      <c r="L90" s="737"/>
      <c r="N90" s="781"/>
      <c r="O90" s="716"/>
    </row>
    <row r="91" spans="1:17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30"/>
      <c r="P91" s="716"/>
      <c r="Q91" s="738"/>
    </row>
    <row r="92" spans="1:17" ht="27.75">
      <c r="A92" s="1437" t="s">
        <v>206</v>
      </c>
      <c r="B92" s="1438"/>
      <c r="C92" s="1439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-1819</v>
      </c>
      <c r="I92" s="480"/>
      <c r="J92" s="552">
        <f>H92/DAY(B2)</f>
        <v>-151.58333333333334</v>
      </c>
      <c r="K92" s="429"/>
      <c r="L92" s="377"/>
      <c r="N92" s="721"/>
      <c r="O92" s="730"/>
      <c r="P92" s="716"/>
    </row>
    <row r="93" spans="1:17" ht="27.75">
      <c r="A93" s="1437" t="s">
        <v>207</v>
      </c>
      <c r="B93" s="1438"/>
      <c r="C93" s="1439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-2480</v>
      </c>
      <c r="I93" s="480"/>
      <c r="J93" s="552">
        <f>H93/DAY(B2)</f>
        <v>-206.66666666666666</v>
      </c>
      <c r="K93" s="380"/>
      <c r="L93" s="377"/>
      <c r="N93" s="721"/>
      <c r="O93" s="730"/>
      <c r="P93" s="716"/>
    </row>
    <row r="94" spans="1:17">
      <c r="A94" s="1465" t="s">
        <v>208</v>
      </c>
      <c r="B94" s="1466"/>
      <c r="C94" s="1467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-4518</v>
      </c>
      <c r="I94" s="480"/>
      <c r="J94" s="552">
        <f>H94/DAY(B2)</f>
        <v>-376.5</v>
      </c>
      <c r="K94" s="380"/>
      <c r="L94" s="377"/>
      <c r="N94" s="721"/>
      <c r="O94" s="730"/>
      <c r="P94" s="716"/>
    </row>
    <row r="95" spans="1:17" ht="27.75">
      <c r="A95" s="1437" t="s">
        <v>209</v>
      </c>
      <c r="B95" s="1438"/>
      <c r="C95" s="1439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-1591</v>
      </c>
      <c r="I95" s="480"/>
      <c r="J95" s="552">
        <f>H95/DAY(B2)</f>
        <v>-132.58333333333334</v>
      </c>
      <c r="K95" s="380"/>
      <c r="L95" s="377"/>
      <c r="N95" s="721"/>
      <c r="O95" s="730"/>
      <c r="P95" s="716"/>
    </row>
    <row r="96" spans="1:17" ht="27.75">
      <c r="A96" s="1145" t="s">
        <v>210</v>
      </c>
      <c r="B96" s="1146"/>
      <c r="C96" s="1146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-323</v>
      </c>
      <c r="I96" s="480"/>
      <c r="J96" s="552">
        <f>H96/DAY(B2)</f>
        <v>-26.916666666666668</v>
      </c>
      <c r="K96" s="427"/>
      <c r="L96" s="377"/>
      <c r="N96" s="721"/>
      <c r="O96" s="730"/>
      <c r="P96" s="716"/>
    </row>
    <row r="97" spans="1:17" ht="27.75">
      <c r="A97" s="1145" t="s">
        <v>211</v>
      </c>
      <c r="B97" s="1146"/>
      <c r="C97" s="1146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-252</v>
      </c>
      <c r="I97" s="480"/>
      <c r="J97" s="552">
        <f>H97/DAY(B2)</f>
        <v>-21</v>
      </c>
      <c r="K97" s="432"/>
      <c r="L97" s="377"/>
      <c r="N97" s="721"/>
      <c r="O97" s="730"/>
      <c r="P97" s="716"/>
    </row>
    <row r="98" spans="1:17" ht="27.75">
      <c r="A98" s="1145" t="s">
        <v>212</v>
      </c>
      <c r="B98" s="1146"/>
      <c r="C98" s="1146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-610</v>
      </c>
      <c r="I98" s="480"/>
      <c r="J98" s="552">
        <f>H98/DAY(B2)</f>
        <v>-50.833333333333336</v>
      </c>
      <c r="K98" s="380"/>
      <c r="L98" s="377"/>
      <c r="N98" s="723"/>
      <c r="O98" s="730"/>
      <c r="P98" s="716"/>
    </row>
    <row r="99" spans="1:17" ht="27.75">
      <c r="A99" s="1145" t="s">
        <v>213</v>
      </c>
      <c r="B99" s="1146"/>
      <c r="C99" s="1146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-284</v>
      </c>
      <c r="I99" s="480"/>
      <c r="J99" s="552">
        <f>H99/DAY(B2)</f>
        <v>-23.666666666666668</v>
      </c>
      <c r="K99" s="380"/>
      <c r="L99" s="377"/>
      <c r="N99" s="721"/>
      <c r="O99" s="730"/>
      <c r="P99" s="716"/>
    </row>
    <row r="100" spans="1:17" ht="27.75">
      <c r="A100" s="1145" t="s">
        <v>214</v>
      </c>
      <c r="B100" s="1146"/>
      <c r="C100" s="1146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-272</v>
      </c>
      <c r="I100" s="480"/>
      <c r="J100" s="552">
        <f>H100/DAY(B2)</f>
        <v>-22.666666666666668</v>
      </c>
      <c r="K100" s="380"/>
      <c r="L100" s="377"/>
      <c r="N100" s="721"/>
      <c r="O100" s="730"/>
      <c r="P100" s="716"/>
    </row>
    <row r="101" spans="1:17">
      <c r="A101" s="1465" t="s">
        <v>216</v>
      </c>
      <c r="B101" s="1466"/>
      <c r="C101" s="1467"/>
      <c r="D101" s="524"/>
      <c r="E101" s="484"/>
      <c r="F101" s="524"/>
      <c r="G101" s="525">
        <f>SUM(G95:G100)</f>
        <v>189</v>
      </c>
      <c r="H101" s="460">
        <f>G101+'11'!H101</f>
        <v>-3332</v>
      </c>
      <c r="I101" s="526"/>
      <c r="J101" s="552">
        <f>H101/DAY(B2)</f>
        <v>-277.66666666666669</v>
      </c>
      <c r="K101" s="380"/>
      <c r="L101" s="377"/>
      <c r="N101" s="721"/>
      <c r="O101" s="730"/>
      <c r="P101" s="716"/>
    </row>
    <row r="102" spans="1:17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30"/>
      <c r="P102" s="716"/>
      <c r="Q102" s="445"/>
    </row>
    <row r="103" spans="1:17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30"/>
      <c r="P103" s="716"/>
      <c r="Q103" s="445"/>
    </row>
    <row r="104" spans="1:17" s="442" customFormat="1" ht="27.75">
      <c r="A104" s="1429" t="s">
        <v>219</v>
      </c>
      <c r="B104" s="1430"/>
      <c r="C104" s="1144"/>
      <c r="D104" s="622" t="s">
        <v>144</v>
      </c>
      <c r="E104" s="484">
        <f>'11'!F104</f>
        <v>7233</v>
      </c>
      <c r="F104" s="661">
        <v>7233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4.916666666666667</v>
      </c>
      <c r="N104" s="721"/>
      <c r="O104" s="730"/>
      <c r="P104" s="716"/>
      <c r="Q104" s="445"/>
    </row>
    <row r="105" spans="1:17" s="442" customFormat="1" ht="27.75">
      <c r="A105" s="1429" t="s">
        <v>77</v>
      </c>
      <c r="B105" s="1430"/>
      <c r="C105" s="1144"/>
      <c r="D105" s="622" t="s">
        <v>144</v>
      </c>
      <c r="E105" s="484">
        <f>'11'!F105</f>
        <v>35494</v>
      </c>
      <c r="F105" s="662">
        <v>35500</v>
      </c>
      <c r="G105" s="532">
        <f t="shared" ref="G105:G106" si="11">F105-E105</f>
        <v>6</v>
      </c>
      <c r="H105" s="533">
        <f>SUM(G105+'1'!G77)</f>
        <v>56</v>
      </c>
      <c r="I105" s="532"/>
      <c r="J105" s="558">
        <f>H105/DAY(B2)</f>
        <v>4.666666666666667</v>
      </c>
      <c r="N105" s="721"/>
      <c r="O105" s="730"/>
      <c r="P105" s="716"/>
      <c r="Q105" s="445"/>
    </row>
    <row r="106" spans="1:17" s="442" customFormat="1" ht="27.75">
      <c r="A106" s="1429" t="s">
        <v>78</v>
      </c>
      <c r="B106" s="1470"/>
      <c r="C106" s="1430"/>
      <c r="D106" s="622" t="s">
        <v>144</v>
      </c>
      <c r="E106" s="484">
        <f>'11'!F106</f>
        <v>19308</v>
      </c>
      <c r="F106" s="662">
        <v>19312</v>
      </c>
      <c r="G106" s="532">
        <f t="shared" si="11"/>
        <v>4</v>
      </c>
      <c r="H106" s="533">
        <f>SUM(G106+'1'!G78)</f>
        <v>399</v>
      </c>
      <c r="I106" s="532"/>
      <c r="J106" s="558">
        <f>H106/DAY(B2)</f>
        <v>33.25</v>
      </c>
      <c r="N106" s="721"/>
      <c r="O106" s="730"/>
      <c r="P106" s="716"/>
      <c r="Q106" s="445"/>
    </row>
    <row r="107" spans="1:17" s="442" customFormat="1" ht="27.75">
      <c r="A107" s="1431" t="s">
        <v>202</v>
      </c>
      <c r="B107" s="1432"/>
      <c r="C107" s="1144"/>
      <c r="D107" s="622"/>
      <c r="E107" s="484"/>
      <c r="F107" s="662"/>
      <c r="G107" s="532">
        <f>SUM(G104:G106)</f>
        <v>10</v>
      </c>
      <c r="H107" s="533">
        <f>SUM(G107+'1'!G79)</f>
        <v>204</v>
      </c>
      <c r="I107" s="532"/>
      <c r="J107" s="558">
        <f>H107/DAY(B2)</f>
        <v>17</v>
      </c>
      <c r="N107" s="721"/>
      <c r="O107" s="730"/>
      <c r="P107" s="716"/>
      <c r="Q107" s="445"/>
    </row>
    <row r="108" spans="1:17" s="442" customFormat="1" ht="27.75">
      <c r="A108" s="1435" t="s">
        <v>79</v>
      </c>
      <c r="B108" s="1436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30"/>
      <c r="P108" s="716"/>
      <c r="Q108" s="445"/>
    </row>
    <row r="109" spans="1:17" s="442" customFormat="1" ht="27.75">
      <c r="A109" s="1429" t="s">
        <v>220</v>
      </c>
      <c r="B109" s="1430"/>
      <c r="C109" s="1144"/>
      <c r="D109" s="622" t="s">
        <v>144</v>
      </c>
      <c r="E109" s="484">
        <f>'11'!F109</f>
        <v>57226</v>
      </c>
      <c r="F109" s="662">
        <v>57267</v>
      </c>
      <c r="G109" s="532">
        <f>F109-E109</f>
        <v>41</v>
      </c>
      <c r="H109" s="533">
        <f>SUM(G109+'1'!G81)</f>
        <v>239</v>
      </c>
      <c r="I109" s="532"/>
      <c r="J109" s="558">
        <f>H109/DAY(B2)</f>
        <v>19.916666666666668</v>
      </c>
      <c r="N109" s="721"/>
      <c r="O109" s="730"/>
      <c r="P109" s="716"/>
      <c r="Q109" s="445"/>
    </row>
    <row r="110" spans="1:17" s="442" customFormat="1" ht="27.75">
      <c r="A110" s="1429" t="s">
        <v>221</v>
      </c>
      <c r="B110" s="1430"/>
      <c r="C110" s="1144"/>
      <c r="D110" s="622" t="s">
        <v>144</v>
      </c>
      <c r="E110" s="484">
        <f>'11'!F110</f>
        <v>31156</v>
      </c>
      <c r="F110" s="662">
        <v>31187</v>
      </c>
      <c r="G110" s="532">
        <f t="shared" ref="G110:G111" si="12">F110-E110</f>
        <v>31</v>
      </c>
      <c r="H110" s="533">
        <f>SUM(G110+'1'!G82)</f>
        <v>54</v>
      </c>
      <c r="I110" s="532"/>
      <c r="J110" s="558">
        <f>H110/DAY(B2)</f>
        <v>4.5</v>
      </c>
      <c r="N110" s="721"/>
      <c r="O110" s="730"/>
      <c r="P110" s="716"/>
      <c r="Q110" s="445"/>
    </row>
    <row r="111" spans="1:17" s="442" customFormat="1" ht="27.75">
      <c r="A111" s="1429" t="s">
        <v>222</v>
      </c>
      <c r="B111" s="1430"/>
      <c r="C111" s="1144"/>
      <c r="D111" s="622" t="s">
        <v>144</v>
      </c>
      <c r="E111" s="484">
        <f>'11'!F111</f>
        <v>4047</v>
      </c>
      <c r="F111" s="662">
        <v>4054</v>
      </c>
      <c r="G111" s="532">
        <f t="shared" si="12"/>
        <v>7</v>
      </c>
      <c r="H111" s="533">
        <f>SUM(G111+'1'!G83)</f>
        <v>246</v>
      </c>
      <c r="I111" s="532"/>
      <c r="J111" s="558">
        <f>H111/DAY(B2)</f>
        <v>20.5</v>
      </c>
      <c r="N111" s="721"/>
      <c r="O111" s="730"/>
      <c r="P111" s="716"/>
      <c r="Q111" s="445"/>
    </row>
    <row r="112" spans="1:17" s="442" customFormat="1" ht="27.75">
      <c r="A112" s="1431" t="s">
        <v>110</v>
      </c>
      <c r="B112" s="1432"/>
      <c r="C112" s="1144"/>
      <c r="D112" s="622"/>
      <c r="E112" s="484"/>
      <c r="F112" s="662"/>
      <c r="G112" s="532">
        <f>SUM(G109:G111)</f>
        <v>79</v>
      </c>
      <c r="H112" s="533">
        <f>SUM(G112+'1'!G84)</f>
        <v>994</v>
      </c>
      <c r="I112" s="532"/>
      <c r="J112" s="558">
        <f>H112/DAY(B2)</f>
        <v>82.833333333333329</v>
      </c>
      <c r="N112" s="721"/>
      <c r="O112" s="730"/>
      <c r="P112" s="716"/>
      <c r="Q112" s="445"/>
    </row>
    <row r="113" spans="1:17" s="442" customFormat="1" ht="27.75">
      <c r="A113" s="1435" t="s">
        <v>223</v>
      </c>
      <c r="B113" s="1436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30"/>
      <c r="P113" s="716"/>
      <c r="Q113" s="445"/>
    </row>
    <row r="114" spans="1:17" s="442" customFormat="1" ht="27.75">
      <c r="A114" s="1429" t="s">
        <v>224</v>
      </c>
      <c r="B114" s="1430"/>
      <c r="C114" s="574"/>
      <c r="D114" s="622" t="s">
        <v>144</v>
      </c>
      <c r="E114" s="484">
        <f>'11'!F114</f>
        <v>10502</v>
      </c>
      <c r="F114" s="662">
        <v>10519</v>
      </c>
      <c r="G114" s="534">
        <f>F114-E114</f>
        <v>17</v>
      </c>
      <c r="H114" s="533">
        <f>SUM(G114+'1'!G91)</f>
        <v>17</v>
      </c>
      <c r="I114" s="532"/>
      <c r="J114" s="558">
        <f>H114/DAY(B2)</f>
        <v>1.4166666666666667</v>
      </c>
      <c r="N114" s="721"/>
      <c r="O114" s="730"/>
      <c r="P114" s="716"/>
      <c r="Q114" s="445"/>
    </row>
    <row r="115" spans="1:17" s="442" customFormat="1" ht="27.75">
      <c r="A115" s="1429" t="s">
        <v>225</v>
      </c>
      <c r="B115" s="1430"/>
      <c r="C115" s="574"/>
      <c r="D115" s="622" t="s">
        <v>144</v>
      </c>
      <c r="E115" s="484">
        <f>'11'!F115</f>
        <v>7762</v>
      </c>
      <c r="F115" s="662">
        <v>7770</v>
      </c>
      <c r="G115" s="534">
        <f t="shared" ref="G115:G116" si="13">F115-E115</f>
        <v>8</v>
      </c>
      <c r="H115" s="533">
        <f>SUM(G115+'1'!G92)</f>
        <v>100</v>
      </c>
      <c r="I115" s="532"/>
      <c r="J115" s="558">
        <f>H115/DAY(B2)</f>
        <v>8.3333333333333339</v>
      </c>
      <c r="N115" s="721"/>
      <c r="O115" s="730"/>
      <c r="P115" s="716"/>
      <c r="Q115" s="445"/>
    </row>
    <row r="116" spans="1:17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10.583333333333334</v>
      </c>
      <c r="N116" s="721"/>
      <c r="O116" s="730"/>
      <c r="P116" s="716"/>
      <c r="Q116" s="445"/>
    </row>
    <row r="117" spans="1:17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25</v>
      </c>
      <c r="H117" s="533">
        <f>SUM(G117+'1'!G95)</f>
        <v>102</v>
      </c>
      <c r="I117" s="534"/>
      <c r="J117" s="558">
        <f>H117/DAY(B2)</f>
        <v>8.5</v>
      </c>
      <c r="N117" s="721"/>
      <c r="O117" s="730"/>
      <c r="P117" s="716"/>
    </row>
    <row r="118" spans="1:17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122</v>
      </c>
      <c r="G118" s="536">
        <f>SUM(G19+G92)</f>
        <v>122</v>
      </c>
      <c r="H118" s="533">
        <f>SUM(G118+'1'!G96)</f>
        <v>139</v>
      </c>
      <c r="I118" s="535"/>
      <c r="J118" s="559">
        <f>H118/DAY(B2)</f>
        <v>11.583333333333334</v>
      </c>
      <c r="N118" s="721"/>
      <c r="O118" s="730"/>
      <c r="P118" s="716"/>
    </row>
    <row r="119" spans="1:17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122</v>
      </c>
      <c r="G119" s="536">
        <f>SUM(G95,G96,G97,G99,G100)</f>
        <v>122</v>
      </c>
      <c r="H119" s="533">
        <f>SUM(G119+'1'!G98)</f>
        <v>150</v>
      </c>
      <c r="I119" s="535"/>
      <c r="J119" s="559">
        <f>H119/DAY(B2)</f>
        <v>12.5</v>
      </c>
      <c r="N119" s="721"/>
      <c r="O119" s="730"/>
      <c r="P119" s="716"/>
    </row>
    <row r="120" spans="1:17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79</v>
      </c>
      <c r="G120" s="534">
        <f>SUM(G112)</f>
        <v>79</v>
      </c>
      <c r="H120" s="533">
        <f>SUM(G120+'1'!G100)</f>
        <v>85</v>
      </c>
      <c r="I120" s="535"/>
      <c r="J120" s="559">
        <f>H120/DAY(B2)</f>
        <v>7.083333333333333</v>
      </c>
      <c r="N120" s="721"/>
      <c r="O120" s="730"/>
      <c r="P120" s="716"/>
    </row>
    <row r="121" spans="1:17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30"/>
      <c r="P121" s="716"/>
      <c r="Q121" s="445"/>
    </row>
    <row r="122" spans="1:17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30"/>
      <c r="P122" s="716"/>
    </row>
    <row r="123" spans="1:17" ht="27.75">
      <c r="A123" s="1145" t="s">
        <v>231</v>
      </c>
      <c r="B123" s="1146"/>
      <c r="C123" s="1146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-4765</v>
      </c>
      <c r="I123" s="526"/>
      <c r="J123" s="552">
        <f>H123/DAY(B2)</f>
        <v>-397.08333333333331</v>
      </c>
      <c r="K123" s="380"/>
      <c r="L123" s="377"/>
      <c r="N123" s="721"/>
      <c r="O123" s="730"/>
      <c r="P123" s="716"/>
    </row>
    <row r="124" spans="1:17" ht="27.75">
      <c r="A124" s="1145" t="s">
        <v>232</v>
      </c>
      <c r="B124" s="1146"/>
      <c r="C124" s="1146"/>
      <c r="D124" s="523" t="s">
        <v>141</v>
      </c>
      <c r="E124" s="626">
        <f>'11'!F124</f>
        <v>73583</v>
      </c>
      <c r="F124" s="626">
        <v>73583</v>
      </c>
      <c r="G124" s="473">
        <f t="shared" si="14"/>
        <v>0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1"/>
      <c r="O124" s="730"/>
      <c r="P124" s="716"/>
    </row>
    <row r="125" spans="1:17" ht="27.75">
      <c r="A125" s="1416" t="s">
        <v>233</v>
      </c>
      <c r="B125" s="1417"/>
      <c r="C125" s="1418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-1362</v>
      </c>
      <c r="I125" s="526"/>
      <c r="J125" s="552">
        <f>H125/DAY(B2)</f>
        <v>-113.5</v>
      </c>
      <c r="K125" s="380"/>
      <c r="L125" s="377"/>
      <c r="N125" s="721"/>
      <c r="O125" s="730"/>
      <c r="P125" s="716"/>
    </row>
    <row r="126" spans="1:17" ht="27.75">
      <c r="A126" s="609" t="s">
        <v>234</v>
      </c>
      <c r="B126" s="1146"/>
      <c r="C126" s="1146"/>
      <c r="D126" s="523" t="s">
        <v>141</v>
      </c>
      <c r="E126" s="626">
        <f>'11'!F126</f>
        <v>59667</v>
      </c>
      <c r="F126" s="626">
        <v>59687</v>
      </c>
      <c r="G126" s="473">
        <f t="shared" si="14"/>
        <v>20</v>
      </c>
      <c r="H126" s="460">
        <f>G126+'11'!H126</f>
        <v>28368.3</v>
      </c>
      <c r="I126" s="526"/>
      <c r="J126" s="552">
        <f>H126/DAY(B2)</f>
        <v>2364.0250000000001</v>
      </c>
      <c r="K126" s="380"/>
      <c r="L126" s="377"/>
      <c r="N126" s="721"/>
      <c r="O126" s="730"/>
      <c r="P126" s="716"/>
    </row>
    <row r="127" spans="1:17" ht="27.75">
      <c r="A127" s="609" t="s">
        <v>235</v>
      </c>
      <c r="B127" s="1146"/>
      <c r="C127" s="1146"/>
      <c r="D127" s="523" t="s">
        <v>141</v>
      </c>
      <c r="E127" s="626">
        <f>'11'!F127</f>
        <v>8914</v>
      </c>
      <c r="F127" s="626">
        <v>8917</v>
      </c>
      <c r="G127" s="473">
        <f t="shared" si="14"/>
        <v>3</v>
      </c>
      <c r="H127" s="460">
        <f>G127+'11'!H127</f>
        <v>-45</v>
      </c>
      <c r="I127" s="480"/>
      <c r="J127" s="552">
        <f>H127/DAY(B2)</f>
        <v>-3.75</v>
      </c>
      <c r="K127" s="380"/>
      <c r="L127" s="377"/>
      <c r="N127" s="721"/>
      <c r="O127" s="730"/>
      <c r="P127" s="716"/>
    </row>
    <row r="128" spans="1:17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476.77000000001863</v>
      </c>
      <c r="H128" s="460">
        <f>H15-SUM(H123:H127)</f>
        <v>-38506.12999999999</v>
      </c>
      <c r="I128" s="480"/>
      <c r="J128" s="552"/>
      <c r="K128" s="364"/>
      <c r="L128" s="292"/>
      <c r="N128" s="721"/>
      <c r="O128" s="730"/>
      <c r="P128" s="716"/>
      <c r="Q128" s="713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30"/>
      <c r="P129" s="716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1"/>
      <c r="O130" s="730"/>
      <c r="P130" s="716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'11'!F132</f>
        <v>39219.35</v>
      </c>
      <c r="F132" s="654">
        <v>39219.35</v>
      </c>
      <c r="G132" s="473">
        <f t="shared" si="15"/>
        <v>0</v>
      </c>
      <c r="H132" s="460">
        <f>G132+'11'!H132</f>
        <v>-313.65000000000146</v>
      </c>
      <c r="I132" s="480"/>
      <c r="J132" s="552">
        <f>H132/DAY(B2)</f>
        <v>-26.13750000000012</v>
      </c>
      <c r="N132" s="721"/>
      <c r="O132" s="730"/>
      <c r="P132" s="716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'11'!F133</f>
        <v>299</v>
      </c>
      <c r="F133" s="626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2">
        <f>H133/DAY(B2)</f>
        <v>-8.3333333333333329E-2</v>
      </c>
      <c r="N133" s="721"/>
      <c r="O133" s="730"/>
      <c r="P133" s="716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'11'!F134</f>
        <v>40626.51</v>
      </c>
      <c r="F134" s="626">
        <v>40650.57</v>
      </c>
      <c r="G134" s="473">
        <f t="shared" si="15"/>
        <v>24.059999999997672</v>
      </c>
      <c r="H134" s="460">
        <f>G134+'11'!H134</f>
        <v>-188.43000000000029</v>
      </c>
      <c r="I134" s="480"/>
      <c r="J134" s="552">
        <f>H134/DAY(B2)</f>
        <v>-15.702500000000024</v>
      </c>
      <c r="N134" s="721"/>
      <c r="O134" s="730"/>
      <c r="P134" s="716"/>
    </row>
    <row r="135" spans="1:16" ht="27.75">
      <c r="A135" s="1145" t="s">
        <v>244</v>
      </c>
      <c r="B135" s="1146"/>
      <c r="C135" s="1146"/>
      <c r="D135" s="523" t="s">
        <v>239</v>
      </c>
      <c r="E135" s="522">
        <f>'11'!F135</f>
        <v>32582.560000000001</v>
      </c>
      <c r="F135" s="654">
        <v>32582.560000000001</v>
      </c>
      <c r="G135" s="473">
        <f t="shared" si="15"/>
        <v>0</v>
      </c>
      <c r="H135" s="460">
        <f>G135+'11'!H135</f>
        <v>-0.43999999999869033</v>
      </c>
      <c r="I135" s="480"/>
      <c r="J135" s="552">
        <f>H135/DAY(B2)</f>
        <v>-3.6666666666557525E-2</v>
      </c>
      <c r="N135" s="721"/>
      <c r="O135" s="730"/>
      <c r="P135" s="716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'11'!F136</f>
        <v>22318</v>
      </c>
      <c r="F136" s="654">
        <v>22326</v>
      </c>
      <c r="G136" s="473">
        <f t="shared" si="15"/>
        <v>8</v>
      </c>
      <c r="H136" s="460">
        <f>G136+'11'!H136</f>
        <v>-162.65000000000146</v>
      </c>
      <c r="I136" s="480">
        <f>G134+G135+G136</f>
        <v>32.059999999997672</v>
      </c>
      <c r="J136" s="552">
        <f>H136/DAY(B2)</f>
        <v>-13.554166666666788</v>
      </c>
      <c r="N136" s="721"/>
      <c r="O136" s="730"/>
      <c r="P136" s="716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'11'!F137</f>
        <v>25044.31</v>
      </c>
      <c r="F137" s="654">
        <v>25044.31</v>
      </c>
      <c r="G137" s="473">
        <f t="shared" si="15"/>
        <v>0</v>
      </c>
      <c r="H137" s="460">
        <f>G137+'11'!H137</f>
        <v>-4.4799999999995634</v>
      </c>
      <c r="I137" s="480"/>
      <c r="J137" s="552">
        <f>H137/DAY(B2)</f>
        <v>-0.37333333333329694</v>
      </c>
      <c r="N137" s="721"/>
      <c r="O137" s="730"/>
      <c r="P137" s="716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'11'!F138</f>
        <v>70196</v>
      </c>
      <c r="F138" s="654">
        <v>70199.86</v>
      </c>
      <c r="G138" s="473">
        <f t="shared" si="15"/>
        <v>3.8600000000005821</v>
      </c>
      <c r="H138" s="460">
        <f>G138+'11'!H138</f>
        <v>-54.169999999998254</v>
      </c>
      <c r="I138" s="480">
        <f>G137+G138</f>
        <v>3.8600000000005821</v>
      </c>
      <c r="J138" s="552">
        <f>H138/DAY(B2)</f>
        <v>-4.5141666666665214</v>
      </c>
      <c r="N138" s="721"/>
      <c r="O138" s="730"/>
      <c r="P138" s="716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'11'!F139</f>
        <v>1504</v>
      </c>
      <c r="F139" s="626">
        <v>1511</v>
      </c>
      <c r="G139" s="473">
        <f t="shared" si="15"/>
        <v>7</v>
      </c>
      <c r="H139" s="460">
        <f>G139+'11'!H139</f>
        <v>-25.519999999999982</v>
      </c>
      <c r="I139" s="542"/>
      <c r="J139" s="552">
        <f>H139/DAY(B2)</f>
        <v>-2.1266666666666652</v>
      </c>
      <c r="N139" s="721"/>
      <c r="O139" s="730"/>
      <c r="P139" s="716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-134.53999999999996</v>
      </c>
      <c r="I140" s="542"/>
      <c r="J140" s="552">
        <f>H140/DAY(B2)</f>
        <v>-11.211666666666664</v>
      </c>
      <c r="N140" s="721"/>
      <c r="O140" s="730"/>
      <c r="P140" s="716"/>
    </row>
    <row r="141" spans="1:16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30"/>
      <c r="P141" s="716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-110748</v>
      </c>
      <c r="I142" s="480"/>
      <c r="J142" s="552">
        <f>H142/DAY(B2)</f>
        <v>-9229</v>
      </c>
      <c r="K142" s="380"/>
      <c r="L142" s="377"/>
      <c r="N142" s="721"/>
      <c r="O142" s="730"/>
      <c r="P142" s="716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0.29152110282315175</v>
      </c>
      <c r="H143" s="460">
        <f>G143+'11'!H143</f>
        <v>3.2844205721975865</v>
      </c>
      <c r="I143" s="544"/>
      <c r="J143" s="552">
        <f>H143/DAY(B2)</f>
        <v>0.2737017143497989</v>
      </c>
      <c r="K143" s="380"/>
      <c r="L143" s="377"/>
      <c r="N143" s="721"/>
      <c r="O143" s="730"/>
      <c r="P143" s="716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-107703.16</v>
      </c>
      <c r="I144" s="480"/>
      <c r="J144" s="552">
        <f>H144/DAY(B2)</f>
        <v>-8975.2633333333342</v>
      </c>
      <c r="K144" s="380"/>
      <c r="L144" s="377"/>
      <c r="N144" s="721"/>
      <c r="O144" s="730"/>
      <c r="P144" s="716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0.24180908318383534</v>
      </c>
      <c r="H145" s="460">
        <f>G145+'11'!H145</f>
        <v>3.2028131954740009</v>
      </c>
      <c r="I145" s="544"/>
      <c r="J145" s="552">
        <f>H145/DAY(B2)</f>
        <v>0.26690109962283343</v>
      </c>
      <c r="K145" s="380"/>
      <c r="L145" s="377"/>
      <c r="N145" s="721"/>
      <c r="O145" s="730"/>
      <c r="P145" s="716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4165</v>
      </c>
      <c r="H146" s="460">
        <f>G146+'11'!H146</f>
        <v>-80687</v>
      </c>
      <c r="I146" s="545"/>
      <c r="J146" s="552">
        <f>H146/DAY(B2)</f>
        <v>-6723.916666666667</v>
      </c>
      <c r="K146" s="380"/>
      <c r="L146" s="377"/>
      <c r="N146" s="721"/>
      <c r="O146" s="730"/>
      <c r="P146" s="716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0.19662921348314608</v>
      </c>
      <c r="H147" s="460">
        <f>G147+'11'!H147</f>
        <v>2.284680988730313</v>
      </c>
      <c r="I147" s="545"/>
      <c r="J147" s="552">
        <f>H147/DAY(B2)</f>
        <v>0.19039008239419275</v>
      </c>
      <c r="N147" s="721"/>
      <c r="O147" s="730"/>
      <c r="P147" s="716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1820</v>
      </c>
      <c r="H148" s="460">
        <f>G148+'11'!H148</f>
        <v>-35269</v>
      </c>
      <c r="I148" s="480"/>
      <c r="J148" s="552">
        <f>H148/DAY(B2)</f>
        <v>-2939.0833333333335</v>
      </c>
      <c r="K148" s="381"/>
      <c r="N148" s="721"/>
      <c r="O148" s="730"/>
      <c r="P148" s="716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8.5922009253139461E-2</v>
      </c>
      <c r="H149" s="460">
        <f>G149+'11'!H149</f>
        <v>0.99937532772792859</v>
      </c>
      <c r="I149" s="545"/>
      <c r="J149" s="552">
        <f>H149/DAY(B2)</f>
        <v>8.328127731066072E-2</v>
      </c>
      <c r="N149" s="721"/>
      <c r="O149" s="730"/>
      <c r="P149" s="716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1808</v>
      </c>
      <c r="H150" s="460">
        <f>G150+'11'!H150</f>
        <v>-37309</v>
      </c>
      <c r="I150" s="545"/>
      <c r="J150" s="552">
        <f>H150/DAY(B2)</f>
        <v>-3109.0833333333335</v>
      </c>
      <c r="N150" s="721"/>
      <c r="O150" s="730"/>
      <c r="P150" s="716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8.5355490510811066E-2</v>
      </c>
      <c r="H151" s="460">
        <f>G151+'11'!H151</f>
        <v>1.0791528273748359</v>
      </c>
      <c r="I151" s="480"/>
      <c r="J151" s="552">
        <f>H151/DAY(B2)</f>
        <v>8.9929402281236318E-2</v>
      </c>
      <c r="N151" s="721"/>
      <c r="O151" s="730"/>
      <c r="P151" s="716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1569</v>
      </c>
      <c r="H152" s="460">
        <f>G152+'11'!H152</f>
        <v>-29306</v>
      </c>
      <c r="I152" s="480"/>
      <c r="J152" s="552">
        <f>H152/DAY(B2)</f>
        <v>-2442.1666666666665</v>
      </c>
      <c r="N152" s="721"/>
      <c r="O152" s="730"/>
      <c r="P152" s="716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7.4072325559437255E-2</v>
      </c>
      <c r="H153" s="460">
        <f>G153+'11'!H153</f>
        <v>0.80207582504035457</v>
      </c>
      <c r="I153" s="568"/>
      <c r="J153" s="569">
        <f>H153/DAY(B2)</f>
        <v>6.6839652086696219E-2</v>
      </c>
      <c r="N153" s="721"/>
      <c r="O153" s="730"/>
      <c r="P153" s="716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541">
        <f>'11'!F160</f>
        <v>31736</v>
      </c>
      <c r="F160" s="661">
        <v>31821</v>
      </c>
      <c r="G160" s="473">
        <f t="shared" ref="G160:G163" si="16">F160-E160</f>
        <v>85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541">
        <f>'11'!F161</f>
        <v>60111</v>
      </c>
      <c r="F161" s="661">
        <v>60577</v>
      </c>
      <c r="G161" s="473">
        <f t="shared" si="16"/>
        <v>466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541">
        <f>'11'!F162</f>
        <v>23660</v>
      </c>
      <c r="F162" s="661">
        <v>23940</v>
      </c>
      <c r="G162" s="473">
        <f t="shared" si="16"/>
        <v>280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541">
        <f>'11'!F163</f>
        <v>5555.55</v>
      </c>
      <c r="F163" s="661">
        <v>5566</v>
      </c>
      <c r="G163" s="473">
        <f t="shared" si="16"/>
        <v>10.449999999999818</v>
      </c>
      <c r="N163" s="721"/>
    </row>
    <row r="164" spans="1:14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1"/>
    </row>
    <row r="166" spans="1:14" ht="33" customHeight="1">
      <c r="A166" s="1412" t="s">
        <v>99</v>
      </c>
      <c r="B166" s="1412"/>
      <c r="C166" s="1412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1"/>
    </row>
    <row r="167" spans="1:14" ht="33" customHeight="1">
      <c r="A167" s="1412" t="s">
        <v>100</v>
      </c>
      <c r="B167" s="1412"/>
      <c r="C167" s="1412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1"/>
    </row>
    <row r="168" spans="1:14" ht="41.25" customHeight="1">
      <c r="A168" s="1412" t="s">
        <v>101</v>
      </c>
      <c r="B168" s="1412"/>
      <c r="C168" s="1412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1"/>
    </row>
    <row r="169" spans="1:14" ht="26.25" customHeight="1">
      <c r="A169" s="1412" t="s">
        <v>102</v>
      </c>
      <c r="B169" s="1412"/>
      <c r="C169" s="1412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1"/>
    </row>
    <row r="170" spans="1:14" ht="24" customHeight="1">
      <c r="A170" s="1412" t="s">
        <v>103</v>
      </c>
      <c r="B170" s="1412"/>
      <c r="C170" s="1412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1"/>
    </row>
    <row r="171" spans="1:14" ht="27.75">
      <c r="A171" s="1412" t="s">
        <v>104</v>
      </c>
      <c r="B171" s="1412"/>
      <c r="C171" s="1412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1"/>
    </row>
    <row r="172" spans="1:14">
      <c r="G172" s="539">
        <f>SUM(G160:G171)</f>
        <v>3421.45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E11" sqref="E11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275</v>
      </c>
      <c r="B2" s="1036">
        <v>44268</v>
      </c>
      <c r="C2" s="1147" t="s">
        <v>69</v>
      </c>
      <c r="D2" s="611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7" t="s">
        <v>120</v>
      </c>
      <c r="D3" s="612">
        <v>28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4702348</v>
      </c>
      <c r="F7" s="455">
        <v>4723879</v>
      </c>
      <c r="G7" s="681">
        <f>F7-E7</f>
        <v>21531</v>
      </c>
      <c r="H7" s="682">
        <f>G7+'12'!H7</f>
        <v>-390044</v>
      </c>
      <c r="I7" s="683">
        <f>'1'!I7</f>
        <v>12000</v>
      </c>
      <c r="J7" s="684">
        <f>H7/DAY(B2)</f>
        <v>-30003.384615384617</v>
      </c>
      <c r="K7" s="549"/>
      <c r="L7" s="377"/>
      <c r="N7" s="732">
        <f>G7/G8</f>
        <v>0.99749826268241837</v>
      </c>
      <c r="O7" s="728">
        <f>F7+200</f>
        <v>4724079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4732018</v>
      </c>
      <c r="F8" s="475">
        <v>4753603</v>
      </c>
      <c r="G8" s="692">
        <f>F8-E8</f>
        <v>21585</v>
      </c>
      <c r="H8" s="682">
        <f>G8+'12'!H8</f>
        <v>-391715</v>
      </c>
      <c r="I8" s="689">
        <f>'1'!I8</f>
        <v>12000</v>
      </c>
      <c r="J8" s="684">
        <f>H8/DAY(B2)</f>
        <v>-30131.923076923078</v>
      </c>
      <c r="K8" s="549"/>
      <c r="L8" s="425"/>
      <c r="M8" s="440"/>
      <c r="N8" s="721"/>
      <c r="O8" s="728">
        <f>F8+200</f>
        <v>4753803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124354</v>
      </c>
      <c r="F9" s="478">
        <v>124354</v>
      </c>
      <c r="G9" s="705">
        <f t="shared" ref="G9:G12" si="0">F9-E9</f>
        <v>0</v>
      </c>
      <c r="H9" s="682">
        <f>G9+'12'!H9</f>
        <v>-271715</v>
      </c>
      <c r="I9" s="693">
        <f>I7-J7</f>
        <v>42003.384615384617</v>
      </c>
      <c r="J9" s="684">
        <f>H9/DAY(B2)</f>
        <v>-20901.153846153848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236581</v>
      </c>
      <c r="F10" s="478">
        <v>257339</v>
      </c>
      <c r="G10" s="692">
        <f t="shared" si="0"/>
        <v>20758</v>
      </c>
      <c r="H10" s="682">
        <f>G10+'12'!H10</f>
        <v>255016.42</v>
      </c>
      <c r="I10" s="694"/>
      <c r="J10" s="684">
        <f>H10/DAY(B2)</f>
        <v>19616.647692307692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20758</v>
      </c>
      <c r="H13" s="682">
        <f>G13+'12'!H13</f>
        <v>-37692.579999999958</v>
      </c>
      <c r="I13" s="698">
        <f>G7-G13</f>
        <v>773</v>
      </c>
      <c r="J13" s="684">
        <f>H13/DAY(B2)</f>
        <v>-2899.4292307692276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1630378.77</v>
      </c>
      <c r="F15" s="485">
        <v>1631215</v>
      </c>
      <c r="G15" s="667">
        <f>(F15-E15)</f>
        <v>836.22999999998137</v>
      </c>
      <c r="H15" s="486">
        <f>G15+'12'!H15</f>
        <v>-15474</v>
      </c>
      <c r="I15" s="474">
        <v>800</v>
      </c>
      <c r="J15" s="553">
        <f>H15/DAY(B2)</f>
        <v>-1190.3076923076924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1990.3076923076924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'12'!F18</f>
        <v>10</v>
      </c>
      <c r="F18" s="478">
        <v>16</v>
      </c>
      <c r="G18" s="697">
        <f>F18*10</f>
        <v>160</v>
      </c>
      <c r="H18" s="682">
        <f>G18+'12'!H18</f>
        <v>1500</v>
      </c>
      <c r="I18" s="683">
        <f>'1'!I18</f>
        <v>65</v>
      </c>
      <c r="J18" s="684">
        <f>H18/DAY(B2)</f>
        <v>115.38461538461539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'12'!F19</f>
        <v>135087</v>
      </c>
      <c r="F19" s="478">
        <v>135140</v>
      </c>
      <c r="G19" s="692">
        <f t="shared" ref="G19" si="1">F19-E19</f>
        <v>53</v>
      </c>
      <c r="H19" s="682">
        <f>G19+'12'!H19</f>
        <v>-950</v>
      </c>
      <c r="I19" s="699"/>
      <c r="J19" s="684">
        <f>H19/DAY(B2)</f>
        <v>-73.07692307692308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213</v>
      </c>
      <c r="H20" s="682">
        <f>G20+'12'!H20</f>
        <v>550</v>
      </c>
      <c r="I20" s="701">
        <f>I18-J20</f>
        <v>22.692307692307693</v>
      </c>
      <c r="J20" s="684">
        <f>H20/DAY(B2)</f>
        <v>42.307692307692307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5" t="s">
        <v>147</v>
      </c>
      <c r="B22" s="589"/>
      <c r="C22" s="589"/>
      <c r="D22" s="523" t="s">
        <v>148</v>
      </c>
      <c r="E22" s="635">
        <f>'7'!F22</f>
        <v>1290</v>
      </c>
      <c r="F22" s="478">
        <v>2970</v>
      </c>
      <c r="G22" s="481">
        <f t="shared" ref="G22" si="2">(F22-E22)</f>
        <v>1680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5" t="s">
        <v>149</v>
      </c>
      <c r="B23" s="589"/>
      <c r="C23" s="589"/>
      <c r="D23" s="523" t="s">
        <v>148</v>
      </c>
      <c r="E23" s="635">
        <f>'7'!F23</f>
        <v>1900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21585</v>
      </c>
      <c r="F27" s="501">
        <v>9</v>
      </c>
      <c r="G27" s="502">
        <f>E27*F27</f>
        <v>194265</v>
      </c>
      <c r="H27" s="460">
        <f>G27+'12'!H27</f>
        <v>-3525435</v>
      </c>
      <c r="I27" s="503"/>
      <c r="J27" s="552">
        <f>H27/DAY(B2)</f>
        <v>-271187.30769230769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836.22999999998137</v>
      </c>
      <c r="F28" s="501">
        <v>51.45</v>
      </c>
      <c r="G28" s="502">
        <f>E28*F28</f>
        <v>43024.033499999045</v>
      </c>
      <c r="H28" s="460">
        <f>G28+'12'!H28</f>
        <v>-796137.3</v>
      </c>
      <c r="I28" s="505"/>
      <c r="J28" s="552">
        <f>H28/DAY(B2)</f>
        <v>-61241.330769230772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G30+'12'!H30</f>
        <v>-125932</v>
      </c>
      <c r="I30" s="505"/>
      <c r="J30" s="552">
        <f>H30/DAY(B2)</f>
        <v>-9687.0769230769238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160</v>
      </c>
      <c r="F31" s="501">
        <v>80</v>
      </c>
      <c r="G31" s="502">
        <f>E31*F31</f>
        <v>12800</v>
      </c>
      <c r="H31" s="460">
        <f>G31+'12'!H31</f>
        <v>120000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257191.03349999903</v>
      </c>
      <c r="H32" s="460">
        <f>G32+'12'!H32</f>
        <v>-4327504.3</v>
      </c>
      <c r="I32" s="509"/>
      <c r="J32" s="552">
        <f>H32/DAY(B2)</f>
        <v>-332884.94615384616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-60264</v>
      </c>
      <c r="I35" s="455"/>
      <c r="J35" s="552">
        <f>H35/DAY(B2)</f>
        <v>-4635.6923076923076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-12562</v>
      </c>
      <c r="I36" s="455"/>
      <c r="J36" s="552">
        <f>H36/DAY(B2)</f>
        <v>-966.30769230769226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-19630</v>
      </c>
      <c r="I37" s="455"/>
      <c r="J37" s="552">
        <f>H37/DAY(B2)</f>
        <v>-1510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-23975</v>
      </c>
      <c r="I38" s="455"/>
      <c r="J38" s="552">
        <f>H38/DAY(B2)</f>
        <v>-1844.2307692307693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-52756</v>
      </c>
      <c r="I39" s="455"/>
      <c r="J39" s="552">
        <f>H39/DAY(B2)</f>
        <v>-4058.1538461538462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0.17</v>
      </c>
      <c r="I40" s="455"/>
      <c r="J40" s="552">
        <f>H40/DAY(B2)</f>
        <v>1.3076923076923078E-2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-68374</v>
      </c>
      <c r="I41" s="455"/>
      <c r="J41" s="552">
        <f>H41/DAY(B2)</f>
        <v>-5259.5384615384619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-0.16000000000349246</v>
      </c>
      <c r="I42" s="455"/>
      <c r="J42" s="552">
        <f>H42/DAY(B2)</f>
        <v>-1.2307692307960959E-2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-44460</v>
      </c>
      <c r="I43" s="455"/>
      <c r="J43" s="552">
        <f>H43/DAY(B2)</f>
        <v>-3420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614</v>
      </c>
      <c r="I45" s="455"/>
      <c r="J45" s="552">
        <f>H45/DAY(B2)</f>
        <v>47.230769230769234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187.49</v>
      </c>
      <c r="I46" s="455"/>
      <c r="J46" s="552">
        <f>H46/DAY(B2)</f>
        <v>14.422307692307694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6691</v>
      </c>
      <c r="H47" s="460">
        <f>G47+'12'!H47</f>
        <v>-281219.50000000006</v>
      </c>
      <c r="I47" s="455"/>
      <c r="J47" s="552">
        <f>H47/DAY(B2)</f>
        <v>-21632.269230769234</v>
      </c>
      <c r="K47" s="428"/>
      <c r="L47" s="377"/>
      <c r="N47" s="721"/>
      <c r="O47" s="728"/>
      <c r="P47" s="382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-24201</v>
      </c>
      <c r="I50" s="455"/>
      <c r="J50" s="552">
        <f>H50/DAY(B2)</f>
        <v>-1861.6153846153845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-9619</v>
      </c>
      <c r="I51" s="455"/>
      <c r="J51" s="552">
        <f>H51/DAY(B2)</f>
        <v>-739.92307692307691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-11310</v>
      </c>
      <c r="I52" s="455"/>
      <c r="J52" s="552">
        <f>H52/DAY(B2)</f>
        <v>-870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-27873</v>
      </c>
      <c r="I53" s="455"/>
      <c r="J53" s="552">
        <f>H53/DAY(B2)</f>
        <v>-2144.0769230769229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2043.0400000000009</v>
      </c>
      <c r="I54" s="455"/>
      <c r="J54" s="552">
        <f>H54/DAY(B2)</f>
        <v>157.15692307692314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176974</v>
      </c>
      <c r="F55" s="656">
        <v>182335</v>
      </c>
      <c r="G55" s="655">
        <f t="shared" si="4"/>
        <v>5361</v>
      </c>
      <c r="H55" s="708">
        <f>G55+'12'!H55</f>
        <v>-38761</v>
      </c>
      <c r="I55" s="709"/>
      <c r="J55" s="710">
        <f>H55/DAY(B2)</f>
        <v>-2981.6153846153848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588761</v>
      </c>
      <c r="F56" s="656">
        <v>588761</v>
      </c>
      <c r="G56" s="473">
        <f t="shared" si="4"/>
        <v>0</v>
      </c>
      <c r="H56" s="460">
        <f>G56+'12'!H56</f>
        <v>-206</v>
      </c>
      <c r="I56" s="455"/>
      <c r="J56" s="552">
        <f>H56/DAY(B2)</f>
        <v>-15.846153846153847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38176</v>
      </c>
      <c r="F58" s="656">
        <v>38352</v>
      </c>
      <c r="G58" s="473">
        <f t="shared" si="4"/>
        <v>176</v>
      </c>
      <c r="H58" s="460">
        <f>G58+'12'!H58</f>
        <v>-3391</v>
      </c>
      <c r="I58" s="455"/>
      <c r="J58" s="552">
        <f>H58/DAY(B2)</f>
        <v>-260.84615384615387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14489.33</v>
      </c>
      <c r="H59" s="460">
        <f>G59+'12'!H59</f>
        <v>-113317.63000000002</v>
      </c>
      <c r="I59" s="455">
        <f>G7-G60</f>
        <v>350.66999999999825</v>
      </c>
      <c r="J59" s="552">
        <f>H59/DAY(B2)</f>
        <v>-8716.7407692307715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21180.33</v>
      </c>
      <c r="H60" s="460">
        <f>G60+'12'!H60</f>
        <v>-380368.13</v>
      </c>
      <c r="I60" s="455">
        <f>G13-G60</f>
        <v>-422.33000000000175</v>
      </c>
      <c r="J60" s="552">
        <f>H60/DAY(B2)</f>
        <v>-29259.086923076924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-219</v>
      </c>
      <c r="I63" s="515"/>
      <c r="J63" s="552">
        <f>H63/DAY(B2)</f>
        <v>-16.846153846153847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-8839</v>
      </c>
      <c r="I64" s="480"/>
      <c r="J64" s="552">
        <f>H64/DAY(B2)</f>
        <v>-679.92307692307691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'12'!F65</f>
        <v>137064</v>
      </c>
      <c r="F65" s="654">
        <v>137422</v>
      </c>
      <c r="G65" s="473">
        <f t="shared" si="5"/>
        <v>358</v>
      </c>
      <c r="H65" s="460">
        <f>G65+'12'!H65</f>
        <v>-6783</v>
      </c>
      <c r="I65" s="489"/>
      <c r="J65" s="552">
        <f>H65/DAY(B2)</f>
        <v>-521.76923076923072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-7049</v>
      </c>
      <c r="I66" s="480"/>
      <c r="J66" s="552">
        <f>H66/DAY(B2)</f>
        <v>-542.23076923076928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-12423</v>
      </c>
      <c r="I67" s="489"/>
      <c r="J67" s="552">
        <f>H67/DAY(B2)</f>
        <v>-955.61538461538464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-6019</v>
      </c>
      <c r="I68" s="516"/>
      <c r="J68" s="552">
        <f>H68/DAY(B2)</f>
        <v>-463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-5630</v>
      </c>
      <c r="I69" s="516"/>
      <c r="J69" s="552">
        <f>H69/DAY(B2)</f>
        <v>-433.07692307692309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'12'!F72</f>
        <v>851620</v>
      </c>
      <c r="F72" s="657">
        <v>851710</v>
      </c>
      <c r="G72" s="473">
        <f t="shared" ref="G72:G84" si="6">F72-E72</f>
        <v>90</v>
      </c>
      <c r="H72" s="460">
        <f>G72+'12'!H72</f>
        <v>-1469</v>
      </c>
      <c r="I72" s="480"/>
      <c r="J72" s="552">
        <f>H72/DAY(B2)</f>
        <v>-113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'12'!F73</f>
        <v>885776</v>
      </c>
      <c r="F73" s="658">
        <v>885776</v>
      </c>
      <c r="G73" s="655">
        <f t="shared" si="6"/>
        <v>0</v>
      </c>
      <c r="H73" s="460">
        <f>G73+'12'!H73</f>
        <v>-24</v>
      </c>
      <c r="I73" s="480"/>
      <c r="J73" s="552">
        <f>H73/DAY(B2)</f>
        <v>-1.8461538461538463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'12'!F74</f>
        <v>922</v>
      </c>
      <c r="F74" s="658">
        <v>957</v>
      </c>
      <c r="G74" s="473">
        <f t="shared" si="6"/>
        <v>35</v>
      </c>
      <c r="H74" s="460">
        <f>G74+'12'!H74</f>
        <v>-413</v>
      </c>
      <c r="I74" s="480"/>
      <c r="J74" s="552">
        <f>H74/DAY(B2)</f>
        <v>-31.76923076923077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'12'!F75</f>
        <v>5482</v>
      </c>
      <c r="F75" s="658">
        <v>5658</v>
      </c>
      <c r="G75" s="473">
        <f t="shared" si="6"/>
        <v>176</v>
      </c>
      <c r="H75" s="460">
        <f>G75+'12'!H75</f>
        <v>-3022</v>
      </c>
      <c r="I75" s="480"/>
      <c r="J75" s="552">
        <f>H75/DAY(B2)</f>
        <v>-232.46153846153845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'12'!F76</f>
        <v>2531</v>
      </c>
      <c r="F76" s="658">
        <v>2614</v>
      </c>
      <c r="G76" s="473">
        <f t="shared" si="6"/>
        <v>83</v>
      </c>
      <c r="H76" s="460">
        <f>G76+'12'!H76</f>
        <v>-1423</v>
      </c>
      <c r="I76" s="505"/>
      <c r="J76" s="552">
        <f>H76/DAY(B2)</f>
        <v>-109.46153846153847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'12'!F77</f>
        <v>699222</v>
      </c>
      <c r="F77" s="658">
        <v>699275</v>
      </c>
      <c r="G77" s="655">
        <f t="shared" si="6"/>
        <v>53</v>
      </c>
      <c r="H77" s="460">
        <f>G77+'12'!H77</f>
        <v>-939</v>
      </c>
      <c r="I77" s="505"/>
      <c r="J77" s="552">
        <f>H77/DAY(B2)</f>
        <v>-72.230769230769226</v>
      </c>
      <c r="K77" s="430"/>
      <c r="L77" s="377"/>
      <c r="N77" s="721"/>
      <c r="O77" s="728"/>
      <c r="P77" s="382"/>
    </row>
    <row r="78" spans="1:16" ht="27.75">
      <c r="A78" s="1148" t="s">
        <v>197</v>
      </c>
      <c r="B78" s="1121"/>
      <c r="C78" s="1121"/>
      <c r="D78" s="523" t="s">
        <v>187</v>
      </c>
      <c r="E78" s="519">
        <f>'12'!F78</f>
        <v>657592</v>
      </c>
      <c r="F78" s="659">
        <v>658064</v>
      </c>
      <c r="G78" s="473">
        <f t="shared" si="6"/>
        <v>472</v>
      </c>
      <c r="H78" s="460">
        <f>G78+'12'!H78</f>
        <v>-7316</v>
      </c>
      <c r="I78" s="505"/>
      <c r="J78" s="552">
        <f>H78/DAY(B2)</f>
        <v>-562.76923076923072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'12'!F79</f>
        <v>817602</v>
      </c>
      <c r="F79" s="659">
        <v>817800</v>
      </c>
      <c r="G79" s="473">
        <f t="shared" si="6"/>
        <v>198</v>
      </c>
      <c r="H79" s="460">
        <f>G79+'12'!H79</f>
        <v>-3413</v>
      </c>
      <c r="I79" s="505"/>
      <c r="J79" s="552">
        <f>H79/DAY(B2)</f>
        <v>-262.53846153846155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'12'!F80</f>
        <v>498943</v>
      </c>
      <c r="F80" s="658">
        <v>499305</v>
      </c>
      <c r="G80" s="473">
        <f t="shared" si="6"/>
        <v>362</v>
      </c>
      <c r="H80" s="460">
        <f>G80+'12'!H80</f>
        <v>-6394</v>
      </c>
      <c r="I80" s="505"/>
      <c r="J80" s="552">
        <f>H80/DAY(B2)</f>
        <v>-491.84615384615387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'12'!F81</f>
        <v>627189</v>
      </c>
      <c r="F81" s="658">
        <v>627293</v>
      </c>
      <c r="G81" s="473">
        <f t="shared" si="6"/>
        <v>104</v>
      </c>
      <c r="H81" s="460">
        <f>G81+'12'!H81</f>
        <v>-2892</v>
      </c>
      <c r="I81" s="505"/>
      <c r="J81" s="552">
        <f>H81/DAY(B2)</f>
        <v>-222.46153846153845</v>
      </c>
      <c r="K81" s="430"/>
      <c r="L81" s="377"/>
      <c r="N81" s="721"/>
      <c r="O81" s="728"/>
      <c r="P81" s="382"/>
    </row>
    <row r="82" spans="1:16" ht="27.75">
      <c r="A82" s="1413" t="s">
        <v>93</v>
      </c>
      <c r="B82" s="1414"/>
      <c r="C82" s="1415"/>
      <c r="D82" s="485" t="s">
        <v>132</v>
      </c>
      <c r="E82" s="519">
        <f>'12'!F82</f>
        <v>106468</v>
      </c>
      <c r="F82" s="654">
        <v>106492</v>
      </c>
      <c r="G82" s="473">
        <f t="shared" si="6"/>
        <v>24</v>
      </c>
      <c r="H82" s="460">
        <f>G82+'12'!H82</f>
        <v>-403</v>
      </c>
      <c r="I82" s="486"/>
      <c r="J82" s="552">
        <f>H82/DAY(B2)</f>
        <v>-31</v>
      </c>
      <c r="K82" s="430"/>
      <c r="L82" s="377"/>
      <c r="N82" s="721"/>
      <c r="O82" s="728"/>
      <c r="P82" s="382"/>
    </row>
    <row r="83" spans="1:16" ht="27.75">
      <c r="A83" s="1413" t="s">
        <v>200</v>
      </c>
      <c r="B83" s="1414"/>
      <c r="C83" s="1415"/>
      <c r="D83" s="620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-4901</v>
      </c>
      <c r="I83" s="481"/>
      <c r="J83" s="552">
        <f>H83/DAY(B2)</f>
        <v>-377</v>
      </c>
      <c r="K83" s="429"/>
      <c r="L83" s="377"/>
      <c r="N83" s="721"/>
      <c r="O83" s="728"/>
      <c r="P83" s="382"/>
    </row>
    <row r="84" spans="1:16">
      <c r="A84" s="1149" t="s">
        <v>201</v>
      </c>
      <c r="B84" s="571"/>
      <c r="C84" s="571"/>
      <c r="D84" s="478" t="s">
        <v>132</v>
      </c>
      <c r="E84" s="519">
        <f>'12'!F84</f>
        <v>440449</v>
      </c>
      <c r="F84" s="627">
        <v>441207</v>
      </c>
      <c r="G84" s="473">
        <f t="shared" si="6"/>
        <v>758</v>
      </c>
      <c r="H84" s="460">
        <f>G84+'12'!H84</f>
        <v>-13477</v>
      </c>
      <c r="I84" s="481"/>
      <c r="J84" s="552">
        <f>H84/DAY(B2)</f>
        <v>-1036.6923076923076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2619</v>
      </c>
      <c r="H85" s="460">
        <f>G85+'12'!H85</f>
        <v>-46086</v>
      </c>
      <c r="I85" s="481"/>
      <c r="J85" s="552">
        <f>H85/DAY(B2)</f>
        <v>-3545.0769230769229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451971</v>
      </c>
      <c r="F86" s="650">
        <v>452054</v>
      </c>
      <c r="G86" s="708">
        <f t="shared" ref="G86:G90" si="7">F86-E86</f>
        <v>83</v>
      </c>
      <c r="H86" s="708">
        <f t="shared" ref="H86:H88" si="8">G86</f>
        <v>83</v>
      </c>
      <c r="I86" s="655"/>
      <c r="J86" s="710">
        <f>H86/DAY(B2)</f>
        <v>6.384615384615385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79571</v>
      </c>
      <c r="F87" s="650">
        <v>79596</v>
      </c>
      <c r="G87" s="708">
        <f t="shared" si="7"/>
        <v>25</v>
      </c>
      <c r="H87" s="708">
        <f t="shared" si="8"/>
        <v>25</v>
      </c>
      <c r="I87" s="655"/>
      <c r="J87" s="710">
        <f>H87/DAY(B2)</f>
        <v>1.9230769230769231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149169</v>
      </c>
      <c r="F88" s="650">
        <v>149235</v>
      </c>
      <c r="G88" s="708">
        <f t="shared" si="7"/>
        <v>66</v>
      </c>
      <c r="H88" s="708">
        <f t="shared" si="8"/>
        <v>66</v>
      </c>
      <c r="I88" s="655"/>
      <c r="J88" s="710">
        <f>H88/DAY(B2)</f>
        <v>5.0769230769230766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62558</v>
      </c>
      <c r="F89" s="650">
        <v>62609</v>
      </c>
      <c r="G89" s="708">
        <f t="shared" si="7"/>
        <v>51</v>
      </c>
      <c r="H89" s="708">
        <f>G89</f>
        <v>51</v>
      </c>
      <c r="I89" s="655"/>
      <c r="J89" s="710">
        <f>H89/DAY(B2)</f>
        <v>3.9230769230769229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3218</v>
      </c>
      <c r="F90" s="650">
        <v>3220</v>
      </c>
      <c r="G90" s="708">
        <f t="shared" si="7"/>
        <v>2</v>
      </c>
      <c r="H90" s="708">
        <f>G90</f>
        <v>2</v>
      </c>
      <c r="I90" s="655"/>
      <c r="J90" s="710">
        <f>H90/DAY(B2)</f>
        <v>0.15384615384615385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-1700</v>
      </c>
      <c r="I92" s="480"/>
      <c r="J92" s="552">
        <f>H92/DAY(B2)</f>
        <v>-130.76923076923077</v>
      </c>
      <c r="K92" s="429"/>
      <c r="L92" s="377"/>
      <c r="N92" s="721"/>
      <c r="O92" s="728"/>
      <c r="P92" s="382"/>
    </row>
    <row r="93" spans="1:16" ht="27.75">
      <c r="A93" s="1437" t="s">
        <v>207</v>
      </c>
      <c r="B93" s="1438"/>
      <c r="C93" s="1439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-2365</v>
      </c>
      <c r="I93" s="480"/>
      <c r="J93" s="552">
        <f>H93/DAY(B2)</f>
        <v>-181.92307692307693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-4284</v>
      </c>
      <c r="I94" s="480"/>
      <c r="J94" s="552">
        <f>H94/DAY(B2)</f>
        <v>-329.53846153846155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-1486</v>
      </c>
      <c r="I95" s="480"/>
      <c r="J95" s="552">
        <f>H95/DAY(B2)</f>
        <v>-114.30769230769231</v>
      </c>
      <c r="K95" s="380"/>
      <c r="L95" s="377"/>
      <c r="N95" s="721"/>
      <c r="O95" s="728"/>
      <c r="P95" s="382"/>
    </row>
    <row r="96" spans="1:16" ht="27.75">
      <c r="A96" s="1145" t="s">
        <v>210</v>
      </c>
      <c r="B96" s="1146"/>
      <c r="C96" s="1146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-301</v>
      </c>
      <c r="I96" s="480"/>
      <c r="J96" s="552">
        <f>H96/DAY(B2)</f>
        <v>-23.153846153846153</v>
      </c>
      <c r="K96" s="427"/>
      <c r="L96" s="377"/>
      <c r="N96" s="721"/>
      <c r="O96" s="728"/>
      <c r="P96" s="382"/>
    </row>
    <row r="97" spans="1:16" ht="27.75">
      <c r="A97" s="1145" t="s">
        <v>211</v>
      </c>
      <c r="B97" s="1146"/>
      <c r="C97" s="1146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-231</v>
      </c>
      <c r="I97" s="480"/>
      <c r="J97" s="552">
        <f>H97/DAY(B2)</f>
        <v>-17.76923076923077</v>
      </c>
      <c r="K97" s="432"/>
      <c r="L97" s="377"/>
      <c r="N97" s="721"/>
      <c r="O97" s="728"/>
      <c r="P97" s="382"/>
    </row>
    <row r="98" spans="1:16" ht="27.75">
      <c r="A98" s="1145" t="s">
        <v>212</v>
      </c>
      <c r="B98" s="1146"/>
      <c r="C98" s="1146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-562</v>
      </c>
      <c r="I98" s="480"/>
      <c r="J98" s="552">
        <f>H98/DAY(B2)</f>
        <v>-43.230769230769234</v>
      </c>
      <c r="K98" s="380"/>
      <c r="L98" s="377"/>
      <c r="N98" s="723"/>
      <c r="O98" s="728"/>
      <c r="P98" s="382"/>
    </row>
    <row r="99" spans="1:16" ht="27.75">
      <c r="A99" s="1145" t="s">
        <v>213</v>
      </c>
      <c r="B99" s="1146"/>
      <c r="C99" s="1146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-277</v>
      </c>
      <c r="I99" s="480"/>
      <c r="J99" s="552">
        <f>H99/DAY(B2)</f>
        <v>-21.307692307692307</v>
      </c>
      <c r="K99" s="380"/>
      <c r="L99" s="377"/>
      <c r="N99" s="721"/>
      <c r="O99" s="728"/>
      <c r="P99" s="382"/>
    </row>
    <row r="100" spans="1:16" ht="27.75">
      <c r="A100" s="1145" t="s">
        <v>214</v>
      </c>
      <c r="B100" s="1146"/>
      <c r="C100" s="1146"/>
      <c r="D100" s="523" t="s">
        <v>144</v>
      </c>
      <c r="E100" s="484">
        <f>'12'!F100</f>
        <v>4671</v>
      </c>
      <c r="F100" s="626">
        <v>4692</v>
      </c>
      <c r="G100" s="473">
        <f t="shared" si="10"/>
        <v>21</v>
      </c>
      <c r="H100" s="460">
        <f>G100+'12'!H100</f>
        <v>-251</v>
      </c>
      <c r="I100" s="480"/>
      <c r="J100" s="552">
        <f>H100/DAY(B2)</f>
        <v>-19.307692307692307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224</v>
      </c>
      <c r="H101" s="460">
        <f>G101+'12'!H101</f>
        <v>-3108</v>
      </c>
      <c r="I101" s="526"/>
      <c r="J101" s="552">
        <f>H101/DAY(B2)</f>
        <v>-239.07692307692307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144"/>
      <c r="D104" s="622" t="s">
        <v>144</v>
      </c>
      <c r="E104" s="484">
        <f>'12'!F104</f>
        <v>7233</v>
      </c>
      <c r="F104" s="662">
        <v>7236</v>
      </c>
      <c r="G104" s="532">
        <f>F104-E104</f>
        <v>3</v>
      </c>
      <c r="H104" s="533">
        <f>SUM(G104+'1'!G76)</f>
        <v>62</v>
      </c>
      <c r="I104" s="532"/>
      <c r="J104" s="558">
        <f>H104/DAY(B2)</f>
        <v>4.7692307692307692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144"/>
      <c r="D105" s="622" t="s">
        <v>144</v>
      </c>
      <c r="E105" s="484">
        <f>'12'!F105</f>
        <v>35500</v>
      </c>
      <c r="F105" s="662">
        <v>35508</v>
      </c>
      <c r="G105" s="532">
        <f t="shared" ref="G105:G106" si="11">F105-E105</f>
        <v>8</v>
      </c>
      <c r="H105" s="533">
        <f>SUM(G105+'1'!G77)</f>
        <v>58</v>
      </c>
      <c r="I105" s="532"/>
      <c r="J105" s="558">
        <f>H105/DAY(B2)</f>
        <v>4.4615384615384617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'12'!F106</f>
        <v>19312</v>
      </c>
      <c r="F106" s="662">
        <v>19318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30.846153846153847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144"/>
      <c r="D107" s="622"/>
      <c r="E107" s="484"/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16.23076923076923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144"/>
      <c r="D109" s="622" t="s">
        <v>144</v>
      </c>
      <c r="E109" s="484">
        <f>'12'!F109</f>
        <v>57267</v>
      </c>
      <c r="F109" s="662">
        <v>57365</v>
      </c>
      <c r="G109" s="532">
        <f>F109-E109</f>
        <v>98</v>
      </c>
      <c r="H109" s="533">
        <f>SUM(G109+'1'!G81)</f>
        <v>296</v>
      </c>
      <c r="I109" s="532"/>
      <c r="J109" s="558">
        <f>H109/DAY(B2)</f>
        <v>22.76923076923077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144"/>
      <c r="D110" s="622" t="s">
        <v>144</v>
      </c>
      <c r="E110" s="484">
        <f>'12'!F110</f>
        <v>31187</v>
      </c>
      <c r="F110" s="662">
        <v>31212</v>
      </c>
      <c r="G110" s="532">
        <f t="shared" ref="G110:G111" si="12">F110-E110</f>
        <v>25</v>
      </c>
      <c r="H110" s="533">
        <f>SUM(G110+'1'!G82)</f>
        <v>48</v>
      </c>
      <c r="I110" s="532"/>
      <c r="J110" s="558">
        <f>H110/DAY(B2)</f>
        <v>3.6923076923076925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144"/>
      <c r="D111" s="622" t="s">
        <v>144</v>
      </c>
      <c r="E111" s="484">
        <f>'12'!F111</f>
        <v>4054</v>
      </c>
      <c r="F111" s="662">
        <v>4054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18.384615384615383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144"/>
      <c r="D112" s="622"/>
      <c r="E112" s="484"/>
      <c r="F112" s="662"/>
      <c r="G112" s="532">
        <f>SUM(G109:G111)</f>
        <v>123</v>
      </c>
      <c r="H112" s="533">
        <f>SUM(G112+'1'!G84)</f>
        <v>1038</v>
      </c>
      <c r="I112" s="532"/>
      <c r="J112" s="558">
        <f>H112/DAY(B2)</f>
        <v>79.84615384615384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'12'!F114</f>
        <v>10519</v>
      </c>
      <c r="F114" s="662">
        <v>10527</v>
      </c>
      <c r="G114" s="534">
        <f>F114-E114</f>
        <v>8</v>
      </c>
      <c r="H114" s="533">
        <f>SUM(G114+'1'!G91)</f>
        <v>8</v>
      </c>
      <c r="I114" s="532"/>
      <c r="J114" s="558">
        <f>H114/DAY(B2)</f>
        <v>0.61538461538461542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'12'!F115</f>
        <v>7770</v>
      </c>
      <c r="F115" s="662">
        <v>7782</v>
      </c>
      <c r="G115" s="534">
        <f t="shared" ref="G115:G116" si="13">F115-E115</f>
        <v>12</v>
      </c>
      <c r="H115" s="533">
        <f>SUM(G115+'1'!G92)</f>
        <v>104</v>
      </c>
      <c r="I115" s="532"/>
      <c r="J115" s="558">
        <f>H115/DAY(B2)</f>
        <v>8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9.7692307692307701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20</v>
      </c>
      <c r="H117" s="533">
        <f>SUM(G117+'1'!G95)</f>
        <v>97</v>
      </c>
      <c r="I117" s="534"/>
      <c r="J117" s="558">
        <f>H117/DAY(B2)</f>
        <v>7.4615384615384617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142"/>
      <c r="D118" s="624" t="s">
        <v>144</v>
      </c>
      <c r="E118" s="536"/>
      <c r="F118" s="663">
        <f>SUM(G19+G92)</f>
        <v>172</v>
      </c>
      <c r="G118" s="536">
        <f>SUM(G19+G92)</f>
        <v>172</v>
      </c>
      <c r="H118" s="533">
        <f>SUM(G118+'1'!G96)</f>
        <v>189</v>
      </c>
      <c r="I118" s="535"/>
      <c r="J118" s="559">
        <f>H118/DAY(B2)</f>
        <v>14.538461538461538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142"/>
      <c r="D119" s="624" t="s">
        <v>144</v>
      </c>
      <c r="E119" s="536"/>
      <c r="F119" s="663">
        <f>SUM(G95,G96,G97,G99,G100)</f>
        <v>176</v>
      </c>
      <c r="G119" s="536">
        <f>SUM(G95,G96,G97,G99,G100)</f>
        <v>176</v>
      </c>
      <c r="H119" s="533">
        <f>SUM(G119+'1'!G98)</f>
        <v>204</v>
      </c>
      <c r="I119" s="535"/>
      <c r="J119" s="559">
        <f>H119/DAY(B2)</f>
        <v>15.692307692307692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142"/>
      <c r="D120" s="624" t="s">
        <v>144</v>
      </c>
      <c r="E120" s="534"/>
      <c r="F120" s="662">
        <f>SUM(G112)</f>
        <v>123</v>
      </c>
      <c r="G120" s="534">
        <f>SUM(G112)</f>
        <v>123</v>
      </c>
      <c r="H120" s="533">
        <f>SUM(G120+'1'!G100)</f>
        <v>129</v>
      </c>
      <c r="I120" s="535"/>
      <c r="J120" s="559">
        <f>H120/DAY(B2)</f>
        <v>9.9230769230769234</v>
      </c>
      <c r="N120" s="721"/>
      <c r="O120" s="728"/>
      <c r="P120" s="382"/>
    </row>
    <row r="121" spans="1:16" s="442" customFormat="1" ht="27.75">
      <c r="A121" s="1427"/>
      <c r="B121" s="1428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45" t="s">
        <v>231</v>
      </c>
      <c r="B123" s="1146"/>
      <c r="C123" s="1146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-4519</v>
      </c>
      <c r="I123" s="526"/>
      <c r="J123" s="552">
        <f>H123/DAY(B2)</f>
        <v>-347.61538461538464</v>
      </c>
      <c r="K123" s="380"/>
      <c r="L123" s="377"/>
      <c r="N123" s="721"/>
      <c r="O123" s="728"/>
      <c r="P123" s="382"/>
    </row>
    <row r="124" spans="1:16" ht="27.75">
      <c r="A124" s="1145" t="s">
        <v>232</v>
      </c>
      <c r="B124" s="1146"/>
      <c r="C124" s="1146"/>
      <c r="D124" s="523" t="s">
        <v>141</v>
      </c>
      <c r="E124" s="626">
        <f>'12'!F124</f>
        <v>73583</v>
      </c>
      <c r="F124" s="626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-1299</v>
      </c>
      <c r="I125" s="526"/>
      <c r="J125" s="552">
        <f>H125/DAY(B2)</f>
        <v>-99.92307692307692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46"/>
      <c r="C126" s="1146"/>
      <c r="D126" s="523" t="s">
        <v>141</v>
      </c>
      <c r="E126" s="626">
        <f>'12'!F126</f>
        <v>59687</v>
      </c>
      <c r="F126" s="626">
        <v>59715</v>
      </c>
      <c r="G126" s="473">
        <f t="shared" si="14"/>
        <v>28</v>
      </c>
      <c r="H126" s="460">
        <f>G126+'12'!H126</f>
        <v>28396.3</v>
      </c>
      <c r="I126" s="526"/>
      <c r="J126" s="552">
        <f>H126/DAY(B2)</f>
        <v>2184.330769230769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46"/>
      <c r="C127" s="1146"/>
      <c r="D127" s="523" t="s">
        <v>141</v>
      </c>
      <c r="E127" s="626">
        <f>'12'!F127</f>
        <v>8917</v>
      </c>
      <c r="F127" s="626">
        <v>8920</v>
      </c>
      <c r="G127" s="473">
        <f t="shared" si="14"/>
        <v>3</v>
      </c>
      <c r="H127" s="460">
        <f>G127+'12'!H127</f>
        <v>-42</v>
      </c>
      <c r="I127" s="480"/>
      <c r="J127" s="552">
        <f>H127/DAY(B2)</f>
        <v>-3.2307692307692308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495.82999999998719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'12'!F132</f>
        <v>39219.35</v>
      </c>
      <c r="F132" s="654">
        <v>39219</v>
      </c>
      <c r="G132" s="473">
        <f t="shared" si="15"/>
        <v>-0.34999999999854481</v>
      </c>
      <c r="H132" s="460">
        <f>G132+'12'!H132</f>
        <v>-314</v>
      </c>
      <c r="I132" s="480"/>
      <c r="J132" s="552">
        <f>H132/DAY(B2)</f>
        <v>-24.153846153846153</v>
      </c>
      <c r="N132" s="721"/>
      <c r="O132" s="728"/>
      <c r="P132" s="382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'12'!F133</f>
        <v>299</v>
      </c>
      <c r="F133" s="626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2">
        <f>H133/DAY(B2)</f>
        <v>-7.6923076923076927E-2</v>
      </c>
      <c r="N133" s="721"/>
      <c r="O133" s="728"/>
      <c r="P133" s="382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'12'!F134</f>
        <v>40650.57</v>
      </c>
      <c r="F134" s="626">
        <v>40675</v>
      </c>
      <c r="G134" s="473">
        <f t="shared" si="15"/>
        <v>24.430000000000291</v>
      </c>
      <c r="H134" s="460">
        <f>G134+'12'!H134</f>
        <v>-164</v>
      </c>
      <c r="I134" s="480"/>
      <c r="J134" s="552">
        <f>H134/DAY(B2)</f>
        <v>-12.615384615384615</v>
      </c>
      <c r="N134" s="721"/>
      <c r="O134" s="728"/>
      <c r="P134" s="382"/>
    </row>
    <row r="135" spans="1:16" ht="27.75">
      <c r="A135" s="1145" t="s">
        <v>244</v>
      </c>
      <c r="B135" s="1146"/>
      <c r="C135" s="1146"/>
      <c r="D135" s="523" t="s">
        <v>239</v>
      </c>
      <c r="E135" s="541">
        <f>'12'!F135</f>
        <v>32582.560000000001</v>
      </c>
      <c r="F135" s="654">
        <v>32582.560000000001</v>
      </c>
      <c r="G135" s="473">
        <f t="shared" si="15"/>
        <v>0</v>
      </c>
      <c r="H135" s="460">
        <f>G135+'12'!H135</f>
        <v>-0.43999999999869033</v>
      </c>
      <c r="I135" s="480"/>
      <c r="J135" s="552">
        <f>H135/DAY(B2)</f>
        <v>-3.3846153846053099E-2</v>
      </c>
      <c r="N135" s="721"/>
      <c r="O135" s="728"/>
      <c r="P135" s="382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'12'!F136</f>
        <v>22326</v>
      </c>
      <c r="F136" s="654">
        <v>22334.98</v>
      </c>
      <c r="G136" s="473">
        <f t="shared" si="15"/>
        <v>8.9799999999995634</v>
      </c>
      <c r="H136" s="460">
        <f>G136+'12'!H136</f>
        <v>-153.67000000000189</v>
      </c>
      <c r="I136" s="480">
        <f>G134+G135+G136</f>
        <v>33.409999999999854</v>
      </c>
      <c r="J136" s="552">
        <f>H136/DAY(B2)</f>
        <v>-11.820769230769375</v>
      </c>
      <c r="N136" s="721"/>
      <c r="O136" s="728"/>
      <c r="P136" s="382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'12'!F137</f>
        <v>25044.31</v>
      </c>
      <c r="F137" s="654">
        <v>25044</v>
      </c>
      <c r="G137" s="473">
        <f t="shared" si="15"/>
        <v>-0.31000000000130967</v>
      </c>
      <c r="H137" s="460">
        <f>G137+'12'!H137</f>
        <v>-4.7900000000008731</v>
      </c>
      <c r="I137" s="480"/>
      <c r="J137" s="552">
        <f>H137/DAY(B2)</f>
        <v>-0.36846153846160562</v>
      </c>
      <c r="N137" s="721"/>
      <c r="O137" s="728"/>
      <c r="P137" s="382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'12'!F138</f>
        <v>70199.86</v>
      </c>
      <c r="F138" s="654">
        <v>70202</v>
      </c>
      <c r="G138" s="473">
        <f t="shared" si="15"/>
        <v>2.1399999999994179</v>
      </c>
      <c r="H138" s="460">
        <f>G138+'12'!H138</f>
        <v>-52.029999999998836</v>
      </c>
      <c r="I138" s="480">
        <f>G137+G138</f>
        <v>1.8299999999981083</v>
      </c>
      <c r="J138" s="552">
        <f>H138/DAY(B2)</f>
        <v>-4.0023076923076024</v>
      </c>
      <c r="N138" s="721"/>
      <c r="O138" s="728"/>
      <c r="P138" s="382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'12'!F139</f>
        <v>1511</v>
      </c>
      <c r="F139" s="626">
        <v>1518</v>
      </c>
      <c r="G139" s="473">
        <f t="shared" si="15"/>
        <v>7</v>
      </c>
      <c r="H139" s="460">
        <f>G139+'12'!H139</f>
        <v>-18.519999999999982</v>
      </c>
      <c r="I139" s="542"/>
      <c r="J139" s="552">
        <f>H139/DAY(B2)</f>
        <v>-1.4246153846153833</v>
      </c>
      <c r="N139" s="721"/>
      <c r="O139" s="728"/>
      <c r="P139" s="382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-134.53999999999996</v>
      </c>
      <c r="I140" s="542"/>
      <c r="J140" s="552">
        <f>H140/DAY(B2)</f>
        <v>-10.349230769230767</v>
      </c>
      <c r="N140" s="721"/>
      <c r="O140" s="728"/>
      <c r="P140" s="382"/>
    </row>
    <row r="141" spans="1:16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-104723.67</v>
      </c>
      <c r="I142" s="480"/>
      <c r="J142" s="552">
        <f>H142/DAY(B2)</f>
        <v>-8055.666923076923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0.27979796572384003</v>
      </c>
      <c r="H143" s="460">
        <f>G143+'12'!H143</f>
        <v>3.5642185379214264</v>
      </c>
      <c r="I143" s="544"/>
      <c r="J143" s="552">
        <f>H143/DAY(B2)</f>
        <v>0.27417065676318664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-102342.16</v>
      </c>
      <c r="I144" s="480"/>
      <c r="J144" s="552">
        <f>H144/DAY(B2)</f>
        <v>-7872.4738461538464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0.24898982861920022</v>
      </c>
      <c r="H145" s="460">
        <f>G145+'12'!H145</f>
        <v>3.4518030240932012</v>
      </c>
      <c r="I145" s="544"/>
      <c r="J145" s="552">
        <f>H145/DAY(B2)</f>
        <v>0.26552330954563086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4243</v>
      </c>
      <c r="H146" s="460">
        <f>G146+'12'!H146</f>
        <v>-76444</v>
      </c>
      <c r="I146" s="545"/>
      <c r="J146" s="552">
        <f>H146/DAY(B2)</f>
        <v>-5880.3076923076924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0.19706469741303237</v>
      </c>
      <c r="H147" s="460">
        <f>G147+'12'!H147</f>
        <v>2.4817456861433453</v>
      </c>
      <c r="I147" s="545"/>
      <c r="J147" s="552">
        <f>H147/DAY(B2)</f>
        <v>0.19090351431871888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2030</v>
      </c>
      <c r="H148" s="460">
        <f>G148+'12'!H148</f>
        <v>-33239</v>
      </c>
      <c r="I148" s="480"/>
      <c r="J148" s="552">
        <f>H148/DAY(B2)</f>
        <v>-2556.8461538461538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9.4282662207979193E-2</v>
      </c>
      <c r="H149" s="460">
        <f>G149+'12'!H149</f>
        <v>1.0936579899359078</v>
      </c>
      <c r="I149" s="545"/>
      <c r="J149" s="552">
        <f>H149/DAY(B2)</f>
        <v>8.4127537687377518E-2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1740</v>
      </c>
      <c r="H150" s="460">
        <f>G150+'12'!H150</f>
        <v>-35569</v>
      </c>
      <c r="I150" s="545"/>
      <c r="J150" s="552">
        <f>H150/DAY(B2)</f>
        <v>-2736.0769230769229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8.0813710463982169E-2</v>
      </c>
      <c r="H151" s="460">
        <f>G151+'12'!H151</f>
        <v>1.159966537838818</v>
      </c>
      <c r="I151" s="480"/>
      <c r="J151" s="552">
        <f>H151/DAY(B2)</f>
        <v>8.922819521837061E-2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1606</v>
      </c>
      <c r="H152" s="460">
        <f>G152+'12'!H152</f>
        <v>-27700</v>
      </c>
      <c r="I152" s="480"/>
      <c r="J152" s="552">
        <f>H152/DAY(B2)</f>
        <v>-2130.7692307692309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7.4590125865031817E-2</v>
      </c>
      <c r="H153" s="460">
        <f>G153+'12'!H153</f>
        <v>0.87666595090538635</v>
      </c>
      <c r="I153" s="568"/>
      <c r="J153" s="569">
        <f>H153/DAY(B2)</f>
        <v>6.7435842377337407E-2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'12'!F160</f>
        <v>31821</v>
      </c>
      <c r="F160" s="807">
        <v>31906</v>
      </c>
      <c r="G160" s="473">
        <f t="shared" ref="G160:G163" si="16">F160-E160</f>
        <v>85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'12'!F161</f>
        <v>60577</v>
      </c>
      <c r="F161" s="807">
        <v>61036</v>
      </c>
      <c r="G161" s="473">
        <f t="shared" si="16"/>
        <v>459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'12'!F162</f>
        <v>23940</v>
      </c>
      <c r="F162" s="807">
        <v>24223</v>
      </c>
      <c r="G162" s="473">
        <f t="shared" si="16"/>
        <v>283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'12'!F163</f>
        <v>5566</v>
      </c>
      <c r="F163" s="807">
        <v>5578</v>
      </c>
      <c r="G163" s="473">
        <f t="shared" si="16"/>
        <v>12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1"/>
    </row>
    <row r="166" spans="1:14" ht="21.75" customHeight="1">
      <c r="A166" s="1480" t="s">
        <v>99</v>
      </c>
      <c r="B166" s="1480"/>
      <c r="C166" s="1480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1"/>
    </row>
    <row r="167" spans="1:14" ht="21.75" customHeight="1">
      <c r="A167" s="1480" t="s">
        <v>100</v>
      </c>
      <c r="B167" s="1480"/>
      <c r="C167" s="1480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1"/>
    </row>
    <row r="168" spans="1:14" ht="21.75" customHeight="1">
      <c r="A168" s="1480" t="s">
        <v>101</v>
      </c>
      <c r="B168" s="1480"/>
      <c r="C168" s="1480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1"/>
    </row>
    <row r="169" spans="1:14" ht="26.25" customHeight="1">
      <c r="A169" s="1480" t="s">
        <v>102</v>
      </c>
      <c r="B169" s="1480"/>
      <c r="C169" s="1480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1"/>
    </row>
    <row r="170" spans="1:14" ht="24" customHeight="1">
      <c r="A170" s="1480" t="s">
        <v>103</v>
      </c>
      <c r="B170" s="1480"/>
      <c r="C170" s="1480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3443.1800000000003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E11" sqref="E11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271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272</v>
      </c>
      <c r="B2" s="1036">
        <v>44269</v>
      </c>
      <c r="C2" s="1196" t="s">
        <v>69</v>
      </c>
      <c r="D2" s="611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6" t="s">
        <v>120</v>
      </c>
      <c r="D3" s="612">
        <v>30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6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4723879</v>
      </c>
      <c r="F7" s="455">
        <v>4744847</v>
      </c>
      <c r="G7" s="681">
        <f>F7-E7</f>
        <v>20968</v>
      </c>
      <c r="H7" s="682">
        <f>G7+'13'!H7</f>
        <v>-369076</v>
      </c>
      <c r="I7" s="683">
        <f>'1'!I7</f>
        <v>12000</v>
      </c>
      <c r="J7" s="684">
        <f>H7/DAY(B2)</f>
        <v>-26362.571428571428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4753603</v>
      </c>
      <c r="F8" s="475">
        <v>4774628</v>
      </c>
      <c r="G8" s="692">
        <f>F8-E8</f>
        <v>21025</v>
      </c>
      <c r="H8" s="682">
        <f>G8+'13'!H8</f>
        <v>-370690</v>
      </c>
      <c r="I8" s="689">
        <f>'1'!I8</f>
        <v>12000</v>
      </c>
      <c r="J8" s="684">
        <f>H8/DAY(B2)</f>
        <v>-26477.857142857141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124354</v>
      </c>
      <c r="F9" s="478">
        <v>124354</v>
      </c>
      <c r="G9" s="705">
        <f t="shared" ref="G9:G12" si="0">F9-E9</f>
        <v>0</v>
      </c>
      <c r="H9" s="682">
        <f>G9+'13'!H9</f>
        <v>-271715</v>
      </c>
      <c r="I9" s="693">
        <f>I7-J7</f>
        <v>38362.571428571428</v>
      </c>
      <c r="J9" s="684">
        <f>H9/DAY(B2)</f>
        <v>-19408.214285714286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257339</v>
      </c>
      <c r="F10" s="478">
        <v>277550</v>
      </c>
      <c r="G10" s="692">
        <f t="shared" si="0"/>
        <v>20211</v>
      </c>
      <c r="H10" s="682">
        <f>G10+'13'!H10</f>
        <v>275227.42000000004</v>
      </c>
      <c r="I10" s="694"/>
      <c r="J10" s="684">
        <f>H10/DAY(B2)</f>
        <v>19659.10142857143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20211</v>
      </c>
      <c r="H13" s="682">
        <f>G13+'13'!H13</f>
        <v>-17481.579999999958</v>
      </c>
      <c r="I13" s="698">
        <f>G7-G13</f>
        <v>757</v>
      </c>
      <c r="J13" s="684">
        <f>H13/DAY(B2)</f>
        <v>-1248.6842857142826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1631215</v>
      </c>
      <c r="F15" s="485">
        <v>1632070</v>
      </c>
      <c r="G15" s="667">
        <f>(F15-E15)</f>
        <v>855</v>
      </c>
      <c r="H15" s="486">
        <f>G15+'13'!H15</f>
        <v>-14619</v>
      </c>
      <c r="I15" s="474">
        <v>800</v>
      </c>
      <c r="J15" s="553">
        <f>H15/DAY(B2)</f>
        <v>-1044.2142857142858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1844.2142857142858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'13'!F18</f>
        <v>16</v>
      </c>
      <c r="F18" s="478">
        <v>18</v>
      </c>
      <c r="G18" s="697">
        <f>F18*10</f>
        <v>180</v>
      </c>
      <c r="H18" s="682">
        <f>G18+'13'!H18</f>
        <v>1680</v>
      </c>
      <c r="I18" s="683">
        <f>'1'!I18</f>
        <v>65</v>
      </c>
      <c r="J18" s="684">
        <f>H18/DAY(B2)</f>
        <v>120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'13'!F19</f>
        <v>135140</v>
      </c>
      <c r="F19" s="478">
        <v>135192</v>
      </c>
      <c r="G19" s="692">
        <f t="shared" ref="G19" si="1">F19-E19</f>
        <v>52</v>
      </c>
      <c r="H19" s="682">
        <f>G19+'13'!H19</f>
        <v>-898</v>
      </c>
      <c r="I19" s="699"/>
      <c r="J19" s="684">
        <f>H19/DAY(B2)</f>
        <v>-64.142857142857139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232</v>
      </c>
      <c r="H20" s="682">
        <f>G20+'13'!H20</f>
        <v>782</v>
      </c>
      <c r="I20" s="701">
        <f>I18-J20</f>
        <v>9.1428571428571459</v>
      </c>
      <c r="J20" s="684">
        <f>H20/DAY(B2)</f>
        <v>55.857142857142854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9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9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21025</v>
      </c>
      <c r="F27" s="501">
        <v>9</v>
      </c>
      <c r="G27" s="502">
        <f>E27*F27</f>
        <v>189225</v>
      </c>
      <c r="H27" s="460">
        <f>G27+'13'!H27</f>
        <v>-3336210</v>
      </c>
      <c r="I27" s="503"/>
      <c r="J27" s="552">
        <f>H27/DAY(B2)</f>
        <v>-238300.71428571429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855</v>
      </c>
      <c r="F28" s="501">
        <v>51.45</v>
      </c>
      <c r="G28" s="502">
        <f>E28*F28</f>
        <v>43989.75</v>
      </c>
      <c r="H28" s="460">
        <f>G28+'13'!H28</f>
        <v>-752147.55</v>
      </c>
      <c r="I28" s="505"/>
      <c r="J28" s="552">
        <f>H28/DAY(B2)</f>
        <v>-53724.825000000004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G30+'13'!H30</f>
        <v>-118964</v>
      </c>
      <c r="I30" s="505"/>
      <c r="J30" s="552">
        <f>H30/DAY(B2)</f>
        <v>-8497.4285714285706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180</v>
      </c>
      <c r="F31" s="501">
        <v>80</v>
      </c>
      <c r="G31" s="502">
        <f>E31*F31</f>
        <v>14400</v>
      </c>
      <c r="H31" s="460">
        <f>G31+'13'!H31</f>
        <v>134400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254582.75</v>
      </c>
      <c r="H32" s="460">
        <f>G32+'13'!H32</f>
        <v>-4072921.55</v>
      </c>
      <c r="I32" s="509"/>
      <c r="J32" s="552">
        <f>H32/DAY(B2)</f>
        <v>-290922.96785714285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191"/>
      <c r="C34" s="119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-56781</v>
      </c>
      <c r="I35" s="455"/>
      <c r="J35" s="552">
        <f>H35/DAY(B2)</f>
        <v>-4055.7857142857142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-11903</v>
      </c>
      <c r="I36" s="455"/>
      <c r="J36" s="552">
        <f>H36/DAY(B2)</f>
        <v>-850.21428571428567</v>
      </c>
      <c r="K36" s="428"/>
      <c r="L36" s="377"/>
      <c r="N36" s="722"/>
      <c r="O36" s="729" t="s">
        <v>273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-19630</v>
      </c>
      <c r="I37" s="455"/>
      <c r="J37" s="552">
        <f>H37/DAY(B2)</f>
        <v>-1402.1428571428571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-23975</v>
      </c>
      <c r="I38" s="455"/>
      <c r="J38" s="552">
        <f>H38/DAY(B2)</f>
        <v>-1712.5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-52756</v>
      </c>
      <c r="I39" s="455"/>
      <c r="J39" s="552">
        <f>H39/DAY(B2)</f>
        <v>-3768.2857142857142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0.17</v>
      </c>
      <c r="I40" s="455"/>
      <c r="J40" s="552">
        <f>H40/DAY(B2)</f>
        <v>1.2142857142857144E-2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-68374</v>
      </c>
      <c r="I41" s="455"/>
      <c r="J41" s="552">
        <f>H41/DAY(B2)</f>
        <v>-4883.8571428571431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-0.16000000000349246</v>
      </c>
      <c r="I42" s="455"/>
      <c r="J42" s="552">
        <f>H42/DAY(B2)</f>
        <v>-1.142857142882089E-2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-42053</v>
      </c>
      <c r="I43" s="455"/>
      <c r="J43" s="552">
        <f>H43/DAY(B2)</f>
        <v>-3003.7857142857142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614</v>
      </c>
      <c r="I45" s="455"/>
      <c r="J45" s="552">
        <f>H45/DAY(B2)</f>
        <v>43.857142857142854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187.49</v>
      </c>
      <c r="I46" s="455"/>
      <c r="J46" s="552">
        <f>H46/DAY(B2)</f>
        <v>13.392142857142858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6549</v>
      </c>
      <c r="H47" s="460">
        <f>G47+'13'!H47</f>
        <v>-274670.50000000006</v>
      </c>
      <c r="I47" s="455"/>
      <c r="J47" s="552">
        <f>H47/DAY(B2)</f>
        <v>-19619.321428571431</v>
      </c>
      <c r="K47" s="428"/>
      <c r="L47" s="377"/>
      <c r="N47" s="721"/>
      <c r="O47" s="728"/>
      <c r="P47" s="382"/>
    </row>
    <row r="48" spans="1:16">
      <c r="A48" s="598" t="s">
        <v>177</v>
      </c>
      <c r="B48" s="1191"/>
      <c r="C48" s="119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-23017</v>
      </c>
      <c r="I50" s="455"/>
      <c r="J50" s="552">
        <f>H50/DAY(B2)</f>
        <v>-1644.0714285714287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-8056</v>
      </c>
      <c r="I51" s="455"/>
      <c r="J51" s="552">
        <f>H51/DAY(B2)</f>
        <v>-575.42857142857144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-9300</v>
      </c>
      <c r="I52" s="455"/>
      <c r="J52" s="552">
        <f>H52/DAY(B2)</f>
        <v>-664.28571428571433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-23740</v>
      </c>
      <c r="I53" s="455"/>
      <c r="J53" s="552">
        <f>H53/DAY(B2)</f>
        <v>-1695.7142857142858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2043.0400000000009</v>
      </c>
      <c r="I54" s="455"/>
      <c r="J54" s="552">
        <f>H54/DAY(B2)</f>
        <v>145.93142857142863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182335</v>
      </c>
      <c r="F55" s="656">
        <v>187345</v>
      </c>
      <c r="G55" s="655">
        <f t="shared" si="4"/>
        <v>5010</v>
      </c>
      <c r="H55" s="708">
        <f>G55+'13'!H55</f>
        <v>-33751</v>
      </c>
      <c r="I55" s="709"/>
      <c r="J55" s="710">
        <f>H55/DAY(B2)</f>
        <v>-2410.7857142857142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588761</v>
      </c>
      <c r="F56" s="656">
        <v>588761</v>
      </c>
      <c r="G56" s="473">
        <f t="shared" si="4"/>
        <v>0</v>
      </c>
      <c r="H56" s="460">
        <f>G56+'13'!H56</f>
        <v>-206</v>
      </c>
      <c r="I56" s="455"/>
      <c r="J56" s="552">
        <f>H56/DAY(B2)</f>
        <v>-14.714285714285714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38352</v>
      </c>
      <c r="F58" s="656">
        <v>38525</v>
      </c>
      <c r="G58" s="473">
        <f t="shared" si="4"/>
        <v>173</v>
      </c>
      <c r="H58" s="460">
        <f>G58+'13'!H58</f>
        <v>-3218</v>
      </c>
      <c r="I58" s="455"/>
      <c r="J58" s="552">
        <f>H58/DAY(B2)</f>
        <v>-229.85714285714286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14073</v>
      </c>
      <c r="H59" s="460">
        <f>G59+'13'!H59</f>
        <v>-99244.630000000019</v>
      </c>
      <c r="I59" s="455">
        <f>G7-G60</f>
        <v>346</v>
      </c>
      <c r="J59" s="552">
        <f>H59/DAY(B2)</f>
        <v>-7088.9021428571441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20622</v>
      </c>
      <c r="H60" s="460">
        <f>G60+'13'!H60</f>
        <v>-359746.13</v>
      </c>
      <c r="I60" s="455">
        <f>G13-G60</f>
        <v>-411</v>
      </c>
      <c r="J60" s="552">
        <f>H60/DAY(B2)</f>
        <v>-25696.152142857143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-204</v>
      </c>
      <c r="I63" s="515"/>
      <c r="J63" s="552">
        <f>H63/DAY(B2)</f>
        <v>-14.571428571428571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-8351</v>
      </c>
      <c r="I64" s="480"/>
      <c r="J64" s="552">
        <f>H64/DAY(B2)</f>
        <v>-596.5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'13'!F65</f>
        <v>137422</v>
      </c>
      <c r="F65" s="654">
        <v>137804</v>
      </c>
      <c r="G65" s="473">
        <f t="shared" si="5"/>
        <v>382</v>
      </c>
      <c r="H65" s="460">
        <f>G65+'13'!H65</f>
        <v>-6401</v>
      </c>
      <c r="I65" s="489"/>
      <c r="J65" s="552">
        <f>H65/DAY(B2)</f>
        <v>-457.21428571428572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-6678</v>
      </c>
      <c r="I66" s="480"/>
      <c r="J66" s="552">
        <f>H66/DAY(B2)</f>
        <v>-477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-11777</v>
      </c>
      <c r="I67" s="489"/>
      <c r="J67" s="552">
        <f>H67/DAY(B2)</f>
        <v>-841.21428571428567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-5669</v>
      </c>
      <c r="I68" s="516"/>
      <c r="J68" s="552">
        <f>H68/DAY(B2)</f>
        <v>-404.92857142857144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-5317</v>
      </c>
      <c r="I69" s="516"/>
      <c r="J69" s="552">
        <f>H69/DAY(B2)</f>
        <v>-379.78571428571428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'13'!F72</f>
        <v>851710</v>
      </c>
      <c r="F72" s="657">
        <v>851800</v>
      </c>
      <c r="G72" s="473">
        <f t="shared" ref="G72" si="6">F72-E72</f>
        <v>90</v>
      </c>
      <c r="H72" s="460">
        <f>G72+'12'!H72</f>
        <v>-1469</v>
      </c>
      <c r="I72" s="480"/>
      <c r="J72" s="552">
        <f>H72/DAY(B2)</f>
        <v>-104.92857142857143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'13'!F73</f>
        <v>885776</v>
      </c>
      <c r="F73" s="658">
        <v>885776</v>
      </c>
      <c r="G73" s="655">
        <f t="shared" ref="G73:G84" si="7">F73-E73</f>
        <v>0</v>
      </c>
      <c r="H73" s="460">
        <f>G73+'13'!H72</f>
        <v>-1469</v>
      </c>
      <c r="I73" s="480"/>
      <c r="J73" s="552">
        <f>H73/DAY(B2)</f>
        <v>-104.92857142857143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'13'!F74</f>
        <v>957</v>
      </c>
      <c r="F74" s="658">
        <v>1006</v>
      </c>
      <c r="G74" s="473">
        <f t="shared" si="7"/>
        <v>49</v>
      </c>
      <c r="H74" s="460">
        <f>G74+'13'!H74</f>
        <v>-364</v>
      </c>
      <c r="I74" s="480"/>
      <c r="J74" s="552">
        <f>H74/DAY(B2)</f>
        <v>-26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'13'!F75</f>
        <v>5658</v>
      </c>
      <c r="F75" s="658">
        <v>5845</v>
      </c>
      <c r="G75" s="473">
        <f t="shared" si="7"/>
        <v>187</v>
      </c>
      <c r="H75" s="460">
        <f>G75+'13'!H75</f>
        <v>-2835</v>
      </c>
      <c r="I75" s="480"/>
      <c r="J75" s="552">
        <f>H75/DAY(B2)</f>
        <v>-202.5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'13'!F76</f>
        <v>2614</v>
      </c>
      <c r="F76" s="658">
        <v>2690</v>
      </c>
      <c r="G76" s="473">
        <f t="shared" si="7"/>
        <v>76</v>
      </c>
      <c r="H76" s="460">
        <f>G76+'13'!H75</f>
        <v>-2946</v>
      </c>
      <c r="I76" s="505"/>
      <c r="J76" s="552">
        <f>H76/DAY(B2)</f>
        <v>-210.42857142857142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'13'!F77</f>
        <v>699275</v>
      </c>
      <c r="F77" s="658">
        <v>699324</v>
      </c>
      <c r="G77" s="655">
        <f t="shared" si="7"/>
        <v>49</v>
      </c>
      <c r="H77" s="460">
        <f>G77+'13'!H77</f>
        <v>-890</v>
      </c>
      <c r="I77" s="505"/>
      <c r="J77" s="552">
        <f>H77/DAY(B2)</f>
        <v>-63.571428571428569</v>
      </c>
      <c r="K77" s="430"/>
      <c r="L77" s="377"/>
      <c r="N77" s="721"/>
      <c r="O77" s="728"/>
      <c r="P77" s="382"/>
    </row>
    <row r="78" spans="1:16" ht="27.75">
      <c r="A78" s="1192" t="s">
        <v>197</v>
      </c>
      <c r="B78" s="1188"/>
      <c r="C78" s="1188"/>
      <c r="D78" s="523" t="s">
        <v>187</v>
      </c>
      <c r="E78" s="519">
        <f>'13'!F78</f>
        <v>658064</v>
      </c>
      <c r="F78" s="659">
        <v>658452</v>
      </c>
      <c r="G78" s="473">
        <f t="shared" si="7"/>
        <v>388</v>
      </c>
      <c r="H78" s="460">
        <f>G78+'13'!H78</f>
        <v>-6928</v>
      </c>
      <c r="I78" s="505"/>
      <c r="J78" s="552">
        <f>H78/DAY(B2)</f>
        <v>-494.85714285714283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'13'!F79</f>
        <v>817800</v>
      </c>
      <c r="F79" s="659">
        <v>818000</v>
      </c>
      <c r="G79" s="473">
        <f t="shared" si="7"/>
        <v>200</v>
      </c>
      <c r="H79" s="460">
        <f>G79+'13'!H78</f>
        <v>-7116</v>
      </c>
      <c r="I79" s="505"/>
      <c r="J79" s="552">
        <f>H79/DAY(B2)</f>
        <v>-508.28571428571428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'13'!F80</f>
        <v>499305</v>
      </c>
      <c r="F80" s="658">
        <v>499667</v>
      </c>
      <c r="G80" s="473">
        <f t="shared" si="7"/>
        <v>362</v>
      </c>
      <c r="H80" s="460">
        <f>G80+'13'!H79</f>
        <v>-3051</v>
      </c>
      <c r="I80" s="505"/>
      <c r="J80" s="552">
        <f>H80/DAY(B2)</f>
        <v>-217.92857142857142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'13'!F81</f>
        <v>627293</v>
      </c>
      <c r="F81" s="658">
        <v>627425</v>
      </c>
      <c r="G81" s="473">
        <f t="shared" si="7"/>
        <v>132</v>
      </c>
      <c r="H81" s="460">
        <f>G81+'13'!H81</f>
        <v>-2760</v>
      </c>
      <c r="I81" s="505"/>
      <c r="J81" s="552">
        <f>H81/DAY(B2)</f>
        <v>-197.14285714285714</v>
      </c>
      <c r="K81" s="430"/>
      <c r="L81" s="377"/>
      <c r="N81" s="721"/>
      <c r="O81" s="728"/>
      <c r="P81" s="382"/>
    </row>
    <row r="82" spans="1:16" ht="27.75">
      <c r="A82" s="1413" t="s">
        <v>93</v>
      </c>
      <c r="B82" s="1414"/>
      <c r="C82" s="1415"/>
      <c r="D82" s="485" t="s">
        <v>132</v>
      </c>
      <c r="E82" s="519">
        <f>'13'!F82</f>
        <v>106492</v>
      </c>
      <c r="F82" s="654">
        <v>106517</v>
      </c>
      <c r="G82" s="473">
        <f t="shared" si="7"/>
        <v>25</v>
      </c>
      <c r="H82" s="460">
        <f>G82+'13'!H82</f>
        <v>-378</v>
      </c>
      <c r="I82" s="486"/>
      <c r="J82" s="552">
        <f>H82/DAY(B2)</f>
        <v>-27</v>
      </c>
      <c r="K82" s="430"/>
      <c r="L82" s="377"/>
      <c r="N82" s="721"/>
      <c r="O82" s="728"/>
      <c r="P82" s="382"/>
    </row>
    <row r="83" spans="1:16" ht="27.75">
      <c r="A83" s="1413" t="s">
        <v>200</v>
      </c>
      <c r="B83" s="1414"/>
      <c r="C83" s="1415"/>
      <c r="D83" s="620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-4652</v>
      </c>
      <c r="I83" s="481"/>
      <c r="J83" s="552">
        <f>H83/DAY(B2)</f>
        <v>-332.28571428571428</v>
      </c>
      <c r="K83" s="429"/>
      <c r="L83" s="377"/>
      <c r="N83" s="721"/>
      <c r="O83" s="728"/>
      <c r="P83" s="382"/>
    </row>
    <row r="84" spans="1:16">
      <c r="A84" s="1195" t="s">
        <v>201</v>
      </c>
      <c r="B84" s="571"/>
      <c r="C84" s="571"/>
      <c r="D84" s="478" t="s">
        <v>132</v>
      </c>
      <c r="E84" s="519">
        <f>'13'!F84</f>
        <v>441207</v>
      </c>
      <c r="F84" s="627">
        <v>441949</v>
      </c>
      <c r="G84" s="473">
        <f t="shared" si="7"/>
        <v>742</v>
      </c>
      <c r="H84" s="460">
        <f>G84+'13'!H84</f>
        <v>-12735</v>
      </c>
      <c r="I84" s="481"/>
      <c r="J84" s="552">
        <f>H84/DAY(B2)</f>
        <v>-909.64285714285711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2549</v>
      </c>
      <c r="H85" s="460">
        <f>G85+'13'!H85</f>
        <v>-43537</v>
      </c>
      <c r="I85" s="481"/>
      <c r="J85" s="552">
        <f>H85/DAY(B2)</f>
        <v>-3109.7857142857142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452054</v>
      </c>
      <c r="F86" s="650">
        <v>452114</v>
      </c>
      <c r="G86" s="708">
        <f t="shared" ref="G86:G90" si="8">F86-E86</f>
        <v>60</v>
      </c>
      <c r="H86" s="708">
        <f t="shared" ref="H86:H88" si="9">G86</f>
        <v>60</v>
      </c>
      <c r="I86" s="655"/>
      <c r="J86" s="710">
        <f>H86/DAY(B2)</f>
        <v>4.2857142857142856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79596</v>
      </c>
      <c r="F87" s="650">
        <v>79611</v>
      </c>
      <c r="G87" s="708">
        <f t="shared" si="8"/>
        <v>15</v>
      </c>
      <c r="H87" s="708">
        <f t="shared" si="9"/>
        <v>15</v>
      </c>
      <c r="I87" s="655"/>
      <c r="J87" s="710">
        <f>H87/DAY(B2)</f>
        <v>1.0714285714285714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149235</v>
      </c>
      <c r="F88" s="650">
        <v>149266</v>
      </c>
      <c r="G88" s="708">
        <f t="shared" si="8"/>
        <v>31</v>
      </c>
      <c r="H88" s="708">
        <f t="shared" si="9"/>
        <v>31</v>
      </c>
      <c r="I88" s="655"/>
      <c r="J88" s="710">
        <f>H88/DAY(B2)</f>
        <v>2.2142857142857144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62609</v>
      </c>
      <c r="F89" s="650">
        <v>62657</v>
      </c>
      <c r="G89" s="708">
        <f t="shared" si="8"/>
        <v>48</v>
      </c>
      <c r="H89" s="708">
        <f>G89</f>
        <v>48</v>
      </c>
      <c r="I89" s="655"/>
      <c r="J89" s="710">
        <f>H89/DAY(B2)</f>
        <v>3.4285714285714284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3220</v>
      </c>
      <c r="F90" s="650">
        <v>3221</v>
      </c>
      <c r="G90" s="708">
        <f t="shared" si="8"/>
        <v>1</v>
      </c>
      <c r="H90" s="708">
        <f>G90</f>
        <v>1</v>
      </c>
      <c r="I90" s="655"/>
      <c r="J90" s="710">
        <f>H90/DAY(B2)</f>
        <v>7.1428571428571425E-2</v>
      </c>
      <c r="K90" s="736"/>
      <c r="L90" s="737"/>
      <c r="N90" s="781"/>
      <c r="O90" s="382"/>
    </row>
    <row r="91" spans="1:16" s="379" customFormat="1">
      <c r="A91" s="606" t="s">
        <v>205</v>
      </c>
      <c r="B91" s="1193"/>
      <c r="C91" s="1193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-1590</v>
      </c>
      <c r="I92" s="480"/>
      <c r="J92" s="552">
        <f>H92/DAY(B2)</f>
        <v>-113.57142857142857</v>
      </c>
      <c r="K92" s="429"/>
      <c r="L92" s="377"/>
      <c r="N92" s="721"/>
      <c r="O92" s="728"/>
      <c r="P92" s="382"/>
    </row>
    <row r="93" spans="1:16" ht="27.75">
      <c r="A93" s="1437" t="s">
        <v>207</v>
      </c>
      <c r="B93" s="1438"/>
      <c r="C93" s="1439"/>
      <c r="D93" s="523" t="s">
        <v>144</v>
      </c>
      <c r="E93" s="484">
        <f>'13'!F93</f>
        <v>177314</v>
      </c>
      <c r="F93" s="654">
        <v>177419</v>
      </c>
      <c r="G93" s="473">
        <f t="shared" si="10"/>
        <v>105</v>
      </c>
      <c r="H93" s="460">
        <f>G93+'13'!H93</f>
        <v>-2260</v>
      </c>
      <c r="I93" s="480"/>
      <c r="J93" s="552">
        <f>H93/DAY(B2)</f>
        <v>-161.42857142857142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-4069</v>
      </c>
      <c r="I94" s="480"/>
      <c r="J94" s="552">
        <f>H94/DAY(B2)</f>
        <v>-290.64285714285717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-1412</v>
      </c>
      <c r="I95" s="480"/>
      <c r="J95" s="552">
        <f>H95/DAY(B2)</f>
        <v>-100.85714285714286</v>
      </c>
      <c r="K95" s="380"/>
      <c r="L95" s="377"/>
      <c r="N95" s="721"/>
      <c r="O95" s="728"/>
      <c r="P95" s="382"/>
    </row>
    <row r="96" spans="1:16" ht="27.75">
      <c r="A96" s="1189" t="s">
        <v>210</v>
      </c>
      <c r="B96" s="1190"/>
      <c r="C96" s="1190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-279</v>
      </c>
      <c r="I96" s="480"/>
      <c r="J96" s="552">
        <f>H96/DAY(B2)</f>
        <v>-19.928571428571427</v>
      </c>
      <c r="K96" s="427"/>
      <c r="L96" s="377"/>
      <c r="N96" s="721"/>
      <c r="O96" s="728"/>
      <c r="P96" s="382"/>
    </row>
    <row r="97" spans="1:16" ht="27.75">
      <c r="A97" s="1189" t="s">
        <v>211</v>
      </c>
      <c r="B97" s="1190"/>
      <c r="C97" s="1190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-205</v>
      </c>
      <c r="I97" s="480"/>
      <c r="J97" s="552">
        <f>H97/DAY(B2)</f>
        <v>-14.642857142857142</v>
      </c>
      <c r="K97" s="432"/>
      <c r="L97" s="377"/>
      <c r="N97" s="721"/>
      <c r="O97" s="728"/>
      <c r="P97" s="382"/>
    </row>
    <row r="98" spans="1:16" ht="27.75">
      <c r="A98" s="1189" t="s">
        <v>212</v>
      </c>
      <c r="B98" s="1190"/>
      <c r="C98" s="1190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-533</v>
      </c>
      <c r="I98" s="480"/>
      <c r="J98" s="552">
        <f>H98/DAY(B2)</f>
        <v>-38.071428571428569</v>
      </c>
      <c r="K98" s="380"/>
      <c r="L98" s="377"/>
      <c r="N98" s="723"/>
      <c r="O98" s="728"/>
      <c r="P98" s="382"/>
    </row>
    <row r="99" spans="1:16" ht="27.75">
      <c r="A99" s="1189" t="s">
        <v>213</v>
      </c>
      <c r="B99" s="1190"/>
      <c r="C99" s="1190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-257</v>
      </c>
      <c r="I99" s="480"/>
      <c r="J99" s="552">
        <f>H99/DAY(B2)</f>
        <v>-18.357142857142858</v>
      </c>
      <c r="K99" s="380"/>
      <c r="L99" s="377"/>
      <c r="N99" s="721"/>
      <c r="O99" s="728"/>
      <c r="P99" s="382"/>
    </row>
    <row r="100" spans="1:16" ht="27.75">
      <c r="A100" s="1189" t="s">
        <v>214</v>
      </c>
      <c r="B100" s="1190"/>
      <c r="C100" s="1190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-219</v>
      </c>
      <c r="I100" s="480"/>
      <c r="J100" s="552">
        <f>H100/DAY(B2)</f>
        <v>-15.642857142857142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203</v>
      </c>
      <c r="H101" s="460">
        <f>G101+'13'!H101</f>
        <v>-2905</v>
      </c>
      <c r="I101" s="526"/>
      <c r="J101" s="552">
        <f>H101/DAY(B2)</f>
        <v>-207.5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194"/>
      <c r="D104" s="622" t="s">
        <v>144</v>
      </c>
      <c r="E104" s="484">
        <f>'13'!F104</f>
        <v>7236</v>
      </c>
      <c r="F104" s="661">
        <v>7240</v>
      </c>
      <c r="G104" s="532">
        <f>F104-E104</f>
        <v>4</v>
      </c>
      <c r="H104" s="533">
        <f>SUM(G104+'1'!G76)</f>
        <v>63</v>
      </c>
      <c r="I104" s="532"/>
      <c r="J104" s="558">
        <f>H104/DAY(B2)</f>
        <v>4.5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194"/>
      <c r="D105" s="622" t="s">
        <v>144</v>
      </c>
      <c r="E105" s="484">
        <f>'13'!F105</f>
        <v>35508</v>
      </c>
      <c r="F105" s="662">
        <v>35515</v>
      </c>
      <c r="G105" s="532">
        <f t="shared" ref="G105:G106" si="12">F105-E105</f>
        <v>7</v>
      </c>
      <c r="H105" s="533">
        <f>SUM(G105+'1'!G77)</f>
        <v>57</v>
      </c>
      <c r="I105" s="532"/>
      <c r="J105" s="558">
        <f>H105/DAY(B2)</f>
        <v>4.0714285714285712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'13'!F106</f>
        <v>19318</v>
      </c>
      <c r="F106" s="662">
        <v>19323</v>
      </c>
      <c r="G106" s="532">
        <f t="shared" si="12"/>
        <v>5</v>
      </c>
      <c r="H106" s="533">
        <f>SUM(G106+'1'!G78)</f>
        <v>400</v>
      </c>
      <c r="I106" s="532"/>
      <c r="J106" s="558">
        <f>H106/DAY(B2)</f>
        <v>28.571428571428573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194"/>
      <c r="D107" s="622"/>
      <c r="E107" s="484">
        <f>'13'!F107</f>
        <v>0</v>
      </c>
      <c r="F107" s="662"/>
      <c r="G107" s="532">
        <f>SUM(G104:G106)</f>
        <v>16</v>
      </c>
      <c r="H107" s="533">
        <f>SUM(G107+'1'!G79)</f>
        <v>210</v>
      </c>
      <c r="I107" s="532"/>
      <c r="J107" s="558">
        <f>H107/DAY(B2)</f>
        <v>15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194"/>
      <c r="D108" s="622" t="s">
        <v>144</v>
      </c>
      <c r="E108" s="484">
        <f>'13'!F108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194"/>
      <c r="D109" s="622" t="s">
        <v>144</v>
      </c>
      <c r="E109" s="484">
        <f>'13'!F109</f>
        <v>57365</v>
      </c>
      <c r="F109" s="662">
        <v>57443</v>
      </c>
      <c r="G109" s="532">
        <f>F109-E109</f>
        <v>78</v>
      </c>
      <c r="H109" s="533">
        <f>SUM(G109+'1'!G81)</f>
        <v>276</v>
      </c>
      <c r="I109" s="532"/>
      <c r="J109" s="558">
        <f>H109/DAY(B2)</f>
        <v>19.714285714285715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194"/>
      <c r="D110" s="622" t="s">
        <v>144</v>
      </c>
      <c r="E110" s="484">
        <f>'13'!F110</f>
        <v>31212</v>
      </c>
      <c r="F110" s="662">
        <v>31235</v>
      </c>
      <c r="G110" s="532">
        <f t="shared" ref="G110:G111" si="13">F110-E110</f>
        <v>23</v>
      </c>
      <c r="H110" s="533">
        <f>SUM(G110+'1'!G82)</f>
        <v>46</v>
      </c>
      <c r="I110" s="532"/>
      <c r="J110" s="558">
        <f>H110/DAY(B2)</f>
        <v>3.2857142857142856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194"/>
      <c r="D111" s="622" t="s">
        <v>144</v>
      </c>
      <c r="E111" s="484">
        <f>'13'!F111</f>
        <v>4054</v>
      </c>
      <c r="F111" s="662">
        <v>4054</v>
      </c>
      <c r="G111" s="532">
        <f t="shared" si="13"/>
        <v>0</v>
      </c>
      <c r="H111" s="533">
        <f>SUM(G111+'1'!G83)</f>
        <v>239</v>
      </c>
      <c r="I111" s="532"/>
      <c r="J111" s="558">
        <f>H111/DAY(B2)</f>
        <v>17.071428571428573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194"/>
      <c r="D112" s="622"/>
      <c r="E112" s="484">
        <f>'13'!F112</f>
        <v>0</v>
      </c>
      <c r="F112" s="662"/>
      <c r="G112" s="532">
        <f>SUM(G109:G111)</f>
        <v>101</v>
      </c>
      <c r="H112" s="533">
        <f>SUM(G112+'1'!G84)</f>
        <v>1016</v>
      </c>
      <c r="I112" s="532"/>
      <c r="J112" s="558">
        <f>H112/DAY(B2)</f>
        <v>72.571428571428569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194"/>
      <c r="D113" s="622"/>
      <c r="E113" s="484">
        <f>'13'!F113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'13'!F114</f>
        <v>10527</v>
      </c>
      <c r="F114" s="662">
        <v>10553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1.8571428571428572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'13'!F115</f>
        <v>7782</v>
      </c>
      <c r="F115" s="662">
        <v>7808</v>
      </c>
      <c r="G115" s="534">
        <f t="shared" ref="G115:G116" si="14">F115-E115</f>
        <v>26</v>
      </c>
      <c r="H115" s="533">
        <f>SUM(G115+'1'!G92)</f>
        <v>118</v>
      </c>
      <c r="I115" s="532"/>
      <c r="J115" s="558">
        <f>H115/DAY(B2)</f>
        <v>8.4285714285714288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4"/>
        <v>0</v>
      </c>
      <c r="H116" s="533">
        <f>SUM(G116+'1'!G93)</f>
        <v>127</v>
      </c>
      <c r="I116" s="532"/>
      <c r="J116" s="558">
        <f>H116/DAY(B2)</f>
        <v>9.0714285714285712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52</v>
      </c>
      <c r="H117" s="533">
        <f>SUM(G117+'1'!G95)</f>
        <v>129</v>
      </c>
      <c r="I117" s="534"/>
      <c r="J117" s="558">
        <f>H117/DAY(B2)</f>
        <v>9.2142857142857135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197"/>
      <c r="D118" s="624" t="s">
        <v>144</v>
      </c>
      <c r="E118" s="536"/>
      <c r="F118" s="663"/>
      <c r="G118" s="536">
        <f>SUM(G19+G92)</f>
        <v>162</v>
      </c>
      <c r="H118" s="533">
        <f>SUM(G118+'1'!G96)</f>
        <v>179</v>
      </c>
      <c r="I118" s="535"/>
      <c r="J118" s="559">
        <f>H118/DAY(B2)</f>
        <v>12.785714285714286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197"/>
      <c r="D119" s="624" t="s">
        <v>144</v>
      </c>
      <c r="E119" s="536"/>
      <c r="F119" s="663">
        <f>SUM(G95,G96,G97,G99,G100)</f>
        <v>174</v>
      </c>
      <c r="G119" s="536">
        <f>SUM(G95,G96,G97,G99,G100)</f>
        <v>174</v>
      </c>
      <c r="H119" s="533">
        <f>SUM(G119+'1'!G98)</f>
        <v>202</v>
      </c>
      <c r="I119" s="535"/>
      <c r="J119" s="559">
        <f>H119/DAY(B2)</f>
        <v>14.428571428571429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197"/>
      <c r="D120" s="624" t="s">
        <v>144</v>
      </c>
      <c r="E120" s="534"/>
      <c r="F120" s="662">
        <f>SUM(G112)</f>
        <v>101</v>
      </c>
      <c r="G120" s="534">
        <f>SUM(G112)</f>
        <v>101</v>
      </c>
      <c r="H120" s="533">
        <f>SUM(G120+'1'!G100)</f>
        <v>107</v>
      </c>
      <c r="I120" s="535"/>
      <c r="J120" s="559">
        <f>H120/DAY(B2)</f>
        <v>7.6428571428571432</v>
      </c>
      <c r="N120" s="721"/>
      <c r="O120" s="728"/>
      <c r="P120" s="382"/>
    </row>
    <row r="121" spans="1:16" s="442" customFormat="1" ht="27.75">
      <c r="A121" s="1427"/>
      <c r="B121" s="1428"/>
      <c r="C121" s="1198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89" t="s">
        <v>231</v>
      </c>
      <c r="B123" s="1190"/>
      <c r="C123" s="1190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-4274</v>
      </c>
      <c r="I123" s="526"/>
      <c r="J123" s="552">
        <f>H123/DAY(B2)</f>
        <v>-305.28571428571428</v>
      </c>
      <c r="K123" s="380"/>
      <c r="L123" s="377"/>
      <c r="N123" s="721"/>
      <c r="O123" s="728"/>
      <c r="P123" s="382"/>
    </row>
    <row r="124" spans="1:16" ht="27.75">
      <c r="A124" s="1189" t="s">
        <v>232</v>
      </c>
      <c r="B124" s="1190"/>
      <c r="C124" s="1190"/>
      <c r="D124" s="523" t="s">
        <v>141</v>
      </c>
      <c r="E124" s="626">
        <f>'13'!F124</f>
        <v>73583.399999999994</v>
      </c>
      <c r="F124" s="626">
        <v>73583.399999999994</v>
      </c>
      <c r="G124" s="473">
        <f t="shared" si="15"/>
        <v>0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-1237.7900000000081</v>
      </c>
      <c r="I125" s="526"/>
      <c r="J125" s="552">
        <f>H125/DAY(B2)</f>
        <v>-88.413571428572013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90"/>
      <c r="C126" s="1190"/>
      <c r="D126" s="523" t="s">
        <v>141</v>
      </c>
      <c r="E126" s="626">
        <f>'13'!F126</f>
        <v>59715</v>
      </c>
      <c r="F126" s="626">
        <v>59648.5</v>
      </c>
      <c r="G126" s="473">
        <f t="shared" si="15"/>
        <v>-66.5</v>
      </c>
      <c r="H126" s="460">
        <f>G126+'13'!H126</f>
        <v>28329.8</v>
      </c>
      <c r="I126" s="526"/>
      <c r="J126" s="552">
        <f>H126/DAY(B2)</f>
        <v>2023.5571428571427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90"/>
      <c r="C127" s="1190"/>
      <c r="D127" s="523" t="s">
        <v>141</v>
      </c>
      <c r="E127" s="626">
        <f>'13'!F127</f>
        <v>8920</v>
      </c>
      <c r="F127" s="626">
        <v>8923.2999999999993</v>
      </c>
      <c r="G127" s="473">
        <f t="shared" si="15"/>
        <v>3.2999999999992724</v>
      </c>
      <c r="H127" s="460">
        <f>G127+'13'!H127</f>
        <v>-38.700000000000728</v>
      </c>
      <c r="I127" s="480"/>
      <c r="J127" s="552">
        <f>H127/DAY(B2)</f>
        <v>-2.7642857142857662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90"/>
      <c r="C128" s="1190"/>
      <c r="D128" s="523"/>
      <c r="E128" s="478"/>
      <c r="F128" s="478"/>
      <c r="G128" s="473">
        <f>G15-SUM(G123:G127)</f>
        <v>611.99000000000888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89" t="s">
        <v>238</v>
      </c>
      <c r="B130" s="1190"/>
      <c r="C130" s="1190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89" t="s">
        <v>240</v>
      </c>
      <c r="B131" s="1190"/>
      <c r="C131" s="1190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9" t="s">
        <v>241</v>
      </c>
      <c r="B132" s="1190"/>
      <c r="C132" s="1190"/>
      <c r="D132" s="523" t="s">
        <v>239</v>
      </c>
      <c r="E132" s="541">
        <f>'13'!F132</f>
        <v>39219</v>
      </c>
      <c r="F132" s="654">
        <v>39219</v>
      </c>
      <c r="G132" s="473">
        <f t="shared" si="16"/>
        <v>0</v>
      </c>
      <c r="H132" s="460">
        <f>G132+'13'!H132</f>
        <v>-314</v>
      </c>
      <c r="I132" s="480"/>
      <c r="J132" s="552">
        <f>H132/DAY(B2)</f>
        <v>-22.428571428571427</v>
      </c>
      <c r="N132" s="721"/>
      <c r="O132" s="728"/>
      <c r="P132" s="382"/>
    </row>
    <row r="133" spans="1:16" ht="27.75">
      <c r="A133" s="1189" t="s">
        <v>242</v>
      </c>
      <c r="B133" s="1190"/>
      <c r="C133" s="1190"/>
      <c r="D133" s="523" t="s">
        <v>239</v>
      </c>
      <c r="E133" s="704">
        <f>'13'!F133</f>
        <v>299</v>
      </c>
      <c r="F133" s="626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2">
        <f>H133/DAY(B2)</f>
        <v>-7.1428571428571425E-2</v>
      </c>
      <c r="N133" s="721"/>
      <c r="O133" s="728"/>
      <c r="P133" s="382"/>
    </row>
    <row r="134" spans="1:16" ht="27.75">
      <c r="A134" s="1189" t="s">
        <v>243</v>
      </c>
      <c r="B134" s="1190"/>
      <c r="C134" s="1190"/>
      <c r="D134" s="523" t="s">
        <v>239</v>
      </c>
      <c r="E134" s="704">
        <f>'13'!F134</f>
        <v>40675</v>
      </c>
      <c r="F134" s="626">
        <v>40699</v>
      </c>
      <c r="G134" s="473">
        <f t="shared" si="16"/>
        <v>24</v>
      </c>
      <c r="H134" s="460">
        <f>G134+'13'!H134</f>
        <v>-140</v>
      </c>
      <c r="I134" s="480"/>
      <c r="J134" s="552">
        <f>H134/DAY(B2)</f>
        <v>-10</v>
      </c>
      <c r="N134" s="721"/>
      <c r="O134" s="728"/>
      <c r="P134" s="382"/>
    </row>
    <row r="135" spans="1:16" ht="27.75">
      <c r="A135" s="1189" t="s">
        <v>244</v>
      </c>
      <c r="B135" s="1190"/>
      <c r="C135" s="1190"/>
      <c r="D135" s="523" t="s">
        <v>239</v>
      </c>
      <c r="E135" s="541">
        <f>'13'!F135</f>
        <v>32582.560000000001</v>
      </c>
      <c r="F135" s="654">
        <v>32582.98</v>
      </c>
      <c r="G135" s="473">
        <f t="shared" si="16"/>
        <v>0.41999999999825377</v>
      </c>
      <c r="H135" s="460">
        <f>G135+'13'!H135</f>
        <v>-2.0000000000436557E-2</v>
      </c>
      <c r="I135" s="480"/>
      <c r="J135" s="552">
        <f>H135/DAY(B2)</f>
        <v>-1.4285714286026113E-3</v>
      </c>
      <c r="N135" s="721"/>
      <c r="O135" s="728"/>
      <c r="P135" s="382"/>
    </row>
    <row r="136" spans="1:16" ht="27.75">
      <c r="A136" s="1189" t="s">
        <v>245</v>
      </c>
      <c r="B136" s="1190"/>
      <c r="C136" s="1190"/>
      <c r="D136" s="523" t="s">
        <v>239</v>
      </c>
      <c r="E136" s="541">
        <f>'13'!F136</f>
        <v>22334.98</v>
      </c>
      <c r="F136" s="654">
        <v>22343.34</v>
      </c>
      <c r="G136" s="473">
        <f t="shared" si="16"/>
        <v>8.3600000000005821</v>
      </c>
      <c r="H136" s="460">
        <f>G136+'13'!H136</f>
        <v>-145.31000000000131</v>
      </c>
      <c r="I136" s="480">
        <f>G134+G135+G136</f>
        <v>32.779999999998836</v>
      </c>
      <c r="J136" s="552">
        <f>H136/DAY(B2)</f>
        <v>-10.379285714285809</v>
      </c>
      <c r="N136" s="721"/>
      <c r="O136" s="728"/>
      <c r="P136" s="382"/>
    </row>
    <row r="137" spans="1:16" ht="27.75">
      <c r="A137" s="1189" t="s">
        <v>246</v>
      </c>
      <c r="B137" s="1190"/>
      <c r="C137" s="1190"/>
      <c r="D137" s="523" t="s">
        <v>239</v>
      </c>
      <c r="E137" s="541">
        <f>'13'!F137</f>
        <v>25044</v>
      </c>
      <c r="F137" s="654">
        <v>25044.31</v>
      </c>
      <c r="G137" s="473">
        <f t="shared" si="16"/>
        <v>0.31000000000130967</v>
      </c>
      <c r="H137" s="460">
        <f>G137+'13'!H137</f>
        <v>-4.4799999999995634</v>
      </c>
      <c r="I137" s="480"/>
      <c r="J137" s="552">
        <f>H137/DAY(B2)</f>
        <v>-0.31999999999996881</v>
      </c>
      <c r="N137" s="721"/>
      <c r="O137" s="728"/>
      <c r="P137" s="382"/>
    </row>
    <row r="138" spans="1:16" ht="27.75">
      <c r="A138" s="1189" t="s">
        <v>247</v>
      </c>
      <c r="B138" s="1190"/>
      <c r="C138" s="1190"/>
      <c r="D138" s="523" t="s">
        <v>239</v>
      </c>
      <c r="E138" s="541">
        <f>'13'!F138</f>
        <v>70202</v>
      </c>
      <c r="F138" s="654">
        <v>70205.67</v>
      </c>
      <c r="G138" s="473">
        <f t="shared" si="16"/>
        <v>3.6699999999982538</v>
      </c>
      <c r="H138" s="460">
        <f>G138+'13'!H138</f>
        <v>-48.360000000000582</v>
      </c>
      <c r="I138" s="480">
        <f>G137+G138</f>
        <v>3.9799999999995634</v>
      </c>
      <c r="J138" s="552">
        <f>H138/DAY(B2)</f>
        <v>-3.4542857142857559</v>
      </c>
      <c r="N138" s="721"/>
      <c r="O138" s="728"/>
      <c r="P138" s="382"/>
    </row>
    <row r="139" spans="1:16" ht="27.75">
      <c r="A139" s="1189" t="s">
        <v>248</v>
      </c>
      <c r="B139" s="1190"/>
      <c r="C139" s="1190"/>
      <c r="D139" s="523" t="s">
        <v>239</v>
      </c>
      <c r="E139" s="704">
        <f>'13'!F139</f>
        <v>1518</v>
      </c>
      <c r="F139" s="626">
        <v>1525</v>
      </c>
      <c r="G139" s="473">
        <f t="shared" si="16"/>
        <v>7</v>
      </c>
      <c r="H139" s="460">
        <f>G139+'13'!H139</f>
        <v>-11.519999999999982</v>
      </c>
      <c r="I139" s="542"/>
      <c r="J139" s="552">
        <f>H139/DAY(B2)</f>
        <v>-0.82285714285714151</v>
      </c>
      <c r="N139" s="721"/>
      <c r="O139" s="728"/>
      <c r="P139" s="382"/>
    </row>
    <row r="140" spans="1:16" ht="27.75">
      <c r="A140" s="1189" t="s">
        <v>249</v>
      </c>
      <c r="B140" s="1190"/>
      <c r="C140" s="1190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-134.53999999999996</v>
      </c>
      <c r="I140" s="542"/>
      <c r="J140" s="552">
        <f>H140/DAY(B2)</f>
        <v>-9.6099999999999977</v>
      </c>
      <c r="N140" s="721"/>
      <c r="O140" s="728"/>
      <c r="P140" s="382"/>
    </row>
    <row r="141" spans="1:16">
      <c r="A141" s="1443" t="s">
        <v>250</v>
      </c>
      <c r="B141" s="1444"/>
      <c r="C141" s="1193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-98833.67</v>
      </c>
      <c r="I142" s="480"/>
      <c r="J142" s="552">
        <f>H142/DAY(B2)</f>
        <v>-7059.5478571428566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0.28090423502479972</v>
      </c>
      <c r="H143" s="460">
        <f>G143+'13'!H143</f>
        <v>3.8451227729462261</v>
      </c>
      <c r="I143" s="544"/>
      <c r="J143" s="552">
        <f>H143/DAY(B2)</f>
        <v>0.27465162663901616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-97332.160000000003</v>
      </c>
      <c r="I144" s="480"/>
      <c r="J144" s="552">
        <f>H144/DAY(B2)</f>
        <v>-6952.2971428571427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0.23893552079359023</v>
      </c>
      <c r="H145" s="460">
        <f>G145+'13'!H145</f>
        <v>3.6907385448867913</v>
      </c>
      <c r="I145" s="544"/>
      <c r="J145" s="552">
        <f>H145/DAY(B2)</f>
        <v>0.26362418177762797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4133</v>
      </c>
      <c r="H146" s="460">
        <f>G146+'13'!H146</f>
        <v>-72311</v>
      </c>
      <c r="I146" s="545"/>
      <c r="J146" s="552">
        <f>H146/DAY(B2)</f>
        <v>-5165.0714285714284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0.19710988172453262</v>
      </c>
      <c r="H147" s="460">
        <f>G147+'13'!H147</f>
        <v>2.678855567867878</v>
      </c>
      <c r="I147" s="545"/>
      <c r="J147" s="552">
        <f>H147/DAY(B2)</f>
        <v>0.191346826276277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2010</v>
      </c>
      <c r="H148" s="460">
        <f>G148+'13'!H148</f>
        <v>-31229</v>
      </c>
      <c r="I148" s="480"/>
      <c r="J148" s="552">
        <f>H148/DAY(B2)</f>
        <v>-2230.6428571428573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9.5860358641739793E-2</v>
      </c>
      <c r="H149" s="460">
        <f>G149+'13'!H149</f>
        <v>1.1895183485776475</v>
      </c>
      <c r="I149" s="545"/>
      <c r="J149" s="552">
        <f>H149/DAY(B2)</f>
        <v>8.4965596326974827E-2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1843</v>
      </c>
      <c r="H150" s="460">
        <f>G150+'13'!H150</f>
        <v>-33726</v>
      </c>
      <c r="I150" s="545"/>
      <c r="J150" s="552">
        <f>H150/DAY(B2)</f>
        <v>-2409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8.7895841281953449E-2</v>
      </c>
      <c r="H151" s="460">
        <f>G151+'13'!H151</f>
        <v>1.2478623791207715</v>
      </c>
      <c r="I151" s="480"/>
      <c r="J151" s="552">
        <f>H151/DAY(B2)</f>
        <v>8.9133027080055105E-2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1563</v>
      </c>
      <c r="H152" s="460">
        <f>G152+'13'!H152</f>
        <v>-26137</v>
      </c>
      <c r="I152" s="480"/>
      <c r="J152" s="552">
        <f>H152/DAY(B2)</f>
        <v>-1866.9285714285713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7.4542159481114076E-2</v>
      </c>
      <c r="H153" s="460">
        <f>G153+'13'!H153</f>
        <v>0.95120811038650044</v>
      </c>
      <c r="I153" s="568"/>
      <c r="J153" s="569">
        <f>H153/DAY(B2)</f>
        <v>6.7943436456178605E-2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'13'!F160</f>
        <v>31906</v>
      </c>
      <c r="F160" s="807">
        <v>31990</v>
      </c>
      <c r="G160" s="473">
        <f t="shared" ref="G160:G163" si="17">F160-E160</f>
        <v>84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'13'!F161</f>
        <v>61036</v>
      </c>
      <c r="F161" s="807">
        <v>61428</v>
      </c>
      <c r="G161" s="473">
        <f t="shared" si="17"/>
        <v>392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'13'!F162</f>
        <v>24223</v>
      </c>
      <c r="F162" s="807">
        <v>24501</v>
      </c>
      <c r="G162" s="473">
        <f t="shared" si="17"/>
        <v>278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'13'!F163</f>
        <v>5578</v>
      </c>
      <c r="F163" s="807">
        <v>5588</v>
      </c>
      <c r="G163" s="473">
        <f t="shared" si="17"/>
        <v>10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1"/>
    </row>
    <row r="166" spans="1:14" ht="21.75" customHeight="1">
      <c r="A166" s="1480" t="s">
        <v>99</v>
      </c>
      <c r="B166" s="1480"/>
      <c r="C166" s="1480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1"/>
    </row>
    <row r="167" spans="1:14" ht="21.75" customHeight="1">
      <c r="A167" s="1480" t="s">
        <v>100</v>
      </c>
      <c r="B167" s="1480"/>
      <c r="C167" s="1480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1"/>
    </row>
    <row r="168" spans="1:14" ht="21.75" customHeight="1">
      <c r="A168" s="1480" t="s">
        <v>101</v>
      </c>
      <c r="B168" s="1480"/>
      <c r="C168" s="1480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1"/>
    </row>
    <row r="169" spans="1:14" ht="21.75" customHeight="1">
      <c r="A169" s="1480" t="s">
        <v>102</v>
      </c>
      <c r="B169" s="1480"/>
      <c r="C169" s="1480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1"/>
    </row>
    <row r="170" spans="1:14" ht="24" customHeight="1">
      <c r="A170" s="1480" t="s">
        <v>103</v>
      </c>
      <c r="B170" s="1480"/>
      <c r="C170" s="1480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3329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2.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1" zoomScale="55" zoomScaleNormal="80" zoomScaleSheetLayoutView="55" workbookViewId="0">
      <selection activeCell="E11" sqref="E11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278</v>
      </c>
      <c r="B2" s="1036">
        <v>44270</v>
      </c>
      <c r="C2" s="1205" t="s">
        <v>69</v>
      </c>
      <c r="D2" s="611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5" t="s">
        <v>120</v>
      </c>
      <c r="D3" s="612">
        <v>24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5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4744847</v>
      </c>
      <c r="F7" s="455">
        <v>4765832</v>
      </c>
      <c r="G7" s="681">
        <f t="shared" ref="G7:G12" si="0">F7-E7</f>
        <v>20985</v>
      </c>
      <c r="H7" s="682">
        <f>G7+'14'!H7</f>
        <v>-348091</v>
      </c>
      <c r="I7" s="683">
        <f>'1'!I7</f>
        <v>12000</v>
      </c>
      <c r="J7" s="684">
        <f>H7/DAY(B2)</f>
        <v>-23206.066666666666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4774628</v>
      </c>
      <c r="F8" s="475">
        <v>4795702</v>
      </c>
      <c r="G8" s="692">
        <f t="shared" si="0"/>
        <v>21074</v>
      </c>
      <c r="H8" s="682">
        <f>G8+'14'!H8</f>
        <v>-349616</v>
      </c>
      <c r="I8" s="689">
        <f>'1'!I8</f>
        <v>12000</v>
      </c>
      <c r="J8" s="684">
        <f>H8/DAY(B2)</f>
        <v>-23307.733333333334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124354</v>
      </c>
      <c r="F9" s="478">
        <v>124353.81</v>
      </c>
      <c r="G9" s="705">
        <f t="shared" si="0"/>
        <v>-0.19000000000232831</v>
      </c>
      <c r="H9" s="682">
        <f>G9+'14'!H9</f>
        <v>-271715.19</v>
      </c>
      <c r="I9" s="693">
        <f>I7-J7</f>
        <v>35206.066666666666</v>
      </c>
      <c r="J9" s="684">
        <f>H9/DAY(B2)</f>
        <v>-18114.346000000001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277550</v>
      </c>
      <c r="F10" s="478">
        <v>297852.51</v>
      </c>
      <c r="G10" s="692">
        <f t="shared" si="0"/>
        <v>20302.510000000009</v>
      </c>
      <c r="H10" s="682">
        <f>G10+'14'!H10</f>
        <v>295529.93000000005</v>
      </c>
      <c r="I10" s="694"/>
      <c r="J10" s="684">
        <f>H10/DAY(B2)</f>
        <v>19701.995333333336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20302.320000000007</v>
      </c>
      <c r="H13" s="682">
        <f>G13+'14'!H13</f>
        <v>2820.7400000000489</v>
      </c>
      <c r="I13" s="698">
        <f>G7-G13</f>
        <v>682.67999999999302</v>
      </c>
      <c r="J13" s="684">
        <f>H13/DAY(B2)</f>
        <v>188.04933333333659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1632070</v>
      </c>
      <c r="F15" s="485">
        <v>1632897.709</v>
      </c>
      <c r="G15" s="667">
        <f>(F15-E15)</f>
        <v>827.70900000003166</v>
      </c>
      <c r="H15" s="486">
        <f>G15+'14'!H15</f>
        <v>-13791.290999999968</v>
      </c>
      <c r="I15" s="474">
        <v>800</v>
      </c>
      <c r="J15" s="553">
        <f>H15/DAY(B2)</f>
        <v>-919.41939999999784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1719.4193999999979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'14'!F18</f>
        <v>18</v>
      </c>
      <c r="F18" s="478">
        <v>12</v>
      </c>
      <c r="G18" s="697">
        <f>F18*10</f>
        <v>120</v>
      </c>
      <c r="H18" s="682">
        <f>G18+'14'!H18</f>
        <v>1800</v>
      </c>
      <c r="I18" s="683">
        <f>'1'!I18</f>
        <v>65</v>
      </c>
      <c r="J18" s="684">
        <f>H18/DAY(B2)</f>
        <v>120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'14'!F19</f>
        <v>135192</v>
      </c>
      <c r="F19" s="478">
        <v>135247</v>
      </c>
      <c r="G19" s="692">
        <f t="shared" ref="G19" si="1">F19-E19</f>
        <v>55</v>
      </c>
      <c r="H19" s="682">
        <f>G19+'14'!H19</f>
        <v>-843</v>
      </c>
      <c r="I19" s="699"/>
      <c r="J19" s="684">
        <f>H19/DAY(B2)</f>
        <v>-56.2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175</v>
      </c>
      <c r="H20" s="682">
        <f>G20+'14'!H20</f>
        <v>957</v>
      </c>
      <c r="I20" s="701">
        <f>I18-J20</f>
        <v>1.2000000000000028</v>
      </c>
      <c r="J20" s="684">
        <f>H20/DAY(B2)</f>
        <v>63.8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3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3" t="s">
        <v>149</v>
      </c>
      <c r="B23" s="589"/>
      <c r="C23" s="589"/>
      <c r="D23" s="523" t="s">
        <v>148</v>
      </c>
      <c r="E23" s="635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21074</v>
      </c>
      <c r="F27" s="501">
        <v>9</v>
      </c>
      <c r="G27" s="502">
        <f>E27*F27</f>
        <v>189666</v>
      </c>
      <c r="H27" s="460">
        <f>G27+'14'!H27</f>
        <v>-3146544</v>
      </c>
      <c r="I27" s="503"/>
      <c r="J27" s="552">
        <f>H27/DAY(B2)</f>
        <v>-209769.60000000001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827.70900000003166</v>
      </c>
      <c r="F28" s="501">
        <v>51.45</v>
      </c>
      <c r="G28" s="502">
        <f>E28*F28</f>
        <v>42585.628050001629</v>
      </c>
      <c r="H28" s="460">
        <f>G28+'14'!H28</f>
        <v>-709561.92194999848</v>
      </c>
      <c r="I28" s="505"/>
      <c r="J28" s="552">
        <f>H28/DAY(B2)</f>
        <v>-47304.128129999895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>E30*F30</f>
        <v>7370</v>
      </c>
      <c r="H30" s="460">
        <f>G30+'14'!H30</f>
        <v>-111594</v>
      </c>
      <c r="I30" s="505"/>
      <c r="J30" s="552">
        <f>H30/DAY(B2)</f>
        <v>-7439.6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G31+'14'!H31</f>
        <v>144000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249221.62805000163</v>
      </c>
      <c r="H32" s="460">
        <f>G32+'14'!H32</f>
        <v>-3823699.921949998</v>
      </c>
      <c r="I32" s="509"/>
      <c r="J32" s="552">
        <f>H32/DAY(B2)</f>
        <v>-254913.32812999986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208"/>
      <c r="C34" s="120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-53318.369999999995</v>
      </c>
      <c r="I35" s="455"/>
      <c r="J35" s="552">
        <f>H35/DAY(B2)</f>
        <v>-3554.5579999999995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-11185</v>
      </c>
      <c r="I36" s="455"/>
      <c r="J36" s="552">
        <f>H36/DAY(B2)</f>
        <v>-745.66666666666663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-19630</v>
      </c>
      <c r="I37" s="455"/>
      <c r="J37" s="552">
        <f>H37/DAY(B2)</f>
        <v>-1308.6666666666667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-23975</v>
      </c>
      <c r="I38" s="455"/>
      <c r="J38" s="552">
        <f>H38/DAY(B2)</f>
        <v>-1598.3333333333333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-52756</v>
      </c>
      <c r="I39" s="455"/>
      <c r="J39" s="552">
        <f>H39/DAY(B2)</f>
        <v>-3517.0666666666666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0.11000000000000001</v>
      </c>
      <c r="I40" s="455"/>
      <c r="J40" s="552">
        <f>H40/DAY(B2)</f>
        <v>7.3333333333333341E-3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-67761.989999999991</v>
      </c>
      <c r="I41" s="455"/>
      <c r="J41" s="552">
        <f>H41/DAY(B2)</f>
        <v>-4517.4659999999994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2.9999999969732016E-3</v>
      </c>
      <c r="I42" s="455"/>
      <c r="J42" s="552">
        <f>H42/DAY(B2)</f>
        <v>1.9999999979821345E-4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-39621.449999999953</v>
      </c>
      <c r="I43" s="455"/>
      <c r="J43" s="552">
        <f>H43/DAY(B2)</f>
        <v>-2641.4299999999971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614</v>
      </c>
      <c r="I45" s="455"/>
      <c r="J45" s="552">
        <f>H45/DAY(B2)</f>
        <v>40.93333333333333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187.49</v>
      </c>
      <c r="I46" s="455"/>
      <c r="J46" s="552">
        <f>H46/DAY(B2)</f>
        <v>12.499333333333334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-267446.20699999999</v>
      </c>
      <c r="I47" s="455"/>
      <c r="J47" s="552">
        <f>H47/DAY(B2)</f>
        <v>-17829.747133333334</v>
      </c>
      <c r="K47" s="428"/>
      <c r="L47" s="377"/>
      <c r="N47" s="721"/>
      <c r="O47" s="728"/>
      <c r="P47" s="382"/>
    </row>
    <row r="48" spans="1:16">
      <c r="A48" s="598" t="s">
        <v>177</v>
      </c>
      <c r="B48" s="1208"/>
      <c r="C48" s="120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0.13000000000465661</v>
      </c>
      <c r="I49" s="455"/>
      <c r="J49" s="552">
        <f>H49/DAY(B2)</f>
        <v>8.6666666669771072E-3</v>
      </c>
      <c r="K49" s="428">
        <f>E49+242</f>
        <v>260974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-21848.330000000016</v>
      </c>
      <c r="I50" s="455"/>
      <c r="J50" s="552">
        <f>H50/DAY(B2)</f>
        <v>-1456.5553333333344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-6431.3299999999872</v>
      </c>
      <c r="I51" s="455"/>
      <c r="J51" s="552">
        <f>H51/DAY(B2)</f>
        <v>-428.75533333333249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-7412.0899999999674</v>
      </c>
      <c r="I52" s="455"/>
      <c r="J52" s="552">
        <f>H52/DAY(B2)</f>
        <v>-494.13933333333114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-19477.789999999979</v>
      </c>
      <c r="I53" s="455"/>
      <c r="J53" s="552">
        <f>H53/DAY(B2)</f>
        <v>-1298.519333333332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2043.3300000000017</v>
      </c>
      <c r="I54" s="455"/>
      <c r="J54" s="552">
        <f>H54/DAY(B2)</f>
        <v>136.22200000000012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187345</v>
      </c>
      <c r="F55" s="656">
        <v>192357.17</v>
      </c>
      <c r="G55" s="655">
        <f t="shared" si="4"/>
        <v>5012.1700000000128</v>
      </c>
      <c r="H55" s="708">
        <f>G55+'14'!H55</f>
        <v>-28738.829999999987</v>
      </c>
      <c r="I55" s="709"/>
      <c r="J55" s="710">
        <f>H55/DAY(B2)</f>
        <v>-1915.9219999999991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588761</v>
      </c>
      <c r="F56" s="656">
        <v>588833.11</v>
      </c>
      <c r="G56" s="473">
        <f t="shared" si="4"/>
        <v>72.10999999998603</v>
      </c>
      <c r="H56" s="460">
        <f>G56+'14'!H56</f>
        <v>-133.89000000001397</v>
      </c>
      <c r="I56" s="455"/>
      <c r="J56" s="552">
        <f>H56/DAY(B2)</f>
        <v>-8.926000000000931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38525</v>
      </c>
      <c r="F58" s="656">
        <v>38686.550000000003</v>
      </c>
      <c r="G58" s="473">
        <f t="shared" si="4"/>
        <v>161.55000000000291</v>
      </c>
      <c r="H58" s="460">
        <f>G58+'14'!H58</f>
        <v>-3056.4499999999971</v>
      </c>
      <c r="I58" s="455"/>
      <c r="J58" s="552">
        <f>H58/DAY(B2)</f>
        <v>-203.76333333333315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14189.710000000057</v>
      </c>
      <c r="H59" s="460">
        <f>G59+'14'!H59</f>
        <v>-85054.919999999955</v>
      </c>
      <c r="I59" s="455">
        <f>G7-G60</f>
        <v>-429.00300000010975</v>
      </c>
      <c r="J59" s="552">
        <f>H59/DAY(B2)</f>
        <v>-5670.3279999999968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21414.00300000011</v>
      </c>
      <c r="H60" s="460">
        <f>G60+'14'!H60</f>
        <v>-338332.12699999992</v>
      </c>
      <c r="I60" s="455">
        <f>G13-G60</f>
        <v>-1111.6830000001028</v>
      </c>
      <c r="J60" s="552">
        <f>H60/DAY(B2)</f>
        <v>-22555.47513333333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-189.23000000000002</v>
      </c>
      <c r="I63" s="515"/>
      <c r="J63" s="552">
        <f>H63/DAY(B2)</f>
        <v>-12.615333333333334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-7832.890000000014</v>
      </c>
      <c r="I64" s="480"/>
      <c r="J64" s="552">
        <f>H64/DAY(B2)</f>
        <v>-522.19266666666761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'14'!F65</f>
        <v>137804</v>
      </c>
      <c r="F65" s="654">
        <v>138183.46</v>
      </c>
      <c r="G65" s="473">
        <f t="shared" si="5"/>
        <v>379.45999999999185</v>
      </c>
      <c r="H65" s="460">
        <f>G65+'14'!H65</f>
        <v>-6021.5400000000081</v>
      </c>
      <c r="I65" s="489"/>
      <c r="J65" s="552">
        <f>H65/DAY(B2)</f>
        <v>-401.43600000000055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-6284.27</v>
      </c>
      <c r="I66" s="480"/>
      <c r="J66" s="552">
        <f>H66/DAY(B2)</f>
        <v>-418.95133333333337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-11060.470000000001</v>
      </c>
      <c r="I67" s="489"/>
      <c r="J67" s="552">
        <f>H67/DAY(B2)</f>
        <v>-737.36466666666672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-5322.8300000000017</v>
      </c>
      <c r="I68" s="516"/>
      <c r="J68" s="552">
        <f>H68/DAY(B2)</f>
        <v>-354.85533333333348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-5009.6000000000058</v>
      </c>
      <c r="I69" s="516"/>
      <c r="J69" s="552">
        <f>H69/DAY(B2)</f>
        <v>-333.9733333333337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'14'!F72</f>
        <v>851800</v>
      </c>
      <c r="F72" s="657">
        <v>851903</v>
      </c>
      <c r="G72" s="473">
        <f t="shared" ref="G72:G84" si="6">F72-E72</f>
        <v>103</v>
      </c>
      <c r="H72" s="460">
        <f>G72+'14'!H72</f>
        <v>-1366</v>
      </c>
      <c r="I72" s="480"/>
      <c r="J72" s="552">
        <f>H72/DAY(B2)</f>
        <v>-91.066666666666663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'14'!F73</f>
        <v>885776</v>
      </c>
      <c r="F73" s="658">
        <v>885777</v>
      </c>
      <c r="G73" s="655">
        <f t="shared" si="6"/>
        <v>1</v>
      </c>
      <c r="H73" s="460">
        <f>G73+'14'!H73</f>
        <v>-1468</v>
      </c>
      <c r="I73" s="480"/>
      <c r="J73" s="552">
        <f>H73/DAY(B2)</f>
        <v>-97.86666666666666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'14'!F74</f>
        <v>1006</v>
      </c>
      <c r="F74" s="658">
        <v>1026.95</v>
      </c>
      <c r="G74" s="473">
        <f t="shared" si="6"/>
        <v>20.950000000000045</v>
      </c>
      <c r="H74" s="460">
        <f>G74+'14'!H74</f>
        <v>-343.04999999999995</v>
      </c>
      <c r="I74" s="480"/>
      <c r="J74" s="552">
        <f>H74/DAY(B2)</f>
        <v>-22.869999999999997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'14'!F75</f>
        <v>5845</v>
      </c>
      <c r="F75" s="658">
        <v>6013.29</v>
      </c>
      <c r="G75" s="473">
        <f t="shared" si="6"/>
        <v>168.28999999999996</v>
      </c>
      <c r="H75" s="460">
        <f>G75+'14'!H75</f>
        <v>-2666.71</v>
      </c>
      <c r="I75" s="480"/>
      <c r="J75" s="552">
        <f>H75/DAY(B2)</f>
        <v>-177.78066666666666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'14'!F76</f>
        <v>2690</v>
      </c>
      <c r="F76" s="658">
        <v>2762.62</v>
      </c>
      <c r="G76" s="473">
        <f t="shared" si="6"/>
        <v>72.619999999999891</v>
      </c>
      <c r="H76" s="460">
        <f>G76+'14'!H76</f>
        <v>-2873.38</v>
      </c>
      <c r="I76" s="505"/>
      <c r="J76" s="552">
        <f>H76/DAY(B2)</f>
        <v>-191.55866666666668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'14'!F77</f>
        <v>699324</v>
      </c>
      <c r="F77" s="658">
        <v>699381</v>
      </c>
      <c r="G77" s="655">
        <f t="shared" si="6"/>
        <v>57</v>
      </c>
      <c r="H77" s="460">
        <f>G77+'14'!H77</f>
        <v>-833</v>
      </c>
      <c r="I77" s="505"/>
      <c r="J77" s="552">
        <f>H77/DAY(B2)</f>
        <v>-55.533333333333331</v>
      </c>
      <c r="K77" s="430"/>
      <c r="L77" s="377"/>
      <c r="N77" s="721"/>
      <c r="O77" s="728"/>
      <c r="P77" s="382"/>
    </row>
    <row r="78" spans="1:16" ht="27.75">
      <c r="A78" s="1206" t="s">
        <v>197</v>
      </c>
      <c r="B78" s="1199"/>
      <c r="C78" s="1199"/>
      <c r="D78" s="523" t="s">
        <v>187</v>
      </c>
      <c r="E78" s="519">
        <f>'14'!F78</f>
        <v>658452</v>
      </c>
      <c r="F78" s="659">
        <v>658895</v>
      </c>
      <c r="G78" s="473">
        <f t="shared" si="6"/>
        <v>443</v>
      </c>
      <c r="H78" s="460">
        <f>G78+'14'!H78</f>
        <v>-6485</v>
      </c>
      <c r="I78" s="505"/>
      <c r="J78" s="552">
        <f>H78/DAY(B2)</f>
        <v>-432.33333333333331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'14'!F79</f>
        <v>818000</v>
      </c>
      <c r="F79" s="659">
        <v>818194</v>
      </c>
      <c r="G79" s="473">
        <f t="shared" si="6"/>
        <v>194</v>
      </c>
      <c r="H79" s="460">
        <f>G79+'14'!H79</f>
        <v>-6922</v>
      </c>
      <c r="I79" s="505"/>
      <c r="J79" s="552">
        <f>H79/DAY(B2)</f>
        <v>-461.46666666666664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'14'!F80</f>
        <v>499667</v>
      </c>
      <c r="F80" s="658">
        <v>500014.52</v>
      </c>
      <c r="G80" s="473">
        <f t="shared" si="6"/>
        <v>347.52000000001863</v>
      </c>
      <c r="H80" s="460">
        <f>G80+'14'!H80</f>
        <v>-2703.4799999999814</v>
      </c>
      <c r="I80" s="505"/>
      <c r="J80" s="552">
        <f>H80/DAY(B2)</f>
        <v>-180.23199999999875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'14'!F81</f>
        <v>627425</v>
      </c>
      <c r="F81" s="658">
        <v>627559.16</v>
      </c>
      <c r="G81" s="473">
        <f t="shared" si="6"/>
        <v>134.1600000000326</v>
      </c>
      <c r="H81" s="460">
        <f>G81+'14'!H81</f>
        <v>-2625.8399999999674</v>
      </c>
      <c r="I81" s="505"/>
      <c r="J81" s="552">
        <f>H81/DAY(B2)</f>
        <v>-175.05599999999782</v>
      </c>
      <c r="K81" s="430"/>
      <c r="L81" s="377"/>
      <c r="N81" s="721"/>
      <c r="O81" s="728"/>
      <c r="P81" s="382"/>
    </row>
    <row r="82" spans="1:16" s="779" customFormat="1" ht="27.75">
      <c r="A82" s="1481" t="s">
        <v>93</v>
      </c>
      <c r="B82" s="1482"/>
      <c r="C82" s="1483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-357.05999999999767</v>
      </c>
      <c r="I82" s="486"/>
      <c r="J82" s="553">
        <f>H82/DAY(B2)</f>
        <v>-23.803999999999846</v>
      </c>
      <c r="K82" s="1221"/>
      <c r="L82" s="1222"/>
      <c r="N82" s="725"/>
      <c r="O82" s="729"/>
      <c r="P82" s="724"/>
    </row>
    <row r="83" spans="1:16" s="779" customFormat="1" ht="27.75">
      <c r="A83" s="1484" t="s">
        <v>200</v>
      </c>
      <c r="B83" s="1485"/>
      <c r="C83" s="1486"/>
      <c r="D83" s="1321" t="s">
        <v>132</v>
      </c>
      <c r="E83" s="786">
        <f>'14'!F83</f>
        <v>2405</v>
      </c>
      <c r="F83" s="1321">
        <v>2685</v>
      </c>
      <c r="G83" s="777">
        <f t="shared" si="6"/>
        <v>280</v>
      </c>
      <c r="H83" s="479">
        <f>G83+'14'!H83</f>
        <v>-4372</v>
      </c>
      <c r="I83" s="777"/>
      <c r="J83" s="778">
        <f>H83/DAY(B2)</f>
        <v>-291.46666666666664</v>
      </c>
      <c r="K83" s="1322"/>
      <c r="L83" s="1222"/>
      <c r="N83" s="725"/>
      <c r="O83" s="729"/>
      <c r="P83" s="724"/>
    </row>
    <row r="84" spans="1:16">
      <c r="A84" s="1207" t="s">
        <v>201</v>
      </c>
      <c r="B84" s="571"/>
      <c r="C84" s="571"/>
      <c r="D84" s="478" t="s">
        <v>132</v>
      </c>
      <c r="E84" s="519">
        <f>'14'!F84</f>
        <v>441949</v>
      </c>
      <c r="F84" s="627">
        <v>442680</v>
      </c>
      <c r="G84" s="473">
        <f t="shared" si="6"/>
        <v>731</v>
      </c>
      <c r="H84" s="460">
        <f>G84+'14'!H84</f>
        <v>-12004</v>
      </c>
      <c r="I84" s="481"/>
      <c r="J84" s="552">
        <f>H84/DAY(B2)</f>
        <v>-800.26666666666665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2573.4800000000532</v>
      </c>
      <c r="H85" s="460">
        <f>G85+'14'!H85</f>
        <v>-40963.519999999946</v>
      </c>
      <c r="I85" s="481"/>
      <c r="J85" s="552">
        <f>H85/DAY(B2)</f>
        <v>-2730.9013333333296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452114</v>
      </c>
      <c r="F86" s="650">
        <v>452220.52</v>
      </c>
      <c r="G86" s="708">
        <f t="shared" ref="G86:G90" si="7">F86-E86</f>
        <v>106.52000000001863</v>
      </c>
      <c r="H86" s="708">
        <f t="shared" ref="H86:H88" si="8">G86</f>
        <v>106.52000000001863</v>
      </c>
      <c r="I86" s="655"/>
      <c r="J86" s="710">
        <f>H86/DAY(B2)</f>
        <v>7.1013333333345754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79611</v>
      </c>
      <c r="F87" s="650">
        <v>79643.5</v>
      </c>
      <c r="G87" s="708">
        <f t="shared" si="7"/>
        <v>32.5</v>
      </c>
      <c r="H87" s="708">
        <f t="shared" si="8"/>
        <v>32.5</v>
      </c>
      <c r="I87" s="655"/>
      <c r="J87" s="710">
        <f>H87/DAY(B2)</f>
        <v>2.1666666666666665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149266</v>
      </c>
      <c r="F88" s="650">
        <v>149355.45000000001</v>
      </c>
      <c r="G88" s="708">
        <f t="shared" si="7"/>
        <v>89.450000000011642</v>
      </c>
      <c r="H88" s="708">
        <f t="shared" si="8"/>
        <v>89.450000000011642</v>
      </c>
      <c r="I88" s="655"/>
      <c r="J88" s="710">
        <f>H88/DAY(B2)</f>
        <v>5.9633333333341092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62657</v>
      </c>
      <c r="F89" s="650">
        <v>62715.4</v>
      </c>
      <c r="G89" s="708">
        <f t="shared" si="7"/>
        <v>58.400000000001455</v>
      </c>
      <c r="H89" s="708">
        <f>G89</f>
        <v>58.400000000001455</v>
      </c>
      <c r="I89" s="655"/>
      <c r="J89" s="710">
        <f>H89/DAY(B2)</f>
        <v>3.8933333333334303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3221</v>
      </c>
      <c r="F90" s="650">
        <v>3226.2</v>
      </c>
      <c r="G90" s="708">
        <f t="shared" si="7"/>
        <v>5.1999999999998181</v>
      </c>
      <c r="H90" s="708">
        <f>G90</f>
        <v>5.1999999999998181</v>
      </c>
      <c r="I90" s="655"/>
      <c r="J90" s="710">
        <f>H90/DAY(B2)</f>
        <v>0.34666666666665452</v>
      </c>
      <c r="K90" s="736"/>
      <c r="L90" s="737"/>
      <c r="N90" s="781"/>
      <c r="O90" s="382"/>
    </row>
    <row r="91" spans="1:16" s="379" customFormat="1">
      <c r="A91" s="606" t="s">
        <v>205</v>
      </c>
      <c r="B91" s="1209"/>
      <c r="C91" s="1209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-1507</v>
      </c>
      <c r="I92" s="480"/>
      <c r="J92" s="552">
        <f>H92/DAY(B2)</f>
        <v>-100.46666666666667</v>
      </c>
      <c r="K92" s="429"/>
      <c r="L92" s="377"/>
      <c r="N92" s="721"/>
      <c r="O92" s="728"/>
      <c r="P92" s="382"/>
    </row>
    <row r="93" spans="1:16" ht="27.75">
      <c r="A93" s="1437" t="s">
        <v>207</v>
      </c>
      <c r="B93" s="1438"/>
      <c r="C93" s="1439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-2116</v>
      </c>
      <c r="I93" s="480"/>
      <c r="J93" s="552">
        <f>H93/DAY(B2)</f>
        <v>-141.06666666666666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/>
      <c r="F94" s="478"/>
      <c r="G94" s="473">
        <f>G92+G93</f>
        <v>227</v>
      </c>
      <c r="H94" s="460">
        <f>G94+'14'!H94</f>
        <v>-3842</v>
      </c>
      <c r="I94" s="480"/>
      <c r="J94" s="552">
        <f>H94/DAY(B2)</f>
        <v>-256.13333333333333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-1340</v>
      </c>
      <c r="I95" s="480"/>
      <c r="J95" s="552">
        <f>H95/DAY(B2)</f>
        <v>-89.333333333333329</v>
      </c>
      <c r="K95" s="380"/>
      <c r="L95" s="377"/>
      <c r="N95" s="721"/>
      <c r="O95" s="728"/>
      <c r="P95" s="382"/>
    </row>
    <row r="96" spans="1:16" ht="27.75">
      <c r="A96" s="1203" t="s">
        <v>210</v>
      </c>
      <c r="B96" s="1204"/>
      <c r="C96" s="1204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-271</v>
      </c>
      <c r="I96" s="480"/>
      <c r="J96" s="552">
        <f>H96/DAY(B2)</f>
        <v>-18.066666666666666</v>
      </c>
      <c r="K96" s="427"/>
      <c r="L96" s="377"/>
      <c r="N96" s="721"/>
      <c r="O96" s="728"/>
      <c r="P96" s="382"/>
    </row>
    <row r="97" spans="1:16" ht="27.75">
      <c r="A97" s="1203" t="s">
        <v>211</v>
      </c>
      <c r="B97" s="1204"/>
      <c r="C97" s="1204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-205</v>
      </c>
      <c r="I97" s="480"/>
      <c r="J97" s="552">
        <f>H97/DAY(B2)</f>
        <v>-13.666666666666666</v>
      </c>
      <c r="K97" s="432"/>
      <c r="L97" s="377"/>
      <c r="N97" s="721"/>
      <c r="O97" s="728"/>
      <c r="P97" s="382"/>
    </row>
    <row r="98" spans="1:16" ht="27.75">
      <c r="A98" s="1203" t="s">
        <v>212</v>
      </c>
      <c r="B98" s="1204"/>
      <c r="C98" s="1204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-494</v>
      </c>
      <c r="I98" s="480"/>
      <c r="J98" s="552">
        <f>H98/DAY(B2)</f>
        <v>-32.93333333333333</v>
      </c>
      <c r="K98" s="380"/>
      <c r="L98" s="377"/>
      <c r="N98" s="723"/>
      <c r="O98" s="728"/>
      <c r="P98" s="382"/>
    </row>
    <row r="99" spans="1:16" ht="27.75">
      <c r="A99" s="1203" t="s">
        <v>213</v>
      </c>
      <c r="B99" s="1204"/>
      <c r="C99" s="1204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-239</v>
      </c>
      <c r="I99" s="480"/>
      <c r="J99" s="552">
        <f>H99/DAY(B2)</f>
        <v>-15.933333333333334</v>
      </c>
      <c r="K99" s="380"/>
      <c r="L99" s="377"/>
      <c r="N99" s="721"/>
      <c r="O99" s="728"/>
      <c r="P99" s="382"/>
    </row>
    <row r="100" spans="1:16" ht="27.75">
      <c r="A100" s="1203" t="s">
        <v>214</v>
      </c>
      <c r="B100" s="1204"/>
      <c r="C100" s="1204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-204</v>
      </c>
      <c r="I100" s="480"/>
      <c r="J100" s="552">
        <f>H100/DAY(B2)</f>
        <v>-13.6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152</v>
      </c>
      <c r="H101" s="460">
        <f>G101+'14'!H101</f>
        <v>-2753</v>
      </c>
      <c r="I101" s="526"/>
      <c r="J101" s="552">
        <f>H101/DAY(B2)</f>
        <v>-183.53333333333333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202"/>
      <c r="D104" s="622" t="s">
        <v>144</v>
      </c>
      <c r="E104" s="484">
        <f>'14'!F104</f>
        <v>7240</v>
      </c>
      <c r="F104" s="661">
        <v>7240</v>
      </c>
      <c r="G104" s="532">
        <f>F104-E104</f>
        <v>0</v>
      </c>
      <c r="H104" s="533">
        <f>SUM(G104+'1'!G76)</f>
        <v>59</v>
      </c>
      <c r="I104" s="532"/>
      <c r="J104" s="558">
        <f>H104/DAY(B2)</f>
        <v>3.9333333333333331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202"/>
      <c r="D105" s="622" t="s">
        <v>144</v>
      </c>
      <c r="E105" s="484">
        <f>'14'!F105</f>
        <v>35515</v>
      </c>
      <c r="F105" s="662">
        <v>35521</v>
      </c>
      <c r="G105" s="532">
        <f t="shared" ref="G105:G106" si="11">F105-E105</f>
        <v>6</v>
      </c>
      <c r="H105" s="533">
        <f>SUM(G105+'1'!G77)</f>
        <v>56</v>
      </c>
      <c r="I105" s="532"/>
      <c r="J105" s="558">
        <f>H105/DAY(B2)</f>
        <v>3.7333333333333334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'14'!F106</f>
        <v>19323</v>
      </c>
      <c r="F106" s="662">
        <v>19329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26.733333333333334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202"/>
      <c r="D107" s="622"/>
      <c r="E107" s="484">
        <f>'14'!F107</f>
        <v>0</v>
      </c>
      <c r="F107" s="662"/>
      <c r="G107" s="532">
        <f>SUM(G104:G106)</f>
        <v>12</v>
      </c>
      <c r="H107" s="533">
        <f>SUM(G107+'1'!G79)</f>
        <v>206</v>
      </c>
      <c r="I107" s="532"/>
      <c r="J107" s="558">
        <f>H107/DAY(B2)</f>
        <v>13.733333333333333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202"/>
      <c r="D108" s="622" t="s">
        <v>144</v>
      </c>
      <c r="E108" s="484">
        <f>'14'!F108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202"/>
      <c r="D109" s="622" t="s">
        <v>144</v>
      </c>
      <c r="E109" s="484">
        <f>'14'!F109</f>
        <v>57443</v>
      </c>
      <c r="F109" s="662">
        <v>57524</v>
      </c>
      <c r="G109" s="532">
        <f>F109-E109</f>
        <v>81</v>
      </c>
      <c r="H109" s="533">
        <f>SUM(G109+'1'!G81)</f>
        <v>279</v>
      </c>
      <c r="I109" s="532"/>
      <c r="J109" s="558">
        <f>H109/DAY(B2)</f>
        <v>18.600000000000001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202"/>
      <c r="D110" s="622" t="s">
        <v>144</v>
      </c>
      <c r="E110" s="484">
        <f>'14'!F110</f>
        <v>31235</v>
      </c>
      <c r="F110" s="662">
        <v>31256</v>
      </c>
      <c r="G110" s="532">
        <f t="shared" ref="G110:G111" si="12">F110-E110</f>
        <v>21</v>
      </c>
      <c r="H110" s="533">
        <f>SUM(G110+'1'!G82)</f>
        <v>44</v>
      </c>
      <c r="I110" s="532"/>
      <c r="J110" s="558">
        <f>H110/DAY(B2)</f>
        <v>2.9333333333333331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202"/>
      <c r="D111" s="622" t="s">
        <v>144</v>
      </c>
      <c r="E111" s="484">
        <f>'14'!F111</f>
        <v>4054</v>
      </c>
      <c r="F111" s="662">
        <v>4064</v>
      </c>
      <c r="G111" s="532">
        <f t="shared" si="12"/>
        <v>10</v>
      </c>
      <c r="H111" s="533">
        <f>SUM(G111+'1'!G83)</f>
        <v>249</v>
      </c>
      <c r="I111" s="532"/>
      <c r="J111" s="558">
        <f>H111/DAY(B2)</f>
        <v>16.600000000000001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202"/>
      <c r="D112" s="622"/>
      <c r="E112" s="484">
        <f>'14'!F112</f>
        <v>0</v>
      </c>
      <c r="F112" s="662"/>
      <c r="G112" s="532">
        <f>SUM(G109:G111)</f>
        <v>112</v>
      </c>
      <c r="H112" s="533">
        <f>SUM(G112+'1'!G84)</f>
        <v>1027</v>
      </c>
      <c r="I112" s="532"/>
      <c r="J112" s="558">
        <f>H112/DAY(B2)</f>
        <v>68.466666666666669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202"/>
      <c r="D113" s="622"/>
      <c r="E113" s="484">
        <f>'14'!F113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'14'!F114</f>
        <v>10553</v>
      </c>
      <c r="F114" s="662">
        <v>10575</v>
      </c>
      <c r="G114" s="534">
        <f>F114-E114</f>
        <v>22</v>
      </c>
      <c r="H114" s="533">
        <f>SUM(G114+'1'!G91)</f>
        <v>22</v>
      </c>
      <c r="I114" s="532"/>
      <c r="J114" s="558">
        <f>H114/DAY(B2)</f>
        <v>1.4666666666666666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'14'!F115</f>
        <v>7808</v>
      </c>
      <c r="F115" s="662">
        <v>7825</v>
      </c>
      <c r="G115" s="534">
        <f t="shared" ref="G115:G116" si="13">F115-E115</f>
        <v>17</v>
      </c>
      <c r="H115" s="533">
        <f>SUM(G115+'1'!G92)</f>
        <v>109</v>
      </c>
      <c r="I115" s="532"/>
      <c r="J115" s="558">
        <f>H115/DAY(B2)</f>
        <v>7.2666666666666666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>
        <f>'14'!F116</f>
        <v>0</v>
      </c>
      <c r="F116" s="662">
        <v>0</v>
      </c>
      <c r="G116" s="534">
        <f t="shared" si="13"/>
        <v>0</v>
      </c>
      <c r="H116" s="533">
        <f>SUM(G116+'1'!G93)</f>
        <v>127</v>
      </c>
      <c r="I116" s="532"/>
      <c r="J116" s="558">
        <f>H116/DAY(B2)</f>
        <v>8.4666666666666668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39</v>
      </c>
      <c r="H117" s="533">
        <f>SUM(G117+'1'!G95)</f>
        <v>116</v>
      </c>
      <c r="I117" s="534"/>
      <c r="J117" s="558">
        <f>H117/DAY(B2)</f>
        <v>7.7333333333333334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200"/>
      <c r="D118" s="624" t="s">
        <v>144</v>
      </c>
      <c r="E118" s="536"/>
      <c r="F118" s="663">
        <f>SUM(G19+G92)</f>
        <v>138</v>
      </c>
      <c r="G118" s="536">
        <f>SUM(G19+G92)</f>
        <v>138</v>
      </c>
      <c r="H118" s="533">
        <f>SUM(G118+'1'!G96)</f>
        <v>155</v>
      </c>
      <c r="I118" s="535"/>
      <c r="J118" s="559">
        <f>H118/DAY(B2)</f>
        <v>10.333333333333334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200"/>
      <c r="D119" s="624" t="s">
        <v>144</v>
      </c>
      <c r="E119" s="536"/>
      <c r="F119" s="663">
        <f>SUM(G95,G96,G97,G99,G100)</f>
        <v>113</v>
      </c>
      <c r="G119" s="536">
        <f>SUM(G95,G96,G97,G99,G100)</f>
        <v>113</v>
      </c>
      <c r="H119" s="533">
        <f>SUM(G119+'1'!G98)</f>
        <v>141</v>
      </c>
      <c r="I119" s="535"/>
      <c r="J119" s="559">
        <f>H119/DAY(B2)</f>
        <v>9.4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200"/>
      <c r="D120" s="624" t="s">
        <v>144</v>
      </c>
      <c r="E120" s="534"/>
      <c r="F120" s="662">
        <f>SUM(G112)</f>
        <v>112</v>
      </c>
      <c r="G120" s="534">
        <f>SUM(G112)</f>
        <v>112</v>
      </c>
      <c r="H120" s="533">
        <f>SUM(G120+'1'!G100)</f>
        <v>118</v>
      </c>
      <c r="I120" s="535"/>
      <c r="J120" s="559">
        <f>H120/DAY(B2)</f>
        <v>7.8666666666666663</v>
      </c>
      <c r="N120" s="721"/>
      <c r="O120" s="728"/>
      <c r="P120" s="382"/>
    </row>
    <row r="121" spans="1:16" s="442" customFormat="1" ht="27.75">
      <c r="A121" s="1427"/>
      <c r="B121" s="1428"/>
      <c r="C121" s="1201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03" t="s">
        <v>231</v>
      </c>
      <c r="B123" s="1204"/>
      <c r="C123" s="1204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-4025.0300000000279</v>
      </c>
      <c r="I123" s="526"/>
      <c r="J123" s="552">
        <f>H123/DAY(B2)</f>
        <v>-268.3353333333352</v>
      </c>
      <c r="K123" s="380"/>
      <c r="L123" s="377"/>
      <c r="N123" s="721"/>
      <c r="O123" s="728"/>
      <c r="P123" s="382"/>
    </row>
    <row r="124" spans="1:16" ht="27.75">
      <c r="A124" s="1203" t="s">
        <v>232</v>
      </c>
      <c r="B124" s="1204"/>
      <c r="C124" s="1204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-1176.1199999999953</v>
      </c>
      <c r="I125" s="526"/>
      <c r="J125" s="552">
        <f>H125/DAY(B2)</f>
        <v>-78.407999999999689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04"/>
      <c r="C126" s="1204"/>
      <c r="D126" s="523" t="s">
        <v>141</v>
      </c>
      <c r="E126" s="626">
        <f>'14'!F126</f>
        <v>59648.5</v>
      </c>
      <c r="F126" s="626">
        <v>59662.9</v>
      </c>
      <c r="G126" s="473">
        <f t="shared" si="14"/>
        <v>14.400000000001455</v>
      </c>
      <c r="H126" s="460">
        <f>G126+'14'!H126</f>
        <v>28344.2</v>
      </c>
      <c r="I126" s="526"/>
      <c r="J126" s="552">
        <f>H126/DAY(B2)</f>
        <v>1889.6133333333335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04"/>
      <c r="C127" s="1204"/>
      <c r="D127" s="523" t="s">
        <v>141</v>
      </c>
      <c r="E127" s="626">
        <f>'14'!F127</f>
        <v>8923.2999999999993</v>
      </c>
      <c r="F127" s="626">
        <v>8925.7999999999993</v>
      </c>
      <c r="G127" s="473">
        <f t="shared" si="14"/>
        <v>2.5</v>
      </c>
      <c r="H127" s="460">
        <f>G127+'14'!H127</f>
        <v>-36.200000000000728</v>
      </c>
      <c r="I127" s="480"/>
      <c r="J127" s="552">
        <f>H127/DAY(B2)</f>
        <v>-2.413333333333382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04"/>
      <c r="C128" s="1204"/>
      <c r="D128" s="523"/>
      <c r="E128" s="478"/>
      <c r="F128" s="478"/>
      <c r="G128" s="473">
        <f>G15-SUM(G123:G127)</f>
        <v>500.16900000004534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03" t="s">
        <v>238</v>
      </c>
      <c r="B130" s="1204"/>
      <c r="C130" s="1204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03" t="s">
        <v>240</v>
      </c>
      <c r="B131" s="1204"/>
      <c r="C131" s="1204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3" t="s">
        <v>241</v>
      </c>
      <c r="B132" s="1204"/>
      <c r="C132" s="1204"/>
      <c r="D132" s="523" t="s">
        <v>239</v>
      </c>
      <c r="E132" s="541">
        <f>'14'!F132</f>
        <v>39219</v>
      </c>
      <c r="F132" s="654">
        <v>39219</v>
      </c>
      <c r="G132" s="473">
        <f t="shared" si="15"/>
        <v>0</v>
      </c>
      <c r="H132" s="460">
        <f>G132+'14'!H132</f>
        <v>-314</v>
      </c>
      <c r="I132" s="480"/>
      <c r="J132" s="552">
        <f>H132/DAY(B2)</f>
        <v>-20.933333333333334</v>
      </c>
      <c r="N132" s="721"/>
      <c r="O132" s="728"/>
      <c r="P132" s="382"/>
    </row>
    <row r="133" spans="1:16" ht="27.75">
      <c r="A133" s="1203" t="s">
        <v>242</v>
      </c>
      <c r="B133" s="1204"/>
      <c r="C133" s="1204"/>
      <c r="D133" s="523" t="s">
        <v>239</v>
      </c>
      <c r="E133" s="704">
        <f>'14'!F133</f>
        <v>299</v>
      </c>
      <c r="F133" s="626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2">
        <f>H133/DAY(B2)</f>
        <v>-6.6666666666666666E-2</v>
      </c>
      <c r="N133" s="721"/>
      <c r="O133" s="728"/>
      <c r="P133" s="382"/>
    </row>
    <row r="134" spans="1:16" ht="27.75">
      <c r="A134" s="1203" t="s">
        <v>243</v>
      </c>
      <c r="B134" s="1204"/>
      <c r="C134" s="1204"/>
      <c r="D134" s="523" t="s">
        <v>239</v>
      </c>
      <c r="E134" s="704">
        <f>'14'!F134</f>
        <v>40699</v>
      </c>
      <c r="F134" s="626">
        <v>40723</v>
      </c>
      <c r="G134" s="473">
        <f t="shared" si="15"/>
        <v>24</v>
      </c>
      <c r="H134" s="460">
        <f>G134+'14'!H134</f>
        <v>-116</v>
      </c>
      <c r="I134" s="480"/>
      <c r="J134" s="552">
        <f>H134/DAY(B2)</f>
        <v>-7.7333333333333334</v>
      </c>
      <c r="N134" s="721"/>
      <c r="O134" s="728"/>
      <c r="P134" s="382"/>
    </row>
    <row r="135" spans="1:16" ht="27.75">
      <c r="A135" s="1203" t="s">
        <v>244</v>
      </c>
      <c r="B135" s="1204"/>
      <c r="C135" s="1204"/>
      <c r="D135" s="523" t="s">
        <v>239</v>
      </c>
      <c r="E135" s="541">
        <f>'14'!F135</f>
        <v>32582.98</v>
      </c>
      <c r="F135" s="654">
        <v>32582.98</v>
      </c>
      <c r="G135" s="473">
        <f t="shared" si="15"/>
        <v>0</v>
      </c>
      <c r="H135" s="460">
        <f>G135+'14'!H135</f>
        <v>-2.0000000000436557E-2</v>
      </c>
      <c r="I135" s="480"/>
      <c r="J135" s="552">
        <f>H135/DAY(B2)</f>
        <v>-1.3333333333624372E-3</v>
      </c>
      <c r="N135" s="721"/>
      <c r="O135" s="728"/>
      <c r="P135" s="382"/>
    </row>
    <row r="136" spans="1:16" ht="27.75">
      <c r="A136" s="1203" t="s">
        <v>245</v>
      </c>
      <c r="B136" s="1204"/>
      <c r="C136" s="1204"/>
      <c r="D136" s="523" t="s">
        <v>239</v>
      </c>
      <c r="E136" s="541">
        <f>'14'!F136</f>
        <v>22343.34</v>
      </c>
      <c r="F136" s="654">
        <v>22351.279999999999</v>
      </c>
      <c r="G136" s="473">
        <f t="shared" si="15"/>
        <v>7.9399999999986903</v>
      </c>
      <c r="H136" s="460">
        <f>G136+'14'!H136</f>
        <v>-137.37000000000262</v>
      </c>
      <c r="I136" s="480">
        <f>G134+G135+G136</f>
        <v>31.93999999999869</v>
      </c>
      <c r="J136" s="552">
        <f>H136/DAY(B2)</f>
        <v>-9.1580000000001753</v>
      </c>
      <c r="N136" s="721"/>
      <c r="O136" s="728"/>
      <c r="P136" s="382"/>
    </row>
    <row r="137" spans="1:16" ht="27.75">
      <c r="A137" s="1203" t="s">
        <v>246</v>
      </c>
      <c r="B137" s="1204"/>
      <c r="C137" s="1204"/>
      <c r="D137" s="523" t="s">
        <v>239</v>
      </c>
      <c r="E137" s="541">
        <f>'14'!F137</f>
        <v>25044.31</v>
      </c>
      <c r="F137" s="654">
        <v>25044.37</v>
      </c>
      <c r="G137" s="473">
        <f t="shared" si="15"/>
        <v>5.9999999997671694E-2</v>
      </c>
      <c r="H137" s="460">
        <f>G137+'14'!H137</f>
        <v>-4.4200000000018917</v>
      </c>
      <c r="I137" s="480"/>
      <c r="J137" s="552">
        <f>H137/DAY(B2)</f>
        <v>-0.29466666666679281</v>
      </c>
      <c r="N137" s="721"/>
      <c r="O137" s="728"/>
      <c r="P137" s="382"/>
    </row>
    <row r="138" spans="1:16" ht="27.75">
      <c r="A138" s="1203" t="s">
        <v>247</v>
      </c>
      <c r="B138" s="1204"/>
      <c r="C138" s="1204"/>
      <c r="D138" s="523" t="s">
        <v>239</v>
      </c>
      <c r="E138" s="541">
        <f>'14'!F138</f>
        <v>70205.67</v>
      </c>
      <c r="F138" s="654">
        <v>70210.460000000006</v>
      </c>
      <c r="G138" s="473">
        <f t="shared" si="15"/>
        <v>4.7900000000081491</v>
      </c>
      <c r="H138" s="460">
        <f>G138+'14'!H138</f>
        <v>-43.569999999992433</v>
      </c>
      <c r="I138" s="480">
        <f>G137+G138</f>
        <v>4.8500000000058208</v>
      </c>
      <c r="J138" s="552">
        <f>H138/DAY(B2)</f>
        <v>-2.904666666666162</v>
      </c>
      <c r="N138" s="721"/>
      <c r="O138" s="728"/>
      <c r="P138" s="382"/>
    </row>
    <row r="139" spans="1:16" ht="27.75">
      <c r="A139" s="1203" t="s">
        <v>248</v>
      </c>
      <c r="B139" s="1204"/>
      <c r="C139" s="1204"/>
      <c r="D139" s="523" t="s">
        <v>239</v>
      </c>
      <c r="E139" s="704">
        <f>'14'!F139</f>
        <v>1525</v>
      </c>
      <c r="F139" s="626">
        <v>1532.37</v>
      </c>
      <c r="G139" s="473">
        <f t="shared" si="15"/>
        <v>7.3699999999998909</v>
      </c>
      <c r="H139" s="460">
        <f>G139+'14'!H139</f>
        <v>-4.1500000000000909</v>
      </c>
      <c r="I139" s="542"/>
      <c r="J139" s="552">
        <f>H139/DAY(B2)</f>
        <v>-0.27666666666667272</v>
      </c>
      <c r="N139" s="721"/>
      <c r="O139" s="728"/>
      <c r="P139" s="382"/>
    </row>
    <row r="140" spans="1:16" ht="27.75">
      <c r="A140" s="1203" t="s">
        <v>249</v>
      </c>
      <c r="B140" s="1204"/>
      <c r="C140" s="1204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-135.01000000000022</v>
      </c>
      <c r="I140" s="542"/>
      <c r="J140" s="552">
        <f>H140/DAY(B2)</f>
        <v>-9.0006666666666817</v>
      </c>
      <c r="N140" s="721"/>
      <c r="O140" s="728"/>
      <c r="P140" s="382"/>
    </row>
    <row r="141" spans="1:16">
      <c r="A141" s="1443" t="s">
        <v>250</v>
      </c>
      <c r="B141" s="1444"/>
      <c r="C141" s="1209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-92939.359999999942</v>
      </c>
      <c r="I142" s="480"/>
      <c r="J142" s="552">
        <f>H142/DAY(B2)</f>
        <v>-6195.9573333333292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0.28088205861329785</v>
      </c>
      <c r="H143" s="460">
        <f>G143+'14'!H143</f>
        <v>4.1260048315595235</v>
      </c>
      <c r="I143" s="544"/>
      <c r="J143" s="552">
        <f>H143/DAY(B2)</f>
        <v>0.2750669887706349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-91635.706999999995</v>
      </c>
      <c r="I144" s="480"/>
      <c r="J144" s="552">
        <f>H144/DAY(B2)</f>
        <v>-6109.0471333333326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0.27145356206814397</v>
      </c>
      <c r="H145" s="460">
        <f>G145+'14'!H145</f>
        <v>3.9621921069549355</v>
      </c>
      <c r="I145" s="544"/>
      <c r="J145" s="552">
        <f>H145/DAY(B2)</f>
        <v>0.26414614046366236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-68048.789999999979</v>
      </c>
      <c r="I146" s="545"/>
      <c r="J146" s="552">
        <f>H146/DAY(B2)</f>
        <v>-4536.5859999999984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0.20310745770788757</v>
      </c>
      <c r="H147" s="460">
        <f>G147+'14'!H147</f>
        <v>2.8819630255757658</v>
      </c>
      <c r="I147" s="545"/>
      <c r="J147" s="552">
        <f>H147/DAY(B2)</f>
        <v>0.19213086837171772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-29341.089999999967</v>
      </c>
      <c r="I148" s="480"/>
      <c r="J148" s="552">
        <f>H148/DAY(B2)</f>
        <v>-1956.0726666666644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8.9964736716703964E-2</v>
      </c>
      <c r="H149" s="460">
        <f>G149+'14'!H149</f>
        <v>1.2794830852943515</v>
      </c>
      <c r="I149" s="545"/>
      <c r="J149" s="552">
        <f>H149/DAY(B2)</f>
        <v>8.5298872352956773E-2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-31839.330000000016</v>
      </c>
      <c r="I150" s="545"/>
      <c r="J150" s="552">
        <f>H150/DAY(B2)</f>
        <v>-2122.6220000000012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8.9905646890635391E-2</v>
      </c>
      <c r="H151" s="460">
        <f>G151+'14'!H151</f>
        <v>1.3377680260114069</v>
      </c>
      <c r="I151" s="480"/>
      <c r="J151" s="552">
        <f>H151/DAY(B2)</f>
        <v>8.9184535067427129E-2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-24512.329999999987</v>
      </c>
      <c r="I152" s="480"/>
      <c r="J152" s="552">
        <f>H152/DAY(B2)</f>
        <v>-1634.1553333333325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7.7420538479867185E-2</v>
      </c>
      <c r="H153" s="460">
        <f>G153+'14'!H153</f>
        <v>1.0286286488663676</v>
      </c>
      <c r="I153" s="568"/>
      <c r="J153" s="569">
        <f>H153/DAY(B2)</f>
        <v>6.8575243257757837E-2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'14'!F160</f>
        <v>31990</v>
      </c>
      <c r="F160" s="807">
        <v>32075.31</v>
      </c>
      <c r="G160" s="473">
        <f t="shared" ref="G160:G163" si="16">F160-E160</f>
        <v>85.31000000000131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'14'!F161</f>
        <v>61428</v>
      </c>
      <c r="F161" s="807">
        <v>61874.59</v>
      </c>
      <c r="G161" s="473">
        <f t="shared" si="16"/>
        <v>446.58999999999651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'14'!F162</f>
        <v>24501</v>
      </c>
      <c r="F162" s="807">
        <v>24786.014999999999</v>
      </c>
      <c r="G162" s="473">
        <f t="shared" si="16"/>
        <v>285.01499999999942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'14'!F163</f>
        <v>5588</v>
      </c>
      <c r="F163" s="807">
        <v>5606.2</v>
      </c>
      <c r="G163" s="473">
        <f t="shared" si="16"/>
        <v>18.199999999999818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1"/>
    </row>
    <row r="166" spans="1:14" ht="21.75" customHeight="1">
      <c r="A166" s="1480" t="s">
        <v>99</v>
      </c>
      <c r="B166" s="1480"/>
      <c r="C166" s="1480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1"/>
    </row>
    <row r="167" spans="1:14" ht="21.75" customHeight="1">
      <c r="A167" s="1480" t="s">
        <v>100</v>
      </c>
      <c r="B167" s="1480"/>
      <c r="C167" s="1480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1"/>
    </row>
    <row r="168" spans="1:14" ht="21.75" customHeight="1">
      <c r="A168" s="1480" t="s">
        <v>101</v>
      </c>
      <c r="B168" s="1480"/>
      <c r="C168" s="1480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1"/>
    </row>
    <row r="169" spans="1:14" ht="23.25" customHeight="1">
      <c r="A169" s="1480" t="s">
        <v>102</v>
      </c>
      <c r="B169" s="1480"/>
      <c r="C169" s="1480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1"/>
    </row>
    <row r="170" spans="1:14" ht="24" customHeight="1">
      <c r="A170" s="1480" t="s">
        <v>103</v>
      </c>
      <c r="B170" s="1480"/>
      <c r="C170" s="1480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3511.2849999999657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7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3" zoomScale="55" zoomScaleNormal="90" zoomScaleSheetLayoutView="55" workbookViewId="0">
      <selection activeCell="E11" sqref="E11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346</v>
      </c>
      <c r="B2" s="1036">
        <v>44271</v>
      </c>
      <c r="C2" s="1218" t="s">
        <v>69</v>
      </c>
      <c r="D2" s="611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8" t="s">
        <v>120</v>
      </c>
      <c r="D3" s="612">
        <v>24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8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4765832</v>
      </c>
      <c r="F7" s="455">
        <v>4786281</v>
      </c>
      <c r="G7" s="681">
        <f>F7-E7</f>
        <v>20449</v>
      </c>
      <c r="H7" s="682">
        <f>G7+'15'!H7</f>
        <v>-327642</v>
      </c>
      <c r="I7" s="683">
        <f>'1'!I7</f>
        <v>12000</v>
      </c>
      <c r="J7" s="684">
        <f>H7/DAY(B2)</f>
        <v>-20477.625</v>
      </c>
      <c r="K7" s="549">
        <f>'1'!E7-'16'!F7</f>
        <v>327642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4795702</v>
      </c>
      <c r="F8" s="475">
        <v>4816223</v>
      </c>
      <c r="G8" s="692">
        <f>F8-E8</f>
        <v>20521</v>
      </c>
      <c r="H8" s="682">
        <f>G8+'15'!H8</f>
        <v>-329095</v>
      </c>
      <c r="I8" s="689">
        <f>'1'!I8</f>
        <v>12000</v>
      </c>
      <c r="J8" s="684">
        <f>H8/DAY(B2)</f>
        <v>-20568.4375</v>
      </c>
      <c r="K8" s="549">
        <f>'1'!E8-'16'!F8</f>
        <v>329095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124353.81</v>
      </c>
      <c r="F9" s="478">
        <v>124353.81</v>
      </c>
      <c r="G9" s="705">
        <f t="shared" ref="G9:G12" si="0">F9-E9</f>
        <v>0</v>
      </c>
      <c r="H9" s="682">
        <f>G9+'15'!H9</f>
        <v>-271715.19</v>
      </c>
      <c r="I9" s="693">
        <f>I7-J7</f>
        <v>32477.625</v>
      </c>
      <c r="J9" s="684">
        <f>H9/DAY(B2)</f>
        <v>-16982.199375</v>
      </c>
      <c r="K9" s="428">
        <f>'1'!E9-'16'!F9</f>
        <v>271715.19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297852.51</v>
      </c>
      <c r="F10" s="478">
        <v>317507.67</v>
      </c>
      <c r="G10" s="692">
        <f t="shared" si="0"/>
        <v>19655.159999999974</v>
      </c>
      <c r="H10" s="682">
        <f>G10+'15'!H10</f>
        <v>315185.09000000003</v>
      </c>
      <c r="I10" s="694"/>
      <c r="J10" s="684">
        <f>H10/DAY(B2)</f>
        <v>19699.068125000002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865.84000000002561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19655.159999999974</v>
      </c>
      <c r="H13" s="682">
        <f>G13+'15'!H13</f>
        <v>22475.900000000023</v>
      </c>
      <c r="I13" s="698">
        <f>G7-G13</f>
        <v>793.84000000002561</v>
      </c>
      <c r="J13" s="684">
        <f>H13/DAY(B2)</f>
        <v>1404.7437500000015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1632897.709</v>
      </c>
      <c r="F15" s="485">
        <v>1633718.82</v>
      </c>
      <c r="G15" s="667">
        <f>(F15-E15)</f>
        <v>821.11100000003353</v>
      </c>
      <c r="H15" s="486">
        <f>G15+'15'!H15</f>
        <v>-12970.179999999935</v>
      </c>
      <c r="I15" s="474">
        <f>'1'!I15</f>
        <v>800</v>
      </c>
      <c r="J15" s="553">
        <f>H15/DAY(B2)</f>
        <v>-810.63624999999593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274</v>
      </c>
      <c r="G16" s="672"/>
      <c r="H16" s="486"/>
      <c r="I16" s="482">
        <f>I15-J15</f>
        <v>1610.6362499999959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'15'!F18</f>
        <v>12</v>
      </c>
      <c r="F18" s="478">
        <v>10</v>
      </c>
      <c r="G18" s="697">
        <f>F18*10</f>
        <v>100</v>
      </c>
      <c r="H18" s="682">
        <f>G18+'15'!H18</f>
        <v>1900</v>
      </c>
      <c r="I18" s="683">
        <f>'1'!I18</f>
        <v>65</v>
      </c>
      <c r="J18" s="684">
        <f>H18/DAY(B2)</f>
        <v>118.75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'15'!F19</f>
        <v>135247</v>
      </c>
      <c r="F19" s="478">
        <v>135301</v>
      </c>
      <c r="G19" s="692">
        <f t="shared" ref="G19" si="1">F19-E19</f>
        <v>54</v>
      </c>
      <c r="H19" s="682">
        <f>G19+'15'!H19</f>
        <v>-789</v>
      </c>
      <c r="I19" s="699"/>
      <c r="J19" s="684">
        <f>H19/DAY(B2)</f>
        <v>-49.3125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154</v>
      </c>
      <c r="H20" s="682">
        <f>G20+'15'!H20</f>
        <v>1111</v>
      </c>
      <c r="I20" s="701">
        <f>I18-J20</f>
        <v>-4.4375</v>
      </c>
      <c r="J20" s="684">
        <f>H20/DAY(B2)</f>
        <v>69.4375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1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1" t="s">
        <v>149</v>
      </c>
      <c r="B23" s="589"/>
      <c r="C23" s="589"/>
      <c r="D23" s="523" t="s">
        <v>148</v>
      </c>
      <c r="E23" s="635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20521</v>
      </c>
      <c r="F27" s="501">
        <v>9</v>
      </c>
      <c r="G27" s="502">
        <f>E27*F27</f>
        <v>184689</v>
      </c>
      <c r="H27" s="460">
        <f>G27+'15'!H27</f>
        <v>-2961855</v>
      </c>
      <c r="I27" s="503"/>
      <c r="J27" s="552">
        <f>H27/DAY(B2)</f>
        <v>-185115.9375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821.11100000003353</v>
      </c>
      <c r="F28" s="501">
        <v>51.45</v>
      </c>
      <c r="G28" s="502">
        <f>E28*F28</f>
        <v>42246.160950001729</v>
      </c>
      <c r="H28" s="460">
        <f>G28+'15'!H28</f>
        <v>-667315.7609999968</v>
      </c>
      <c r="I28" s="505"/>
      <c r="J28" s="552">
        <f>H28/DAY(B2)</f>
        <v>-41707.2350624998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460">
        <f>G30+'15'!H30</f>
        <v>-104358</v>
      </c>
      <c r="I30" s="505"/>
      <c r="J30" s="552">
        <f>H30/DAY(B2)</f>
        <v>-6522.375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G31+'15'!H31</f>
        <v>152000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242171.16095000174</v>
      </c>
      <c r="H32" s="460">
        <f>G32+'15'!H32</f>
        <v>-3581528.7609999962</v>
      </c>
      <c r="I32" s="509"/>
      <c r="J32" s="552">
        <f>H32/DAY(B2)</f>
        <v>-223845.54756249976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213"/>
      <c r="C34" s="121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-50095.890000000014</v>
      </c>
      <c r="I35" s="455"/>
      <c r="J35" s="552">
        <f>H35/DAY(B2)</f>
        <v>-3130.9931250000009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-10568.25</v>
      </c>
      <c r="I36" s="455"/>
      <c r="J36" s="552">
        <f>H36/DAY(B2)</f>
        <v>-660.515625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-19630</v>
      </c>
      <c r="I37" s="455"/>
      <c r="J37" s="552">
        <f>H37/DAY(B2)</f>
        <v>-1226.875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-23975</v>
      </c>
      <c r="I38" s="455"/>
      <c r="J38" s="552">
        <f>H38/DAY(B2)</f>
        <v>-1498.4375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-52756</v>
      </c>
      <c r="I39" s="455"/>
      <c r="J39" s="552">
        <f>H39/DAY(B2)</f>
        <v>-3297.25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0.11000000000000001</v>
      </c>
      <c r="I40" s="455"/>
      <c r="J40" s="552">
        <f>H40/DAY(B2)</f>
        <v>6.8750000000000009E-3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-67761.989999999991</v>
      </c>
      <c r="I41" s="455"/>
      <c r="J41" s="552">
        <f>H41/DAY(B2)</f>
        <v>-4235.1243749999994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2.9999999969732016E-3</v>
      </c>
      <c r="I42" s="455"/>
      <c r="J42" s="552">
        <f>H42/DAY(B2)</f>
        <v>1.874999998108251E-4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-37240.010000000009</v>
      </c>
      <c r="I43" s="455"/>
      <c r="J43" s="552">
        <f>H43/DAY(B2)</f>
        <v>-2327.5006250000006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614</v>
      </c>
      <c r="I45" s="455"/>
      <c r="J45" s="552">
        <f>H45/DAY(B2)</f>
        <v>38.375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187.49</v>
      </c>
      <c r="I46" s="455"/>
      <c r="J46" s="552">
        <f>H46/DAY(B2)</f>
        <v>11.718125000000001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-261225.53700000007</v>
      </c>
      <c r="I47" s="455"/>
      <c r="J47" s="552">
        <f>H47/DAY(B2)</f>
        <v>-16326.596062500004</v>
      </c>
      <c r="K47" s="428"/>
      <c r="L47" s="377"/>
      <c r="N47" s="721"/>
      <c r="O47" s="728"/>
      <c r="P47" s="382"/>
    </row>
    <row r="48" spans="1:16">
      <c r="A48" s="598" t="s">
        <v>177</v>
      </c>
      <c r="B48" s="1213"/>
      <c r="C48" s="121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-20780.090000000026</v>
      </c>
      <c r="I50" s="455"/>
      <c r="J50" s="552">
        <f>H50/DAY(B2)</f>
        <v>-1298.7556250000016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-4846.2300000000105</v>
      </c>
      <c r="I51" s="455"/>
      <c r="J51" s="552">
        <f>H51/DAY(B2)</f>
        <v>-302.88937500000065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-5651.7700000000186</v>
      </c>
      <c r="I52" s="455"/>
      <c r="J52" s="552">
        <f>H52/DAY(B2)</f>
        <v>-353.23562500000116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-15324.330000000016</v>
      </c>
      <c r="I53" s="455"/>
      <c r="J53" s="552">
        <f>H53/DAY(B2)</f>
        <v>-957.77062500000102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2043.3300000000017</v>
      </c>
      <c r="I54" s="455"/>
      <c r="J54" s="552">
        <f>H54/DAY(B2)</f>
        <v>127.70812500000011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192357.17</v>
      </c>
      <c r="F55" s="656">
        <v>197432.77</v>
      </c>
      <c r="G55" s="655">
        <f t="shared" si="4"/>
        <v>5075.5999999999767</v>
      </c>
      <c r="H55" s="708">
        <f>G55+'15'!H55</f>
        <v>-23663.23000000001</v>
      </c>
      <c r="I55" s="709"/>
      <c r="J55" s="710">
        <f>H55/DAY(B2)</f>
        <v>-1478.9518750000007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588833.11</v>
      </c>
      <c r="F56" s="656">
        <v>588841.67000000004</v>
      </c>
      <c r="G56" s="473">
        <f t="shared" si="4"/>
        <v>8.5600000000558794</v>
      </c>
      <c r="H56" s="460">
        <f>G56+'15'!H56</f>
        <v>-125.32999999995809</v>
      </c>
      <c r="I56" s="455"/>
      <c r="J56" s="552">
        <f>H56/DAY(B2)</f>
        <v>-7.8331249999973807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38686.550000000003</v>
      </c>
      <c r="F58" s="656">
        <v>38860.85</v>
      </c>
      <c r="G58" s="473">
        <f t="shared" si="4"/>
        <v>174.29999999999563</v>
      </c>
      <c r="H58" s="460">
        <f>G58+'15'!H58</f>
        <v>-2882.1500000000015</v>
      </c>
      <c r="I58" s="455"/>
      <c r="J58" s="552">
        <f>H58/DAY(B2)</f>
        <v>-180.13437500000009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13825.579999999907</v>
      </c>
      <c r="H59" s="460">
        <f>G59+'15'!H59</f>
        <v>-71229.340000000055</v>
      </c>
      <c r="I59" s="455">
        <f>G7-G60</f>
        <v>402.75000000016735</v>
      </c>
      <c r="J59" s="552">
        <f>H59/DAY(B2)</f>
        <v>-4451.8337500000034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20046.249999999833</v>
      </c>
      <c r="H60" s="460">
        <f>G60+'15'!H60</f>
        <v>-318285.87700000009</v>
      </c>
      <c r="I60" s="455">
        <f>G13-G60</f>
        <v>-391.08999999985826</v>
      </c>
      <c r="J60" s="552">
        <f>H60/DAY(B2)</f>
        <v>-19892.867312500006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-174.27999999999997</v>
      </c>
      <c r="I63" s="515"/>
      <c r="J63" s="552">
        <f>H63/DAY(B2)</f>
        <v>-10.892499999999998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1235">
        <f>'15'!F64</f>
        <v>131347.10999999999</v>
      </c>
      <c r="F64" s="626">
        <v>131840.94</v>
      </c>
      <c r="G64" s="777">
        <f t="shared" si="5"/>
        <v>493.8300000000163</v>
      </c>
      <c r="H64" s="460">
        <f>G64+'15'!H64</f>
        <v>-7339.0599999999977</v>
      </c>
      <c r="I64" s="480"/>
      <c r="J64" s="552">
        <f>H64/DAY(B2)</f>
        <v>-458.69124999999985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'15'!F65</f>
        <v>138183.46</v>
      </c>
      <c r="F65" s="654">
        <v>138559.16</v>
      </c>
      <c r="G65" s="473">
        <f t="shared" si="5"/>
        <v>375.70000000001164</v>
      </c>
      <c r="H65" s="460">
        <f>G65+'15'!H65</f>
        <v>-5645.8399999999965</v>
      </c>
      <c r="I65" s="489"/>
      <c r="J65" s="552">
        <f>H65/DAY(B2)</f>
        <v>-352.86499999999978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-5892.869999999999</v>
      </c>
      <c r="I66" s="480"/>
      <c r="J66" s="552">
        <f>H66/DAY(B2)</f>
        <v>-368.30437499999994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-10390.290000000008</v>
      </c>
      <c r="I67" s="489"/>
      <c r="J67" s="552">
        <f>H67/DAY(B2)</f>
        <v>-649.39312500000051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-4999.4100000000035</v>
      </c>
      <c r="I68" s="516"/>
      <c r="J68" s="552">
        <f>H68/DAY(B2)</f>
        <v>-312.46312500000022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-4704.5200000000041</v>
      </c>
      <c r="I69" s="516"/>
      <c r="J69" s="552">
        <f>H69/DAY(B2)</f>
        <v>-294.03250000000025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'15'!F72</f>
        <v>851903</v>
      </c>
      <c r="F72" s="657">
        <v>852003</v>
      </c>
      <c r="G72" s="473">
        <f t="shared" ref="G72:G84" si="6">F72-E72</f>
        <v>100</v>
      </c>
      <c r="H72" s="460">
        <f>G72+'15'!H72</f>
        <v>-1266</v>
      </c>
      <c r="I72" s="480"/>
      <c r="J72" s="552">
        <f>H72/DAY(B2)</f>
        <v>-79.125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'15'!F73</f>
        <v>885777</v>
      </c>
      <c r="F73" s="658">
        <v>885777</v>
      </c>
      <c r="G73" s="655">
        <f t="shared" si="6"/>
        <v>0</v>
      </c>
      <c r="H73" s="460">
        <f>G73+'15'!H73</f>
        <v>-1468</v>
      </c>
      <c r="I73" s="480"/>
      <c r="J73" s="552">
        <f>H73/DAY(B2)</f>
        <v>-91.75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'15'!F74</f>
        <v>1026.95</v>
      </c>
      <c r="F74" s="658">
        <v>1045.3900000000001</v>
      </c>
      <c r="G74" s="473">
        <f t="shared" si="6"/>
        <v>18.440000000000055</v>
      </c>
      <c r="H74" s="460">
        <f>G74+'15'!H74</f>
        <v>-324.6099999999999</v>
      </c>
      <c r="I74" s="480"/>
      <c r="J74" s="552">
        <f>H74/DAY(B2)</f>
        <v>-20.288124999999994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'15'!F75</f>
        <v>6013.29</v>
      </c>
      <c r="F75" s="658">
        <v>6177.22</v>
      </c>
      <c r="G75" s="473">
        <f t="shared" si="6"/>
        <v>163.93000000000029</v>
      </c>
      <c r="H75" s="460">
        <f>G75+'15'!H75</f>
        <v>-2502.7799999999997</v>
      </c>
      <c r="I75" s="480"/>
      <c r="J75" s="552">
        <f>H75/DAY(B2)</f>
        <v>-156.42374999999998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'15'!F76</f>
        <v>2762.62</v>
      </c>
      <c r="F76" s="658">
        <v>2830.3</v>
      </c>
      <c r="G76" s="473">
        <f t="shared" si="6"/>
        <v>67.680000000000291</v>
      </c>
      <c r="H76" s="460">
        <f>G76+'15'!H76</f>
        <v>-2805.7</v>
      </c>
      <c r="I76" s="505"/>
      <c r="J76" s="552">
        <f>H76/DAY(B2)</f>
        <v>-175.35624999999999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'15'!F77</f>
        <v>699381</v>
      </c>
      <c r="F77" s="658">
        <v>699439</v>
      </c>
      <c r="G77" s="655">
        <f t="shared" si="6"/>
        <v>58</v>
      </c>
      <c r="H77" s="460">
        <f>G77+'15'!H77</f>
        <v>-775</v>
      </c>
      <c r="I77" s="505"/>
      <c r="J77" s="552">
        <f>H77/DAY(B2)</f>
        <v>-48.4375</v>
      </c>
      <c r="K77" s="430"/>
      <c r="L77" s="377"/>
      <c r="N77" s="721"/>
      <c r="O77" s="728"/>
      <c r="P77" s="382"/>
    </row>
    <row r="78" spans="1:16" ht="27.75">
      <c r="A78" s="1214" t="s">
        <v>197</v>
      </c>
      <c r="B78" s="1210"/>
      <c r="C78" s="1210"/>
      <c r="D78" s="523" t="s">
        <v>187</v>
      </c>
      <c r="E78" s="519">
        <f>'15'!F78</f>
        <v>658895</v>
      </c>
      <c r="F78" s="659">
        <v>659318</v>
      </c>
      <c r="G78" s="473">
        <f t="shared" si="6"/>
        <v>423</v>
      </c>
      <c r="H78" s="460">
        <f>G78+'15'!H78</f>
        <v>-6062</v>
      </c>
      <c r="I78" s="505"/>
      <c r="J78" s="552">
        <f>H78/DAY(B2)</f>
        <v>-378.875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'15'!F79</f>
        <v>818194</v>
      </c>
      <c r="F79" s="659">
        <v>818400</v>
      </c>
      <c r="G79" s="473">
        <f t="shared" si="6"/>
        <v>206</v>
      </c>
      <c r="H79" s="460">
        <f>G79+'15'!H79</f>
        <v>-6716</v>
      </c>
      <c r="I79" s="505"/>
      <c r="J79" s="552">
        <f>H79/DAY(B2)</f>
        <v>-419.75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'15'!F80</f>
        <v>500014.52</v>
      </c>
      <c r="F80" s="658">
        <v>500368.36</v>
      </c>
      <c r="G80" s="473">
        <f t="shared" si="6"/>
        <v>353.8399999999674</v>
      </c>
      <c r="H80" s="460">
        <f>G80+'15'!H80</f>
        <v>-2349.640000000014</v>
      </c>
      <c r="I80" s="505"/>
      <c r="J80" s="552">
        <f>H80/DAY(B2)</f>
        <v>-146.85250000000087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'15'!F81</f>
        <v>627559.16</v>
      </c>
      <c r="F81" s="658">
        <v>627667.31999999995</v>
      </c>
      <c r="G81" s="473">
        <f t="shared" si="6"/>
        <v>108.15999999991618</v>
      </c>
      <c r="H81" s="460">
        <f>G81+'15'!H81</f>
        <v>-2517.6800000000512</v>
      </c>
      <c r="I81" s="505"/>
      <c r="J81" s="552">
        <f>H81/DAY(B2)</f>
        <v>-157.3550000000032</v>
      </c>
      <c r="K81" s="430"/>
      <c r="L81" s="377"/>
      <c r="N81" s="721"/>
      <c r="O81" s="728"/>
      <c r="P81" s="382"/>
    </row>
    <row r="82" spans="1:16" s="441" customFormat="1" ht="27.75">
      <c r="A82" s="1487" t="s">
        <v>93</v>
      </c>
      <c r="B82" s="1488"/>
      <c r="C82" s="1489"/>
      <c r="D82" s="654" t="s">
        <v>132</v>
      </c>
      <c r="E82" s="520">
        <f>'15'!F82</f>
        <v>106537.94</v>
      </c>
      <c r="F82" s="654">
        <v>106562.23</v>
      </c>
      <c r="G82" s="655">
        <f t="shared" si="6"/>
        <v>24.289999999993597</v>
      </c>
      <c r="H82" s="708">
        <f>G82+'15'!H82</f>
        <v>-332.77000000000407</v>
      </c>
      <c r="I82" s="708"/>
      <c r="J82" s="710">
        <f>H82/DAY(B2)</f>
        <v>-20.798125000000255</v>
      </c>
      <c r="K82" s="1324"/>
      <c r="L82" s="1111"/>
      <c r="N82" s="721"/>
      <c r="O82" s="730"/>
      <c r="P82" s="716"/>
    </row>
    <row r="83" spans="1:16" ht="27.75">
      <c r="A83" s="1413" t="s">
        <v>200</v>
      </c>
      <c r="B83" s="1414"/>
      <c r="C83" s="1415"/>
      <c r="D83" s="620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-4131</v>
      </c>
      <c r="I83" s="481"/>
      <c r="J83" s="552">
        <f>H83/DAY(B2)</f>
        <v>-258.1875</v>
      </c>
      <c r="K83" s="429"/>
      <c r="L83" s="377"/>
      <c r="N83" s="721"/>
      <c r="O83" s="728"/>
      <c r="P83" s="382"/>
    </row>
    <row r="84" spans="1:16">
      <c r="A84" s="1217" t="s">
        <v>201</v>
      </c>
      <c r="B84" s="571"/>
      <c r="C84" s="571"/>
      <c r="D84" s="478" t="s">
        <v>132</v>
      </c>
      <c r="E84" s="519">
        <f>'15'!F84</f>
        <v>442680</v>
      </c>
      <c r="F84" s="627">
        <v>443372</v>
      </c>
      <c r="G84" s="473">
        <f t="shared" si="6"/>
        <v>692</v>
      </c>
      <c r="H84" s="460">
        <f>G84+'15'!H84</f>
        <v>-11312</v>
      </c>
      <c r="I84" s="481"/>
      <c r="J84" s="552">
        <f>H84/DAY(B2)</f>
        <v>-707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2456.3399999998778</v>
      </c>
      <c r="H85" s="460">
        <f>G85+'15'!H85</f>
        <v>-38507.180000000066</v>
      </c>
      <c r="I85" s="481"/>
      <c r="J85" s="552">
        <f>H85/DAY(B2)</f>
        <v>-2406.6987500000041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452220.52</v>
      </c>
      <c r="F86" s="650">
        <v>452333.56</v>
      </c>
      <c r="G86" s="708">
        <f t="shared" ref="G86:G90" si="7">F86-E86</f>
        <v>113.03999999997905</v>
      </c>
      <c r="H86" s="708">
        <f t="shared" ref="H86:H88" si="8">G86</f>
        <v>113.03999999997905</v>
      </c>
      <c r="I86" s="655"/>
      <c r="J86" s="710">
        <f>H86/DAY(B2)</f>
        <v>7.0649999999986903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79643.5</v>
      </c>
      <c r="F87" s="650">
        <v>79673.399999999994</v>
      </c>
      <c r="G87" s="708">
        <f t="shared" si="7"/>
        <v>29.899999999994179</v>
      </c>
      <c r="H87" s="708">
        <f t="shared" si="8"/>
        <v>29.899999999994179</v>
      </c>
      <c r="I87" s="655"/>
      <c r="J87" s="710">
        <f>H87/DAY(B2)</f>
        <v>1.8687499999996362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149355.45000000001</v>
      </c>
      <c r="F88" s="650">
        <v>149472.95999999999</v>
      </c>
      <c r="G88" s="708">
        <f t="shared" si="7"/>
        <v>117.50999999998021</v>
      </c>
      <c r="H88" s="708">
        <f t="shared" si="8"/>
        <v>117.50999999998021</v>
      </c>
      <c r="I88" s="655"/>
      <c r="J88" s="710">
        <f>H88/DAY(B2)</f>
        <v>7.3443749999987631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62715.4</v>
      </c>
      <c r="F89" s="650">
        <v>62774.6</v>
      </c>
      <c r="G89" s="708">
        <f t="shared" si="7"/>
        <v>59.19999999999709</v>
      </c>
      <c r="H89" s="708">
        <f>G89</f>
        <v>59.19999999999709</v>
      </c>
      <c r="I89" s="655"/>
      <c r="J89" s="710">
        <f>H89/DAY(B2)</f>
        <v>3.6999999999998181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3226.2</v>
      </c>
      <c r="F90" s="650">
        <v>3229.8</v>
      </c>
      <c r="G90" s="708">
        <f t="shared" si="7"/>
        <v>3.6000000000003638</v>
      </c>
      <c r="H90" s="708">
        <f>G90</f>
        <v>3.6000000000003638</v>
      </c>
      <c r="I90" s="655"/>
      <c r="J90" s="710">
        <f>H90/DAY(B2)</f>
        <v>0.22500000000002274</v>
      </c>
      <c r="K90" s="736"/>
      <c r="L90" s="737"/>
      <c r="N90" s="781"/>
      <c r="O90" s="382"/>
    </row>
    <row r="91" spans="1:16" s="379" customFormat="1">
      <c r="A91" s="606" t="s">
        <v>205</v>
      </c>
      <c r="B91" s="1215"/>
      <c r="C91" s="1215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-1432</v>
      </c>
      <c r="I92" s="480"/>
      <c r="J92" s="552">
        <f>H92/DAY(B2)</f>
        <v>-89.5</v>
      </c>
      <c r="K92" s="429"/>
      <c r="L92" s="377"/>
      <c r="N92" s="721"/>
      <c r="O92" s="728"/>
      <c r="P92" s="382"/>
    </row>
    <row r="93" spans="1:16" ht="27.75">
      <c r="A93" s="1437" t="s">
        <v>207</v>
      </c>
      <c r="B93" s="1438"/>
      <c r="C93" s="1439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-1971</v>
      </c>
      <c r="I93" s="480"/>
      <c r="J93" s="552">
        <f>H93/DAY(B2)</f>
        <v>-123.1875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-3622</v>
      </c>
      <c r="I94" s="480"/>
      <c r="J94" s="552">
        <f>H94/DAY(B2)</f>
        <v>-226.375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-1268</v>
      </c>
      <c r="I95" s="480"/>
      <c r="J95" s="552">
        <f>H95/DAY(B2)</f>
        <v>-79.25</v>
      </c>
      <c r="K95" s="380"/>
      <c r="L95" s="377"/>
      <c r="N95" s="721"/>
      <c r="O95" s="728"/>
      <c r="P95" s="382"/>
    </row>
    <row r="96" spans="1:16" ht="27.75">
      <c r="A96" s="1211" t="s">
        <v>210</v>
      </c>
      <c r="B96" s="1212"/>
      <c r="C96" s="1212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-264</v>
      </c>
      <c r="I96" s="480"/>
      <c r="J96" s="552">
        <f>H96/DAY(B2)</f>
        <v>-16.5</v>
      </c>
      <c r="K96" s="427"/>
      <c r="L96" s="377"/>
      <c r="N96" s="721"/>
      <c r="O96" s="728"/>
      <c r="P96" s="382"/>
    </row>
    <row r="97" spans="1:16" ht="27.75">
      <c r="A97" s="1211" t="s">
        <v>211</v>
      </c>
      <c r="B97" s="1212"/>
      <c r="C97" s="1212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-296</v>
      </c>
      <c r="I97" s="480"/>
      <c r="J97" s="552">
        <f>H97/DAY(B2)</f>
        <v>-18.5</v>
      </c>
      <c r="K97" s="432"/>
      <c r="L97" s="377"/>
      <c r="N97" s="721">
        <v>96617</v>
      </c>
      <c r="O97" s="728"/>
      <c r="P97" s="382"/>
    </row>
    <row r="98" spans="1:16" ht="27.75">
      <c r="A98" s="1211" t="s">
        <v>212</v>
      </c>
      <c r="B98" s="1212"/>
      <c r="C98" s="1212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-484</v>
      </c>
      <c r="I98" s="480"/>
      <c r="J98" s="552">
        <f>H98/DAY(B2)</f>
        <v>-30.25</v>
      </c>
      <c r="K98" s="380"/>
      <c r="L98" s="377"/>
      <c r="N98" s="723"/>
      <c r="O98" s="728"/>
      <c r="P98" s="382"/>
    </row>
    <row r="99" spans="1:16" ht="27.75">
      <c r="A99" s="1211" t="s">
        <v>213</v>
      </c>
      <c r="B99" s="1212"/>
      <c r="C99" s="1212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-209</v>
      </c>
      <c r="I99" s="480"/>
      <c r="J99" s="552">
        <f>H99/DAY(B2)</f>
        <v>-13.0625</v>
      </c>
      <c r="K99" s="380"/>
      <c r="L99" s="377"/>
      <c r="N99" s="721"/>
      <c r="O99" s="728"/>
      <c r="P99" s="382"/>
    </row>
    <row r="100" spans="1:16" ht="27.75">
      <c r="A100" s="1211" t="s">
        <v>214</v>
      </c>
      <c r="B100" s="1212"/>
      <c r="C100" s="1212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-199</v>
      </c>
      <c r="I100" s="480"/>
      <c r="J100" s="552">
        <f>H100/DAY(B2)</f>
        <v>-12.4375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33</v>
      </c>
      <c r="H101" s="460">
        <f>G101+'15'!H101</f>
        <v>-2720</v>
      </c>
      <c r="I101" s="526"/>
      <c r="J101" s="552">
        <f>H101/DAY(B2)</f>
        <v>-170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216"/>
      <c r="D104" s="622" t="s">
        <v>144</v>
      </c>
      <c r="E104" s="484">
        <f>'15'!F104</f>
        <v>7240</v>
      </c>
      <c r="F104" s="1323">
        <v>7240</v>
      </c>
      <c r="G104" s="532">
        <f>F104-E104</f>
        <v>0</v>
      </c>
      <c r="H104" s="533">
        <f>SUM(G104+'1'!G76)</f>
        <v>59</v>
      </c>
      <c r="I104" s="532"/>
      <c r="J104" s="558">
        <f>H104/DAY(B2)</f>
        <v>3.6875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216"/>
      <c r="D105" s="622" t="s">
        <v>144</v>
      </c>
      <c r="E105" s="484">
        <f>'15'!F105</f>
        <v>35521</v>
      </c>
      <c r="F105" s="662">
        <v>35529</v>
      </c>
      <c r="G105" s="532">
        <f t="shared" ref="G105:G106" si="11">F105-E105</f>
        <v>8</v>
      </c>
      <c r="H105" s="533">
        <f>SUM(G105+'1'!G77)</f>
        <v>58</v>
      </c>
      <c r="I105" s="532"/>
      <c r="J105" s="558">
        <f>H105/DAY(B2)</f>
        <v>3.625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'15'!F106</f>
        <v>19329</v>
      </c>
      <c r="F106" s="662">
        <v>19336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25.125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216"/>
      <c r="D107" s="622"/>
      <c r="E107" s="484">
        <f>'15'!F107</f>
        <v>0</v>
      </c>
      <c r="F107" s="662"/>
      <c r="G107" s="532">
        <f>SUM(G104:G106)</f>
        <v>15</v>
      </c>
      <c r="H107" s="533">
        <f>SUM(G107+'1'!G79)</f>
        <v>209</v>
      </c>
      <c r="I107" s="532"/>
      <c r="J107" s="558">
        <f>H107/DAY(B2)</f>
        <v>13.0625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216"/>
      <c r="D108" s="622" t="s">
        <v>144</v>
      </c>
      <c r="E108" s="484">
        <f>'15'!F108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216"/>
      <c r="D109" s="622" t="s">
        <v>144</v>
      </c>
      <c r="E109" s="484">
        <f>'15'!F109</f>
        <v>57524</v>
      </c>
      <c r="F109" s="662">
        <v>57577</v>
      </c>
      <c r="G109" s="532">
        <f>F109-E109</f>
        <v>53</v>
      </c>
      <c r="H109" s="533">
        <f>SUM(G109+'1'!G81)</f>
        <v>251</v>
      </c>
      <c r="I109" s="532"/>
      <c r="J109" s="558">
        <f>H109/DAY(B2)</f>
        <v>15.6875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216"/>
      <c r="D110" s="622" t="s">
        <v>144</v>
      </c>
      <c r="E110" s="484">
        <f>'15'!F110</f>
        <v>31256</v>
      </c>
      <c r="F110" s="662">
        <v>31282</v>
      </c>
      <c r="G110" s="532">
        <f t="shared" ref="G110:G111" si="12">F110-E110</f>
        <v>26</v>
      </c>
      <c r="H110" s="533">
        <f>SUM(G110+'1'!G82)</f>
        <v>49</v>
      </c>
      <c r="I110" s="532"/>
      <c r="J110" s="558">
        <f>H110/DAY(B2)</f>
        <v>3.0625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216"/>
      <c r="D111" s="622" t="s">
        <v>144</v>
      </c>
      <c r="E111" s="484">
        <f>'15'!F111</f>
        <v>4064</v>
      </c>
      <c r="F111" s="662">
        <v>4064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14.9375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216"/>
      <c r="D112" s="622"/>
      <c r="E112" s="484">
        <f>'15'!F112</f>
        <v>0</v>
      </c>
      <c r="F112" s="662"/>
      <c r="G112" s="532">
        <f>SUM(G109:G111)</f>
        <v>79</v>
      </c>
      <c r="H112" s="533">
        <f>SUM(G112+'1'!G84)</f>
        <v>994</v>
      </c>
      <c r="I112" s="532"/>
      <c r="J112" s="558">
        <f>H112/DAY(B2)</f>
        <v>62.125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216"/>
      <c r="D113" s="622"/>
      <c r="E113" s="484">
        <f>'15'!F113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'15'!F114</f>
        <v>10575</v>
      </c>
      <c r="F114" s="662">
        <v>10607</v>
      </c>
      <c r="G114" s="534">
        <f>F114-E114</f>
        <v>32</v>
      </c>
      <c r="H114" s="533">
        <f>SUM(G114+'1'!G91)</f>
        <v>32</v>
      </c>
      <c r="I114" s="532"/>
      <c r="J114" s="558">
        <f>H114/DAY(B2)</f>
        <v>2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'15'!F115</f>
        <v>7825</v>
      </c>
      <c r="F115" s="662">
        <v>7825</v>
      </c>
      <c r="G115" s="534">
        <f t="shared" ref="G115:G116" si="13">F115-E115</f>
        <v>0</v>
      </c>
      <c r="H115" s="533">
        <f>SUM(G115+'1'!G92)</f>
        <v>92</v>
      </c>
      <c r="I115" s="532"/>
      <c r="J115" s="558">
        <f>H115/DAY(B2)</f>
        <v>5.75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7.9375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32</v>
      </c>
      <c r="H117" s="533">
        <f>SUM(G117+'1'!G95)</f>
        <v>109</v>
      </c>
      <c r="I117" s="534"/>
      <c r="J117" s="558">
        <f>H117/DAY(B2)</f>
        <v>6.8125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219"/>
      <c r="D118" s="624" t="s">
        <v>144</v>
      </c>
      <c r="E118" s="536"/>
      <c r="F118" s="663">
        <f>SUM(G19+G92)</f>
        <v>129</v>
      </c>
      <c r="G118" s="536">
        <f>SUM(G19+G92)</f>
        <v>129</v>
      </c>
      <c r="H118" s="533">
        <f>SUM(G118+'1'!G96)</f>
        <v>146</v>
      </c>
      <c r="I118" s="535"/>
      <c r="J118" s="559">
        <f>H118/DAY(B2)</f>
        <v>9.125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219"/>
      <c r="D119" s="624" t="s">
        <v>144</v>
      </c>
      <c r="E119" s="536"/>
      <c r="F119" s="663">
        <f>SUM(G95,G96,G97,G99,G100)</f>
        <v>23</v>
      </c>
      <c r="G119" s="536">
        <f>SUM(G95,G96,G97,G99,G100)</f>
        <v>23</v>
      </c>
      <c r="H119" s="533">
        <f>SUM(G119+'1'!G98)</f>
        <v>51</v>
      </c>
      <c r="I119" s="535"/>
      <c r="J119" s="559">
        <f>H119/DAY(B2)</f>
        <v>3.1875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219"/>
      <c r="D120" s="624" t="s">
        <v>144</v>
      </c>
      <c r="E120" s="534"/>
      <c r="F120" s="662">
        <f>SUM(G112)</f>
        <v>79</v>
      </c>
      <c r="G120" s="534">
        <f>SUM(G112)</f>
        <v>79</v>
      </c>
      <c r="H120" s="533">
        <f>SUM(G120+'1'!G100)</f>
        <v>85</v>
      </c>
      <c r="I120" s="535"/>
      <c r="J120" s="559">
        <f>H120/DAY(B2)</f>
        <v>5.3125</v>
      </c>
      <c r="N120" s="721"/>
      <c r="O120" s="728"/>
      <c r="P120" s="382"/>
    </row>
    <row r="121" spans="1:16" s="442" customFormat="1" ht="27.75">
      <c r="A121" s="1427"/>
      <c r="B121" s="1428"/>
      <c r="C121" s="1220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11" t="s">
        <v>231</v>
      </c>
      <c r="B123" s="1212"/>
      <c r="C123" s="1212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-3789.0899999999674</v>
      </c>
      <c r="I123" s="526"/>
      <c r="J123" s="552">
        <f>H123/DAY(B2)</f>
        <v>-236.81812499999796</v>
      </c>
      <c r="K123" s="380"/>
      <c r="L123" s="377"/>
      <c r="N123" s="721"/>
      <c r="O123" s="728"/>
      <c r="P123" s="382"/>
    </row>
    <row r="124" spans="1:16" ht="27.75">
      <c r="A124" s="1211" t="s">
        <v>232</v>
      </c>
      <c r="B124" s="1212"/>
      <c r="C124" s="1212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-1125.820000000007</v>
      </c>
      <c r="I125" s="526"/>
      <c r="J125" s="552">
        <f>H125/DAY(B2)</f>
        <v>-70.363750000000437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12"/>
      <c r="C126" s="1212"/>
      <c r="D126" s="523" t="s">
        <v>141</v>
      </c>
      <c r="E126" s="626">
        <f>'15'!F126</f>
        <v>59662.9</v>
      </c>
      <c r="F126" s="626">
        <v>59679</v>
      </c>
      <c r="G126" s="473">
        <f t="shared" si="14"/>
        <v>16.099999999998545</v>
      </c>
      <c r="H126" s="460">
        <f>G126+'15'!H126</f>
        <v>28360.3</v>
      </c>
      <c r="I126" s="526"/>
      <c r="J126" s="552">
        <f>H126/DAY(B2)</f>
        <v>1772.51875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12"/>
      <c r="C127" s="1212"/>
      <c r="D127" s="523" t="s">
        <v>141</v>
      </c>
      <c r="E127" s="626">
        <f>'15'!F127</f>
        <v>8925.7999999999993</v>
      </c>
      <c r="F127" s="626">
        <v>8926.4</v>
      </c>
      <c r="G127" s="473">
        <f t="shared" si="14"/>
        <v>0.6000000000003638</v>
      </c>
      <c r="H127" s="460">
        <f>G127+'15'!H127</f>
        <v>-35.600000000000364</v>
      </c>
      <c r="I127" s="480"/>
      <c r="J127" s="552">
        <f>H127/DAY(B2)</f>
        <v>-2.2250000000000227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12"/>
      <c r="C128" s="1212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2">
        <f>H128/DAY(B2)</f>
        <v>32.385687499999108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11" t="s">
        <v>238</v>
      </c>
      <c r="B130" s="1212"/>
      <c r="C130" s="1212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11" t="s">
        <v>240</v>
      </c>
      <c r="B131" s="1212"/>
      <c r="C131" s="1212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1" t="s">
        <v>241</v>
      </c>
      <c r="B132" s="1212"/>
      <c r="C132" s="1212"/>
      <c r="D132" s="523" t="s">
        <v>239</v>
      </c>
      <c r="E132" s="541">
        <f>'15'!F132</f>
        <v>39219</v>
      </c>
      <c r="F132" s="654">
        <v>39219</v>
      </c>
      <c r="G132" s="473">
        <f t="shared" si="15"/>
        <v>0</v>
      </c>
      <c r="H132" s="460">
        <f>G132+'15'!H132</f>
        <v>-314</v>
      </c>
      <c r="I132" s="480"/>
      <c r="J132" s="552">
        <f>H132/DAY(B2)</f>
        <v>-19.625</v>
      </c>
      <c r="N132" s="721"/>
      <c r="O132" s="728"/>
      <c r="P132" s="382"/>
    </row>
    <row r="133" spans="1:16" ht="27.75">
      <c r="A133" s="1211" t="s">
        <v>242</v>
      </c>
      <c r="B133" s="1212"/>
      <c r="C133" s="1212"/>
      <c r="D133" s="523" t="s">
        <v>239</v>
      </c>
      <c r="E133" s="704">
        <f>'15'!F133</f>
        <v>299</v>
      </c>
      <c r="F133" s="626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2">
        <f>H133/DAY(B2)</f>
        <v>-6.25E-2</v>
      </c>
      <c r="N133" s="721"/>
      <c r="O133" s="728"/>
      <c r="P133" s="382"/>
    </row>
    <row r="134" spans="1:16" ht="27.75">
      <c r="A134" s="1211" t="s">
        <v>243</v>
      </c>
      <c r="B134" s="1212"/>
      <c r="C134" s="1212"/>
      <c r="D134" s="523" t="s">
        <v>239</v>
      </c>
      <c r="E134" s="704">
        <f>'15'!F134</f>
        <v>40723</v>
      </c>
      <c r="F134" s="626">
        <v>40747.29</v>
      </c>
      <c r="G134" s="473">
        <f t="shared" si="15"/>
        <v>24.290000000000873</v>
      </c>
      <c r="H134" s="460">
        <f>G134+'15'!H134</f>
        <v>-91.709999999999127</v>
      </c>
      <c r="I134" s="480"/>
      <c r="J134" s="552">
        <f>H134/DAY(B2)</f>
        <v>-5.7318749999999454</v>
      </c>
      <c r="N134" s="721"/>
      <c r="O134" s="728"/>
      <c r="P134" s="382"/>
    </row>
    <row r="135" spans="1:16" ht="27.75">
      <c r="A135" s="1211" t="s">
        <v>244</v>
      </c>
      <c r="B135" s="1212"/>
      <c r="C135" s="1212"/>
      <c r="D135" s="523" t="s">
        <v>239</v>
      </c>
      <c r="E135" s="541">
        <f>'15'!F135</f>
        <v>32582.98</v>
      </c>
      <c r="F135" s="654">
        <v>32582.92</v>
      </c>
      <c r="G135" s="473">
        <f t="shared" si="15"/>
        <v>-6.0000000001309672E-2</v>
      </c>
      <c r="H135" s="460">
        <f>G135+'15'!H135</f>
        <v>-8.000000000174623E-2</v>
      </c>
      <c r="I135" s="480"/>
      <c r="J135" s="552">
        <f>H135/DAY(B2)</f>
        <v>-5.0000000001091394E-3</v>
      </c>
      <c r="N135" s="721"/>
      <c r="O135" s="728"/>
      <c r="P135" s="382"/>
    </row>
    <row r="136" spans="1:16" ht="27.75">
      <c r="A136" s="1211" t="s">
        <v>245</v>
      </c>
      <c r="B136" s="1212"/>
      <c r="C136" s="1212"/>
      <c r="D136" s="523" t="s">
        <v>239</v>
      </c>
      <c r="E136" s="541">
        <f>'15'!F136</f>
        <v>22351.279999999999</v>
      </c>
      <c r="F136" s="654">
        <v>22360.01</v>
      </c>
      <c r="G136" s="473">
        <f t="shared" si="15"/>
        <v>8.7299999999995634</v>
      </c>
      <c r="H136" s="460">
        <f>G136+'15'!H136</f>
        <v>-128.64000000000306</v>
      </c>
      <c r="I136" s="480">
        <f>G134+G135+G136</f>
        <v>32.959999999999127</v>
      </c>
      <c r="J136" s="552">
        <f>H136/DAY(B2)</f>
        <v>-8.040000000000191</v>
      </c>
      <c r="N136" s="721"/>
      <c r="O136" s="728"/>
      <c r="P136" s="382"/>
    </row>
    <row r="137" spans="1:16" ht="27.75">
      <c r="A137" s="1211" t="s">
        <v>246</v>
      </c>
      <c r="B137" s="1212"/>
      <c r="C137" s="1212"/>
      <c r="D137" s="523" t="s">
        <v>239</v>
      </c>
      <c r="E137" s="541">
        <f>'15'!F137</f>
        <v>25044.37</v>
      </c>
      <c r="F137" s="654">
        <v>25044.31</v>
      </c>
      <c r="G137" s="473">
        <f t="shared" si="15"/>
        <v>-5.9999999997671694E-2</v>
      </c>
      <c r="H137" s="460">
        <f>G137+'15'!H137</f>
        <v>-4.4799999999995634</v>
      </c>
      <c r="I137" s="480"/>
      <c r="J137" s="552">
        <f>H137/DAY(B2)</f>
        <v>-0.27999999999997272</v>
      </c>
      <c r="N137" s="721"/>
      <c r="O137" s="728"/>
      <c r="P137" s="382"/>
    </row>
    <row r="138" spans="1:16" ht="27.75">
      <c r="A138" s="1211" t="s">
        <v>247</v>
      </c>
      <c r="B138" s="1212"/>
      <c r="C138" s="1212"/>
      <c r="D138" s="523" t="s">
        <v>239</v>
      </c>
      <c r="E138" s="541">
        <f>'15'!F138</f>
        <v>70210.460000000006</v>
      </c>
      <c r="F138" s="654">
        <v>70213.56</v>
      </c>
      <c r="G138" s="473">
        <f t="shared" si="15"/>
        <v>3.0999999999912689</v>
      </c>
      <c r="H138" s="460">
        <f>G138+'15'!H138</f>
        <v>-40.470000000001164</v>
      </c>
      <c r="I138" s="480">
        <f>G137+G138</f>
        <v>3.0399999999935972</v>
      </c>
      <c r="J138" s="552">
        <f>H138/DAY(B2)</f>
        <v>-2.5293750000000728</v>
      </c>
      <c r="N138" s="721"/>
      <c r="O138" s="728"/>
      <c r="P138" s="382"/>
    </row>
    <row r="139" spans="1:16" ht="27.75">
      <c r="A139" s="1211" t="s">
        <v>248</v>
      </c>
      <c r="B139" s="1212"/>
      <c r="C139" s="1212"/>
      <c r="D139" s="523" t="s">
        <v>239</v>
      </c>
      <c r="E139" s="704">
        <f>'15'!F139</f>
        <v>1532.37</v>
      </c>
      <c r="F139" s="626">
        <v>1536.52</v>
      </c>
      <c r="G139" s="473">
        <f t="shared" si="15"/>
        <v>4.1500000000000909</v>
      </c>
      <c r="H139" s="460">
        <f>G139+'15'!H139</f>
        <v>0</v>
      </c>
      <c r="I139" s="542"/>
      <c r="J139" s="552">
        <f>H139/DAY(B2)</f>
        <v>0</v>
      </c>
      <c r="N139" s="721"/>
      <c r="O139" s="728"/>
      <c r="P139" s="382"/>
    </row>
    <row r="140" spans="1:16" ht="27.75">
      <c r="A140" s="1211" t="s">
        <v>249</v>
      </c>
      <c r="B140" s="1212"/>
      <c r="C140" s="1212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-132.05000000000018</v>
      </c>
      <c r="I140" s="542"/>
      <c r="J140" s="552">
        <f>H140/DAY(B2)</f>
        <v>-8.2531250000000114</v>
      </c>
      <c r="N140" s="721"/>
      <c r="O140" s="728"/>
      <c r="P140" s="382"/>
    </row>
    <row r="141" spans="1:16">
      <c r="A141" s="1443" t="s">
        <v>313</v>
      </c>
      <c r="B141" s="1444"/>
      <c r="C141" s="121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-87335.440000000017</v>
      </c>
      <c r="I142" s="480"/>
      <c r="J142" s="552">
        <f>H142/DAY(B2)</f>
        <v>-5458.4650000000011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0.27404371851923937</v>
      </c>
      <c r="H143" s="460">
        <f>G143+'15'!H143</f>
        <v>4.4000485500787629</v>
      </c>
      <c r="I143" s="544"/>
      <c r="J143" s="552">
        <f>H143/DAY(B2)</f>
        <v>0.27500303437992268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-86551.546999999962</v>
      </c>
      <c r="I144" s="480"/>
      <c r="J144" s="552">
        <f>H144/DAY(B2)</f>
        <v>-5409.4716874999976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0.24862633869627035</v>
      </c>
      <c r="H145" s="460">
        <f>G145+'15'!H145</f>
        <v>4.2108184456512054</v>
      </c>
      <c r="I145" s="544"/>
      <c r="J145" s="552">
        <f>H145/DAY(B2)</f>
        <v>0.26317615285320034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-63895.330000000016</v>
      </c>
      <c r="I146" s="545"/>
      <c r="J146" s="552">
        <f>H146/DAY(B2)</f>
        <v>-3993.458125000001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0.2031131106655564</v>
      </c>
      <c r="H147" s="460">
        <f>G147+'15'!H147</f>
        <v>3.0850761362413222</v>
      </c>
      <c r="I147" s="545"/>
      <c r="J147" s="552">
        <f>H147/DAY(B2)</f>
        <v>0.19281725851508263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-27580.770000000019</v>
      </c>
      <c r="I148" s="480"/>
      <c r="J148" s="552">
        <f>H148/DAY(B2)</f>
        <v>-1723.7981250000012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8.6083427062445539E-2</v>
      </c>
      <c r="H149" s="460">
        <f>G149+'15'!H149</f>
        <v>1.365566512356797</v>
      </c>
      <c r="I149" s="545"/>
      <c r="J149" s="552">
        <f>H149/DAY(B2)</f>
        <v>8.5347907022299815E-2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-30154.340000000026</v>
      </c>
      <c r="I150" s="545"/>
      <c r="J150" s="552">
        <f>H150/DAY(B2)</f>
        <v>-1884.6462500000016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8.2399628343683834E-2</v>
      </c>
      <c r="H151" s="460">
        <f>G151+'15'!H151</f>
        <v>1.4201676543550907</v>
      </c>
      <c r="I151" s="480"/>
      <c r="J151" s="552">
        <f>H151/DAY(B2)</f>
        <v>8.8760478397193171E-2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-22927.23000000001</v>
      </c>
      <c r="I152" s="480"/>
      <c r="J152" s="552">
        <f>H152/DAY(B2)</f>
        <v>-1432.9518750000007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7.7514792899407145E-2</v>
      </c>
      <c r="H153" s="460">
        <f>G153+'15'!H153</f>
        <v>1.1061434417657747</v>
      </c>
      <c r="I153" s="568"/>
      <c r="J153" s="569">
        <f>H153/DAY(B2)</f>
        <v>6.913396511036092E-2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'15'!F160</f>
        <v>32075.31</v>
      </c>
      <c r="F160" s="807">
        <v>32159.5</v>
      </c>
      <c r="G160" s="473">
        <f t="shared" ref="G160:G163" si="16">F160-E160</f>
        <v>84.18999999999869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'15'!F161</f>
        <v>61874.59</v>
      </c>
      <c r="F161" s="807">
        <v>62295.29</v>
      </c>
      <c r="G161" s="473">
        <f t="shared" si="16"/>
        <v>420.70000000000437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'15'!F162</f>
        <v>24786.014999999999</v>
      </c>
      <c r="F162" s="787">
        <v>25060.05</v>
      </c>
      <c r="G162" s="473">
        <f t="shared" si="16"/>
        <v>274.03499999999985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'15'!F163</f>
        <v>5606.2</v>
      </c>
      <c r="F163" s="807">
        <v>5614</v>
      </c>
      <c r="G163" s="473">
        <f t="shared" si="16"/>
        <v>7.8000000000001819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1"/>
    </row>
    <row r="166" spans="1:14" ht="27.75">
      <c r="A166" s="1480" t="s">
        <v>99</v>
      </c>
      <c r="B166" s="1480"/>
      <c r="C166" s="1480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1"/>
    </row>
    <row r="167" spans="1:14" ht="27.75">
      <c r="A167" s="1480" t="s">
        <v>100</v>
      </c>
      <c r="B167" s="1480"/>
      <c r="C167" s="1480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1"/>
    </row>
    <row r="168" spans="1:14" ht="27.75">
      <c r="A168" s="1480" t="s">
        <v>101</v>
      </c>
      <c r="B168" s="1480"/>
      <c r="C168" s="1480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1"/>
    </row>
    <row r="169" spans="1:14" ht="27.75">
      <c r="A169" s="1480" t="s">
        <v>102</v>
      </c>
      <c r="B169" s="1480"/>
      <c r="C169" s="1480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1"/>
    </row>
    <row r="170" spans="1:14" ht="27.75">
      <c r="A170" s="1480" t="s">
        <v>103</v>
      </c>
      <c r="B170" s="1480"/>
      <c r="C170" s="1480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3361.2850000000253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3.2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5" zoomScale="55" zoomScaleSheetLayoutView="55" zoomScalePageLayoutView="60" workbookViewId="0">
      <selection activeCell="E11" sqref="E11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278</v>
      </c>
      <c r="B2" s="1036">
        <v>44272</v>
      </c>
      <c r="C2" s="1230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30" t="s">
        <v>120</v>
      </c>
      <c r="D3" s="612">
        <v>28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3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4786281</v>
      </c>
      <c r="F7" s="455">
        <v>4806529</v>
      </c>
      <c r="G7" s="681">
        <f>F7-E7</f>
        <v>20248</v>
      </c>
      <c r="H7" s="682">
        <f>G7+'16'!H7</f>
        <v>-307394</v>
      </c>
      <c r="I7" s="683">
        <f>'1'!I7</f>
        <v>12000</v>
      </c>
      <c r="J7" s="684">
        <f>H7/DAY(B2)</f>
        <v>-18082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4816223</v>
      </c>
      <c r="F8" s="475">
        <v>4836548</v>
      </c>
      <c r="G8" s="692">
        <f>F8-E8</f>
        <v>20325</v>
      </c>
      <c r="H8" s="682">
        <f>G8+'16'!H8</f>
        <v>-308770</v>
      </c>
      <c r="I8" s="689">
        <f>'1'!I8</f>
        <v>12000</v>
      </c>
      <c r="J8" s="684">
        <f>H8/DAY(B2)</f>
        <v>-18162.941176470587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124353.81</v>
      </c>
      <c r="F9" s="478">
        <v>124353.81</v>
      </c>
      <c r="G9" s="705">
        <f t="shared" ref="G9:G12" si="0">F9-E9</f>
        <v>0</v>
      </c>
      <c r="H9" s="682">
        <f>G9+'16'!H9</f>
        <v>-271715.19</v>
      </c>
      <c r="I9" s="693">
        <f>I7-J7</f>
        <v>30082</v>
      </c>
      <c r="J9" s="684">
        <f>H9/DAY(B2)</f>
        <v>-15983.246470588236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317507.67</v>
      </c>
      <c r="F10" s="478">
        <v>336966.67</v>
      </c>
      <c r="G10" s="692">
        <f t="shared" si="0"/>
        <v>19459</v>
      </c>
      <c r="H10" s="682">
        <f>G10+'16'!H10</f>
        <v>334644.09000000003</v>
      </c>
      <c r="I10" s="694"/>
      <c r="J10" s="684">
        <f>H10/DAY(B2)</f>
        <v>19684.946470588238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19459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19459</v>
      </c>
      <c r="H13" s="682">
        <f>G13+'16'!H13</f>
        <v>41934.900000000023</v>
      </c>
      <c r="I13" s="698">
        <f>G7-G13</f>
        <v>789</v>
      </c>
      <c r="J13" s="684">
        <f>H13/DAY(B2)</f>
        <v>2466.7588235294133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1633718.82</v>
      </c>
      <c r="F15" s="485">
        <v>1634499.5290000001</v>
      </c>
      <c r="G15" s="667">
        <f>(F15-E15)</f>
        <v>780.70900000003166</v>
      </c>
      <c r="H15" s="486">
        <f>G15+'16'!H15</f>
        <v>-12189.470999999903</v>
      </c>
      <c r="I15" s="474">
        <f>'1'!I15</f>
        <v>800</v>
      </c>
      <c r="J15" s="553">
        <f>H15/DAY(B2)</f>
        <v>-717.02770588234728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1517.0277058823472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'16'!F18</f>
        <v>10</v>
      </c>
      <c r="F18" s="478">
        <v>12</v>
      </c>
      <c r="G18" s="697">
        <f>F18*10</f>
        <v>120</v>
      </c>
      <c r="H18" s="682">
        <f>G18+'16'!H18</f>
        <v>2020</v>
      </c>
      <c r="I18" s="683">
        <f>'1'!I18</f>
        <v>65</v>
      </c>
      <c r="J18" s="684">
        <f>H18/DAY(B2)</f>
        <v>118.82352941176471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'16'!F19</f>
        <v>135301</v>
      </c>
      <c r="F19" s="478">
        <v>135354</v>
      </c>
      <c r="G19" s="692">
        <f>F19-E19</f>
        <v>53</v>
      </c>
      <c r="H19" s="682">
        <f>G19+'16'!H19</f>
        <v>-736</v>
      </c>
      <c r="I19" s="699"/>
      <c r="J19" s="684">
        <f>H19/DAY(B2)</f>
        <v>-43.294117647058826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173</v>
      </c>
      <c r="H20" s="682">
        <f>G20+'16'!H20</f>
        <v>1284</v>
      </c>
      <c r="I20" s="701">
        <f>I18-J20</f>
        <v>-10.529411764705884</v>
      </c>
      <c r="J20" s="684">
        <f>H20/DAY(B2)</f>
        <v>75.529411764705884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8" t="s">
        <v>147</v>
      </c>
      <c r="B22" s="589"/>
      <c r="C22" s="589"/>
      <c r="D22" s="523" t="s">
        <v>148</v>
      </c>
      <c r="E22" s="635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8" t="s">
        <v>149</v>
      </c>
      <c r="B23" s="589"/>
      <c r="C23" s="589"/>
      <c r="D23" s="523" t="s">
        <v>148</v>
      </c>
      <c r="E23" s="635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20325</v>
      </c>
      <c r="F27" s="501">
        <v>9</v>
      </c>
      <c r="G27" s="502">
        <f>E27*F27</f>
        <v>182925</v>
      </c>
      <c r="H27" s="460">
        <f>G27+'16'!H27</f>
        <v>-2778930</v>
      </c>
      <c r="I27" s="503"/>
      <c r="J27" s="552">
        <f>H27/DAY(B2)</f>
        <v>-163466.4705882353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780.70900000003166</v>
      </c>
      <c r="F28" s="501">
        <v>51.45</v>
      </c>
      <c r="G28" s="502">
        <f>E28*F28</f>
        <v>40167.478050001635</v>
      </c>
      <c r="H28" s="460">
        <f>G28+'16'!H28</f>
        <v>-627148.28294999513</v>
      </c>
      <c r="I28" s="505"/>
      <c r="J28" s="552">
        <f>H28/DAY(B2)</f>
        <v>-36891.07546764677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G30+'16'!H30</f>
        <v>-97256</v>
      </c>
      <c r="I30" s="505"/>
      <c r="J30" s="552">
        <f>H30/DAY(B2)</f>
        <v>-5720.9411764705883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G31+'16'!H31</f>
        <v>161600</v>
      </c>
      <c r="I31" s="505"/>
      <c r="J31" s="552"/>
      <c r="K31" s="373">
        <f>E31*80%</f>
        <v>96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239794.47805000163</v>
      </c>
      <c r="H32" s="460">
        <f>G32+'16'!H32</f>
        <v>-3341734.2829499948</v>
      </c>
      <c r="I32" s="509"/>
      <c r="J32" s="552">
        <f>H32/DAY(B2)</f>
        <v>-196572.60487941146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233"/>
      <c r="C34" s="12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-46789.25</v>
      </c>
      <c r="I35" s="455"/>
      <c r="J35" s="552">
        <f>H35/DAY(B2)</f>
        <v>-2752.3088235294117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-9926.3099999999977</v>
      </c>
      <c r="I36" s="455"/>
      <c r="J36" s="552">
        <f>H36/DAY(B2)</f>
        <v>-583.90058823529398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-19630</v>
      </c>
      <c r="I37" s="455"/>
      <c r="J37" s="552">
        <f>H37/DAY(B2)</f>
        <v>-1154.7058823529412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-23975</v>
      </c>
      <c r="I38" s="455"/>
      <c r="J38" s="552">
        <f>H38/DAY(B2)</f>
        <v>-1410.2941176470588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-52756</v>
      </c>
      <c r="I39" s="455"/>
      <c r="J39" s="552">
        <f>H39/DAY(B2)</f>
        <v>-3103.294117647059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0.11000000000000001</v>
      </c>
      <c r="I40" s="455"/>
      <c r="J40" s="552">
        <f>H40/DAY(B2)</f>
        <v>6.4705882352941186E-3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-67761.989999999991</v>
      </c>
      <c r="I41" s="455"/>
      <c r="J41" s="552">
        <f>H41/DAY(B2)</f>
        <v>-3985.9994117647052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-34882.010000000009</v>
      </c>
      <c r="I43" s="455"/>
      <c r="J43" s="552">
        <f>H43/DAY(B2)</f>
        <v>-2051.8829411764709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614</v>
      </c>
      <c r="I45" s="455"/>
      <c r="J45" s="552">
        <f>H45/DAY(B2)</f>
        <v>36.117647058823529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187.49</v>
      </c>
      <c r="I46" s="455"/>
      <c r="J46" s="552">
        <f>H46/DAY(B2)</f>
        <v>11.028823529411765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-254918.96000000005</v>
      </c>
      <c r="I47" s="455"/>
      <c r="J47" s="552">
        <f>H47/DAY(B2)</f>
        <v>-14995.232941176473</v>
      </c>
      <c r="K47" s="428"/>
      <c r="L47" s="377"/>
      <c r="N47" s="721"/>
      <c r="O47" s="728"/>
      <c r="P47" s="382"/>
    </row>
    <row r="48" spans="1:16">
      <c r="A48" s="598" t="s">
        <v>177</v>
      </c>
      <c r="B48" s="1233"/>
      <c r="C48" s="12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-19612.530000000028</v>
      </c>
      <c r="I50" s="455"/>
      <c r="J50" s="552">
        <f>H50/DAY(B2)</f>
        <v>-1153.6782352941193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-3271.7000000000116</v>
      </c>
      <c r="I51" s="455"/>
      <c r="J51" s="552">
        <f>H51/DAY(B2)</f>
        <v>-192.45294117647128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-3915.3699999999953</v>
      </c>
      <c r="I52" s="455"/>
      <c r="J52" s="552">
        <f>H52/DAY(B2)</f>
        <v>-230.31588235294089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-11219.849999999977</v>
      </c>
      <c r="I53" s="455"/>
      <c r="J53" s="552">
        <f>H53/DAY(B2)</f>
        <v>-659.99117647058688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2043.3300000000017</v>
      </c>
      <c r="I54" s="455"/>
      <c r="J54" s="552">
        <f>H54/DAY(B2)</f>
        <v>120.19588235294128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197432.77</v>
      </c>
      <c r="F55" s="656">
        <v>202331.73</v>
      </c>
      <c r="G55" s="655">
        <f t="shared" si="2"/>
        <v>4898.960000000021</v>
      </c>
      <c r="H55" s="708">
        <f>G55+'16'!H55</f>
        <v>-18764.26999999999</v>
      </c>
      <c r="I55" s="709"/>
      <c r="J55" s="710">
        <f>H55/DAY(B2)</f>
        <v>-1103.7805882352934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588841.67000000004</v>
      </c>
      <c r="F56" s="656">
        <v>588850.23</v>
      </c>
      <c r="G56" s="473">
        <f>F56-E56</f>
        <v>8.559999999939464</v>
      </c>
      <c r="H56" s="460">
        <f>G56+'16'!H56</f>
        <v>-116.77000000001863</v>
      </c>
      <c r="I56" s="455"/>
      <c r="J56" s="552">
        <f>H56/DAY(B2)</f>
        <v>-6.8688235294128601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38860.85</v>
      </c>
      <c r="F58" s="656">
        <v>39009.839999999997</v>
      </c>
      <c r="G58" s="473">
        <f t="shared" si="2"/>
        <v>148.98999999999796</v>
      </c>
      <c r="H58" s="460">
        <f>G58+'16'!H58</f>
        <v>-2733.1600000000035</v>
      </c>
      <c r="I58" s="455"/>
      <c r="J58" s="552">
        <f>H58/DAY(B2)</f>
        <v>-160.77411764705903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13639.480000000018</v>
      </c>
      <c r="H59" s="460">
        <f>G59+'16'!H59</f>
        <v>-57589.860000000037</v>
      </c>
      <c r="I59" s="455">
        <f>G7-G60</f>
        <v>301.94299999996292</v>
      </c>
      <c r="J59" s="552">
        <f>H59/DAY(B2)</f>
        <v>-3387.6388235294139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19946.057000000037</v>
      </c>
      <c r="H60" s="460">
        <f>G60+'16'!H60</f>
        <v>-298339.82000000007</v>
      </c>
      <c r="I60" s="455">
        <f>G13-G60</f>
        <v>-487.05700000003708</v>
      </c>
      <c r="J60" s="552">
        <f>H60/DAY(B2)</f>
        <v>-17549.401176470594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-161.90000000000009</v>
      </c>
      <c r="I63" s="515"/>
      <c r="J63" s="552">
        <f>H63/DAY(B2)</f>
        <v>-9.5235294117647111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1235">
        <f>'16'!F64</f>
        <v>131840.94</v>
      </c>
      <c r="F64" s="626">
        <v>132346.76</v>
      </c>
      <c r="G64" s="777">
        <f t="shared" si="3"/>
        <v>505.82000000000698</v>
      </c>
      <c r="H64" s="460">
        <f>G64+'16'!H64</f>
        <v>-6833.2399999999907</v>
      </c>
      <c r="I64" s="480"/>
      <c r="J64" s="552">
        <f>H64/DAY(B2)</f>
        <v>-401.95529411764653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'16'!F65</f>
        <v>138559.16</v>
      </c>
      <c r="F65" s="654">
        <v>138932.74</v>
      </c>
      <c r="G65" s="473">
        <f t="shared" si="3"/>
        <v>373.57999999998719</v>
      </c>
      <c r="H65" s="460">
        <f>G65+'16'!H65</f>
        <v>-5272.2600000000093</v>
      </c>
      <c r="I65" s="489"/>
      <c r="J65" s="552">
        <f>H65/DAY(B2)</f>
        <v>-310.13294117647115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-5508.57</v>
      </c>
      <c r="I66" s="480"/>
      <c r="J66" s="552">
        <f>H66/DAY(B2)</f>
        <v>-324.03352941176468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-9747.7699999999895</v>
      </c>
      <c r="I67" s="489"/>
      <c r="J67" s="552">
        <f>H67/DAY(B2)</f>
        <v>-573.39823529411706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-4686.1900000000023</v>
      </c>
      <c r="I68" s="516"/>
      <c r="J68" s="552">
        <f>H68/DAY(B2)</f>
        <v>-275.65823529411779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-4395.5</v>
      </c>
      <c r="I69" s="516"/>
      <c r="J69" s="552">
        <f>H69/DAY(B2)</f>
        <v>-258.55882352941177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'16'!F72</f>
        <v>852003</v>
      </c>
      <c r="F72" s="657">
        <v>852084</v>
      </c>
      <c r="G72" s="473">
        <f t="shared" ref="G72:G84" si="4">F72-E72</f>
        <v>81</v>
      </c>
      <c r="H72" s="460">
        <f>G72+'16'!H72</f>
        <v>-1185</v>
      </c>
      <c r="I72" s="480"/>
      <c r="J72" s="552">
        <f>H72/DAY(B2)</f>
        <v>-69.705882352941174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'16'!F73</f>
        <v>885777</v>
      </c>
      <c r="F73" s="658">
        <v>885777</v>
      </c>
      <c r="G73" s="655">
        <f t="shared" si="4"/>
        <v>0</v>
      </c>
      <c r="H73" s="460">
        <f>G73+'16'!H73</f>
        <v>-1468</v>
      </c>
      <c r="I73" s="480"/>
      <c r="J73" s="552">
        <f>H73/DAY(B2)</f>
        <v>-86.352941176470594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'16'!F74</f>
        <v>1045.3900000000001</v>
      </c>
      <c r="F74" s="658">
        <v>1062.95</v>
      </c>
      <c r="G74" s="473">
        <f t="shared" si="4"/>
        <v>17.559999999999945</v>
      </c>
      <c r="H74" s="460">
        <f>G74+'16'!H74</f>
        <v>-307.04999999999995</v>
      </c>
      <c r="I74" s="480"/>
      <c r="J74" s="552">
        <f>H74/DAY(B2)</f>
        <v>-18.06176470588235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'16'!F75</f>
        <v>6177.22</v>
      </c>
      <c r="F75" s="658">
        <v>6330.31</v>
      </c>
      <c r="G75" s="473">
        <f t="shared" si="4"/>
        <v>153.09000000000015</v>
      </c>
      <c r="H75" s="460">
        <f>G75+'16'!H75</f>
        <v>-2349.6899999999996</v>
      </c>
      <c r="I75" s="480"/>
      <c r="J75" s="552">
        <f>H75/DAY(B2)</f>
        <v>-138.21705882352938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'16'!F76</f>
        <v>2830.3</v>
      </c>
      <c r="F76" s="658">
        <v>2895.63</v>
      </c>
      <c r="G76" s="473">
        <f t="shared" si="4"/>
        <v>65.329999999999927</v>
      </c>
      <c r="H76" s="460">
        <f>G76+'16'!H76</f>
        <v>-2740.37</v>
      </c>
      <c r="I76" s="505"/>
      <c r="J76" s="552">
        <f>H76/DAY(B2)</f>
        <v>-161.19823529411764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'16'!F77</f>
        <v>699439</v>
      </c>
      <c r="F77" s="658">
        <v>699498</v>
      </c>
      <c r="G77" s="655">
        <f t="shared" si="4"/>
        <v>59</v>
      </c>
      <c r="H77" s="460">
        <f>G77+'16'!H77</f>
        <v>-716</v>
      </c>
      <c r="I77" s="505"/>
      <c r="J77" s="552">
        <f>H77/DAY(B2)</f>
        <v>-42.117647058823529</v>
      </c>
      <c r="K77" s="430"/>
      <c r="L77" s="377"/>
      <c r="N77" s="721"/>
      <c r="O77" s="728"/>
      <c r="P77" s="382"/>
    </row>
    <row r="78" spans="1:16" ht="27.75">
      <c r="A78" s="1231" t="s">
        <v>197</v>
      </c>
      <c r="B78" s="1224"/>
      <c r="C78" s="1224"/>
      <c r="D78" s="523" t="s">
        <v>187</v>
      </c>
      <c r="E78" s="519">
        <f>'16'!F78</f>
        <v>659318</v>
      </c>
      <c r="F78" s="659">
        <v>659709</v>
      </c>
      <c r="G78" s="473">
        <f t="shared" si="4"/>
        <v>391</v>
      </c>
      <c r="H78" s="460">
        <f>G78+'16'!H78</f>
        <v>-5671</v>
      </c>
      <c r="I78" s="505"/>
      <c r="J78" s="552">
        <f>H78/DAY(B2)</f>
        <v>-333.58823529411762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'16'!F79</f>
        <v>818400</v>
      </c>
      <c r="F79" s="659">
        <v>818601</v>
      </c>
      <c r="G79" s="473">
        <f t="shared" si="4"/>
        <v>201</v>
      </c>
      <c r="H79" s="460">
        <f>G79+'16'!H79</f>
        <v>-6515</v>
      </c>
      <c r="I79" s="505"/>
      <c r="J79" s="552">
        <f>H79/DAY(B2)</f>
        <v>-383.23529411764707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'16'!F80</f>
        <v>500368.36</v>
      </c>
      <c r="F80" s="658">
        <v>500703.16</v>
      </c>
      <c r="G80" s="473">
        <f t="shared" si="4"/>
        <v>334.79999999998836</v>
      </c>
      <c r="H80" s="460">
        <f>G80+'16'!H80</f>
        <v>-2014.8400000000256</v>
      </c>
      <c r="I80" s="505"/>
      <c r="J80" s="552">
        <f>H80/DAY(B2)</f>
        <v>-118.5200000000015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'16'!F81</f>
        <v>627667.31999999995</v>
      </c>
      <c r="F81" s="658">
        <v>627779.96</v>
      </c>
      <c r="G81" s="473">
        <f t="shared" si="4"/>
        <v>112.64000000001397</v>
      </c>
      <c r="H81" s="460">
        <f>G81+'16'!H81</f>
        <v>-2405.0400000000373</v>
      </c>
      <c r="I81" s="505"/>
      <c r="J81" s="552">
        <f>H81/DAY(B2)</f>
        <v>-141.47294117647277</v>
      </c>
      <c r="K81" s="430"/>
      <c r="L81" s="377"/>
      <c r="N81" s="721"/>
      <c r="O81" s="728"/>
      <c r="P81" s="382"/>
    </row>
    <row r="82" spans="1:16" s="779" customFormat="1" ht="27.75">
      <c r="A82" s="1484" t="s">
        <v>93</v>
      </c>
      <c r="B82" s="1485"/>
      <c r="C82" s="1486"/>
      <c r="D82" s="626" t="s">
        <v>132</v>
      </c>
      <c r="E82" s="786">
        <f>'16'!F82</f>
        <v>106562.23</v>
      </c>
      <c r="F82" s="626">
        <v>106583.51</v>
      </c>
      <c r="G82" s="777">
        <f t="shared" si="4"/>
        <v>21.279999999998836</v>
      </c>
      <c r="H82" s="479">
        <f>G82+'16'!H82</f>
        <v>-311.49000000000524</v>
      </c>
      <c r="I82" s="479"/>
      <c r="J82" s="778">
        <f>H82/DAY(B2)</f>
        <v>-18.322941176470895</v>
      </c>
      <c r="K82" s="1221"/>
      <c r="L82" s="1222"/>
      <c r="N82" s="725"/>
      <c r="O82" s="729"/>
      <c r="P82" s="724"/>
    </row>
    <row r="83" spans="1:16" ht="27.75">
      <c r="A83" s="1413" t="s">
        <v>200</v>
      </c>
      <c r="B83" s="1414"/>
      <c r="C83" s="1415"/>
      <c r="D83" s="620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-3891</v>
      </c>
      <c r="I83" s="481"/>
      <c r="J83" s="552">
        <f>H83/DAY(B2)</f>
        <v>-228.88235294117646</v>
      </c>
      <c r="K83" s="429"/>
      <c r="L83" s="377"/>
      <c r="N83" s="721"/>
      <c r="O83" s="728"/>
      <c r="P83" s="382"/>
    </row>
    <row r="84" spans="1:16">
      <c r="A84" s="1232" t="s">
        <v>201</v>
      </c>
      <c r="B84" s="571"/>
      <c r="C84" s="571"/>
      <c r="D84" s="478" t="s">
        <v>132</v>
      </c>
      <c r="E84" s="519">
        <f>'16'!F84</f>
        <v>443372</v>
      </c>
      <c r="F84" s="627">
        <v>444033</v>
      </c>
      <c r="G84" s="473">
        <f t="shared" si="4"/>
        <v>661</v>
      </c>
      <c r="H84" s="460">
        <f>G84+'16'!H84</f>
        <v>-10651</v>
      </c>
      <c r="I84" s="481"/>
      <c r="J84" s="552">
        <f>H84/DAY(B2)</f>
        <v>-626.52941176470586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2337.7000000000012</v>
      </c>
      <c r="H85" s="460">
        <f>G85+'16'!H85</f>
        <v>-36169.480000000061</v>
      </c>
      <c r="I85" s="481"/>
      <c r="J85" s="552">
        <f>H85/DAY(B2)</f>
        <v>-2127.6164705882388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452333.56</v>
      </c>
      <c r="F86" s="650">
        <v>452448.68</v>
      </c>
      <c r="G86" s="708">
        <f t="shared" ref="G86:G90" si="5">F86-E86</f>
        <v>115.11999999999534</v>
      </c>
      <c r="H86" s="708">
        <f t="shared" ref="H86:H88" si="6">G86</f>
        <v>115.11999999999534</v>
      </c>
      <c r="I86" s="655"/>
      <c r="J86" s="710">
        <f>H86/DAY(B2)</f>
        <v>6.7717647058820791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79673.399999999994</v>
      </c>
      <c r="F87" s="650">
        <v>79701.8</v>
      </c>
      <c r="G87" s="708">
        <f t="shared" si="5"/>
        <v>28.400000000008731</v>
      </c>
      <c r="H87" s="708">
        <f t="shared" si="6"/>
        <v>28.400000000008731</v>
      </c>
      <c r="I87" s="655"/>
      <c r="J87" s="710">
        <f>H87/DAY(B2)</f>
        <v>1.6705882352946313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149472.95999999999</v>
      </c>
      <c r="F88" s="650">
        <v>149555.70000000001</v>
      </c>
      <c r="G88" s="708">
        <f t="shared" si="5"/>
        <v>82.740000000019791</v>
      </c>
      <c r="H88" s="708">
        <f t="shared" si="6"/>
        <v>82.740000000019791</v>
      </c>
      <c r="I88" s="655"/>
      <c r="J88" s="710">
        <f>H88/DAY(B2)</f>
        <v>4.8670588235305763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62774.6</v>
      </c>
      <c r="F89" s="650">
        <v>62833.1</v>
      </c>
      <c r="G89" s="708">
        <f t="shared" si="5"/>
        <v>58.5</v>
      </c>
      <c r="H89" s="708">
        <f>G89</f>
        <v>58.5</v>
      </c>
      <c r="I89" s="655"/>
      <c r="J89" s="710">
        <f>H89/DAY(B2)</f>
        <v>3.4411764705882355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3229.8</v>
      </c>
      <c r="F90" s="650">
        <v>3234.6</v>
      </c>
      <c r="G90" s="708">
        <f t="shared" si="5"/>
        <v>4.7999999999997272</v>
      </c>
      <c r="H90" s="708">
        <f>G90</f>
        <v>4.7999999999997272</v>
      </c>
      <c r="I90" s="655"/>
      <c r="J90" s="710">
        <f>H90/DAY(B2)</f>
        <v>0.28235294117645454</v>
      </c>
      <c r="K90" s="736"/>
      <c r="L90" s="737"/>
      <c r="N90" s="781"/>
      <c r="O90" s="382"/>
    </row>
    <row r="91" spans="1:16" s="379" customFormat="1">
      <c r="A91" s="606" t="s">
        <v>205</v>
      </c>
      <c r="B91" s="1234"/>
      <c r="C91" s="123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-1355</v>
      </c>
      <c r="I92" s="480"/>
      <c r="J92" s="552">
        <f>H92/DAY(B2)</f>
        <v>-79.705882352941174</v>
      </c>
      <c r="K92" s="429"/>
      <c r="L92" s="377"/>
      <c r="N92" s="721"/>
      <c r="O92" s="728"/>
      <c r="P92" s="382"/>
    </row>
    <row r="93" spans="1:16" ht="27.75">
      <c r="A93" s="1437" t="s">
        <v>207</v>
      </c>
      <c r="B93" s="1438"/>
      <c r="C93" s="1439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-1867</v>
      </c>
      <c r="I93" s="480"/>
      <c r="J93" s="552">
        <f>H93/DAY(B2)</f>
        <v>-109.82352941176471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-3441</v>
      </c>
      <c r="I94" s="480"/>
      <c r="J94" s="552">
        <f>H94/DAY(B2)</f>
        <v>-202.41176470588235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-1171</v>
      </c>
      <c r="I95" s="480"/>
      <c r="J95" s="552">
        <f>H95/DAY(B2)</f>
        <v>-68.882352941176464</v>
      </c>
      <c r="K95" s="380"/>
      <c r="L95" s="377"/>
      <c r="N95" s="721"/>
      <c r="O95" s="728"/>
      <c r="P95" s="382"/>
    </row>
    <row r="96" spans="1:16" ht="27.75">
      <c r="A96" s="1228" t="s">
        <v>210</v>
      </c>
      <c r="B96" s="1229"/>
      <c r="C96" s="1229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-250</v>
      </c>
      <c r="I96" s="480"/>
      <c r="J96" s="552">
        <f>H96/DAY(B2)</f>
        <v>-14.705882352941176</v>
      </c>
      <c r="K96" s="427"/>
      <c r="L96" s="377"/>
      <c r="N96" s="721"/>
      <c r="O96" s="728"/>
      <c r="P96" s="382"/>
    </row>
    <row r="97" spans="1:16" ht="27.75">
      <c r="A97" s="1228" t="s">
        <v>211</v>
      </c>
      <c r="B97" s="1229"/>
      <c r="C97" s="1229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-296</v>
      </c>
      <c r="I97" s="480"/>
      <c r="J97" s="552">
        <f>H97/DAY(B2)</f>
        <v>-17.411764705882351</v>
      </c>
      <c r="K97" s="432"/>
      <c r="L97" s="377"/>
      <c r="N97" s="721"/>
      <c r="O97" s="728"/>
      <c r="P97" s="382"/>
    </row>
    <row r="98" spans="1:16" ht="27.75">
      <c r="A98" s="1228" t="s">
        <v>212</v>
      </c>
      <c r="B98" s="1229"/>
      <c r="C98" s="1229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-466</v>
      </c>
      <c r="I98" s="480"/>
      <c r="J98" s="552">
        <f>H98/DAY(B2)</f>
        <v>-27.411764705882351</v>
      </c>
      <c r="K98" s="380"/>
      <c r="L98" s="377"/>
      <c r="N98" s="723"/>
      <c r="O98" s="728"/>
      <c r="P98" s="382"/>
    </row>
    <row r="99" spans="1:16" ht="27.75">
      <c r="A99" s="1228" t="s">
        <v>213</v>
      </c>
      <c r="B99" s="1229"/>
      <c r="C99" s="1229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-201</v>
      </c>
      <c r="I99" s="480"/>
      <c r="J99" s="552">
        <f>H99/DAY(B2)</f>
        <v>-11.823529411764707</v>
      </c>
      <c r="K99" s="380"/>
      <c r="L99" s="377"/>
      <c r="N99" s="721"/>
      <c r="O99" s="728"/>
      <c r="P99" s="382"/>
    </row>
    <row r="100" spans="1:16" ht="27.75">
      <c r="A100" s="1228" t="s">
        <v>214</v>
      </c>
      <c r="B100" s="1229"/>
      <c r="C100" s="1229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-192</v>
      </c>
      <c r="I100" s="480"/>
      <c r="J100" s="552">
        <f>H100/DAY(B2)</f>
        <v>-11.294117647058824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144</v>
      </c>
      <c r="H101" s="460">
        <f>G101+'16'!H101</f>
        <v>-2576</v>
      </c>
      <c r="I101" s="526"/>
      <c r="J101" s="552">
        <f>H101/DAY(B2)</f>
        <v>-151.52941176470588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227"/>
      <c r="D104" s="622" t="s">
        <v>144</v>
      </c>
      <c r="E104" s="484">
        <f>'16'!F104</f>
        <v>7240</v>
      </c>
      <c r="F104" s="661">
        <v>7240</v>
      </c>
      <c r="G104" s="532">
        <f>F104-E104</f>
        <v>0</v>
      </c>
      <c r="H104" s="533">
        <f>SUM(G104+'1'!G76)</f>
        <v>59</v>
      </c>
      <c r="I104" s="532"/>
      <c r="J104" s="558">
        <f>H104/DAY(B2)</f>
        <v>3.4705882352941178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227"/>
      <c r="D105" s="622" t="s">
        <v>144</v>
      </c>
      <c r="E105" s="484">
        <f>'16'!F105</f>
        <v>35529</v>
      </c>
      <c r="F105" s="662">
        <v>35534</v>
      </c>
      <c r="G105" s="532">
        <f t="shared" ref="G105:G106" si="9">F105-E105</f>
        <v>5</v>
      </c>
      <c r="H105" s="533">
        <f>SUM(G105+'1'!G77)</f>
        <v>55</v>
      </c>
      <c r="I105" s="532"/>
      <c r="J105" s="558">
        <f>H105/DAY(B2)</f>
        <v>3.2352941176470589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'16'!F106</f>
        <v>19336</v>
      </c>
      <c r="F106" s="662">
        <v>19340</v>
      </c>
      <c r="G106" s="532">
        <f t="shared" si="9"/>
        <v>4</v>
      </c>
      <c r="H106" s="533">
        <f>SUM(G106+'1'!G78)</f>
        <v>399</v>
      </c>
      <c r="I106" s="532"/>
      <c r="J106" s="558">
        <f>H106/DAY(B2)</f>
        <v>23.470588235294116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227"/>
      <c r="D107" s="622"/>
      <c r="E107" s="484">
        <f>'16'!F107</f>
        <v>0</v>
      </c>
      <c r="F107" s="662"/>
      <c r="G107" s="532">
        <f>SUM(G104:G106)</f>
        <v>9</v>
      </c>
      <c r="H107" s="533">
        <f>SUM(G107+'1'!G79)</f>
        <v>203</v>
      </c>
      <c r="I107" s="532"/>
      <c r="J107" s="558">
        <f>H107/DAY(B2)</f>
        <v>11.941176470588236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227"/>
      <c r="D108" s="622" t="s">
        <v>144</v>
      </c>
      <c r="E108" s="484">
        <f>'16'!F108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227"/>
      <c r="D109" s="622" t="s">
        <v>144</v>
      </c>
      <c r="E109" s="484">
        <f>'16'!F109</f>
        <v>57577</v>
      </c>
      <c r="F109" s="662">
        <v>57641</v>
      </c>
      <c r="G109" s="532">
        <f>F109-E109</f>
        <v>64</v>
      </c>
      <c r="H109" s="533">
        <f>SUM(G109+'1'!G81)</f>
        <v>262</v>
      </c>
      <c r="I109" s="532"/>
      <c r="J109" s="558">
        <f>H109/DAY(B2)</f>
        <v>15.411764705882353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227"/>
      <c r="D110" s="622" t="s">
        <v>144</v>
      </c>
      <c r="E110" s="484">
        <f>'16'!F110</f>
        <v>31282</v>
      </c>
      <c r="F110" s="662">
        <v>31282</v>
      </c>
      <c r="G110" s="532">
        <f t="shared" ref="G110:G111" si="10">F110-E110</f>
        <v>0</v>
      </c>
      <c r="H110" s="533">
        <f>SUM(G110+'1'!G82)</f>
        <v>23</v>
      </c>
      <c r="I110" s="532"/>
      <c r="J110" s="558">
        <f>H110/DAY(B2)</f>
        <v>1.3529411764705883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227"/>
      <c r="D111" s="622" t="s">
        <v>144</v>
      </c>
      <c r="E111" s="484">
        <f>'16'!F111</f>
        <v>4064</v>
      </c>
      <c r="F111" s="662">
        <v>4084</v>
      </c>
      <c r="G111" s="532">
        <f t="shared" si="10"/>
        <v>20</v>
      </c>
      <c r="H111" s="533">
        <f>SUM(G111+'1'!G83)</f>
        <v>259</v>
      </c>
      <c r="I111" s="532"/>
      <c r="J111" s="558">
        <f>H111/DAY(B2)</f>
        <v>15.235294117647058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227"/>
      <c r="D112" s="622"/>
      <c r="E112" s="484">
        <f>'16'!F112</f>
        <v>0</v>
      </c>
      <c r="F112" s="662"/>
      <c r="G112" s="532">
        <f>SUM(G109:G111)</f>
        <v>84</v>
      </c>
      <c r="H112" s="533">
        <f>SUM(G112+'1'!G84)</f>
        <v>999</v>
      </c>
      <c r="I112" s="532"/>
      <c r="J112" s="558">
        <f>H112/DAY(B2)</f>
        <v>58.764705882352942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227"/>
      <c r="D113" s="622"/>
      <c r="E113" s="484">
        <f>'16'!F113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'16'!F114</f>
        <v>10607</v>
      </c>
      <c r="F114" s="662">
        <v>10618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0.6470588235294118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'16'!F115</f>
        <v>7825</v>
      </c>
      <c r="F115" s="662">
        <v>7831</v>
      </c>
      <c r="G115" s="534">
        <f t="shared" ref="G115:G116" si="11">F115-E115</f>
        <v>6</v>
      </c>
      <c r="H115" s="533">
        <f>SUM(G115+'1'!G92)</f>
        <v>98</v>
      </c>
      <c r="I115" s="532"/>
      <c r="J115" s="558">
        <f>H115/DAY(B2)</f>
        <v>5.7647058823529411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1"/>
        <v>0</v>
      </c>
      <c r="H116" s="533">
        <f>SUM(G116+'1'!G93)</f>
        <v>127</v>
      </c>
      <c r="I116" s="532"/>
      <c r="J116" s="558">
        <f>H116/DAY(B2)</f>
        <v>7.4705882352941178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17</v>
      </c>
      <c r="H117" s="533">
        <f>SUM(G117+'1'!G95)</f>
        <v>94</v>
      </c>
      <c r="I117" s="534"/>
      <c r="J117" s="558">
        <f>H117/DAY(B2)</f>
        <v>5.5294117647058822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225"/>
      <c r="D118" s="624" t="s">
        <v>144</v>
      </c>
      <c r="E118" s="536"/>
      <c r="F118" s="663">
        <f>SUM(G19+G92)</f>
        <v>130</v>
      </c>
      <c r="G118" s="536">
        <f>SUM(G19+G92)</f>
        <v>130</v>
      </c>
      <c r="H118" s="533">
        <f>SUM(G118+'1'!G96)</f>
        <v>147</v>
      </c>
      <c r="I118" s="535"/>
      <c r="J118" s="559">
        <f>H118/DAY(B2)</f>
        <v>8.6470588235294112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225"/>
      <c r="D119" s="624" t="s">
        <v>144</v>
      </c>
      <c r="E119" s="536"/>
      <c r="F119" s="663">
        <f>SUM(G95,G96,G97,G99,G100)</f>
        <v>126</v>
      </c>
      <c r="G119" s="536">
        <f>SUM(G95,G96,G97,G99,G100)</f>
        <v>126</v>
      </c>
      <c r="H119" s="533">
        <f>SUM(G119+'1'!G98)</f>
        <v>154</v>
      </c>
      <c r="I119" s="535"/>
      <c r="J119" s="559">
        <f>H119/DAY(B2)</f>
        <v>9.0588235294117645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225"/>
      <c r="D120" s="624" t="s">
        <v>144</v>
      </c>
      <c r="E120" s="534"/>
      <c r="F120" s="662">
        <f>SUM(G112)</f>
        <v>84</v>
      </c>
      <c r="G120" s="534">
        <f>SUM(G112)</f>
        <v>84</v>
      </c>
      <c r="H120" s="533">
        <f>SUM(G120+'1'!G100)</f>
        <v>90</v>
      </c>
      <c r="I120" s="535"/>
      <c r="J120" s="559">
        <f>H120/DAY(B2)</f>
        <v>5.2941176470588234</v>
      </c>
      <c r="N120" s="721"/>
      <c r="O120" s="728"/>
      <c r="P120" s="382"/>
    </row>
    <row r="121" spans="1:16" s="442" customFormat="1" ht="27.75">
      <c r="A121" s="1427"/>
      <c r="B121" s="1428"/>
      <c r="C121" s="1226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28" t="s">
        <v>231</v>
      </c>
      <c r="B123" s="1229"/>
      <c r="C123" s="1229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-3552.9899999999907</v>
      </c>
      <c r="I123" s="526"/>
      <c r="J123" s="552">
        <f>H123/DAY(B2)</f>
        <v>-208.99941176470534</v>
      </c>
      <c r="K123" s="380"/>
      <c r="L123" s="377"/>
      <c r="N123" s="721"/>
      <c r="O123" s="728"/>
      <c r="P123" s="382"/>
    </row>
    <row r="124" spans="1:16" ht="27.75">
      <c r="A124" s="1228" t="s">
        <v>232</v>
      </c>
      <c r="B124" s="1229"/>
      <c r="C124" s="1229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-1053.570000000007</v>
      </c>
      <c r="I125" s="526"/>
      <c r="J125" s="552">
        <f>H125/DAY(B2)</f>
        <v>-61.974705882353355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29"/>
      <c r="C126" s="1229"/>
      <c r="D126" s="523" t="s">
        <v>141</v>
      </c>
      <c r="E126" s="626">
        <f>'16'!F126</f>
        <v>59679</v>
      </c>
      <c r="F126" s="626">
        <v>59695.8</v>
      </c>
      <c r="G126" s="473">
        <f t="shared" si="12"/>
        <v>16.80000000000291</v>
      </c>
      <c r="H126" s="460">
        <f>G126+'16'!H126</f>
        <v>28377.100000000002</v>
      </c>
      <c r="I126" s="526"/>
      <c r="J126" s="552">
        <f>H126/DAY(B2)</f>
        <v>1669.2411764705885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29"/>
      <c r="C127" s="1229"/>
      <c r="D127" s="523" t="s">
        <v>141</v>
      </c>
      <c r="E127" s="626">
        <f>'16'!F127</f>
        <v>8926.4</v>
      </c>
      <c r="F127" s="626">
        <v>8930.9</v>
      </c>
      <c r="G127" s="473">
        <f t="shared" si="12"/>
        <v>4.5</v>
      </c>
      <c r="H127" s="460">
        <f>G127+'16'!H127</f>
        <v>-31.100000000000364</v>
      </c>
      <c r="I127" s="480"/>
      <c r="J127" s="552">
        <f>H127/DAY(B2)</f>
        <v>-1.8294117647059038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29"/>
      <c r="C128" s="1229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2">
        <f>H128/DAY(B2)</f>
        <v>57.013529411766925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28" t="s">
        <v>238</v>
      </c>
      <c r="B130" s="1229"/>
      <c r="C130" s="1229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28" t="s">
        <v>240</v>
      </c>
      <c r="B131" s="1229"/>
      <c r="C131" s="1229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8" t="s">
        <v>241</v>
      </c>
      <c r="B132" s="1229"/>
      <c r="C132" s="1229"/>
      <c r="D132" s="523" t="s">
        <v>239</v>
      </c>
      <c r="E132" s="541">
        <f>'16'!F132</f>
        <v>39219</v>
      </c>
      <c r="F132" s="654">
        <v>39219</v>
      </c>
      <c r="G132" s="473">
        <f t="shared" si="13"/>
        <v>0</v>
      </c>
      <c r="H132" s="460">
        <f>G132+'16'!H132</f>
        <v>-314</v>
      </c>
      <c r="I132" s="480"/>
      <c r="J132" s="552">
        <f>H132/DAY(B2)</f>
        <v>-18.470588235294116</v>
      </c>
      <c r="N132" s="721"/>
      <c r="O132" s="728"/>
      <c r="P132" s="382"/>
    </row>
    <row r="133" spans="1:16" ht="27.75">
      <c r="A133" s="1228" t="s">
        <v>242</v>
      </c>
      <c r="B133" s="1229"/>
      <c r="C133" s="1229"/>
      <c r="D133" s="523" t="s">
        <v>239</v>
      </c>
      <c r="E133" s="704">
        <f>'16'!F133</f>
        <v>299</v>
      </c>
      <c r="F133" s="626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2">
        <f>H133/DAY(B2)</f>
        <v>-5.8823529411764705E-2</v>
      </c>
      <c r="N133" s="721"/>
      <c r="O133" s="728"/>
      <c r="P133" s="382"/>
    </row>
    <row r="134" spans="1:16" ht="27.75">
      <c r="A134" s="1228" t="s">
        <v>243</v>
      </c>
      <c r="B134" s="1229"/>
      <c r="C134" s="1229"/>
      <c r="D134" s="523" t="s">
        <v>239</v>
      </c>
      <c r="E134" s="704">
        <f>'16'!F134</f>
        <v>40747.29</v>
      </c>
      <c r="F134" s="626">
        <v>40771.14</v>
      </c>
      <c r="G134" s="473">
        <f t="shared" si="13"/>
        <v>23.849999999998545</v>
      </c>
      <c r="H134" s="460">
        <f>G134+'16'!H134</f>
        <v>-67.860000000000582</v>
      </c>
      <c r="I134" s="480"/>
      <c r="J134" s="552">
        <f>H134/DAY(B2)</f>
        <v>-3.9917647058823871</v>
      </c>
      <c r="N134" s="721"/>
      <c r="O134" s="728"/>
      <c r="P134" s="382"/>
    </row>
    <row r="135" spans="1:16" ht="27.75">
      <c r="A135" s="1228" t="s">
        <v>244</v>
      </c>
      <c r="B135" s="1229"/>
      <c r="C135" s="1229"/>
      <c r="D135" s="523" t="s">
        <v>239</v>
      </c>
      <c r="E135" s="541">
        <f>'16'!F135</f>
        <v>32582.92</v>
      </c>
      <c r="F135" s="654">
        <v>32582.92</v>
      </c>
      <c r="G135" s="473">
        <f t="shared" si="13"/>
        <v>0</v>
      </c>
      <c r="H135" s="460">
        <f>G135+'16'!H135</f>
        <v>-8.000000000174623E-2</v>
      </c>
      <c r="I135" s="480"/>
      <c r="J135" s="552">
        <f>H135/DAY(B2)</f>
        <v>-4.705882353043896E-3</v>
      </c>
      <c r="N135" s="721"/>
      <c r="O135" s="728"/>
      <c r="P135" s="382"/>
    </row>
    <row r="136" spans="1:16" ht="27.75">
      <c r="A136" s="1228" t="s">
        <v>245</v>
      </c>
      <c r="B136" s="1229"/>
      <c r="C136" s="1229"/>
      <c r="D136" s="523" t="s">
        <v>239</v>
      </c>
      <c r="E136" s="541">
        <f>'16'!F136</f>
        <v>22360.01</v>
      </c>
      <c r="F136" s="654">
        <v>22366.75</v>
      </c>
      <c r="G136" s="473">
        <f t="shared" si="13"/>
        <v>6.7400000000016007</v>
      </c>
      <c r="H136" s="460">
        <f>G136+'16'!H136</f>
        <v>-121.90000000000146</v>
      </c>
      <c r="I136" s="480">
        <f>G134+G135+G136</f>
        <v>30.590000000000146</v>
      </c>
      <c r="J136" s="552">
        <f>H136/DAY(B2)</f>
        <v>-7.1705882352942032</v>
      </c>
      <c r="N136" s="721"/>
      <c r="O136" s="728"/>
      <c r="P136" s="382"/>
    </row>
    <row r="137" spans="1:16" ht="27.75">
      <c r="A137" s="1228" t="s">
        <v>246</v>
      </c>
      <c r="B137" s="1229"/>
      <c r="C137" s="1229"/>
      <c r="D137" s="523" t="s">
        <v>239</v>
      </c>
      <c r="E137" s="541">
        <f>'16'!F137</f>
        <v>25044.31</v>
      </c>
      <c r="F137" s="654">
        <v>25044.31</v>
      </c>
      <c r="G137" s="473">
        <f t="shared" si="13"/>
        <v>0</v>
      </c>
      <c r="H137" s="460">
        <f>G137+'16'!H137</f>
        <v>-4.4799999999995634</v>
      </c>
      <c r="I137" s="480"/>
      <c r="J137" s="552">
        <f>H137/DAY(B2)</f>
        <v>-0.2635294117646802</v>
      </c>
      <c r="N137" s="721"/>
      <c r="O137" s="728"/>
      <c r="P137" s="382"/>
    </row>
    <row r="138" spans="1:16" ht="27.75">
      <c r="A138" s="1228" t="s">
        <v>247</v>
      </c>
      <c r="B138" s="1229"/>
      <c r="C138" s="1229"/>
      <c r="D138" s="523" t="s">
        <v>239</v>
      </c>
      <c r="E138" s="541">
        <f>'16'!F138</f>
        <v>70213.56</v>
      </c>
      <c r="F138" s="654">
        <v>70218.17</v>
      </c>
      <c r="G138" s="473">
        <f t="shared" si="13"/>
        <v>4.6100000000005821</v>
      </c>
      <c r="H138" s="460">
        <f>G138+'16'!H138</f>
        <v>-35.860000000000582</v>
      </c>
      <c r="I138" s="480">
        <f>G137+G138</f>
        <v>4.6100000000005821</v>
      </c>
      <c r="J138" s="552">
        <f>H138/DAY(B2)</f>
        <v>-2.1094117647059165</v>
      </c>
      <c r="N138" s="721"/>
      <c r="O138" s="728"/>
      <c r="P138" s="382"/>
    </row>
    <row r="139" spans="1:16" ht="27.75">
      <c r="A139" s="1228" t="s">
        <v>248</v>
      </c>
      <c r="B139" s="1229"/>
      <c r="C139" s="1229"/>
      <c r="D139" s="523" t="s">
        <v>239</v>
      </c>
      <c r="E139" s="704">
        <f>'16'!F139</f>
        <v>1536.52</v>
      </c>
      <c r="F139" s="626">
        <v>1536.52</v>
      </c>
      <c r="G139" s="473">
        <f t="shared" si="13"/>
        <v>0</v>
      </c>
      <c r="H139" s="460">
        <f>G139+'16'!H139</f>
        <v>0</v>
      </c>
      <c r="I139" s="542"/>
      <c r="J139" s="552">
        <f>H139/DAY(B2)</f>
        <v>0</v>
      </c>
      <c r="N139" s="721"/>
      <c r="O139" s="728"/>
      <c r="P139" s="382"/>
    </row>
    <row r="140" spans="1:16" ht="27.75">
      <c r="A140" s="1228" t="s">
        <v>249</v>
      </c>
      <c r="B140" s="1229"/>
      <c r="C140" s="1229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-124.10999999999967</v>
      </c>
      <c r="I140" s="542"/>
      <c r="J140" s="552">
        <f>H140/DAY(B2)</f>
        <v>-7.3005882352940983</v>
      </c>
      <c r="N140" s="721"/>
      <c r="O140" s="728"/>
      <c r="P140" s="382"/>
    </row>
    <row r="141" spans="1:16">
      <c r="A141" s="1443" t="s">
        <v>250</v>
      </c>
      <c r="B141" s="1444"/>
      <c r="C141" s="123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v>3349</v>
      </c>
      <c r="H142" s="460">
        <f>G142+'16'!H142</f>
        <v>-83986.440000000017</v>
      </c>
      <c r="I142" s="480"/>
      <c r="J142" s="552">
        <f>H142/DAY(B2)</f>
        <v>-4940.3788235294123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0.16539905175819833</v>
      </c>
      <c r="H143" s="460">
        <f>G143+'16'!H143</f>
        <v>4.5654476018369614</v>
      </c>
      <c r="I143" s="544"/>
      <c r="J143" s="552">
        <f>H143/DAY(B2)</f>
        <v>0.26855574128452714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-81644.03</v>
      </c>
      <c r="I144" s="480"/>
      <c r="J144" s="552">
        <f>H144/DAY(B2)</f>
        <v>-4802.59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0.24237045634136525</v>
      </c>
      <c r="H145" s="460">
        <f>G145+'16'!H145</f>
        <v>4.4531889019925703</v>
      </c>
      <c r="I145" s="544"/>
      <c r="J145" s="552">
        <f>H145/DAY(B2)</f>
        <v>0.26195228835250411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-59790.849999999977</v>
      </c>
      <c r="I146" s="545"/>
      <c r="J146" s="552">
        <f>H146/DAY(B2)</f>
        <v>-3517.1088235294105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0.20271039114974515</v>
      </c>
      <c r="H147" s="460">
        <f>G147+'16'!H147</f>
        <v>3.2877865273910674</v>
      </c>
      <c r="I147" s="545"/>
      <c r="J147" s="552">
        <f>H147/DAY(B2)</f>
        <v>0.19339920749359218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-25844.369999999995</v>
      </c>
      <c r="I148" s="480"/>
      <c r="J148" s="552">
        <f>H148/DAY(B2)</f>
        <v>-1520.2570588235292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8.5756617937575233E-2</v>
      </c>
      <c r="H149" s="460">
        <f>G149+'16'!H149</f>
        <v>1.4513231302943723</v>
      </c>
      <c r="I149" s="545"/>
      <c r="J149" s="552">
        <f>H149/DAY(B2)</f>
        <v>8.5371948840845424E-2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1809.5</v>
      </c>
      <c r="H150" s="460">
        <f>G150+'16'!H150</f>
        <v>-28344.840000000026</v>
      </c>
      <c r="I150" s="545"/>
      <c r="J150" s="552">
        <f>H150/DAY(B2)</f>
        <v>-1667.3435294117662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8.9366851047016985E-2</v>
      </c>
      <c r="H151" s="460">
        <f>G151+'16'!H151</f>
        <v>1.5095345054021077</v>
      </c>
      <c r="I151" s="480"/>
      <c r="J151" s="552">
        <f>H151/DAY(B2)</f>
        <v>8.8796147376594567E-2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-21352.700000000012</v>
      </c>
      <c r="I152" s="480"/>
      <c r="J152" s="552">
        <f>H152/DAY(B2)</f>
        <v>-1256.0411764705889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7.7762248123271371E-2</v>
      </c>
      <c r="H153" s="460">
        <f>G153+'16'!H153</f>
        <v>1.1839056898890461</v>
      </c>
      <c r="I153" s="568"/>
      <c r="J153" s="569">
        <f>H153/DAY(B2)</f>
        <v>6.9641511169943882E-2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'16'!F160</f>
        <v>32159.5</v>
      </c>
      <c r="F160" s="807">
        <v>32243.46</v>
      </c>
      <c r="G160" s="473">
        <f t="shared" ref="G160:G163" si="14">F160-E160</f>
        <v>83.959999999999127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'16'!F161</f>
        <v>62295.29</v>
      </c>
      <c r="F161" s="807">
        <v>62723.81</v>
      </c>
      <c r="G161" s="473">
        <f t="shared" si="14"/>
        <v>428.5199999999968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'16'!F162</f>
        <v>25060.05</v>
      </c>
      <c r="F162" s="787">
        <v>25337.13</v>
      </c>
      <c r="G162" s="473">
        <f t="shared" si="14"/>
        <v>277.08000000000175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'16'!F163</f>
        <v>5614</v>
      </c>
      <c r="F163" s="807">
        <v>5616</v>
      </c>
      <c r="G163" s="473">
        <f t="shared" si="14"/>
        <v>2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1"/>
    </row>
    <row r="166" spans="1:14" ht="27.75">
      <c r="A166" s="1480" t="s">
        <v>99</v>
      </c>
      <c r="B166" s="1480"/>
      <c r="C166" s="1480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1"/>
    </row>
    <row r="167" spans="1:14" ht="27.75">
      <c r="A167" s="1480" t="s">
        <v>100</v>
      </c>
      <c r="B167" s="1480"/>
      <c r="C167" s="1480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1"/>
    </row>
    <row r="168" spans="1:14" ht="27.75">
      <c r="A168" s="1480" t="s">
        <v>101</v>
      </c>
      <c r="B168" s="1480"/>
      <c r="C168" s="1480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1"/>
    </row>
    <row r="169" spans="1:14" ht="27.75">
      <c r="A169" s="1480" t="s">
        <v>102</v>
      </c>
      <c r="B169" s="1480"/>
      <c r="C169" s="1480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1"/>
    </row>
    <row r="170" spans="1:14" ht="27.75">
      <c r="A170" s="1480" t="s">
        <v>103</v>
      </c>
      <c r="B170" s="1480"/>
      <c r="C170" s="1480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3332.4000000000151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7.25" customHeight="1">
      <c r="N178" s="721"/>
    </row>
    <row r="179" spans="14:14" ht="18.75" customHeight="1">
      <c r="N179" s="721"/>
    </row>
    <row r="180" spans="14:14" ht="18.75" customHeight="1">
      <c r="N180" s="721"/>
    </row>
    <row r="181" spans="14:14" ht="17.25" customHeight="1">
      <c r="N181" s="721"/>
    </row>
    <row r="182" spans="14:14" ht="18.75" customHeight="1">
      <c r="N182" s="721"/>
    </row>
    <row r="183" spans="14:14" ht="18.75" customHeight="1">
      <c r="N183" s="721"/>
    </row>
    <row r="184" spans="14:14" ht="17.2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6" zoomScale="55" zoomScaleNormal="68" zoomScaleSheetLayoutView="55" workbookViewId="0">
      <selection activeCell="E11" sqref="E11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575" t="s">
        <v>275</v>
      </c>
      <c r="B2" s="1036">
        <v>44273</v>
      </c>
      <c r="C2" s="1332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2" t="s">
        <v>120</v>
      </c>
      <c r="D3" s="612">
        <v>29</v>
      </c>
      <c r="E3" s="1454" t="s">
        <v>121</v>
      </c>
      <c r="F3" s="1455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2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4806529</v>
      </c>
      <c r="F7" s="455">
        <v>4829938</v>
      </c>
      <c r="G7" s="681">
        <f>F7-E7</f>
        <v>23409</v>
      </c>
      <c r="H7" s="682">
        <f>G7+'17'!H7</f>
        <v>-283985</v>
      </c>
      <c r="I7" s="683">
        <f>'1'!I7</f>
        <v>12000</v>
      </c>
      <c r="J7" s="684">
        <f>H7/DAY(B2)</f>
        <v>-15776.944444444445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4836548</v>
      </c>
      <c r="F8" s="475">
        <v>4860125</v>
      </c>
      <c r="G8" s="692">
        <f>F8-E8</f>
        <v>23577</v>
      </c>
      <c r="H8" s="682">
        <f>G8+'17'!H8</f>
        <v>-285193</v>
      </c>
      <c r="I8" s="689">
        <f>'1'!I8</f>
        <v>12000</v>
      </c>
      <c r="J8" s="684">
        <f>H8/DAY(B2)</f>
        <v>-15844.055555555555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124353.81</v>
      </c>
      <c r="F9" s="478">
        <v>124353.81</v>
      </c>
      <c r="G9" s="705">
        <f t="shared" ref="G9:G12" si="0">F9-E9</f>
        <v>0</v>
      </c>
      <c r="H9" s="682">
        <f>G9+'17'!H9</f>
        <v>-271715.19</v>
      </c>
      <c r="I9" s="693">
        <f>I7-J7</f>
        <v>27776.944444444445</v>
      </c>
      <c r="J9" s="684">
        <f>H9/DAY(B2)</f>
        <v>-15095.288333333334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336966.67</v>
      </c>
      <c r="F10" s="478">
        <f>336966.67+22711</f>
        <v>359677.67</v>
      </c>
      <c r="G10" s="692">
        <f t="shared" si="0"/>
        <v>22711</v>
      </c>
      <c r="H10" s="682">
        <f>G10+'17'!H10</f>
        <v>357355.09</v>
      </c>
      <c r="I10" s="694"/>
      <c r="J10" s="684">
        <f>H10/DAY(B2)</f>
        <v>19853.060555555556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22711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22711</v>
      </c>
      <c r="H13" s="682">
        <f>G13+'17'!H13</f>
        <v>64645.900000000023</v>
      </c>
      <c r="I13" s="698">
        <f>G7-G13</f>
        <v>698</v>
      </c>
      <c r="J13" s="684">
        <f>H13/DAY(B2)</f>
        <v>3591.4388888888902</v>
      </c>
      <c r="K13" s="428"/>
      <c r="L13" s="377"/>
      <c r="N13" s="721"/>
      <c r="O13" s="728"/>
      <c r="P13" s="382"/>
    </row>
    <row r="14" spans="1:16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1634499.5290000001</v>
      </c>
      <c r="F15" s="485">
        <v>1635310.004</v>
      </c>
      <c r="G15" s="667">
        <f>(F15-E15)</f>
        <v>810.4749999998603</v>
      </c>
      <c r="H15" s="486">
        <f>G15+'17'!H15</f>
        <v>-11378.996000000043</v>
      </c>
      <c r="I15" s="474">
        <f>'1'!I15</f>
        <v>800</v>
      </c>
      <c r="J15" s="553">
        <f>H15/DAY(B2)</f>
        <v>-632.16644444444682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1432.1664444444468</v>
      </c>
      <c r="J16" s="553"/>
      <c r="K16" s="428"/>
      <c r="L16" s="377"/>
      <c r="N16" s="721"/>
      <c r="O16" s="728"/>
      <c r="P16" s="382"/>
    </row>
    <row r="17" spans="1:16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477" t="s">
        <v>143</v>
      </c>
      <c r="B18" s="1478"/>
      <c r="C18" s="1479"/>
      <c r="D18" s="638" t="s">
        <v>144</v>
      </c>
      <c r="E18" s="635">
        <f>'17'!F18</f>
        <v>12</v>
      </c>
      <c r="F18" s="478">
        <v>8</v>
      </c>
      <c r="G18" s="697">
        <f>F18*10</f>
        <v>80</v>
      </c>
      <c r="H18" s="682">
        <f>G18+'17'!H18</f>
        <v>2100</v>
      </c>
      <c r="I18" s="683">
        <f>'1'!I18</f>
        <v>65</v>
      </c>
      <c r="J18" s="684">
        <f>H18/DAY(B2)</f>
        <v>116.66666666666667</v>
      </c>
      <c r="K18" s="428"/>
      <c r="L18" s="377"/>
      <c r="N18" s="721"/>
      <c r="O18" s="728"/>
      <c r="P18" s="382"/>
    </row>
    <row r="19" spans="1:16" ht="27.75">
      <c r="A19" s="1477" t="s">
        <v>71</v>
      </c>
      <c r="B19" s="1478"/>
      <c r="C19" s="1479"/>
      <c r="D19" s="638" t="s">
        <v>144</v>
      </c>
      <c r="E19" s="635">
        <f>'17'!F19</f>
        <v>135354</v>
      </c>
      <c r="F19" s="478">
        <v>135407</v>
      </c>
      <c r="G19" s="692">
        <f t="shared" ref="G19" si="1">F19-E19</f>
        <v>53</v>
      </c>
      <c r="H19" s="682">
        <f>G19+'17'!H19</f>
        <v>-683</v>
      </c>
      <c r="I19" s="699"/>
      <c r="J19" s="684">
        <f>H19/DAY(B2)</f>
        <v>-37.944444444444443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133</v>
      </c>
      <c r="H20" s="682">
        <f>G20+'17'!H20</f>
        <v>1417</v>
      </c>
      <c r="I20" s="701">
        <f>I18-J20</f>
        <v>-13.722222222222229</v>
      </c>
      <c r="J20" s="684">
        <f>H20/DAY(B2)</f>
        <v>78.722222222222229</v>
      </c>
      <c r="K20" s="428"/>
      <c r="L20" s="377"/>
      <c r="N20" s="721"/>
      <c r="O20" s="728"/>
      <c r="P20" s="382"/>
    </row>
    <row r="21" spans="1:16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30" t="s">
        <v>147</v>
      </c>
      <c r="B22" s="589"/>
      <c r="C22" s="589"/>
      <c r="D22" s="523" t="s">
        <v>148</v>
      </c>
      <c r="E22" s="635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30" t="s">
        <v>149</v>
      </c>
      <c r="B23" s="589"/>
      <c r="C23" s="589"/>
      <c r="D23" s="523" t="s">
        <v>148</v>
      </c>
      <c r="E23" s="635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23577</v>
      </c>
      <c r="F27" s="501">
        <v>9</v>
      </c>
      <c r="G27" s="502">
        <f>E27*F27</f>
        <v>212193</v>
      </c>
      <c r="H27" s="460">
        <f>G27+'17'!H27</f>
        <v>-2566737</v>
      </c>
      <c r="I27" s="503"/>
      <c r="J27" s="552">
        <f>H27/DAY(B2)</f>
        <v>-142596.5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810.4749999998603</v>
      </c>
      <c r="F28" s="501">
        <v>51.45</v>
      </c>
      <c r="G28" s="502">
        <f>E28*F28</f>
        <v>41698.938749992813</v>
      </c>
      <c r="H28" s="460">
        <f>G28+'17'!H28</f>
        <v>-585449.34420000226</v>
      </c>
      <c r="I28" s="505"/>
      <c r="J28" s="552">
        <f>H28/DAY(B2)</f>
        <v>-32524.963566666793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G30+'17'!H30</f>
        <v>-90154</v>
      </c>
      <c r="I30" s="505"/>
      <c r="J30" s="552">
        <f>H30/DAY(B2)</f>
        <v>-5008.5555555555557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G31+'17'!H31</f>
        <v>168000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267393.93874999281</v>
      </c>
      <c r="H32" s="460">
        <f>G32+'17'!H32</f>
        <v>-3074340.344200002</v>
      </c>
      <c r="I32" s="509"/>
      <c r="J32" s="552">
        <f>H32/DAY(B2)</f>
        <v>-170796.68578888901</v>
      </c>
      <c r="K32" s="373"/>
      <c r="L32" s="443"/>
      <c r="N32" s="721"/>
      <c r="O32" s="728"/>
      <c r="P32" s="382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721"/>
      <c r="O33" s="728"/>
      <c r="P33" s="382"/>
    </row>
    <row r="34" spans="1:16">
      <c r="A34" s="598" t="s">
        <v>163</v>
      </c>
      <c r="B34" s="1335"/>
      <c r="C34" s="1335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-43264.609999999986</v>
      </c>
      <c r="I35" s="455"/>
      <c r="J35" s="552">
        <f>H35/DAY(B2)</f>
        <v>-2403.5894444444439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-9137</v>
      </c>
      <c r="I36" s="455"/>
      <c r="J36" s="552">
        <f>H36/DAY(B2)</f>
        <v>-507.61111111111109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-19629.93</v>
      </c>
      <c r="I37" s="455"/>
      <c r="J37" s="552">
        <f>H37/DAY(B2)</f>
        <v>-1090.5516666666667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-23975</v>
      </c>
      <c r="I38" s="455"/>
      <c r="J38" s="552">
        <f>H38/DAY(B2)</f>
        <v>-1331.9444444444443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-52756</v>
      </c>
      <c r="I39" s="455"/>
      <c r="J39" s="552">
        <f>H39/DAY(B2)</f>
        <v>-2930.8888888888887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0.11000000000000001</v>
      </c>
      <c r="I40" s="455"/>
      <c r="J40" s="552">
        <f>H40/DAY(B2)</f>
        <v>6.1111111111111123E-3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-65839.399999999994</v>
      </c>
      <c r="I41" s="455"/>
      <c r="J41" s="552">
        <f>H41/DAY(B2)</f>
        <v>-3657.7444444444441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2.9999999969732016E-3</v>
      </c>
      <c r="I42" s="455"/>
      <c r="J42" s="552">
        <f>H42/DAY(B2)</f>
        <v>1.6666666649851121E-4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-32264.650000000023</v>
      </c>
      <c r="I43" s="455"/>
      <c r="J43" s="552">
        <f>H43/DAY(B2)</f>
        <v>-1792.4805555555567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614</v>
      </c>
      <c r="I45" s="455"/>
      <c r="J45" s="552">
        <f>H45/DAY(B2)</f>
        <v>34.111111111111114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187.44</v>
      </c>
      <c r="I46" s="455"/>
      <c r="J46" s="552">
        <f>H46/DAY(B2)</f>
        <v>10.413333333333334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-246065.03700000004</v>
      </c>
      <c r="I47" s="455"/>
      <c r="J47" s="552">
        <f>H47/DAY(B2)</f>
        <v>-13670.279833333336</v>
      </c>
      <c r="K47" s="428"/>
      <c r="L47" s="377"/>
      <c r="N47" s="721"/>
      <c r="O47" s="728"/>
      <c r="P47" s="382"/>
    </row>
    <row r="48" spans="1:16">
      <c r="A48" s="598" t="s">
        <v>177</v>
      </c>
      <c r="B48" s="1335"/>
      <c r="C48" s="1335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-18044.609999999986</v>
      </c>
      <c r="I50" s="455"/>
      <c r="J50" s="552">
        <f>H50/DAY(B2)</f>
        <v>-1002.4783333333326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-1631.5100000000093</v>
      </c>
      <c r="I51" s="455"/>
      <c r="J51" s="552">
        <f>H51/DAY(B2)</f>
        <v>-90.639444444444962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-2146.0100000000093</v>
      </c>
      <c r="I52" s="455"/>
      <c r="J52" s="552">
        <f>H52/DAY(B2)</f>
        <v>-119.22277777777829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-6854.4500000000116</v>
      </c>
      <c r="I53" s="455"/>
      <c r="J53" s="552">
        <f>H53/DAY(B2)</f>
        <v>-380.80277777777843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2043.3300000000017</v>
      </c>
      <c r="I54" s="455"/>
      <c r="J54" s="552">
        <f>H54/DAY(B2)</f>
        <v>113.51833333333343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202331.73</v>
      </c>
      <c r="F55" s="656">
        <v>206998.61</v>
      </c>
      <c r="G55" s="655">
        <f t="shared" si="4"/>
        <v>4666.8799999999756</v>
      </c>
      <c r="H55" s="708">
        <f>G55+'17'!H55</f>
        <v>-14097.390000000014</v>
      </c>
      <c r="I55" s="709"/>
      <c r="J55" s="710">
        <f>H55/DAY(B2)</f>
        <v>-783.18833333333407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588850.23</v>
      </c>
      <c r="F56" s="656">
        <v>588859.03</v>
      </c>
      <c r="G56" s="473">
        <f t="shared" si="4"/>
        <v>8.8000000000465661</v>
      </c>
      <c r="H56" s="460">
        <f>G56+'17'!H56</f>
        <v>-107.96999999997206</v>
      </c>
      <c r="I56" s="455"/>
      <c r="J56" s="552">
        <f>H56/DAY(B2)</f>
        <v>-5.9983333333317814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39009.839999999997</v>
      </c>
      <c r="F58" s="656">
        <v>39165.1</v>
      </c>
      <c r="G58" s="473">
        <f t="shared" si="4"/>
        <v>155.26000000000204</v>
      </c>
      <c r="H58" s="460">
        <f>G58+'17'!H58</f>
        <v>-2577.9000000000015</v>
      </c>
      <c r="I58" s="455"/>
      <c r="J58" s="552">
        <f>H58/DAY(B2)</f>
        <v>-143.21666666666675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14173.810000000019</v>
      </c>
      <c r="H59" s="460">
        <f>G59+'17'!H59</f>
        <v>-43416.050000000017</v>
      </c>
      <c r="I59" s="455">
        <f>G7-G60</f>
        <v>381.26699999998164</v>
      </c>
      <c r="J59" s="552">
        <f>H59/DAY(B2)</f>
        <v>-2412.0027777777786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23027.733000000018</v>
      </c>
      <c r="H60" s="460">
        <f>G60+'17'!H60</f>
        <v>-275312.08700000006</v>
      </c>
      <c r="I60" s="455">
        <f>G13-G60</f>
        <v>-316.73300000001836</v>
      </c>
      <c r="J60" s="552">
        <f>H60/DAY(B2)</f>
        <v>-15295.115944444447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-149.42000000000007</v>
      </c>
      <c r="I63" s="515"/>
      <c r="J63" s="552">
        <f>H63/DAY(B2)</f>
        <v>-8.3011111111111155</v>
      </c>
      <c r="K63" s="428"/>
      <c r="L63" s="377"/>
      <c r="N63" s="721"/>
      <c r="O63" s="728"/>
      <c r="P63" s="382"/>
    </row>
    <row r="64" spans="1:16" ht="27.75">
      <c r="A64" s="1416" t="s">
        <v>99</v>
      </c>
      <c r="B64" s="1417"/>
      <c r="C64" s="1418"/>
      <c r="D64" s="523" t="s">
        <v>187</v>
      </c>
      <c r="E64" s="1235">
        <f>'17'!F64</f>
        <v>132346.76</v>
      </c>
      <c r="F64" s="626">
        <v>132862.85</v>
      </c>
      <c r="G64" s="777">
        <f t="shared" si="5"/>
        <v>516.08999999999651</v>
      </c>
      <c r="H64" s="460">
        <f>G64+'17'!H64</f>
        <v>-6317.1499999999942</v>
      </c>
      <c r="I64" s="480"/>
      <c r="J64" s="552">
        <f>H64/DAY(B2)</f>
        <v>-350.95277777777744</v>
      </c>
      <c r="K64" s="428"/>
      <c r="L64" s="377"/>
      <c r="N64" s="721"/>
      <c r="O64" s="728"/>
      <c r="P64" s="382"/>
    </row>
    <row r="65" spans="1:16" ht="27.75">
      <c r="A65" s="1416" t="s">
        <v>100</v>
      </c>
      <c r="B65" s="1417"/>
      <c r="C65" s="1418"/>
      <c r="D65" s="523" t="s">
        <v>187</v>
      </c>
      <c r="E65" s="514">
        <f>'17'!F65</f>
        <v>138932.74</v>
      </c>
      <c r="F65" s="654">
        <v>139317.76999999999</v>
      </c>
      <c r="G65" s="473">
        <f t="shared" si="5"/>
        <v>385.02999999999884</v>
      </c>
      <c r="H65" s="460">
        <f>G65+'17'!H65</f>
        <v>-4887.2300000000105</v>
      </c>
      <c r="I65" s="489"/>
      <c r="J65" s="552">
        <f>H65/DAY(B2)</f>
        <v>-271.51277777777835</v>
      </c>
      <c r="K65" s="428"/>
      <c r="L65" s="377"/>
      <c r="N65" s="721"/>
      <c r="O65" s="729"/>
      <c r="P65" s="382"/>
    </row>
    <row r="66" spans="1:16" ht="27.75">
      <c r="A66" s="1416" t="s">
        <v>101</v>
      </c>
      <c r="B66" s="1417"/>
      <c r="C66" s="1418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-5107.0999999999985</v>
      </c>
      <c r="I66" s="480"/>
      <c r="J66" s="552">
        <f>H66/DAY(B2)</f>
        <v>-283.7277777777777</v>
      </c>
      <c r="K66" s="428"/>
      <c r="L66" s="377"/>
      <c r="N66" s="721"/>
      <c r="O66" s="728"/>
      <c r="P66" s="382"/>
    </row>
    <row r="67" spans="1:16" ht="27.75">
      <c r="A67" s="1416" t="s">
        <v>102</v>
      </c>
      <c r="B67" s="1417"/>
      <c r="C67" s="1418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-9009.890000000014</v>
      </c>
      <c r="I67" s="489"/>
      <c r="J67" s="552">
        <f>H67/DAY(B2)</f>
        <v>-500.54944444444521</v>
      </c>
      <c r="K67" s="429"/>
      <c r="L67" s="377"/>
      <c r="N67" s="721"/>
      <c r="O67" s="728"/>
      <c r="P67" s="382"/>
    </row>
    <row r="68" spans="1:16" ht="27.75">
      <c r="A68" s="1416" t="s">
        <v>103</v>
      </c>
      <c r="B68" s="1417"/>
      <c r="C68" s="1418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-4350.7299999999959</v>
      </c>
      <c r="I68" s="516"/>
      <c r="J68" s="552">
        <f>H68/DAY(B2)</f>
        <v>-241.70722222222199</v>
      </c>
      <c r="K68" s="430"/>
      <c r="L68" s="377"/>
      <c r="N68" s="721"/>
      <c r="O68" s="728"/>
      <c r="P68" s="382"/>
    </row>
    <row r="69" spans="1:16" ht="27.75">
      <c r="A69" s="1416" t="s">
        <v>104</v>
      </c>
      <c r="B69" s="1417"/>
      <c r="C69" s="1418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-4073.9100000000035</v>
      </c>
      <c r="I69" s="516"/>
      <c r="J69" s="552">
        <f>H69/DAY(B2)</f>
        <v>-226.32833333333352</v>
      </c>
      <c r="K69" s="431"/>
      <c r="L69" s="377"/>
      <c r="N69" s="721"/>
      <c r="O69" s="728"/>
      <c r="P69" s="382"/>
    </row>
    <row r="70" spans="1:16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721"/>
      <c r="O71" s="728"/>
      <c r="P71" s="382"/>
    </row>
    <row r="72" spans="1:16" ht="27.75">
      <c r="A72" s="1416" t="s">
        <v>191</v>
      </c>
      <c r="B72" s="1417"/>
      <c r="C72" s="1418"/>
      <c r="D72" s="523" t="s">
        <v>187</v>
      </c>
      <c r="E72" s="519">
        <f>'17'!F72</f>
        <v>852084</v>
      </c>
      <c r="F72" s="657">
        <v>852170</v>
      </c>
      <c r="G72" s="473">
        <f t="shared" ref="G72:G84" si="6">F72-E72</f>
        <v>86</v>
      </c>
      <c r="H72" s="460">
        <f>G72+'17'!H72</f>
        <v>-1099</v>
      </c>
      <c r="I72" s="480"/>
      <c r="J72" s="552">
        <f>H72/DAY(B2)</f>
        <v>-61.055555555555557</v>
      </c>
      <c r="K72" s="431"/>
      <c r="L72" s="377"/>
      <c r="N72" s="721"/>
      <c r="O72" s="728"/>
      <c r="P72" s="382"/>
    </row>
    <row r="73" spans="1:16" ht="27.75">
      <c r="A73" s="1416" t="s">
        <v>192</v>
      </c>
      <c r="B73" s="1417"/>
      <c r="C73" s="1418"/>
      <c r="D73" s="523" t="s">
        <v>187</v>
      </c>
      <c r="E73" s="519">
        <f>'17'!F73</f>
        <v>885777</v>
      </c>
      <c r="F73" s="658">
        <v>885778</v>
      </c>
      <c r="G73" s="655">
        <f t="shared" si="6"/>
        <v>1</v>
      </c>
      <c r="H73" s="460">
        <f>G73+'17'!H73</f>
        <v>-1467</v>
      </c>
      <c r="I73" s="480"/>
      <c r="J73" s="552">
        <f>H73/DAY(B2)</f>
        <v>-81.5</v>
      </c>
      <c r="K73" s="430"/>
      <c r="L73" s="377"/>
      <c r="N73" s="721"/>
      <c r="O73" s="728"/>
      <c r="P73" s="382"/>
    </row>
    <row r="74" spans="1:16" ht="27.75">
      <c r="A74" s="1416" t="s">
        <v>193</v>
      </c>
      <c r="B74" s="1417"/>
      <c r="C74" s="1418"/>
      <c r="D74" s="523" t="s">
        <v>187</v>
      </c>
      <c r="E74" s="519">
        <f>'17'!F74</f>
        <v>1062.95</v>
      </c>
      <c r="F74" s="658">
        <v>1083.04</v>
      </c>
      <c r="G74" s="473">
        <f t="shared" si="6"/>
        <v>20.089999999999918</v>
      </c>
      <c r="H74" s="460">
        <f>G74+'17'!H74</f>
        <v>-286.96000000000004</v>
      </c>
      <c r="I74" s="480"/>
      <c r="J74" s="552">
        <f>H74/DAY(B2)</f>
        <v>-15.942222222222224</v>
      </c>
      <c r="K74" s="431"/>
      <c r="L74" s="377"/>
      <c r="N74" s="721"/>
      <c r="O74" s="728"/>
      <c r="P74" s="382"/>
    </row>
    <row r="75" spans="1:16" ht="27.75">
      <c r="A75" s="1413" t="s">
        <v>194</v>
      </c>
      <c r="B75" s="1414"/>
      <c r="C75" s="1415"/>
      <c r="D75" s="523" t="s">
        <v>187</v>
      </c>
      <c r="E75" s="519">
        <f>'17'!F75</f>
        <v>6330.31</v>
      </c>
      <c r="F75" s="658">
        <v>6501.5</v>
      </c>
      <c r="G75" s="473">
        <f t="shared" si="6"/>
        <v>171.1899999999996</v>
      </c>
      <c r="H75" s="460">
        <f>G75+'17'!H75</f>
        <v>-2178.5</v>
      </c>
      <c r="I75" s="480"/>
      <c r="J75" s="552">
        <f>H75/DAY(B2)</f>
        <v>-121.02777777777777</v>
      </c>
      <c r="K75" s="430"/>
      <c r="L75" s="377"/>
      <c r="N75" s="721"/>
      <c r="O75" s="728"/>
      <c r="P75" s="382"/>
    </row>
    <row r="76" spans="1:16" ht="27.75">
      <c r="A76" s="1413" t="s">
        <v>195</v>
      </c>
      <c r="B76" s="1414"/>
      <c r="C76" s="1415"/>
      <c r="D76" s="523" t="s">
        <v>187</v>
      </c>
      <c r="E76" s="519">
        <f>'17'!F76</f>
        <v>2895.63</v>
      </c>
      <c r="F76" s="658">
        <v>2977.35</v>
      </c>
      <c r="G76" s="473">
        <f t="shared" si="6"/>
        <v>81.7199999999998</v>
      </c>
      <c r="H76" s="460">
        <f>G76+'17'!H76</f>
        <v>-2658.65</v>
      </c>
      <c r="I76" s="505"/>
      <c r="J76" s="552">
        <f>H76/DAY(B2)</f>
        <v>-147.70277777777778</v>
      </c>
      <c r="K76" s="430"/>
      <c r="L76" s="377"/>
      <c r="N76" s="721"/>
      <c r="O76" s="728"/>
      <c r="P76" s="382"/>
    </row>
    <row r="77" spans="1:16" ht="27.75">
      <c r="A77" s="1416" t="s">
        <v>196</v>
      </c>
      <c r="B77" s="1417"/>
      <c r="C77" s="1418"/>
      <c r="D77" s="523" t="s">
        <v>187</v>
      </c>
      <c r="E77" s="519">
        <f>'17'!F77</f>
        <v>699498</v>
      </c>
      <c r="F77" s="658">
        <v>699552</v>
      </c>
      <c r="G77" s="655">
        <f t="shared" si="6"/>
        <v>54</v>
      </c>
      <c r="H77" s="460">
        <f>G77+'17'!H77</f>
        <v>-662</v>
      </c>
      <c r="I77" s="505"/>
      <c r="J77" s="552">
        <f>H77/DAY(B2)</f>
        <v>-36.777777777777779</v>
      </c>
      <c r="K77" s="430"/>
      <c r="L77" s="377"/>
      <c r="N77" s="721"/>
      <c r="O77" s="728"/>
      <c r="P77" s="382"/>
    </row>
    <row r="78" spans="1:16" ht="27.75">
      <c r="A78" s="1333" t="s">
        <v>197</v>
      </c>
      <c r="B78" s="1326"/>
      <c r="C78" s="1326"/>
      <c r="D78" s="523" t="s">
        <v>187</v>
      </c>
      <c r="E78" s="519">
        <f>'17'!F78</f>
        <v>659709</v>
      </c>
      <c r="F78" s="659">
        <v>660174</v>
      </c>
      <c r="G78" s="473">
        <f t="shared" si="6"/>
        <v>465</v>
      </c>
      <c r="H78" s="460">
        <f>G78+'17'!H78</f>
        <v>-5206</v>
      </c>
      <c r="I78" s="505"/>
      <c r="J78" s="552">
        <f>H78/DAY(B2)</f>
        <v>-289.22222222222223</v>
      </c>
      <c r="K78" s="430"/>
      <c r="L78" s="377"/>
      <c r="N78" s="721"/>
      <c r="O78" s="728"/>
      <c r="P78" s="382"/>
    </row>
    <row r="79" spans="1:16" ht="27.75">
      <c r="A79" s="1413" t="s">
        <v>92</v>
      </c>
      <c r="B79" s="1414"/>
      <c r="C79" s="1415"/>
      <c r="D79" s="524" t="s">
        <v>187</v>
      </c>
      <c r="E79" s="519">
        <f>'17'!F79</f>
        <v>818601</v>
      </c>
      <c r="F79" s="659">
        <v>818800</v>
      </c>
      <c r="G79" s="473">
        <f t="shared" si="6"/>
        <v>199</v>
      </c>
      <c r="H79" s="460">
        <f>G79+'17'!H79</f>
        <v>-6316</v>
      </c>
      <c r="I79" s="505"/>
      <c r="J79" s="552">
        <f>H79/DAY(B2)</f>
        <v>-350.88888888888891</v>
      </c>
      <c r="K79" s="430"/>
      <c r="L79" s="377"/>
      <c r="N79" s="721"/>
      <c r="O79" s="728"/>
      <c r="P79" s="382"/>
    </row>
    <row r="80" spans="1:16" ht="27.75">
      <c r="A80" s="1413" t="s">
        <v>198</v>
      </c>
      <c r="B80" s="1414"/>
      <c r="C80" s="1415"/>
      <c r="D80" s="524" t="s">
        <v>187</v>
      </c>
      <c r="E80" s="519">
        <f>'17'!F80</f>
        <v>500703.16</v>
      </c>
      <c r="F80" s="658">
        <v>500959</v>
      </c>
      <c r="G80" s="473">
        <f t="shared" si="6"/>
        <v>255.84000000002561</v>
      </c>
      <c r="H80" s="460">
        <f>G80+'17'!H80</f>
        <v>-1759</v>
      </c>
      <c r="I80" s="505"/>
      <c r="J80" s="552">
        <f>H80/DAY(B2)</f>
        <v>-97.722222222222229</v>
      </c>
      <c r="K80" s="430"/>
      <c r="L80" s="377"/>
      <c r="N80" s="721"/>
      <c r="O80" s="728"/>
      <c r="P80" s="382"/>
    </row>
    <row r="81" spans="1:16" ht="27.75">
      <c r="A81" s="1413" t="s">
        <v>199</v>
      </c>
      <c r="B81" s="1414"/>
      <c r="C81" s="1415"/>
      <c r="D81" s="524" t="s">
        <v>187</v>
      </c>
      <c r="E81" s="519">
        <f>'17'!F81</f>
        <v>627779.96</v>
      </c>
      <c r="F81" s="658">
        <v>627909.04</v>
      </c>
      <c r="G81" s="473">
        <f t="shared" si="6"/>
        <v>129.08000000007451</v>
      </c>
      <c r="H81" s="460">
        <f>G81+'17'!H81</f>
        <v>-2275.9599999999627</v>
      </c>
      <c r="I81" s="505"/>
      <c r="J81" s="552">
        <f>H81/DAY(B2)</f>
        <v>-126.44222222222015</v>
      </c>
      <c r="K81" s="430"/>
      <c r="L81" s="377"/>
      <c r="N81" s="721"/>
      <c r="O81" s="728"/>
      <c r="P81" s="382"/>
    </row>
    <row r="82" spans="1:16" s="779" customFormat="1" ht="27.75">
      <c r="A82" s="1484" t="s">
        <v>93</v>
      </c>
      <c r="B82" s="1485"/>
      <c r="C82" s="1486"/>
      <c r="D82" s="626" t="s">
        <v>132</v>
      </c>
      <c r="E82" s="786">
        <f>'17'!F82</f>
        <v>106583.51</v>
      </c>
      <c r="F82" s="626">
        <v>106604.87</v>
      </c>
      <c r="G82" s="777">
        <f t="shared" si="6"/>
        <v>21.360000000000582</v>
      </c>
      <c r="H82" s="479">
        <f>G82+'17'!H82</f>
        <v>-290.13000000000466</v>
      </c>
      <c r="I82" s="479"/>
      <c r="J82" s="778">
        <f>H82/DAY(B2)</f>
        <v>-16.118333333333592</v>
      </c>
      <c r="K82" s="1221"/>
      <c r="L82" s="1222"/>
      <c r="N82" s="725"/>
      <c r="O82" s="729"/>
      <c r="P82" s="724"/>
    </row>
    <row r="83" spans="1:16" ht="27.75">
      <c r="A83" s="1413" t="s">
        <v>200</v>
      </c>
      <c r="B83" s="1414"/>
      <c r="C83" s="1415"/>
      <c r="D83" s="620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-3652</v>
      </c>
      <c r="I83" s="481"/>
      <c r="J83" s="552">
        <f>H83/DAY(B2)</f>
        <v>-202.88888888888889</v>
      </c>
      <c r="K83" s="429"/>
      <c r="L83" s="377"/>
      <c r="N83" s="721"/>
      <c r="O83" s="728"/>
      <c r="P83" s="382"/>
    </row>
    <row r="84" spans="1:16">
      <c r="A84" s="1334" t="s">
        <v>201</v>
      </c>
      <c r="B84" s="571"/>
      <c r="C84" s="571"/>
      <c r="D84" s="478" t="s">
        <v>132</v>
      </c>
      <c r="E84" s="519">
        <f>'17'!F84</f>
        <v>444033</v>
      </c>
      <c r="F84" s="627">
        <v>444760</v>
      </c>
      <c r="G84" s="473">
        <f t="shared" si="6"/>
        <v>727</v>
      </c>
      <c r="H84" s="460">
        <f>G84+'17'!H84</f>
        <v>-9924</v>
      </c>
      <c r="I84" s="481"/>
      <c r="J84" s="552">
        <f>H84/DAY(B2)</f>
        <v>-551.33333333333337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2450.2800000000998</v>
      </c>
      <c r="H85" s="460">
        <f>G85+'17'!H85</f>
        <v>-33719.199999999961</v>
      </c>
      <c r="I85" s="481"/>
      <c r="J85" s="552">
        <f>H85/DAY(B2)</f>
        <v>-1873.2888888888867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452448.68</v>
      </c>
      <c r="F86" s="650">
        <v>452597.24</v>
      </c>
      <c r="G86" s="708">
        <f t="shared" ref="G86:G90" si="7">F86-E86</f>
        <v>148.55999999999767</v>
      </c>
      <c r="H86" s="708">
        <f t="shared" ref="H86:H88" si="8">G86</f>
        <v>148.55999999999767</v>
      </c>
      <c r="I86" s="655"/>
      <c r="J86" s="710">
        <f>H86/DAY(B2)</f>
        <v>8.2533333333332042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79701.8</v>
      </c>
      <c r="F87" s="650">
        <v>79740.7</v>
      </c>
      <c r="G87" s="708">
        <f t="shared" si="7"/>
        <v>38.899999999994179</v>
      </c>
      <c r="H87" s="708">
        <f t="shared" si="8"/>
        <v>38.899999999994179</v>
      </c>
      <c r="I87" s="655"/>
      <c r="J87" s="710">
        <f>H87/DAY(B2)</f>
        <v>2.1611111111107877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149555.70000000001</v>
      </c>
      <c r="F88" s="650">
        <v>149638.23000000001</v>
      </c>
      <c r="G88" s="708">
        <f t="shared" si="7"/>
        <v>82.529999999998836</v>
      </c>
      <c r="H88" s="708">
        <f t="shared" si="8"/>
        <v>82.529999999998836</v>
      </c>
      <c r="I88" s="655"/>
      <c r="J88" s="710">
        <f>H88/DAY(B2)</f>
        <v>4.5849999999999351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62833.1</v>
      </c>
      <c r="F89" s="650">
        <v>62900</v>
      </c>
      <c r="G89" s="708">
        <f t="shared" si="7"/>
        <v>66.900000000001455</v>
      </c>
      <c r="H89" s="708">
        <f>G89</f>
        <v>66.900000000001455</v>
      </c>
      <c r="I89" s="655"/>
      <c r="J89" s="710">
        <f>H89/DAY(B2)</f>
        <v>3.7166666666667476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3234.6</v>
      </c>
      <c r="F90" s="650">
        <v>3238.7</v>
      </c>
      <c r="G90" s="708">
        <f t="shared" si="7"/>
        <v>4.0999999999999091</v>
      </c>
      <c r="H90" s="708">
        <f>G90</f>
        <v>4.0999999999999091</v>
      </c>
      <c r="I90" s="655"/>
      <c r="J90" s="710">
        <f>H90/DAY(B2)</f>
        <v>0.22777777777777272</v>
      </c>
      <c r="K90" s="736"/>
      <c r="L90" s="737"/>
      <c r="N90" s="781"/>
      <c r="O90" s="382"/>
    </row>
    <row r="91" spans="1:16" s="379" customFormat="1">
      <c r="A91" s="606" t="s">
        <v>205</v>
      </c>
      <c r="B91" s="1336"/>
      <c r="C91" s="1336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37" t="s">
        <v>206</v>
      </c>
      <c r="B92" s="1438"/>
      <c r="C92" s="1439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-1296</v>
      </c>
      <c r="I92" s="480"/>
      <c r="J92" s="552">
        <f>H92/DAY(B2)</f>
        <v>-72</v>
      </c>
      <c r="K92" s="429"/>
      <c r="L92" s="377"/>
      <c r="N92" s="721"/>
      <c r="O92" s="728"/>
      <c r="P92" s="382"/>
    </row>
    <row r="93" spans="1:16" ht="27.75">
      <c r="A93" s="1437"/>
      <c r="B93" s="1438"/>
      <c r="C93" s="1439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-1750</v>
      </c>
      <c r="I93" s="480"/>
      <c r="J93" s="552">
        <f>H93/DAY(B2)</f>
        <v>-97.222222222222229</v>
      </c>
      <c r="K93" s="380"/>
      <c r="L93" s="377"/>
      <c r="N93" s="721"/>
      <c r="O93" s="728"/>
      <c r="P93" s="382"/>
    </row>
    <row r="94" spans="1:16">
      <c r="A94" s="1465" t="s">
        <v>208</v>
      </c>
      <c r="B94" s="1466"/>
      <c r="C94" s="1467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-3265</v>
      </c>
      <c r="I94" s="480"/>
      <c r="J94" s="552">
        <f>H94/DAY(B2)</f>
        <v>-181.38888888888889</v>
      </c>
      <c r="K94" s="380"/>
      <c r="L94" s="377"/>
      <c r="N94" s="721"/>
      <c r="O94" s="728"/>
      <c r="P94" s="382"/>
    </row>
    <row r="95" spans="1:16" ht="27.75">
      <c r="A95" s="1437" t="s">
        <v>209</v>
      </c>
      <c r="B95" s="1438"/>
      <c r="C95" s="1439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-1100</v>
      </c>
      <c r="I95" s="480"/>
      <c r="J95" s="552">
        <f>H95/DAY(B2)</f>
        <v>-61.111111111111114</v>
      </c>
      <c r="K95" s="380"/>
      <c r="L95" s="377"/>
      <c r="N95" s="721"/>
      <c r="O95" s="728"/>
      <c r="P95" s="382"/>
    </row>
    <row r="96" spans="1:16" ht="27.75">
      <c r="A96" s="1330" t="s">
        <v>210</v>
      </c>
      <c r="B96" s="1331"/>
      <c r="C96" s="1331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-237</v>
      </c>
      <c r="I96" s="480"/>
      <c r="J96" s="552">
        <f>H96/DAY(B2)</f>
        <v>-13.166666666666666</v>
      </c>
      <c r="K96" s="427"/>
      <c r="L96" s="377"/>
      <c r="N96" s="721"/>
      <c r="O96" s="728"/>
      <c r="P96" s="382"/>
    </row>
    <row r="97" spans="1:16" ht="27.75">
      <c r="A97" s="1330" t="s">
        <v>211</v>
      </c>
      <c r="B97" s="1331"/>
      <c r="C97" s="1331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-283</v>
      </c>
      <c r="I97" s="480"/>
      <c r="J97" s="552">
        <f>H97/DAY(B2)</f>
        <v>-15.722222222222221</v>
      </c>
      <c r="K97" s="432"/>
      <c r="L97" s="377"/>
      <c r="N97" s="721"/>
      <c r="O97" s="728"/>
      <c r="P97" s="382"/>
    </row>
    <row r="98" spans="1:16" ht="27.75">
      <c r="A98" s="1330" t="s">
        <v>212</v>
      </c>
      <c r="B98" s="1331"/>
      <c r="C98" s="1331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-450</v>
      </c>
      <c r="I98" s="480"/>
      <c r="J98" s="552">
        <f>H98/DAY(B2)</f>
        <v>-25</v>
      </c>
      <c r="K98" s="380"/>
      <c r="L98" s="377"/>
      <c r="N98" s="723"/>
      <c r="O98" s="728"/>
      <c r="P98" s="382"/>
    </row>
    <row r="99" spans="1:16" ht="27.75">
      <c r="A99" s="1330" t="s">
        <v>213</v>
      </c>
      <c r="B99" s="1331"/>
      <c r="C99" s="1331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-196</v>
      </c>
      <c r="I99" s="480"/>
      <c r="J99" s="552">
        <f>H99/DAY(B2)</f>
        <v>-10.888888888888889</v>
      </c>
      <c r="K99" s="380"/>
      <c r="L99" s="377"/>
      <c r="N99" s="721"/>
      <c r="O99" s="728"/>
      <c r="P99" s="382"/>
    </row>
    <row r="100" spans="1:16" ht="27.75">
      <c r="A100" s="1330" t="s">
        <v>214</v>
      </c>
      <c r="B100" s="1331"/>
      <c r="C100" s="1331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-187</v>
      </c>
      <c r="I100" s="480"/>
      <c r="J100" s="552">
        <f>H100/DAY(B2)</f>
        <v>-10.388888888888889</v>
      </c>
      <c r="K100" s="380"/>
      <c r="L100" s="377"/>
      <c r="N100" s="721"/>
      <c r="O100" s="728"/>
      <c r="P100" s="382"/>
    </row>
    <row r="101" spans="1:16">
      <c r="A101" s="1465" t="s">
        <v>216</v>
      </c>
      <c r="B101" s="1466"/>
      <c r="C101" s="1467"/>
      <c r="D101" s="524"/>
      <c r="E101" s="484"/>
      <c r="F101" s="524"/>
      <c r="G101" s="525">
        <f>SUM(G95:G100)</f>
        <v>123</v>
      </c>
      <c r="H101" s="460">
        <f>G101+'17'!H101</f>
        <v>-2453</v>
      </c>
      <c r="I101" s="526"/>
      <c r="J101" s="552">
        <f>H101/DAY(B2)</f>
        <v>-136.27777777777777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468" t="s">
        <v>218</v>
      </c>
      <c r="B103" s="1469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429" t="s">
        <v>219</v>
      </c>
      <c r="B104" s="1430"/>
      <c r="C104" s="1329"/>
      <c r="D104" s="622" t="s">
        <v>144</v>
      </c>
      <c r="E104" s="484">
        <f>'17'!F104</f>
        <v>7240</v>
      </c>
      <c r="F104" s="661">
        <v>7281</v>
      </c>
      <c r="G104" s="532">
        <f>F104-E104</f>
        <v>41</v>
      </c>
      <c r="H104" s="533">
        <f>SUM(G104+'1'!G76)</f>
        <v>100</v>
      </c>
      <c r="I104" s="532"/>
      <c r="J104" s="558">
        <f>H104/DAY(B2)</f>
        <v>5.5555555555555554</v>
      </c>
      <c r="N104" s="721"/>
      <c r="O104" s="728"/>
      <c r="P104" s="382"/>
    </row>
    <row r="105" spans="1:16" s="442" customFormat="1" ht="27.75">
      <c r="A105" s="1429" t="s">
        <v>77</v>
      </c>
      <c r="B105" s="1430"/>
      <c r="C105" s="1329"/>
      <c r="D105" s="622" t="s">
        <v>144</v>
      </c>
      <c r="E105" s="484">
        <f>'17'!F105</f>
        <v>35534</v>
      </c>
      <c r="F105" s="662">
        <v>35541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429" t="s">
        <v>78</v>
      </c>
      <c r="B106" s="1470"/>
      <c r="C106" s="1430"/>
      <c r="D106" s="622" t="s">
        <v>144</v>
      </c>
      <c r="E106" s="484">
        <f>'17'!F106</f>
        <v>19340</v>
      </c>
      <c r="F106" s="662">
        <v>19345</v>
      </c>
      <c r="G106" s="532">
        <f t="shared" si="11"/>
        <v>5</v>
      </c>
      <c r="H106" s="533">
        <f>SUM(G106+'1'!G78)</f>
        <v>400</v>
      </c>
      <c r="I106" s="532"/>
      <c r="J106" s="558">
        <f>H106/DAY(B2)</f>
        <v>22.222222222222221</v>
      </c>
      <c r="N106" s="721"/>
      <c r="O106" s="728"/>
      <c r="P106" s="382"/>
    </row>
    <row r="107" spans="1:16" s="442" customFormat="1" ht="27.75">
      <c r="A107" s="1431" t="s">
        <v>202</v>
      </c>
      <c r="B107" s="1432"/>
      <c r="C107" s="1329"/>
      <c r="D107" s="622"/>
      <c r="E107" s="484">
        <f>'17'!F107</f>
        <v>0</v>
      </c>
      <c r="F107" s="662"/>
      <c r="G107" s="532">
        <f>SUM(G104:G106)</f>
        <v>53</v>
      </c>
      <c r="H107" s="533">
        <f>SUM(G107+'1'!G79)</f>
        <v>247</v>
      </c>
      <c r="I107" s="532"/>
      <c r="J107" s="558">
        <f>H107/DAY(B2)</f>
        <v>13.722222222222221</v>
      </c>
      <c r="N107" s="721"/>
      <c r="O107" s="728"/>
      <c r="P107" s="382"/>
    </row>
    <row r="108" spans="1:16" s="442" customFormat="1" ht="27.75">
      <c r="A108" s="1435" t="s">
        <v>79</v>
      </c>
      <c r="B108" s="1436"/>
      <c r="C108" s="1329"/>
      <c r="D108" s="622" t="s">
        <v>144</v>
      </c>
      <c r="E108" s="484">
        <f>'17'!F108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429" t="s">
        <v>220</v>
      </c>
      <c r="B109" s="1430"/>
      <c r="C109" s="1329"/>
      <c r="D109" s="622" t="s">
        <v>144</v>
      </c>
      <c r="E109" s="484">
        <f>'17'!F109</f>
        <v>57641</v>
      </c>
      <c r="F109" s="662">
        <v>57717</v>
      </c>
      <c r="G109" s="532">
        <f>F109-E109</f>
        <v>76</v>
      </c>
      <c r="H109" s="533">
        <f>SUM(G109+'1'!G81)</f>
        <v>274</v>
      </c>
      <c r="I109" s="532"/>
      <c r="J109" s="558">
        <f>H109/DAY(B2)</f>
        <v>15.222222222222221</v>
      </c>
      <c r="N109" s="721"/>
      <c r="O109" s="728"/>
      <c r="P109" s="382"/>
    </row>
    <row r="110" spans="1:16" s="442" customFormat="1" ht="27.75">
      <c r="A110" s="1429" t="s">
        <v>221</v>
      </c>
      <c r="B110" s="1430"/>
      <c r="C110" s="1329"/>
      <c r="D110" s="622" t="s">
        <v>144</v>
      </c>
      <c r="E110" s="484">
        <f>'17'!F110</f>
        <v>31282</v>
      </c>
      <c r="F110" s="662">
        <v>31282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1.2777777777777777</v>
      </c>
      <c r="N110" s="721"/>
      <c r="O110" s="728"/>
      <c r="P110" s="382"/>
    </row>
    <row r="111" spans="1:16" s="442" customFormat="1" ht="27.75">
      <c r="A111" s="1429" t="s">
        <v>222</v>
      </c>
      <c r="B111" s="1430"/>
      <c r="C111" s="1329"/>
      <c r="D111" s="622" t="s">
        <v>144</v>
      </c>
      <c r="E111" s="484">
        <f>'17'!F111</f>
        <v>4084</v>
      </c>
      <c r="F111" s="662">
        <v>4084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13.277777777777779</v>
      </c>
      <c r="N111" s="721"/>
      <c r="O111" s="728"/>
      <c r="P111" s="382"/>
    </row>
    <row r="112" spans="1:16" s="442" customFormat="1" ht="27.75">
      <c r="A112" s="1431" t="s">
        <v>110</v>
      </c>
      <c r="B112" s="1432"/>
      <c r="C112" s="1329"/>
      <c r="D112" s="622"/>
      <c r="E112" s="484">
        <f>'17'!F112</f>
        <v>0</v>
      </c>
      <c r="F112" s="662"/>
      <c r="G112" s="532">
        <f>SUM(G109:G111)</f>
        <v>76</v>
      </c>
      <c r="H112" s="533">
        <f>SUM(G112+'1'!G84)</f>
        <v>991</v>
      </c>
      <c r="I112" s="532"/>
      <c r="J112" s="558">
        <f>H112/DAY(B2)</f>
        <v>55.055555555555557</v>
      </c>
      <c r="N112" s="721"/>
      <c r="O112" s="728"/>
      <c r="P112" s="382"/>
    </row>
    <row r="113" spans="1:16" s="442" customFormat="1" ht="27.75">
      <c r="A113" s="1435" t="s">
        <v>223</v>
      </c>
      <c r="B113" s="1436"/>
      <c r="C113" s="1329"/>
      <c r="D113" s="622"/>
      <c r="E113" s="484">
        <f>'17'!F113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429" t="s">
        <v>224</v>
      </c>
      <c r="B114" s="1430"/>
      <c r="C114" s="574"/>
      <c r="D114" s="622" t="s">
        <v>144</v>
      </c>
      <c r="E114" s="484">
        <f>'17'!F114</f>
        <v>10618</v>
      </c>
      <c r="F114" s="662">
        <v>10625</v>
      </c>
      <c r="G114" s="534">
        <f>F114-E114</f>
        <v>7</v>
      </c>
      <c r="H114" s="533">
        <f>SUM(G114+'1'!G91)</f>
        <v>7</v>
      </c>
      <c r="I114" s="532"/>
      <c r="J114" s="558">
        <f>H114/DAY(B2)</f>
        <v>0.3888888888888889</v>
      </c>
      <c r="N114" s="721"/>
      <c r="O114" s="728"/>
      <c r="P114" s="382"/>
    </row>
    <row r="115" spans="1:16" s="442" customFormat="1" ht="27.75">
      <c r="A115" s="1429" t="s">
        <v>225</v>
      </c>
      <c r="B115" s="1430"/>
      <c r="C115" s="574"/>
      <c r="D115" s="622" t="s">
        <v>144</v>
      </c>
      <c r="E115" s="484">
        <f>'17'!F115</f>
        <v>7831</v>
      </c>
      <c r="F115" s="662">
        <v>7837</v>
      </c>
      <c r="G115" s="534">
        <f t="shared" ref="G115:G116" si="13">F115-E115</f>
        <v>6</v>
      </c>
      <c r="H115" s="533">
        <f>SUM(G115+'1'!G92)</f>
        <v>98</v>
      </c>
      <c r="I115" s="532"/>
      <c r="J115" s="558">
        <f>H115/DAY(B2)</f>
        <v>5.4444444444444446</v>
      </c>
      <c r="N115" s="721"/>
      <c r="O115" s="728"/>
      <c r="P115" s="382"/>
    </row>
    <row r="116" spans="1:16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7.0555555555555554</v>
      </c>
      <c r="N116" s="721"/>
      <c r="O116" s="728"/>
      <c r="P116" s="382"/>
    </row>
    <row r="117" spans="1:16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13</v>
      </c>
      <c r="H117" s="533">
        <f>SUM(G117+'1'!G95)</f>
        <v>90</v>
      </c>
      <c r="I117" s="534"/>
      <c r="J117" s="558">
        <f>H117/DAY(B2)</f>
        <v>5</v>
      </c>
      <c r="N117" s="721"/>
      <c r="O117" s="728"/>
      <c r="P117" s="382"/>
    </row>
    <row r="118" spans="1:16" s="446" customFormat="1" ht="27.75">
      <c r="A118" s="1425" t="s">
        <v>227</v>
      </c>
      <c r="B118" s="1426"/>
      <c r="C118" s="1327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3">
        <f>SUM(G118+'1'!G96)</f>
        <v>129</v>
      </c>
      <c r="I118" s="535"/>
      <c r="J118" s="559">
        <f>H118/DAY(B2)</f>
        <v>7.166666666666667</v>
      </c>
      <c r="N118" s="721"/>
      <c r="O118" s="728"/>
      <c r="P118" s="382"/>
    </row>
    <row r="119" spans="1:16" s="446" customFormat="1" ht="27.75">
      <c r="A119" s="1425" t="s">
        <v>228</v>
      </c>
      <c r="B119" s="1426"/>
      <c r="C119" s="1327"/>
      <c r="D119" s="624" t="s">
        <v>144</v>
      </c>
      <c r="E119" s="536"/>
      <c r="F119" s="663">
        <f>SUM(G95,G96,G97,G99,G100)</f>
        <v>107</v>
      </c>
      <c r="G119" s="536">
        <f>SUM(G95,G96,G97,G99,G100)</f>
        <v>107</v>
      </c>
      <c r="H119" s="533">
        <f>SUM(G119+'1'!G98)</f>
        <v>135</v>
      </c>
      <c r="I119" s="535"/>
      <c r="J119" s="559">
        <f>H119/DAY(B2)</f>
        <v>7.5</v>
      </c>
      <c r="N119" s="721"/>
      <c r="O119" s="728"/>
      <c r="P119" s="382"/>
    </row>
    <row r="120" spans="1:16" s="446" customFormat="1" ht="27.75">
      <c r="A120" s="1425" t="s">
        <v>229</v>
      </c>
      <c r="B120" s="1426"/>
      <c r="C120" s="1327"/>
      <c r="D120" s="624" t="s">
        <v>144</v>
      </c>
      <c r="E120" s="534"/>
      <c r="F120" s="662">
        <f>SUM(G112)</f>
        <v>76</v>
      </c>
      <c r="G120" s="534">
        <f>SUM(G112)</f>
        <v>76</v>
      </c>
      <c r="H120" s="533">
        <f>SUM(G120+'1'!G100)</f>
        <v>82</v>
      </c>
      <c r="I120" s="535"/>
      <c r="J120" s="559">
        <f>H120/DAY(B2)</f>
        <v>4.5555555555555554</v>
      </c>
      <c r="N120" s="721"/>
      <c r="O120" s="728"/>
      <c r="P120" s="382"/>
    </row>
    <row r="121" spans="1:16" s="442" customFormat="1" ht="27.75">
      <c r="A121" s="1427"/>
      <c r="B121" s="1428"/>
      <c r="C121" s="1328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330" t="s">
        <v>231</v>
      </c>
      <c r="B123" s="1331"/>
      <c r="C123" s="1331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-3291.7099999999627</v>
      </c>
      <c r="I123" s="526"/>
      <c r="J123" s="552">
        <f>H123/DAY(B2)</f>
        <v>-182.8727777777757</v>
      </c>
      <c r="K123" s="380"/>
      <c r="L123" s="377"/>
      <c r="N123" s="721"/>
      <c r="O123" s="728"/>
      <c r="P123" s="382"/>
    </row>
    <row r="124" spans="1:16" ht="27.75">
      <c r="A124" s="1330" t="s">
        <v>232</v>
      </c>
      <c r="B124" s="1331"/>
      <c r="C124" s="1331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16" t="s">
        <v>233</v>
      </c>
      <c r="B125" s="1417"/>
      <c r="C125" s="1418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-980.51999999998952</v>
      </c>
      <c r="I125" s="526"/>
      <c r="J125" s="552">
        <f>H125/DAY(B2)</f>
        <v>-54.473333333332754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331"/>
      <c r="C126" s="1331"/>
      <c r="D126" s="523" t="s">
        <v>141</v>
      </c>
      <c r="E126" s="626">
        <f>'17'!F126</f>
        <v>59695.8</v>
      </c>
      <c r="F126" s="626">
        <v>59712.3</v>
      </c>
      <c r="G126" s="473">
        <f t="shared" si="14"/>
        <v>16.5</v>
      </c>
      <c r="H126" s="460">
        <f>G126+'17'!H126</f>
        <v>28393.600000000002</v>
      </c>
      <c r="I126" s="526"/>
      <c r="J126" s="552">
        <f>H126/DAY(B2)</f>
        <v>1577.4222222222224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331"/>
      <c r="C127" s="1331"/>
      <c r="D127" s="523" t="s">
        <v>141</v>
      </c>
      <c r="E127" s="626">
        <f>'17'!F127</f>
        <v>8930.9</v>
      </c>
      <c r="F127" s="626">
        <v>8932.2999999999993</v>
      </c>
      <c r="G127" s="473">
        <f t="shared" si="14"/>
        <v>1.3999999999996362</v>
      </c>
      <c r="H127" s="460">
        <f>G127+'17'!H127</f>
        <v>-29.700000000000728</v>
      </c>
      <c r="I127" s="480"/>
      <c r="J127" s="552">
        <f>H127/DAY(B2)</f>
        <v>-1.6500000000000403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331"/>
      <c r="C128" s="1331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2">
        <f>H128/DAY(B2)</f>
        <v>79.304166666658503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330" t="s">
        <v>238</v>
      </c>
      <c r="B130" s="1331"/>
      <c r="C130" s="1331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330" t="s">
        <v>240</v>
      </c>
      <c r="B131" s="1331"/>
      <c r="C131" s="1331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30" t="s">
        <v>241</v>
      </c>
      <c r="B132" s="1331"/>
      <c r="C132" s="1331"/>
      <c r="D132" s="523" t="s">
        <v>239</v>
      </c>
      <c r="E132" s="541">
        <f>'17'!F132</f>
        <v>39219</v>
      </c>
      <c r="F132" s="654">
        <v>39230.33</v>
      </c>
      <c r="G132" s="473">
        <v>2</v>
      </c>
      <c r="H132" s="460">
        <f>G132+'17'!H132</f>
        <v>-312</v>
      </c>
      <c r="I132" s="480"/>
      <c r="J132" s="552">
        <f>H132/DAY(B2)</f>
        <v>-17.333333333333332</v>
      </c>
      <c r="N132" s="721"/>
      <c r="O132" s="728"/>
      <c r="P132" s="382"/>
    </row>
    <row r="133" spans="1:16" ht="27.75">
      <c r="A133" s="1330" t="s">
        <v>242</v>
      </c>
      <c r="B133" s="1331"/>
      <c r="C133" s="1331"/>
      <c r="D133" s="523" t="s">
        <v>239</v>
      </c>
      <c r="E133" s="704">
        <f>'17'!F133</f>
        <v>299</v>
      </c>
      <c r="F133" s="626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2">
        <f>H133/DAY(B2)</f>
        <v>-5.5555555555555552E-2</v>
      </c>
      <c r="N133" s="721"/>
      <c r="O133" s="728"/>
      <c r="P133" s="382"/>
    </row>
    <row r="134" spans="1:16" ht="27.75">
      <c r="A134" s="1330" t="s">
        <v>243</v>
      </c>
      <c r="B134" s="1331"/>
      <c r="C134" s="1331"/>
      <c r="D134" s="523" t="s">
        <v>239</v>
      </c>
      <c r="E134" s="704">
        <f>'17'!F134</f>
        <v>40771.14</v>
      </c>
      <c r="F134" s="626">
        <v>40793.03</v>
      </c>
      <c r="G134" s="473">
        <f t="shared" si="15"/>
        <v>21.889999999999418</v>
      </c>
      <c r="H134" s="460">
        <f>G134+'17'!H134</f>
        <v>-45.970000000001164</v>
      </c>
      <c r="I134" s="480"/>
      <c r="J134" s="552">
        <f>H134/DAY(B2)</f>
        <v>-2.5538888888889537</v>
      </c>
      <c r="N134" s="721"/>
      <c r="O134" s="728"/>
      <c r="P134" s="382"/>
    </row>
    <row r="135" spans="1:16" ht="27.75">
      <c r="A135" s="1330" t="s">
        <v>244</v>
      </c>
      <c r="B135" s="1331"/>
      <c r="C135" s="1331"/>
      <c r="D135" s="523" t="s">
        <v>239</v>
      </c>
      <c r="E135" s="541">
        <f>'17'!F135</f>
        <v>32582.92</v>
      </c>
      <c r="F135" s="654">
        <v>32582.92</v>
      </c>
      <c r="G135" s="473">
        <f t="shared" si="15"/>
        <v>0</v>
      </c>
      <c r="H135" s="460">
        <f>G135+'17'!H135</f>
        <v>-8.000000000174623E-2</v>
      </c>
      <c r="I135" s="480"/>
      <c r="J135" s="552">
        <f>H135/DAY(B2)</f>
        <v>-4.4444444445414571E-3</v>
      </c>
      <c r="N135" s="721"/>
      <c r="O135" s="728"/>
      <c r="P135" s="382"/>
    </row>
    <row r="136" spans="1:16" ht="27.75">
      <c r="A136" s="1330" t="s">
        <v>245</v>
      </c>
      <c r="B136" s="1331"/>
      <c r="C136" s="1331"/>
      <c r="D136" s="523" t="s">
        <v>239</v>
      </c>
      <c r="E136" s="541">
        <f>'17'!F136</f>
        <v>22366.75</v>
      </c>
      <c r="F136" s="654">
        <v>22373.31</v>
      </c>
      <c r="G136" s="473">
        <f t="shared" si="15"/>
        <v>6.5600000000013097</v>
      </c>
      <c r="H136" s="460">
        <f>G136+'17'!H136</f>
        <v>-115.34000000000015</v>
      </c>
      <c r="I136" s="480">
        <f>G134+G135+G136</f>
        <v>28.450000000000728</v>
      </c>
      <c r="J136" s="552">
        <f>H136/DAY(B2)</f>
        <v>-6.4077777777777856</v>
      </c>
      <c r="N136" s="721"/>
      <c r="O136" s="728"/>
      <c r="P136" s="382"/>
    </row>
    <row r="137" spans="1:16" ht="27.75">
      <c r="A137" s="1330" t="s">
        <v>246</v>
      </c>
      <c r="B137" s="1331"/>
      <c r="C137" s="1331"/>
      <c r="D137" s="523" t="s">
        <v>239</v>
      </c>
      <c r="E137" s="541">
        <f>'17'!F137</f>
        <v>25044.31</v>
      </c>
      <c r="F137" s="654">
        <v>25044.31</v>
      </c>
      <c r="G137" s="473">
        <f t="shared" si="15"/>
        <v>0</v>
      </c>
      <c r="H137" s="460">
        <f>G137+'17'!H137</f>
        <v>-4.4799999999995634</v>
      </c>
      <c r="I137" s="480"/>
      <c r="J137" s="552">
        <f>H137/DAY(B2)</f>
        <v>-0.24888888888886462</v>
      </c>
      <c r="N137" s="721"/>
      <c r="O137" s="728"/>
      <c r="P137" s="382"/>
    </row>
    <row r="138" spans="1:16" ht="27.75">
      <c r="A138" s="1330" t="s">
        <v>247</v>
      </c>
      <c r="B138" s="1331"/>
      <c r="C138" s="1331"/>
      <c r="D138" s="523" t="s">
        <v>239</v>
      </c>
      <c r="E138" s="541">
        <f>'17'!F138</f>
        <v>70218.17</v>
      </c>
      <c r="F138" s="654">
        <v>70223.350000000006</v>
      </c>
      <c r="G138" s="473">
        <f t="shared" si="15"/>
        <v>5.180000000007567</v>
      </c>
      <c r="H138" s="460">
        <f>G138+'17'!H138</f>
        <v>-30.679999999993015</v>
      </c>
      <c r="I138" s="480">
        <f>G137+G138</f>
        <v>5.180000000007567</v>
      </c>
      <c r="J138" s="552">
        <f>H138/DAY(B2)</f>
        <v>-1.7044444444440563</v>
      </c>
      <c r="N138" s="721"/>
      <c r="O138" s="728"/>
      <c r="P138" s="382"/>
    </row>
    <row r="139" spans="1:16" ht="27.75">
      <c r="A139" s="1330" t="s">
        <v>248</v>
      </c>
      <c r="B139" s="1331"/>
      <c r="C139" s="1331"/>
      <c r="D139" s="523" t="s">
        <v>239</v>
      </c>
      <c r="E139" s="704">
        <f>'17'!F139</f>
        <v>1536.52</v>
      </c>
      <c r="F139" s="626">
        <v>1536.52</v>
      </c>
      <c r="G139" s="473">
        <f t="shared" si="15"/>
        <v>0</v>
      </c>
      <c r="H139" s="460">
        <f>G139+'17'!H139</f>
        <v>0</v>
      </c>
      <c r="I139" s="542"/>
      <c r="J139" s="552">
        <f>H139/DAY(B2)</f>
        <v>0</v>
      </c>
      <c r="N139" s="721"/>
      <c r="O139" s="728"/>
      <c r="P139" s="382"/>
    </row>
    <row r="140" spans="1:16" ht="27.75">
      <c r="A140" s="1330" t="s">
        <v>249</v>
      </c>
      <c r="B140" s="1331"/>
      <c r="C140" s="1331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-115.3100000000004</v>
      </c>
      <c r="I140" s="542"/>
      <c r="J140" s="552">
        <f>H140/DAY(B2)</f>
        <v>-6.4061111111111337</v>
      </c>
      <c r="N140" s="721"/>
      <c r="O140" s="728"/>
      <c r="P140" s="382"/>
    </row>
    <row r="141" spans="1:16">
      <c r="A141" s="1443" t="s">
        <v>250</v>
      </c>
      <c r="B141" s="1444"/>
      <c r="C141" s="1336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-77844.440000000017</v>
      </c>
      <c r="I142" s="480"/>
      <c r="J142" s="552">
        <f>H142/DAY(B2)</f>
        <v>-4324.6911111111121</v>
      </c>
      <c r="K142" s="380"/>
      <c r="L142" s="377"/>
      <c r="N142" s="721"/>
      <c r="O142" s="728"/>
      <c r="P142" s="382"/>
    </row>
    <row r="143" spans="1:16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0.26237771797172027</v>
      </c>
      <c r="H143" s="460">
        <f>G143+'17'!H143</f>
        <v>4.8278253198086816</v>
      </c>
      <c r="I143" s="544"/>
      <c r="J143" s="552">
        <f>H143/DAY(B2)</f>
        <v>0.26821251776714899</v>
      </c>
      <c r="K143" s="380"/>
      <c r="L143" s="377"/>
      <c r="N143" s="721"/>
      <c r="O143" s="728"/>
      <c r="P143" s="382"/>
    </row>
    <row r="144" spans="1:16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-75045.756999999983</v>
      </c>
      <c r="I144" s="480"/>
      <c r="J144" s="552">
        <f>H144/DAY(B2)</f>
        <v>-4169.2087222222217</v>
      </c>
      <c r="K144" s="380"/>
      <c r="L144" s="377"/>
      <c r="N144" s="721"/>
      <c r="O144" s="728"/>
      <c r="P144" s="382"/>
    </row>
    <row r="145" spans="1:16" ht="27.75">
      <c r="A145" s="1437" t="s">
        <v>254</v>
      </c>
      <c r="B145" s="1438"/>
      <c r="C145" s="1439"/>
      <c r="D145" s="523" t="s">
        <v>24</v>
      </c>
      <c r="E145" s="455"/>
      <c r="F145" s="455" t="s">
        <v>276</v>
      </c>
      <c r="G145" s="543">
        <f>G144/G7</f>
        <v>0.28186906745269014</v>
      </c>
      <c r="H145" s="460">
        <f>G145+'17'!H145</f>
        <v>4.7350579694452604</v>
      </c>
      <c r="I145" s="544"/>
      <c r="J145" s="552">
        <f>H145/DAY(B2)</f>
        <v>0.26305877608029227</v>
      </c>
      <c r="K145" s="380"/>
      <c r="L145" s="377"/>
      <c r="N145" s="721"/>
      <c r="O145" s="728"/>
      <c r="P145" s="382"/>
    </row>
    <row r="146" spans="1:16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-55425.450000000012</v>
      </c>
      <c r="I146" s="545"/>
      <c r="J146" s="552">
        <f>H146/DAY(B2)</f>
        <v>-3079.1916666666675</v>
      </c>
      <c r="K146" s="380"/>
      <c r="L146" s="377"/>
      <c r="N146" s="721"/>
      <c r="O146" s="728"/>
      <c r="P146" s="382"/>
    </row>
    <row r="147" spans="1:16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0.18648383100516747</v>
      </c>
      <c r="H147" s="460">
        <f>G147+'17'!H147</f>
        <v>3.4742703583962347</v>
      </c>
      <c r="I147" s="545"/>
      <c r="J147" s="552">
        <f>H147/DAY(B2)</f>
        <v>0.19301501991090192</v>
      </c>
      <c r="N147" s="721"/>
      <c r="O147" s="728"/>
      <c r="P147" s="382"/>
    </row>
    <row r="148" spans="1:16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-24075.010000000009</v>
      </c>
      <c r="I148" s="480"/>
      <c r="J148" s="552">
        <f>H148/DAY(B2)</f>
        <v>-1337.500555555556</v>
      </c>
      <c r="K148" s="381"/>
      <c r="N148" s="721"/>
      <c r="O148" s="728"/>
      <c r="P148" s="382"/>
    </row>
    <row r="149" spans="1:16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7.5584604212054596E-2</v>
      </c>
      <c r="H149" s="460">
        <f>G149+'17'!H149</f>
        <v>1.5269077345064268</v>
      </c>
      <c r="I149" s="545"/>
      <c r="J149" s="552">
        <f>H149/DAY(B2)</f>
        <v>8.482820747257927E-2</v>
      </c>
      <c r="N149" s="721"/>
      <c r="O149" s="728"/>
      <c r="P149" s="382"/>
    </row>
    <row r="150" spans="1:16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-25987.609999999986</v>
      </c>
      <c r="I150" s="545"/>
      <c r="J150" s="552">
        <f>H150/DAY(B2)</f>
        <v>-1443.7561111111104</v>
      </c>
      <c r="N150" s="721"/>
      <c r="O150" s="728"/>
      <c r="P150" s="382"/>
    </row>
    <row r="151" spans="1:16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0.10069759494211797</v>
      </c>
      <c r="H151" s="460">
        <f>G151+'17'!H151</f>
        <v>1.6102321003442257</v>
      </c>
      <c r="I151" s="480"/>
      <c r="J151" s="552">
        <f>H151/DAY(B2)</f>
        <v>8.9457338908012538E-2</v>
      </c>
      <c r="N151" s="721"/>
      <c r="O151" s="728"/>
      <c r="P151" s="382"/>
    </row>
    <row r="152" spans="1:16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-19712.44000000001</v>
      </c>
      <c r="I152" s="480"/>
      <c r="J152" s="552">
        <f>H152/DAY(B2)</f>
        <v>-1095.135555555556</v>
      </c>
      <c r="N152" s="721"/>
      <c r="O152" s="728"/>
      <c r="P152" s="382"/>
    </row>
    <row r="153" spans="1:16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7.0069631338374211E-2</v>
      </c>
      <c r="H153" s="460">
        <f>G153+'17'!H153</f>
        <v>1.2539753212274203</v>
      </c>
      <c r="I153" s="568"/>
      <c r="J153" s="569">
        <f>H153/DAY(B2)</f>
        <v>6.9665295623745571E-2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'17'!F160</f>
        <v>32243.46</v>
      </c>
      <c r="F160" s="807">
        <v>32330.94</v>
      </c>
      <c r="G160" s="473">
        <f t="shared" ref="G160:G165" si="16">F160-E160</f>
        <v>87.479999999999563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'17'!F161</f>
        <v>62723.81</v>
      </c>
      <c r="F161" s="807">
        <v>63163.163</v>
      </c>
      <c r="G161" s="473">
        <f t="shared" si="16"/>
        <v>439.35300000000279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'17'!F162</f>
        <v>25337.13</v>
      </c>
      <c r="F162" s="787">
        <v>25627.64</v>
      </c>
      <c r="G162" s="473">
        <f t="shared" si="16"/>
        <v>290.5099999999984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'17'!F163</f>
        <v>5616</v>
      </c>
      <c r="F163" s="807">
        <v>5629.77</v>
      </c>
      <c r="G163" s="473">
        <f t="shared" si="16"/>
        <v>13.770000000000437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1"/>
    </row>
    <row r="166" spans="1:14" ht="27.75">
      <c r="A166" s="1480" t="s">
        <v>99</v>
      </c>
      <c r="B166" s="1480"/>
      <c r="C166" s="1480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1"/>
    </row>
    <row r="167" spans="1:14" ht="27.75">
      <c r="A167" s="1480" t="s">
        <v>100</v>
      </c>
      <c r="B167" s="1480"/>
      <c r="C167" s="1480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1"/>
    </row>
    <row r="168" spans="1:14" ht="27.75">
      <c r="A168" s="1480" t="s">
        <v>101</v>
      </c>
      <c r="B168" s="1480"/>
      <c r="C168" s="1480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1"/>
    </row>
    <row r="169" spans="1:14" ht="27.75">
      <c r="A169" s="1480" t="s">
        <v>102</v>
      </c>
      <c r="B169" s="1480"/>
      <c r="C169" s="1480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1"/>
    </row>
    <row r="170" spans="1:14" ht="27.75">
      <c r="A170" s="1480" t="s">
        <v>103</v>
      </c>
      <c r="B170" s="1480"/>
      <c r="C170" s="1480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1"/>
    </row>
    <row r="171" spans="1:14" ht="27.75">
      <c r="A171" s="1480" t="s">
        <v>104</v>
      </c>
      <c r="B171" s="1480"/>
      <c r="C171" s="1480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3540.9329999999759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34" zoomScale="55" zoomScaleNormal="40" zoomScaleSheetLayoutView="55" zoomScalePageLayoutView="60" workbookViewId="0">
      <selection activeCell="E11" sqref="E11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347</v>
      </c>
      <c r="B2" s="1036">
        <v>44274</v>
      </c>
      <c r="C2" s="1147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28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-264174</v>
      </c>
      <c r="I7" s="474">
        <f>'1'!I7</f>
        <v>12000</v>
      </c>
      <c r="J7" s="552">
        <f>H7/DAY(B2)</f>
        <v>-13903.894736842105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-265307</v>
      </c>
      <c r="I8" s="477">
        <f>'1'!I8</f>
        <v>12000</v>
      </c>
      <c r="J8" s="552">
        <f>H8/DAY(B2)</f>
        <v>-13963.526315789473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124353.81</v>
      </c>
      <c r="F9" s="1337">
        <v>141182.67000000001</v>
      </c>
      <c r="G9" s="473">
        <f t="shared" ref="G9:G12" si="0">F9-E9</f>
        <v>16828.860000000015</v>
      </c>
      <c r="H9" s="460">
        <f>G9+'18'!H9</f>
        <v>-254886.33</v>
      </c>
      <c r="I9" s="479">
        <f>I8-J8</f>
        <v>25963.526315789473</v>
      </c>
      <c r="J9" s="552">
        <f>H9/DAY(B2)</f>
        <v>-13415.07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357355.09</v>
      </c>
      <c r="I10" s="480"/>
      <c r="J10" s="552">
        <f>H10/DAY(B2)</f>
        <v>18808.162631578947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16828.860000000015</v>
      </c>
      <c r="H13" s="460">
        <f>G13+'18'!H13</f>
        <v>81474.760000000038</v>
      </c>
      <c r="I13" s="482">
        <f>G7-G13</f>
        <v>2982.1399999999849</v>
      </c>
      <c r="J13" s="552">
        <f>H13/DAY(B2)</f>
        <v>4288.1452631578968</v>
      </c>
      <c r="K13" s="428"/>
      <c r="L13" s="377"/>
      <c r="N13" s="382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'18'!F15</f>
        <v>1635310.004</v>
      </c>
      <c r="F15" s="484">
        <v>1636116.66</v>
      </c>
      <c r="G15" s="783">
        <f>(F15-E15)</f>
        <v>806.65599999995902</v>
      </c>
      <c r="H15" s="460">
        <f>G15+'18'!H15</f>
        <v>-10572.340000000084</v>
      </c>
      <c r="I15" s="474">
        <v>800</v>
      </c>
      <c r="J15" s="552">
        <f>H15/DAY(B2)</f>
        <v>-556.43894736842549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1356.4389473684255</v>
      </c>
      <c r="J16" s="553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2220</v>
      </c>
      <c r="I18" s="474">
        <f>'1'!I18</f>
        <v>65</v>
      </c>
      <c r="J18" s="552">
        <f>H18/DAY(B2)</f>
        <v>116.84210526315789</v>
      </c>
      <c r="K18" s="428"/>
      <c r="L18" s="377"/>
      <c r="N18" s="382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-632</v>
      </c>
      <c r="I19" s="489"/>
      <c r="J19" s="552">
        <f>H19/DAY(B2)</f>
        <v>-33.263157894736842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171</v>
      </c>
      <c r="H20" s="460">
        <f>G20+'18'!H20</f>
        <v>1588</v>
      </c>
      <c r="I20" s="492">
        <f>I18-J20</f>
        <v>-18.578947368421055</v>
      </c>
      <c r="J20" s="552">
        <f>H20/DAY(B2)</f>
        <v>83.578947368421055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-2387763</v>
      </c>
      <c r="I27" s="503"/>
      <c r="J27" s="552">
        <f>H27/DAY(B2)</f>
        <v>-125671.73684210527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806.65599999995902</v>
      </c>
      <c r="F28" s="501">
        <v>51.45</v>
      </c>
      <c r="G28" s="502">
        <f>E28*F28</f>
        <v>41502.451199997893</v>
      </c>
      <c r="H28" s="460">
        <f>G28+'18'!H28</f>
        <v>-543946.89300000435</v>
      </c>
      <c r="I28" s="505"/>
      <c r="J28" s="552">
        <f>H28/DAY(B2)</f>
        <v>-28628.783842105491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-83320</v>
      </c>
      <c r="I30" s="505"/>
      <c r="J30" s="552">
        <f>H30/DAY(B2)</f>
        <v>-4385.2631578947367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177600</v>
      </c>
      <c r="I31" s="505"/>
      <c r="J31" s="552">
        <f>H31/DAY(B2)</f>
        <v>9347.3684210526317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236910.45119999789</v>
      </c>
      <c r="H32" s="460">
        <f>G32+'18'!H32</f>
        <v>-2837429.8930000043</v>
      </c>
      <c r="I32" s="509"/>
      <c r="J32" s="552">
        <f>H32/DAY(B2)</f>
        <v>-149338.41542105286</v>
      </c>
      <c r="K32" s="373"/>
      <c r="L32" s="443"/>
      <c r="N32" s="444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-40197.410000000033</v>
      </c>
      <c r="I35" s="455"/>
      <c r="J35" s="552">
        <f>H35/DAY(B2)</f>
        <v>-2115.6531578947383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-8532.3300000000163</v>
      </c>
      <c r="I36" s="455"/>
      <c r="J36" s="552">
        <f>H36/DAY(B2)</f>
        <v>-449.07000000000085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-18252.89</v>
      </c>
      <c r="I37" s="455"/>
      <c r="J37" s="552">
        <f>H37/DAY(B2)</f>
        <v>-960.67842105263151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-22348.18</v>
      </c>
      <c r="I38" s="455"/>
      <c r="J38" s="552">
        <f>H38/DAY(B2)</f>
        <v>-1176.22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-48978.03</v>
      </c>
      <c r="I39" s="455"/>
      <c r="J39" s="552">
        <f>H39/DAY(B2)</f>
        <v>-2577.7910526315791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0.34</v>
      </c>
      <c r="I40" s="455"/>
      <c r="J40" s="552">
        <f>H40/DAY(B2)</f>
        <v>1.7894736842105265E-2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-62090.91</v>
      </c>
      <c r="I41" s="455"/>
      <c r="J41" s="552">
        <f>H41/DAY(B2)</f>
        <v>-3267.9426315789474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2.9999999969732016E-3</v>
      </c>
      <c r="I42" s="455"/>
      <c r="J42" s="552">
        <f>H42/DAY(B2)</f>
        <v>1.5789473668280008E-4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-29883.369999999995</v>
      </c>
      <c r="I43" s="455"/>
      <c r="J43" s="552">
        <f>H43/DAY(B2)</f>
        <v>-1572.8089473684208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614</v>
      </c>
      <c r="I45" s="455"/>
      <c r="J45" s="552">
        <f>H45/DAY(B2)</f>
        <v>32.315789473684212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187.44</v>
      </c>
      <c r="I46" s="455"/>
      <c r="J46" s="552">
        <f>H46/DAY(B2)</f>
        <v>9.8652631578947361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-229481.33700000009</v>
      </c>
      <c r="I47" s="455"/>
      <c r="J47" s="552">
        <f>H47/DAY(B2)</f>
        <v>-12077.965105263162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-16865.650000000023</v>
      </c>
      <c r="I50" s="455"/>
      <c r="J50" s="552">
        <f>H50/DAY(B2)</f>
        <v>-887.66578947368544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-1549.1300000000047</v>
      </c>
      <c r="I51" s="455"/>
      <c r="J51" s="552">
        <f>H51/DAY(B2)</f>
        <v>-81.533157894737087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-2047.9300000000512</v>
      </c>
      <c r="I52" s="455"/>
      <c r="J52" s="552">
        <f>H52/DAY(B2)</f>
        <v>-107.7857894736869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-6610.890000000014</v>
      </c>
      <c r="I53" s="455"/>
      <c r="J53" s="552">
        <f>H53/DAY(B2)</f>
        <v>-347.94157894736918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2116.4300000000003</v>
      </c>
      <c r="I54" s="455"/>
      <c r="J54" s="552">
        <f>H54/DAY(B2)</f>
        <v>111.39105263157896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-13040.790000000008</v>
      </c>
      <c r="I55" s="455"/>
      <c r="J55" s="552">
        <f>H55/DAY(B2)</f>
        <v>-686.35736842105302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-99.410000000032596</v>
      </c>
      <c r="I56" s="455"/>
      <c r="J56" s="552">
        <f>H56/DAY(B2)</f>
        <v>-5.2321052631596103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-2412.8300000000017</v>
      </c>
      <c r="I58" s="455"/>
      <c r="J58" s="552">
        <f>H58/DAY(B2)</f>
        <v>-126.99105263157904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2905.9799999998668</v>
      </c>
      <c r="H59" s="460">
        <f>G59+'18'!H59</f>
        <v>-40510.070000000153</v>
      </c>
      <c r="I59" s="455">
        <f>G7-G60</f>
        <v>321.32000000017433</v>
      </c>
      <c r="J59" s="552">
        <f>H59/DAY(B2)</f>
        <v>-2132.1089473684292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19489.679999999826</v>
      </c>
      <c r="H60" s="460">
        <f>G60+'18'!H60</f>
        <v>-255822.40700000024</v>
      </c>
      <c r="I60" s="455">
        <f>G13-G60</f>
        <v>-2660.8199999998105</v>
      </c>
      <c r="J60" s="552">
        <f>H60/DAY(B2)</f>
        <v>-13464.337210526328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-138.78999999999996</v>
      </c>
      <c r="I63" s="515"/>
      <c r="J63" s="552">
        <f>H63/DAY(B2)</f>
        <v>-7.3047368421052612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-5817.4899999999907</v>
      </c>
      <c r="I64" s="480"/>
      <c r="J64" s="552">
        <f>H64/DAY(B2)</f>
        <v>-306.18368421052583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-4525.0499999999884</v>
      </c>
      <c r="I65" s="489"/>
      <c r="J65" s="552">
        <f>H65/DAY(B2)</f>
        <v>-238.16052631578887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-4768.59</v>
      </c>
      <c r="I66" s="480"/>
      <c r="J66" s="552">
        <f>H66/DAY(B2)</f>
        <v>-250.97842105263157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-8321.1700000000128</v>
      </c>
      <c r="I67" s="489"/>
      <c r="J67" s="552">
        <f>H67/DAY(B2)</f>
        <v>-437.95631578947433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-4050.5299999999988</v>
      </c>
      <c r="I68" s="516"/>
      <c r="J68" s="552">
        <f>H68/DAY(B2)</f>
        <v>-213.18578947368414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-3779.3699999999953</v>
      </c>
      <c r="I69" s="516"/>
      <c r="J69" s="552">
        <f>H69/DAY(B2)</f>
        <v>-198.91421052631554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-1016</v>
      </c>
      <c r="I72" s="480"/>
      <c r="J72" s="552">
        <f>H72/DAY(B2)</f>
        <v>-53.473684210526315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-1467</v>
      </c>
      <c r="I73" s="480"/>
      <c r="J73" s="552">
        <f>H73/DAY(B2)</f>
        <v>-77.21052631578948</v>
      </c>
      <c r="K73" s="430"/>
      <c r="L73" s="377"/>
      <c r="N73" s="382"/>
      <c r="O73" s="382"/>
    </row>
    <row r="74" spans="1:15" ht="27.75">
      <c r="A74" s="1490" t="s">
        <v>193</v>
      </c>
      <c r="B74" s="1491"/>
      <c r="C74" s="1492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-268.82999999999993</v>
      </c>
      <c r="I74" s="480"/>
      <c r="J74" s="552">
        <f>H74/DAY(B2)</f>
        <v>-14.148947368421048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-2019</v>
      </c>
      <c r="I75" s="480"/>
      <c r="J75" s="552">
        <f>H75/DAY(B2)</f>
        <v>-106.26315789473684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-2575.64</v>
      </c>
      <c r="I76" s="505"/>
      <c r="J76" s="552">
        <f>H76/DAY(B2)</f>
        <v>-135.56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-606</v>
      </c>
      <c r="I77" s="505"/>
      <c r="J77" s="552">
        <f>H77/DAY(B2)</f>
        <v>-31.894736842105264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-4740</v>
      </c>
      <c r="I78" s="505"/>
      <c r="J78" s="552">
        <f>H78/DAY(B2)</f>
        <v>-249.47368421052633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-6116</v>
      </c>
      <c r="I79" s="505"/>
      <c r="J79" s="552">
        <f>H79/DAY(B2)</f>
        <v>-321.89473684210526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-1318.960000000021</v>
      </c>
      <c r="I80" s="505"/>
      <c r="J80" s="552">
        <f>H80/DAY(B2)</f>
        <v>-69.418947368422153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-2168.8800000000047</v>
      </c>
      <c r="I81" s="505"/>
      <c r="J81" s="552">
        <f>H81/DAY(B2)</f>
        <v>-114.15157894736866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-269.41000000000349</v>
      </c>
      <c r="I82" s="486"/>
      <c r="J82" s="552">
        <f>H82/DAY(B2)</f>
        <v>-14.179473684210711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-3398</v>
      </c>
      <c r="I83" s="481"/>
      <c r="J83" s="552">
        <f>H83/DAY(B2)</f>
        <v>-178.84210526315789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'18'!F84</f>
        <v>444760</v>
      </c>
      <c r="F84" s="627">
        <v>445475</v>
      </c>
      <c r="G84" s="473">
        <f t="shared" si="6"/>
        <v>715</v>
      </c>
      <c r="H84" s="460">
        <f>G84+'18'!H84</f>
        <v>-9209</v>
      </c>
      <c r="I84" s="481"/>
      <c r="J84" s="552">
        <f>H84/DAY(B2)</f>
        <v>-484.68421052631578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2602.4799999999386</v>
      </c>
      <c r="H85" s="460">
        <f>G85+'18'!H85</f>
        <v>-31116.720000000023</v>
      </c>
      <c r="I85" s="481"/>
      <c r="J85" s="552">
        <f>H85/DAY(B2)</f>
        <v>-1637.7221052631592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452597.24</v>
      </c>
      <c r="F86" s="650">
        <v>452767.72</v>
      </c>
      <c r="G86" s="708">
        <f t="shared" ref="G86:G90" si="7">F86-E86</f>
        <v>170.47999999998137</v>
      </c>
      <c r="H86" s="460">
        <f>G86+'18'!H86</f>
        <v>319.03999999997905</v>
      </c>
      <c r="I86" s="655"/>
      <c r="J86" s="710">
        <f>H86/DAY(B2)</f>
        <v>16.791578947367316</v>
      </c>
      <c r="K86" s="736">
        <v>424609</v>
      </c>
      <c r="L86" s="737">
        <f>K86-F86</f>
        <v>-28158.719999999972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79740.7</v>
      </c>
      <c r="F87" s="650">
        <v>79774.13</v>
      </c>
      <c r="G87" s="708">
        <f t="shared" si="7"/>
        <v>33.430000000007567</v>
      </c>
      <c r="H87" s="460">
        <f>G87+'18'!H87</f>
        <v>72.330000000001746</v>
      </c>
      <c r="I87" s="655"/>
      <c r="J87" s="710">
        <f>H87/DAY(B2)</f>
        <v>3.8068421052632497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149638.23000000001</v>
      </c>
      <c r="F88" s="650">
        <v>149728.51</v>
      </c>
      <c r="G88" s="708">
        <f t="shared" si="7"/>
        <v>90.279999999998836</v>
      </c>
      <c r="H88" s="460">
        <f>G88+'18'!H88</f>
        <v>172.80999999999767</v>
      </c>
      <c r="I88" s="655"/>
      <c r="J88" s="710">
        <f>H88/DAY(B2)</f>
        <v>9.0952631578946139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62900</v>
      </c>
      <c r="F89" s="650">
        <v>62959.8</v>
      </c>
      <c r="G89" s="708">
        <f t="shared" si="7"/>
        <v>59.80000000000291</v>
      </c>
      <c r="H89" s="460">
        <f>G89+'18'!H89</f>
        <v>126.70000000000437</v>
      </c>
      <c r="I89" s="655"/>
      <c r="J89" s="710">
        <f>H89/DAY(B2)</f>
        <v>6.6684210526318086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3238.7</v>
      </c>
      <c r="F90" s="650">
        <v>3242.9</v>
      </c>
      <c r="G90" s="708">
        <f t="shared" si="7"/>
        <v>4.2000000000002728</v>
      </c>
      <c r="H90" s="708">
        <f>G90</f>
        <v>4.2000000000002728</v>
      </c>
      <c r="I90" s="655"/>
      <c r="J90" s="710">
        <f>H90/DAY(B2)</f>
        <v>0.22105263157896174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-1226</v>
      </c>
      <c r="I92" s="480"/>
      <c r="J92" s="552">
        <f>H92/DAY(B2)</f>
        <v>-64.526315789473685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-1621</v>
      </c>
      <c r="I93" s="480"/>
      <c r="J93" s="552">
        <f>H93/DAY(B2)</f>
        <v>-85.315789473684205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-3066</v>
      </c>
      <c r="I94" s="480"/>
      <c r="J94" s="552">
        <f>H94/DAY(B2)</f>
        <v>-161.36842105263159</v>
      </c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-1024</v>
      </c>
      <c r="I95" s="480"/>
      <c r="J95" s="552">
        <f>H95/DAY(B2)</f>
        <v>-53.89473684210526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-222</v>
      </c>
      <c r="I96" s="480"/>
      <c r="J96" s="552">
        <f>H96/DAY(B2)</f>
        <v>-11.684210526315789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-267</v>
      </c>
      <c r="I97" s="480"/>
      <c r="J97" s="552">
        <f>H97/DAY(B2)</f>
        <v>-14.052631578947368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-418</v>
      </c>
      <c r="I98" s="480"/>
      <c r="J98" s="552">
        <f>H98/DAY(B2)</f>
        <v>-22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-181</v>
      </c>
      <c r="I99" s="480"/>
      <c r="J99" s="552">
        <f>H99/DAY(B2)</f>
        <v>-9.526315789473685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-179</v>
      </c>
      <c r="I100" s="480"/>
      <c r="J100" s="552">
        <f>H100/DAY(B2)</f>
        <v>-9.4210526315789469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525">
        <f>SUM(G95:G100)</f>
        <v>162</v>
      </c>
      <c r="H101" s="460">
        <f>G101+'18'!H101</f>
        <v>-2291</v>
      </c>
      <c r="I101" s="526"/>
      <c r="J101" s="552">
        <f>H101/DAY(B2)</f>
        <v>-120.57894736842105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9" t="s">
        <v>219</v>
      </c>
      <c r="B104" s="1430"/>
      <c r="C104" s="1143"/>
      <c r="D104" s="622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100</v>
      </c>
      <c r="I104" s="532"/>
      <c r="J104" s="558">
        <f>H104/DAY(B2)</f>
        <v>5.2631578947368425</v>
      </c>
      <c r="N104" s="444"/>
      <c r="O104" s="382"/>
    </row>
    <row r="105" spans="1:15" s="442" customFormat="1" ht="27.75">
      <c r="A105" s="1429" t="s">
        <v>77</v>
      </c>
      <c r="B105" s="1430"/>
      <c r="C105" s="1143"/>
      <c r="D105" s="622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64</v>
      </c>
      <c r="I105" s="532"/>
      <c r="J105" s="558">
        <f>H105/DAY(B2)</f>
        <v>3.3684210526315788</v>
      </c>
      <c r="N105" s="444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404</v>
      </c>
      <c r="I106" s="532"/>
      <c r="J106" s="558">
        <f>H106/DAY(B2)</f>
        <v>21.263157894736842</v>
      </c>
      <c r="N106" s="444"/>
      <c r="O106" s="382"/>
    </row>
    <row r="107" spans="1:15" s="442" customFormat="1" ht="27.75">
      <c r="A107" s="1431" t="s">
        <v>202</v>
      </c>
      <c r="B107" s="1432"/>
      <c r="C107" s="1143"/>
      <c r="D107" s="622"/>
      <c r="E107" s="532">
        <f>'18'!F107</f>
        <v>0</v>
      </c>
      <c r="F107" s="532"/>
      <c r="G107" s="532">
        <f>SUM(G104:G106)</f>
        <v>11</v>
      </c>
      <c r="H107" s="460">
        <f>G107+'18'!H107</f>
        <v>258</v>
      </c>
      <c r="I107" s="532"/>
      <c r="J107" s="558">
        <f>H107/DAY(B2)</f>
        <v>13.578947368421053</v>
      </c>
      <c r="N107" s="444"/>
      <c r="O107" s="382"/>
    </row>
    <row r="108" spans="1:15" s="442" customFormat="1" ht="27.75">
      <c r="A108" s="1435" t="s">
        <v>79</v>
      </c>
      <c r="B108" s="1436"/>
      <c r="C108" s="1143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429" t="s">
        <v>220</v>
      </c>
      <c r="B109" s="1430"/>
      <c r="C109" s="1143"/>
      <c r="D109" s="622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381</v>
      </c>
      <c r="I109" s="532"/>
      <c r="J109" s="558">
        <f>H109/DAY(B2)</f>
        <v>20.05263157894737</v>
      </c>
      <c r="N109" s="444"/>
      <c r="O109" s="382"/>
    </row>
    <row r="110" spans="1:15" s="442" customFormat="1" ht="27.75">
      <c r="A110" s="1429" t="s">
        <v>221</v>
      </c>
      <c r="B110" s="1430"/>
      <c r="C110" s="1143"/>
      <c r="D110" s="622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48</v>
      </c>
      <c r="I110" s="532"/>
      <c r="J110" s="558">
        <f>H110/DAY(B2)</f>
        <v>2.5263157894736841</v>
      </c>
      <c r="N110" s="444"/>
      <c r="O110" s="382"/>
    </row>
    <row r="111" spans="1:15" s="442" customFormat="1" ht="27.75">
      <c r="A111" s="1429" t="s">
        <v>222</v>
      </c>
      <c r="B111" s="1430"/>
      <c r="C111" s="1143"/>
      <c r="D111" s="622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239</v>
      </c>
      <c r="I111" s="532"/>
      <c r="J111" s="558">
        <f>H111/DAY(B2)</f>
        <v>12.578947368421053</v>
      </c>
      <c r="N111" s="444"/>
      <c r="O111" s="382"/>
    </row>
    <row r="112" spans="1:15" s="442" customFormat="1" ht="27.75">
      <c r="A112" s="1433" t="s">
        <v>110</v>
      </c>
      <c r="B112" s="1434"/>
      <c r="C112" s="1143"/>
      <c r="D112" s="622"/>
      <c r="E112" s="532">
        <f>'18'!F112</f>
        <v>0</v>
      </c>
      <c r="F112" s="532"/>
      <c r="G112" s="532">
        <f>SUM(G109:G111)</f>
        <v>132</v>
      </c>
      <c r="H112" s="460">
        <f>G112+'18'!H112</f>
        <v>1123</v>
      </c>
      <c r="I112" s="532"/>
      <c r="J112" s="558">
        <f>H112/DAY(B2)</f>
        <v>59.10526315789474</v>
      </c>
      <c r="N112" s="444"/>
      <c r="O112" s="382"/>
    </row>
    <row r="113" spans="1:15" s="442" customFormat="1" ht="27.75">
      <c r="A113" s="1435" t="s">
        <v>223</v>
      </c>
      <c r="B113" s="1436"/>
      <c r="C113" s="1143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8">
        <f>H114/DAY(B2)</f>
        <v>1.1052631578947369</v>
      </c>
      <c r="N114" s="444"/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101</v>
      </c>
      <c r="I115" s="532"/>
      <c r="J115" s="558">
        <f>H115/DAY(B2)</f>
        <v>5.3157894736842106</v>
      </c>
      <c r="N115" s="444"/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127</v>
      </c>
      <c r="I116" s="532"/>
      <c r="J116" s="558">
        <f>H116/DAY(B2)</f>
        <v>6.6842105263157894</v>
      </c>
      <c r="N116" s="444"/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534">
        <f>SUM(G114:G116)</f>
        <v>17</v>
      </c>
      <c r="H117" s="460">
        <f>G117+'18'!H117</f>
        <v>107</v>
      </c>
      <c r="I117" s="534"/>
      <c r="J117" s="558">
        <f>H117/DAY(B2)</f>
        <v>5.6315789473684212</v>
      </c>
      <c r="N117" s="447"/>
      <c r="O117" s="382"/>
    </row>
    <row r="118" spans="1:15" s="446" customFormat="1" ht="27.75">
      <c r="A118" s="1425" t="s">
        <v>227</v>
      </c>
      <c r="B118" s="1426"/>
      <c r="C118" s="1142"/>
      <c r="D118" s="624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250</v>
      </c>
      <c r="I118" s="535"/>
      <c r="J118" s="559">
        <f>H118/DAY(B2)</f>
        <v>13.157894736842104</v>
      </c>
      <c r="N118" s="782"/>
      <c r="O118" s="382"/>
    </row>
    <row r="119" spans="1:15" s="446" customFormat="1" ht="27.75">
      <c r="A119" s="1425" t="s">
        <v>228</v>
      </c>
      <c r="B119" s="1426"/>
      <c r="C119" s="1142"/>
      <c r="D119" s="624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265</v>
      </c>
      <c r="I119" s="535"/>
      <c r="J119" s="559">
        <f>H119/DAY(B2)</f>
        <v>13.947368421052632</v>
      </c>
      <c r="N119" s="782"/>
      <c r="O119" s="382"/>
    </row>
    <row r="120" spans="1:15" s="446" customFormat="1" ht="27.75">
      <c r="A120" s="1425" t="s">
        <v>229</v>
      </c>
      <c r="B120" s="1426"/>
      <c r="C120" s="1142"/>
      <c r="D120" s="624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214</v>
      </c>
      <c r="I120" s="535"/>
      <c r="J120" s="559">
        <f>H120/DAY(B2)</f>
        <v>11.263157894736842</v>
      </c>
      <c r="N120" s="782"/>
      <c r="O120" s="382"/>
    </row>
    <row r="121" spans="1:15" s="442" customFormat="1" ht="27.75">
      <c r="A121" s="1427"/>
      <c r="B121" s="1428"/>
      <c r="C121" s="1143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-3047.2700000000186</v>
      </c>
      <c r="I123" s="526"/>
      <c r="J123" s="552">
        <f>H123/DAY(B2)</f>
        <v>-160.38263157894835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-904.86999999999534</v>
      </c>
      <c r="I125" s="526"/>
      <c r="J125" s="552">
        <f>H125/DAY(B2)</f>
        <v>-47.624736842105015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'18'!F126</f>
        <v>59712.3</v>
      </c>
      <c r="F126" s="626">
        <v>59726.6</v>
      </c>
      <c r="G126" s="473">
        <f t="shared" si="13"/>
        <v>14.299999999995634</v>
      </c>
      <c r="H126" s="460">
        <f>G126+'18'!H126</f>
        <v>28407.899999999998</v>
      </c>
      <c r="I126" s="526"/>
      <c r="J126" s="552">
        <f>H126/DAY(B2)</f>
        <v>1495.1526315789472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'18'!F127</f>
        <v>8932.2999999999993</v>
      </c>
      <c r="F127" s="626">
        <v>8933.9</v>
      </c>
      <c r="G127" s="473">
        <f t="shared" si="13"/>
        <v>1.6000000000003638</v>
      </c>
      <c r="H127" s="460">
        <f>G127+'18'!H127</f>
        <v>-28.100000000000364</v>
      </c>
      <c r="I127" s="480"/>
      <c r="J127" s="552">
        <f>H127/DAY(B2)</f>
        <v>-1.4789473684210719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2">
        <f>H128/DAY(B2)</f>
        <v>99.923210526309049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'18'!F132</f>
        <v>39230.33</v>
      </c>
      <c r="F132" s="541">
        <v>39249.360000000001</v>
      </c>
      <c r="G132" s="473">
        <f t="shared" si="14"/>
        <v>19.029999999998836</v>
      </c>
      <c r="H132" s="460">
        <f>G132+'18'!H132</f>
        <v>-292.97000000000116</v>
      </c>
      <c r="I132" s="480"/>
      <c r="J132" s="552">
        <f>H132/DAY(B2)</f>
        <v>-15.419473684210587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'18'!F133</f>
        <v>299</v>
      </c>
      <c r="F133" s="541">
        <v>299</v>
      </c>
      <c r="G133" s="655">
        <f t="shared" si="14"/>
        <v>0</v>
      </c>
      <c r="H133" s="708">
        <f>G133+'18'!H133</f>
        <v>-1</v>
      </c>
      <c r="I133" s="1076">
        <f>G130+G131+G132+G133</f>
        <v>19.029999999998836</v>
      </c>
      <c r="J133" s="710">
        <f>H133/DAY(B2)</f>
        <v>-5.2631578947368418E-2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'18'!F134</f>
        <v>40793.03</v>
      </c>
      <c r="F134" s="541">
        <v>40798</v>
      </c>
      <c r="G134" s="473">
        <f t="shared" si="14"/>
        <v>4.9700000000011642</v>
      </c>
      <c r="H134" s="460">
        <f>G134+'18'!H134</f>
        <v>-41</v>
      </c>
      <c r="I134" s="480"/>
      <c r="J134" s="552">
        <f>H134/DAY(B2)</f>
        <v>-2.1578947368421053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'18'!F135</f>
        <v>32582.92</v>
      </c>
      <c r="F135" s="541">
        <v>32582.92</v>
      </c>
      <c r="G135" s="473">
        <f t="shared" si="14"/>
        <v>0</v>
      </c>
      <c r="H135" s="460">
        <f>G135+'18'!H135</f>
        <v>-8.000000000174623E-2</v>
      </c>
      <c r="I135" s="480"/>
      <c r="J135" s="552">
        <f>H135/DAY(B2)</f>
        <v>-4.2105263158813801E-3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'18'!F136</f>
        <v>22373.31</v>
      </c>
      <c r="F136" s="541">
        <v>22380.9</v>
      </c>
      <c r="G136" s="473">
        <f t="shared" si="14"/>
        <v>7.5900000000001455</v>
      </c>
      <c r="H136" s="460">
        <f>G136+'18'!H136</f>
        <v>-107.75</v>
      </c>
      <c r="I136" s="480">
        <f>G134+G135+G136</f>
        <v>12.56000000000131</v>
      </c>
      <c r="J136" s="552">
        <f>H136/DAY(B2)</f>
        <v>-5.6710526315789478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'18'!F137</f>
        <v>25044.31</v>
      </c>
      <c r="F137" s="541">
        <v>25044.31</v>
      </c>
      <c r="G137" s="473">
        <f t="shared" si="14"/>
        <v>0</v>
      </c>
      <c r="H137" s="460">
        <f>G137+'18'!H137</f>
        <v>-4.4799999999995634</v>
      </c>
      <c r="I137" s="480"/>
      <c r="J137" s="552">
        <f>H137/DAY(B2)</f>
        <v>-0.23578947368418754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'18'!F138</f>
        <v>70223.350000000006</v>
      </c>
      <c r="F138" s="541">
        <v>70227.14</v>
      </c>
      <c r="G138" s="473">
        <f t="shared" si="14"/>
        <v>3.7899999999935972</v>
      </c>
      <c r="H138" s="460">
        <f>G138+'18'!H138</f>
        <v>-26.889999999999418</v>
      </c>
      <c r="I138" s="480">
        <f>G137+G138</f>
        <v>3.7899999999935972</v>
      </c>
      <c r="J138" s="552">
        <f>H138/DAY(B2)</f>
        <v>-1.4152631578947061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-106.85000000000036</v>
      </c>
      <c r="I140" s="542"/>
      <c r="J140" s="552">
        <f>H140/DAY(B2)</f>
        <v>-5.6236842105263349</v>
      </c>
      <c r="N140" s="382"/>
      <c r="O140" s="382"/>
    </row>
    <row r="141" spans="1:15">
      <c r="A141" s="1443" t="s">
        <v>250</v>
      </c>
      <c r="B141" s="1444"/>
      <c r="C141" s="1151"/>
      <c r="D141" s="472"/>
      <c r="E141" s="472"/>
      <c r="F141" s="472" t="s">
        <v>276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-72396.290000000037</v>
      </c>
      <c r="I142" s="480"/>
      <c r="J142" s="552">
        <f>H142/DAY(B2)</f>
        <v>-3810.3310526315809</v>
      </c>
      <c r="K142" s="380"/>
      <c r="L142" s="377"/>
      <c r="N142" s="382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0.27500630962596445</v>
      </c>
      <c r="H143" s="460">
        <f>G143+'18'!H143</f>
        <v>5.1028316294346459</v>
      </c>
      <c r="I143" s="544"/>
      <c r="J143" s="552">
        <f>H143/DAY(B2)</f>
        <v>0.26857008575971819</v>
      </c>
      <c r="K143" s="380"/>
      <c r="L143" s="377"/>
      <c r="N143" s="382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-70232.107000000047</v>
      </c>
      <c r="I144" s="480"/>
      <c r="J144" s="552">
        <f>H144/DAY(B2)</f>
        <v>-3696.4266842105289</v>
      </c>
      <c r="K144" s="380"/>
      <c r="L144" s="377"/>
      <c r="N144" s="382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0.24297864822572995</v>
      </c>
      <c r="H145" s="460">
        <f>G145+'18'!H145</f>
        <v>4.9780366176709903</v>
      </c>
      <c r="I145" s="544"/>
      <c r="J145" s="552">
        <f>H145/DAY(B2)</f>
        <v>0.26200192724584159</v>
      </c>
      <c r="K145" s="380"/>
      <c r="L145" s="377"/>
      <c r="N145" s="382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-51403.920000000013</v>
      </c>
      <c r="I146" s="545"/>
      <c r="J146" s="552">
        <f>H146/DAY(B2)</f>
        <v>-2705.4694736842112</v>
      </c>
      <c r="K146" s="380"/>
      <c r="L146" s="377"/>
      <c r="N146" s="382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0.20299480086820448</v>
      </c>
      <c r="H147" s="460">
        <f>G147+'18'!H147</f>
        <v>3.6772651592644392</v>
      </c>
      <c r="I147" s="545"/>
      <c r="J147" s="552">
        <f>H147/DAY(B2)</f>
        <v>0.19354027154023365</v>
      </c>
      <c r="N147" s="382"/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-22350.110000000052</v>
      </c>
      <c r="I148" s="480"/>
      <c r="J148" s="552">
        <f>H148/DAY(B2)</f>
        <v>-1176.3215789473711</v>
      </c>
      <c r="K148" s="381"/>
      <c r="N148" s="382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8.7067790621369837E-2</v>
      </c>
      <c r="H149" s="460">
        <f>G149+'18'!H149</f>
        <v>1.6139755251277967</v>
      </c>
      <c r="I149" s="545"/>
      <c r="J149" s="552">
        <f>H149/DAY(B2)</f>
        <v>8.4946080269884039E-2</v>
      </c>
      <c r="N149" s="382"/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-24203.98000000004</v>
      </c>
      <c r="I150" s="545"/>
      <c r="J150" s="552">
        <f>H150/DAY(B2)</f>
        <v>-1273.8936842105284</v>
      </c>
      <c r="N150" s="382"/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9.0032305284940009E-2</v>
      </c>
      <c r="H151" s="460">
        <f>G151+'18'!H151</f>
        <v>1.7002644056291658</v>
      </c>
      <c r="I151" s="480"/>
      <c r="J151" s="552">
        <f>H151/DAY(B2)</f>
        <v>8.9487600296271883E-2</v>
      </c>
      <c r="N151" s="382"/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-18253.020000000004</v>
      </c>
      <c r="I152" s="480"/>
      <c r="J152" s="552">
        <f>H152/DAY(B2)</f>
        <v>-960.68526315789495</v>
      </c>
      <c r="N152" s="382"/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7.3667154611074939E-2</v>
      </c>
      <c r="H153" s="460">
        <f>G153+'18'!H153</f>
        <v>1.3276424758384953</v>
      </c>
      <c r="I153" s="568"/>
      <c r="J153" s="569">
        <f>H153/DAY(B2)</f>
        <v>6.9875919780973433E-2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'18'!F160</f>
        <v>32330.94</v>
      </c>
      <c r="F160" s="661">
        <v>32414.7</v>
      </c>
      <c r="G160" s="473">
        <f t="shared" ref="G160:G163" si="15">F160-E160</f>
        <v>83.760000000002037</v>
      </c>
    </row>
    <row r="161" spans="1:7">
      <c r="A161" s="788" t="s">
        <v>264</v>
      </c>
      <c r="B161" s="789"/>
      <c r="C161" s="789"/>
      <c r="D161" s="511" t="s">
        <v>187</v>
      </c>
      <c r="E161" s="661">
        <f>'18'!F161</f>
        <v>63163.163</v>
      </c>
      <c r="F161" s="661">
        <v>63565.36</v>
      </c>
      <c r="G161" s="473">
        <f t="shared" si="15"/>
        <v>402.19700000000012</v>
      </c>
    </row>
    <row r="162" spans="1:7">
      <c r="A162" s="788" t="s">
        <v>265</v>
      </c>
      <c r="B162" s="789"/>
      <c r="C162" s="789"/>
      <c r="D162" s="511" t="s">
        <v>187</v>
      </c>
      <c r="E162" s="661">
        <f>'18'!F162</f>
        <v>25627.64</v>
      </c>
      <c r="F162" s="661">
        <v>25895.200000000001</v>
      </c>
      <c r="G162" s="473">
        <f t="shared" si="15"/>
        <v>267.56000000000131</v>
      </c>
    </row>
    <row r="163" spans="1:7">
      <c r="A163" s="788" t="s">
        <v>266</v>
      </c>
      <c r="B163" s="789"/>
      <c r="C163" s="789"/>
      <c r="D163" s="511" t="s">
        <v>187</v>
      </c>
      <c r="E163" s="661">
        <f>'18'!F163</f>
        <v>5629.77</v>
      </c>
      <c r="F163" s="661">
        <v>5640.96</v>
      </c>
      <c r="G163" s="473">
        <f t="shared" si="15"/>
        <v>11.1899999999996</v>
      </c>
    </row>
    <row r="164" spans="1:7">
      <c r="A164" s="790" t="s">
        <v>98</v>
      </c>
      <c r="B164" s="604"/>
      <c r="C164" s="604"/>
      <c r="D164" s="511" t="s">
        <v>187</v>
      </c>
      <c r="E164" s="661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12" t="s">
        <v>99</v>
      </c>
      <c r="B166" s="1412"/>
      <c r="C166" s="1412"/>
      <c r="D166" s="523" t="s">
        <v>187</v>
      </c>
      <c r="E166" s="661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12" t="s">
        <v>100</v>
      </c>
      <c r="B167" s="1412"/>
      <c r="C167" s="1412"/>
      <c r="D167" s="523" t="s">
        <v>187</v>
      </c>
      <c r="E167" s="661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12" t="s">
        <v>101</v>
      </c>
      <c r="B168" s="1412"/>
      <c r="C168" s="1412"/>
      <c r="D168" s="523" t="s">
        <v>187</v>
      </c>
      <c r="E168" s="661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12" t="s">
        <v>102</v>
      </c>
      <c r="B169" s="1412"/>
      <c r="C169" s="1412"/>
      <c r="D169" s="523" t="s">
        <v>187</v>
      </c>
      <c r="E169" s="661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12" t="s">
        <v>103</v>
      </c>
      <c r="B170" s="1412"/>
      <c r="C170" s="1412"/>
      <c r="D170" s="523" t="s">
        <v>187</v>
      </c>
      <c r="E170" s="661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12" t="s">
        <v>104</v>
      </c>
      <c r="B171" s="1412"/>
      <c r="C171" s="1412"/>
      <c r="D171" s="523" t="s">
        <v>187</v>
      </c>
      <c r="E171" s="661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7">
        <f>SUM(G160:G171)</f>
        <v>3248.5170000000335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31" zoomScale="55" zoomScaleSheetLayoutView="55" zoomScalePageLayoutView="78" workbookViewId="0">
      <selection activeCell="E11" sqref="E1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348</v>
      </c>
      <c r="B2" s="1036">
        <v>44275</v>
      </c>
      <c r="C2" s="1147" t="s">
        <v>69</v>
      </c>
      <c r="D2" s="611">
        <v>0.60219999999999996</v>
      </c>
      <c r="E2" s="461"/>
      <c r="F2" s="461"/>
      <c r="G2" s="133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28</v>
      </c>
      <c r="E3" s="1454" t="s">
        <v>121</v>
      </c>
      <c r="F3" s="1455"/>
      <c r="G3" s="134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0.51</v>
      </c>
      <c r="E4" s="464"/>
      <c r="F4" s="464"/>
      <c r="G4" s="134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134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4849749</v>
      </c>
      <c r="F7" s="455">
        <v>4871292</v>
      </c>
      <c r="G7" s="1343">
        <f>F7-E7</f>
        <v>21543</v>
      </c>
      <c r="H7" s="460">
        <f>G7+'19'!H7</f>
        <v>-242631</v>
      </c>
      <c r="I7" s="474">
        <f>'1'!I7</f>
        <v>12000</v>
      </c>
      <c r="J7" s="552">
        <f>H7/DAY(B2)</f>
        <v>-12131.55</v>
      </c>
      <c r="K7" s="549">
        <v>11998</v>
      </c>
      <c r="L7" s="377">
        <f>G7-K7</f>
        <v>9545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4880011</v>
      </c>
      <c r="F8" s="475">
        <v>4901625</v>
      </c>
      <c r="G8" s="1344">
        <f>F8-E8</f>
        <v>21614</v>
      </c>
      <c r="H8" s="460">
        <f>G8+'19'!H8</f>
        <v>-243693</v>
      </c>
      <c r="I8" s="477">
        <f>'1'!I8</f>
        <v>12000</v>
      </c>
      <c r="J8" s="552">
        <f>H8/DAY(B2)</f>
        <v>-12184.65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141182.67000000001</v>
      </c>
      <c r="F9" s="478">
        <v>160986</v>
      </c>
      <c r="G9" s="1343">
        <f t="shared" ref="G9:G12" si="0">F9-E9</f>
        <v>19803.329999999987</v>
      </c>
      <c r="H9" s="460">
        <f>G9+'19'!H9</f>
        <v>-235083</v>
      </c>
      <c r="I9" s="479">
        <f>I8-J8</f>
        <v>24184.65</v>
      </c>
      <c r="J9" s="552">
        <f>H9/DAY(B2)</f>
        <v>-11754.15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1245.6199999999999</v>
      </c>
      <c r="F10" s="478">
        <v>2324.48</v>
      </c>
      <c r="G10" s="1343">
        <f t="shared" si="0"/>
        <v>1078.8600000000001</v>
      </c>
      <c r="H10" s="460">
        <f>G10+'19'!H10</f>
        <v>358433.95</v>
      </c>
      <c r="I10" s="480"/>
      <c r="J10" s="552">
        <f>H10/DAY(B2)</f>
        <v>17921.697500000002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3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3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5">
        <f>G9+G10+G11+G12</f>
        <v>20882.189999999988</v>
      </c>
      <c r="H13" s="460">
        <f>G13+'19'!H13</f>
        <v>102356.95000000003</v>
      </c>
      <c r="I13" s="482">
        <f>G7-G13</f>
        <v>660.81000000001222</v>
      </c>
      <c r="J13" s="552">
        <f>H13/DAY(B2)</f>
        <v>5117.8475000000017</v>
      </c>
      <c r="K13" s="428"/>
      <c r="L13" s="377"/>
      <c r="N13" s="382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1346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'19'!F15</f>
        <v>1636116.66</v>
      </c>
      <c r="F15" s="484">
        <v>1637039</v>
      </c>
      <c r="G15" s="1347">
        <f>(F15-E15)</f>
        <v>922.34000000008382</v>
      </c>
      <c r="H15" s="460">
        <f>G15+'19'!H15</f>
        <v>-9650</v>
      </c>
      <c r="I15" s="474">
        <v>800</v>
      </c>
      <c r="J15" s="552">
        <f>H15/DAY(B2)</f>
        <v>-482.5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3"/>
      <c r="H16" s="486"/>
      <c r="I16" s="487">
        <f>I15-J15</f>
        <v>1282.5</v>
      </c>
      <c r="J16" s="553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1346"/>
      <c r="H17" s="472"/>
      <c r="I17" s="472"/>
      <c r="J17" s="551"/>
      <c r="K17" s="428"/>
      <c r="L17" s="377"/>
      <c r="N17" s="382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f>'19'!F18</f>
        <v>12</v>
      </c>
      <c r="F18" s="484">
        <v>10</v>
      </c>
      <c r="G18" s="1345">
        <f>F18*10</f>
        <v>100</v>
      </c>
      <c r="H18" s="460">
        <f>G18+'19'!H18</f>
        <v>2320</v>
      </c>
      <c r="I18" s="474">
        <f>'1'!I18</f>
        <v>65</v>
      </c>
      <c r="J18" s="552">
        <f>H18/DAY(B2)</f>
        <v>116</v>
      </c>
      <c r="K18" s="428"/>
      <c r="L18" s="377"/>
      <c r="N18" s="382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84">
        <f>'19'!F19</f>
        <v>135458</v>
      </c>
      <c r="F19" s="484">
        <v>135510</v>
      </c>
      <c r="G19" s="1343">
        <f t="shared" ref="G19" si="1">F19-E19</f>
        <v>52</v>
      </c>
      <c r="H19" s="460">
        <f>G19+'19'!H19</f>
        <v>-580</v>
      </c>
      <c r="I19" s="489"/>
      <c r="J19" s="552">
        <f>H19/DAY(B2)</f>
        <v>-29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8">
        <f>G18+G19</f>
        <v>152</v>
      </c>
      <c r="H20" s="460">
        <f>G20+'19'!H20</f>
        <v>1740</v>
      </c>
      <c r="I20" s="492">
        <f>I18-J20</f>
        <v>-22</v>
      </c>
      <c r="J20" s="552">
        <f>H20/DAY(B2)</f>
        <v>87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1346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5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5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5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134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21614</v>
      </c>
      <c r="F27" s="501">
        <v>9</v>
      </c>
      <c r="G27" s="1351">
        <f>E27*F27</f>
        <v>194526</v>
      </c>
      <c r="H27" s="460">
        <f>G27+'19'!H27</f>
        <v>-2193237</v>
      </c>
      <c r="I27" s="503"/>
      <c r="J27" s="552">
        <f>H27/DAY(B2)</f>
        <v>-109661.85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922.34000000008382</v>
      </c>
      <c r="F28" s="501">
        <v>51.45</v>
      </c>
      <c r="G28" s="1351">
        <f>E28*F28</f>
        <v>47454.393000004318</v>
      </c>
      <c r="H28" s="460">
        <f>G28+'19'!H28</f>
        <v>-496492.5</v>
      </c>
      <c r="I28" s="505"/>
      <c r="J28" s="552">
        <f>H28/DAY(B2)</f>
        <v>-24824.625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1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1351">
        <f>E30*F30</f>
        <v>6968</v>
      </c>
      <c r="H30" s="460">
        <f>G30+'19'!H30</f>
        <v>-76352</v>
      </c>
      <c r="I30" s="505"/>
      <c r="J30" s="552">
        <f>H30/DAY(B2)</f>
        <v>-3817.6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51">
        <f>E31*F31</f>
        <v>8000</v>
      </c>
      <c r="H31" s="460">
        <f>G31+'19'!H31</f>
        <v>185600</v>
      </c>
      <c r="I31" s="505"/>
      <c r="J31" s="552">
        <f>H31/DAY(B2)</f>
        <v>9280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2">
        <f>G27+G28+G29+G30+G31</f>
        <v>256948.39300000432</v>
      </c>
      <c r="H32" s="460">
        <f>G32+'19'!H32</f>
        <v>-2580481.5</v>
      </c>
      <c r="I32" s="509"/>
      <c r="J32" s="552">
        <f>H32/DAY(B2)</f>
        <v>-129024.075</v>
      </c>
      <c r="K32" s="373"/>
      <c r="L32" s="443"/>
      <c r="N32" s="444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3"/>
      <c r="H34" s="472"/>
      <c r="I34" s="472"/>
      <c r="J34" s="551" t="s">
        <v>320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758191.59</v>
      </c>
      <c r="F35" s="510">
        <v>761545.59</v>
      </c>
      <c r="G35" s="1343">
        <f t="shared" ref="G35:G46" si="2">F35-E35</f>
        <v>3354</v>
      </c>
      <c r="H35" s="460">
        <f>G35+'19'!H35</f>
        <v>-36843.410000000033</v>
      </c>
      <c r="I35" s="455"/>
      <c r="J35" s="552">
        <f>H35/DAY(B2)</f>
        <v>-1842.1705000000015</v>
      </c>
      <c r="K35" s="428">
        <v>1457.2799999999697</v>
      </c>
      <c r="L35" s="377">
        <f>G35-K35</f>
        <v>1896.7200000000303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308903.67</v>
      </c>
      <c r="F36" s="510">
        <v>309506.81</v>
      </c>
      <c r="G36" s="1343">
        <f t="shared" si="2"/>
        <v>603.14000000001397</v>
      </c>
      <c r="H36" s="460">
        <f>G36+'19'!H36</f>
        <v>-7929.1900000000023</v>
      </c>
      <c r="I36" s="455"/>
      <c r="J36" s="552">
        <f>H36/DAY(B2)</f>
        <v>-396.45950000000011</v>
      </c>
      <c r="K36" s="428">
        <v>483.92999999999302</v>
      </c>
      <c r="L36" s="377">
        <f t="shared" ref="L36:L60" si="3">G36-K36</f>
        <v>119.21000000002095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36544.11</v>
      </c>
      <c r="F37" s="510">
        <v>38112.53</v>
      </c>
      <c r="G37" s="1343">
        <f>F37-E37</f>
        <v>1568.4199999999983</v>
      </c>
      <c r="H37" s="460">
        <f>G37+'19'!H37</f>
        <v>-16684.47</v>
      </c>
      <c r="I37" s="455"/>
      <c r="J37" s="552">
        <f>H37/DAY(B2)</f>
        <v>-834.22350000000006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49959.82</v>
      </c>
      <c r="F38" s="469">
        <v>51763.73</v>
      </c>
      <c r="G38" s="1343">
        <f t="shared" si="2"/>
        <v>1803.9100000000035</v>
      </c>
      <c r="H38" s="460">
        <f>G38+'19'!H38</f>
        <v>-20544.269999999997</v>
      </c>
      <c r="I38" s="455"/>
      <c r="J38" s="552">
        <f>H38/DAY(B2)</f>
        <v>-1027.2134999999998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103843.97</v>
      </c>
      <c r="F39" s="510">
        <v>108097.37</v>
      </c>
      <c r="G39" s="1343">
        <f t="shared" si="2"/>
        <v>4253.3999999999942</v>
      </c>
      <c r="H39" s="460">
        <f>G39+'19'!H39</f>
        <v>-44724.630000000005</v>
      </c>
      <c r="I39" s="455"/>
      <c r="J39" s="552">
        <f>H39/DAY(B2)</f>
        <v>-2236.2315000000003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0.23</v>
      </c>
      <c r="F40" s="510">
        <v>0.23</v>
      </c>
      <c r="G40" s="1343">
        <f t="shared" si="2"/>
        <v>0</v>
      </c>
      <c r="H40" s="460">
        <f>G40+'19'!H40</f>
        <v>0.34</v>
      </c>
      <c r="I40" s="455"/>
      <c r="J40" s="552">
        <f>H40/DAY(B2)</f>
        <v>1.7000000000000001E-2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71050.09</v>
      </c>
      <c r="F41" s="510">
        <v>75394.27</v>
      </c>
      <c r="G41" s="1343">
        <f t="shared" si="2"/>
        <v>4344.1800000000076</v>
      </c>
      <c r="H41" s="460">
        <f>G41+'19'!H41</f>
        <v>-57746.729999999996</v>
      </c>
      <c r="I41" s="455"/>
      <c r="J41" s="552">
        <f>H41/DAY(B2)</f>
        <v>-2887.3364999999999</v>
      </c>
      <c r="K41" s="428">
        <v>0</v>
      </c>
      <c r="L41" s="377">
        <f t="shared" si="3"/>
        <v>4344.1800000000076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59128.163</v>
      </c>
      <c r="F42" s="510">
        <v>59128.163</v>
      </c>
      <c r="G42" s="1343">
        <f t="shared" si="2"/>
        <v>0</v>
      </c>
      <c r="H42" s="460">
        <f>G42+'19'!H42</f>
        <v>2.9999999969732016E-3</v>
      </c>
      <c r="I42" s="455"/>
      <c r="J42" s="552">
        <f>H42/DAY(B2)</f>
        <v>1.4999999984866008E-4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872164.63</v>
      </c>
      <c r="F43" s="510">
        <v>874608.55</v>
      </c>
      <c r="G43" s="1343">
        <f t="shared" si="2"/>
        <v>2443.9200000000419</v>
      </c>
      <c r="H43" s="460">
        <f>G43+'19'!H43</f>
        <v>-27439.449999999953</v>
      </c>
      <c r="I43" s="455"/>
      <c r="J43" s="552">
        <f>H43/DAY(B2)</f>
        <v>-1371.9724999999976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3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614</v>
      </c>
      <c r="F45" s="510">
        <v>614</v>
      </c>
      <c r="G45" s="1343">
        <f t="shared" si="2"/>
        <v>0</v>
      </c>
      <c r="H45" s="460">
        <f>G45+'19'!H45</f>
        <v>614</v>
      </c>
      <c r="I45" s="455"/>
      <c r="J45" s="552">
        <f>H45/DAY(B2)</f>
        <v>30.7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187.44</v>
      </c>
      <c r="F46" s="510">
        <v>187.44</v>
      </c>
      <c r="G46" s="1343">
        <f t="shared" si="2"/>
        <v>0</v>
      </c>
      <c r="H46" s="460">
        <f>G46+'19'!H46</f>
        <v>187.44</v>
      </c>
      <c r="I46" s="455"/>
      <c r="J46" s="552">
        <f>H46/DAY(B2)</f>
        <v>9.3719999999999999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5">
        <f>G35+G36+G37+G38+G39+G40+G41+G42+G43+G44+G45+G46</f>
        <v>18370.970000000059</v>
      </c>
      <c r="H47" s="460">
        <f>G47+'19'!H47</f>
        <v>-211110.36700000003</v>
      </c>
      <c r="I47" s="455"/>
      <c r="J47" s="552">
        <f>H47/DAY(B2)</f>
        <v>-10555.518350000002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3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43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425560.35</v>
      </c>
      <c r="F50" s="510">
        <v>426965.83</v>
      </c>
      <c r="G50" s="1343">
        <f t="shared" si="4"/>
        <v>1405.4800000000396</v>
      </c>
      <c r="H50" s="460">
        <f>G50+'19'!H50</f>
        <v>-15460.169999999984</v>
      </c>
      <c r="I50" s="455"/>
      <c r="J50" s="552">
        <f>H50/DAY(B2)</f>
        <v>-773.00849999999923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43">
        <f t="shared" si="4"/>
        <v>0</v>
      </c>
      <c r="H51" s="460">
        <f>G51+'19'!H51</f>
        <v>-1549.1300000000047</v>
      </c>
      <c r="I51" s="455"/>
      <c r="J51" s="552">
        <f>H51/DAY(B2)</f>
        <v>-77.456500000000233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43">
        <f t="shared" si="4"/>
        <v>0</v>
      </c>
      <c r="H52" s="460">
        <f>G52+'19'!H52</f>
        <v>-2047.9300000000512</v>
      </c>
      <c r="I52" s="455"/>
      <c r="J52" s="552">
        <f>H52/DAY(B2)</f>
        <v>-102.39650000000256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398838.11</v>
      </c>
      <c r="F53" s="510">
        <v>399013.63</v>
      </c>
      <c r="G53" s="1343">
        <f t="shared" si="4"/>
        <v>175.52000000001863</v>
      </c>
      <c r="H53" s="460">
        <f>G53+'19'!H53</f>
        <v>-6435.3699999999953</v>
      </c>
      <c r="I53" s="455"/>
      <c r="J53" s="552">
        <f>H53/DAY(B2)</f>
        <v>-321.76849999999979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8273.39</v>
      </c>
      <c r="F54" s="510">
        <v>8354.56</v>
      </c>
      <c r="G54" s="1343">
        <f t="shared" si="4"/>
        <v>81.170000000000073</v>
      </c>
      <c r="H54" s="460">
        <f>G54+'19'!H54</f>
        <v>2197.6000000000004</v>
      </c>
      <c r="I54" s="455"/>
      <c r="J54" s="552">
        <f>H54/DAY(B2)</f>
        <v>109.88000000000002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208055.21</v>
      </c>
      <c r="F55" s="510">
        <v>208980.55</v>
      </c>
      <c r="G55" s="1343">
        <f t="shared" si="4"/>
        <v>925.33999999999651</v>
      </c>
      <c r="H55" s="460">
        <f>G55+'19'!H55</f>
        <v>-12115.450000000012</v>
      </c>
      <c r="I55" s="455"/>
      <c r="J55" s="552">
        <f>H55/DAY(B2)</f>
        <v>-605.7725000000006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588867.59</v>
      </c>
      <c r="F56" s="510">
        <v>588876.43000000005</v>
      </c>
      <c r="G56" s="1343">
        <f t="shared" si="4"/>
        <v>8.840000000083819</v>
      </c>
      <c r="H56" s="460">
        <f>G56+'19'!H56</f>
        <v>-90.569999999948777</v>
      </c>
      <c r="I56" s="455"/>
      <c r="J56" s="552">
        <f>H56/DAY(B2)</f>
        <v>-4.5284999999974387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3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39330.17</v>
      </c>
      <c r="F58" s="510">
        <v>39512.25</v>
      </c>
      <c r="G58" s="1343">
        <f t="shared" si="4"/>
        <v>182.08000000000175</v>
      </c>
      <c r="H58" s="460">
        <f>G58+'19'!H58</f>
        <v>-2230.75</v>
      </c>
      <c r="I58" s="455"/>
      <c r="J58" s="552">
        <f>H58/DAY(B2)</f>
        <v>-111.53749999999999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5">
        <f>G49+G50+G51+G52+G53+G54+G55+G56+G57+G58</f>
        <v>2778.4300000001404</v>
      </c>
      <c r="H59" s="460">
        <f>G59+'19'!H59</f>
        <v>-37731.640000000014</v>
      </c>
      <c r="I59" s="455">
        <f>G7-G60</f>
        <v>393.59999999980209</v>
      </c>
      <c r="J59" s="552">
        <f>H59/DAY(B2)</f>
        <v>-1886.5820000000008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5">
        <f>G47+G59</f>
        <v>21149.400000000198</v>
      </c>
      <c r="H60" s="460">
        <f>G60+'19'!H60</f>
        <v>-234673.00700000004</v>
      </c>
      <c r="I60" s="455">
        <f>G13-G60</f>
        <v>-267.21000000021013</v>
      </c>
      <c r="J60" s="552">
        <f>H60/DAY(B2)</f>
        <v>-11733.650350000002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3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1957.21</v>
      </c>
      <c r="F63" s="514">
        <v>1967.95</v>
      </c>
      <c r="G63" s="1343">
        <f t="shared" si="5"/>
        <v>10.740000000000009</v>
      </c>
      <c r="H63" s="460">
        <f>G63+'19'!H63</f>
        <v>-128.04999999999995</v>
      </c>
      <c r="I63" s="515"/>
      <c r="J63" s="552">
        <f>H63/DAY(B2)</f>
        <v>-6.4024999999999981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f>'19'!F64</f>
        <v>133362.51</v>
      </c>
      <c r="F64" s="484">
        <v>133862.37</v>
      </c>
      <c r="G64" s="1343">
        <f t="shared" si="5"/>
        <v>499.85999999998603</v>
      </c>
      <c r="H64" s="460">
        <f>G64+'19'!H64</f>
        <v>-5317.6300000000047</v>
      </c>
      <c r="I64" s="480"/>
      <c r="J64" s="552">
        <f>H64/DAY(B2)</f>
        <v>-265.88150000000024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f>'19'!F65</f>
        <v>139679.95000000001</v>
      </c>
      <c r="F65" s="484">
        <v>140044.29</v>
      </c>
      <c r="G65" s="1343">
        <f t="shared" si="5"/>
        <v>364.33999999999651</v>
      </c>
      <c r="H65" s="460">
        <f>G65+'19'!H65</f>
        <v>-4160.7099999999919</v>
      </c>
      <c r="I65" s="489"/>
      <c r="J65" s="552">
        <f>H65/DAY(B2)</f>
        <v>-208.03549999999959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f>'19'!F66</f>
        <v>32439.41</v>
      </c>
      <c r="F66" s="484">
        <v>32782.800000000003</v>
      </c>
      <c r="G66" s="1343">
        <f t="shared" si="5"/>
        <v>343.39000000000306</v>
      </c>
      <c r="H66" s="460">
        <f>G66+'19'!H66</f>
        <v>-4425.1999999999971</v>
      </c>
      <c r="I66" s="480"/>
      <c r="J66" s="552">
        <f>H66/DAY(B2)</f>
        <v>-221.25999999999985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f>'19'!F67</f>
        <v>220778.83</v>
      </c>
      <c r="F67" s="484">
        <v>221548.83</v>
      </c>
      <c r="G67" s="1343">
        <f t="shared" si="5"/>
        <v>770</v>
      </c>
      <c r="H67" s="460">
        <f>G67+'19'!H67</f>
        <v>-7551.1700000000128</v>
      </c>
      <c r="I67" s="489"/>
      <c r="J67" s="552">
        <f>H67/DAY(B2)</f>
        <v>-377.55850000000066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f>'19'!F68</f>
        <v>79036.47</v>
      </c>
      <c r="F68" s="484">
        <v>79364.5</v>
      </c>
      <c r="G68" s="1343">
        <f t="shared" si="5"/>
        <v>328.02999999999884</v>
      </c>
      <c r="H68" s="460">
        <f>G68+'19'!H68</f>
        <v>-3722.5</v>
      </c>
      <c r="I68" s="516"/>
      <c r="J68" s="552">
        <f>H68/DAY(B2)</f>
        <v>-186.125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f>'19'!F69</f>
        <v>70549.63</v>
      </c>
      <c r="F69" s="484">
        <v>70863.710000000006</v>
      </c>
      <c r="G69" s="1343">
        <f t="shared" si="5"/>
        <v>314.08000000000175</v>
      </c>
      <c r="H69" s="460">
        <f>G69+'19'!H69</f>
        <v>-3465.2899999999936</v>
      </c>
      <c r="I69" s="516"/>
      <c r="J69" s="552">
        <f>H69/DAY(B2)</f>
        <v>-173.26449999999969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1355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f>'19'!F72</f>
        <v>852253</v>
      </c>
      <c r="F72" s="519">
        <v>852362</v>
      </c>
      <c r="G72" s="1343">
        <f t="shared" ref="G72:G84" si="6">F72-E72</f>
        <v>109</v>
      </c>
      <c r="H72" s="460">
        <f>G72+'19'!H72</f>
        <v>-907</v>
      </c>
      <c r="I72" s="480"/>
      <c r="J72" s="552">
        <f>H72/DAY(B2)</f>
        <v>-45.35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19">
        <f>'19'!F73</f>
        <v>885778</v>
      </c>
      <c r="F73" s="520">
        <v>885786</v>
      </c>
      <c r="G73" s="1343">
        <f t="shared" si="6"/>
        <v>8</v>
      </c>
      <c r="H73" s="460">
        <f>G73+'19'!H73</f>
        <v>-1459</v>
      </c>
      <c r="I73" s="480"/>
      <c r="J73" s="552">
        <f>H73/DAY(B2)</f>
        <v>-72.95</v>
      </c>
      <c r="K73" s="430"/>
      <c r="L73" s="377"/>
      <c r="N73" s="382"/>
      <c r="O73" s="382"/>
    </row>
    <row r="74" spans="1:15" ht="27.75">
      <c r="A74" s="1490" t="s">
        <v>193</v>
      </c>
      <c r="B74" s="1491"/>
      <c r="C74" s="1492"/>
      <c r="D74" s="523" t="s">
        <v>187</v>
      </c>
      <c r="E74" s="519">
        <f>'19'!F74</f>
        <v>1101.17</v>
      </c>
      <c r="F74" s="521">
        <v>1120.0999999999999</v>
      </c>
      <c r="G74" s="1343">
        <f t="shared" si="6"/>
        <v>18.929999999999836</v>
      </c>
      <c r="H74" s="460">
        <f>G74+'19'!H74</f>
        <v>-249.90000000000009</v>
      </c>
      <c r="I74" s="480"/>
      <c r="J74" s="552">
        <f>H74/DAY(B2)</f>
        <v>-12.495000000000005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19">
        <f>'19'!F75</f>
        <v>6661</v>
      </c>
      <c r="F75" s="521">
        <v>6859</v>
      </c>
      <c r="G75" s="1343">
        <f t="shared" si="6"/>
        <v>198</v>
      </c>
      <c r="H75" s="460">
        <f>G75+'19'!H75</f>
        <v>-1821</v>
      </c>
      <c r="I75" s="480"/>
      <c r="J75" s="552">
        <f>H75/DAY(B2)</f>
        <v>-91.05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19">
        <f>'19'!F76</f>
        <v>3060.36</v>
      </c>
      <c r="F76" s="657">
        <v>3138.47</v>
      </c>
      <c r="G76" s="1343">
        <f>F76-E76</f>
        <v>78.109999999999673</v>
      </c>
      <c r="H76" s="460">
        <f>G76+'19'!H76</f>
        <v>-2497.5300000000002</v>
      </c>
      <c r="I76" s="505"/>
      <c r="J76" s="552">
        <f>H76/DAY(B2)</f>
        <v>-124.87650000000001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19">
        <f>'19'!F77</f>
        <v>699608</v>
      </c>
      <c r="F77" s="521">
        <v>699657</v>
      </c>
      <c r="G77" s="1343">
        <f t="shared" si="6"/>
        <v>49</v>
      </c>
      <c r="H77" s="460">
        <f>G77+'19'!H77</f>
        <v>-557</v>
      </c>
      <c r="I77" s="505"/>
      <c r="J77" s="552">
        <f>H77/DAY(B2)</f>
        <v>-27.85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'19'!F78</f>
        <v>660640</v>
      </c>
      <c r="F78" s="521">
        <v>661159</v>
      </c>
      <c r="G78" s="1343">
        <f t="shared" si="6"/>
        <v>519</v>
      </c>
      <c r="H78" s="460">
        <f>G78+'19'!H78</f>
        <v>-4221</v>
      </c>
      <c r="I78" s="505"/>
      <c r="J78" s="552">
        <f>H78/DAY(B2)</f>
        <v>-211.05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f>'19'!F79</f>
        <v>819000</v>
      </c>
      <c r="F79" s="521">
        <v>819187</v>
      </c>
      <c r="G79" s="1343">
        <f t="shared" si="6"/>
        <v>187</v>
      </c>
      <c r="H79" s="460">
        <f>G79+'19'!H79</f>
        <v>-5929</v>
      </c>
      <c r="I79" s="505"/>
      <c r="J79" s="552">
        <f>H79/DAY(B2)</f>
        <v>-296.45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f>'19'!F80</f>
        <v>501399.03999999998</v>
      </c>
      <c r="F80" s="520">
        <v>501795.55</v>
      </c>
      <c r="G80" s="1343">
        <f t="shared" si="6"/>
        <v>396.51000000000931</v>
      </c>
      <c r="H80" s="460">
        <f>G80+'19'!H80</f>
        <v>-922.45000000001164</v>
      </c>
      <c r="I80" s="505"/>
      <c r="J80" s="552">
        <f>H80/DAY(B2)</f>
        <v>-46.122500000000585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'19'!F81</f>
        <v>628016.12</v>
      </c>
      <c r="F81" s="520">
        <v>628110.92000000004</v>
      </c>
      <c r="G81" s="1343">
        <f t="shared" si="6"/>
        <v>94.800000000046566</v>
      </c>
      <c r="H81" s="460">
        <f>G81+'19'!H81</f>
        <v>-2074.0799999999581</v>
      </c>
      <c r="I81" s="505"/>
      <c r="J81" s="552">
        <f>H81/DAY(B2)</f>
        <v>-103.7039999999979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'19'!F82</f>
        <v>106625.59</v>
      </c>
      <c r="F82" s="522">
        <v>106646.68</v>
      </c>
      <c r="G82" s="1343">
        <f t="shared" si="6"/>
        <v>21.089999999996508</v>
      </c>
      <c r="H82" s="460">
        <f>G82+'19'!H82</f>
        <v>-248.32000000000698</v>
      </c>
      <c r="I82" s="486"/>
      <c r="J82" s="552">
        <f>H82/DAY(B2)</f>
        <v>-12.416000000000349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'19'!F83</f>
        <v>3659</v>
      </c>
      <c r="F83" s="511">
        <v>3888</v>
      </c>
      <c r="G83" s="1343">
        <f t="shared" si="6"/>
        <v>229</v>
      </c>
      <c r="H83" s="460">
        <f>G83+'19'!H83</f>
        <v>-3169</v>
      </c>
      <c r="I83" s="481"/>
      <c r="J83" s="552">
        <f>H83/DAY(B2)</f>
        <v>-158.44999999999999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'19'!F84</f>
        <v>445475</v>
      </c>
      <c r="F84" s="627">
        <v>446161</v>
      </c>
      <c r="G84" s="1343">
        <f t="shared" si="6"/>
        <v>686</v>
      </c>
      <c r="H84" s="460">
        <f>G84+'19'!H84</f>
        <v>-8523</v>
      </c>
      <c r="I84" s="481"/>
      <c r="J84" s="552">
        <f>H84/DAY(B2)</f>
        <v>-426.15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6">
        <f xml:space="preserve"> SUM(G72:G84)</f>
        <v>2594.4400000000519</v>
      </c>
      <c r="H85" s="460">
        <f>G85+'19'!H85</f>
        <v>-28522.27999999997</v>
      </c>
      <c r="I85" s="481"/>
      <c r="J85" s="552">
        <f>H85/DAY(B2)</f>
        <v>-1426.1139999999984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452767.72</v>
      </c>
      <c r="F86" s="650">
        <v>452861.04</v>
      </c>
      <c r="G86" s="1357">
        <f>F86-E86</f>
        <v>93.320000000006985</v>
      </c>
      <c r="H86" s="460">
        <f>G86+'19'!H86</f>
        <v>412.35999999998603</v>
      </c>
      <c r="I86" s="655"/>
      <c r="J86" s="710">
        <f>H86/DAY(B2)</f>
        <v>20.617999999999302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79774.13</v>
      </c>
      <c r="F87" s="650">
        <v>79803.3</v>
      </c>
      <c r="G87" s="1357">
        <f t="shared" ref="G87:G90" si="7">F87-E87</f>
        <v>29.169999999998254</v>
      </c>
      <c r="H87" s="460">
        <f>G87+'19'!H87</f>
        <v>101.5</v>
      </c>
      <c r="I87" s="655"/>
      <c r="J87" s="710">
        <f>H87/DAY(B2)</f>
        <v>5.0750000000000002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149728.51</v>
      </c>
      <c r="F88" s="650">
        <v>149811.29</v>
      </c>
      <c r="G88" s="1357">
        <f t="shared" si="7"/>
        <v>82.779999999998836</v>
      </c>
      <c r="H88" s="460">
        <f>G88+'19'!H88</f>
        <v>255.58999999999651</v>
      </c>
      <c r="I88" s="655"/>
      <c r="J88" s="710">
        <f>H88/DAY(B2)</f>
        <v>12.779499999999825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62959.8</v>
      </c>
      <c r="F89" s="650">
        <v>63004.3</v>
      </c>
      <c r="G89" s="1357">
        <f t="shared" si="7"/>
        <v>44.5</v>
      </c>
      <c r="H89" s="460">
        <f>G89+'19'!H89</f>
        <v>171.20000000000437</v>
      </c>
      <c r="I89" s="655"/>
      <c r="J89" s="710">
        <f>H89/DAY(B2)</f>
        <v>8.560000000000219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3242.9</v>
      </c>
      <c r="F90" s="650">
        <v>3244</v>
      </c>
      <c r="G90" s="1357">
        <f t="shared" si="7"/>
        <v>1.0999999999999091</v>
      </c>
      <c r="H90" s="460">
        <f>G90+'19'!H90</f>
        <v>5.3000000000001819</v>
      </c>
      <c r="I90" s="655"/>
      <c r="J90" s="710">
        <f>H90/DAY(B2)</f>
        <v>0.26500000000000912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6"/>
      <c r="H91" s="472"/>
      <c r="I91" s="472"/>
      <c r="J91" s="551"/>
      <c r="K91" s="380"/>
      <c r="L91" s="378"/>
      <c r="N91" s="780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'19'!F92</f>
        <v>241420</v>
      </c>
      <c r="F92" s="484">
        <v>241497</v>
      </c>
      <c r="G92" s="1343">
        <f t="shared" ref="G92:G93" si="8">F92-E92</f>
        <v>77</v>
      </c>
      <c r="H92" s="460">
        <f>G92+'19'!H92</f>
        <v>-1149</v>
      </c>
      <c r="I92" s="480"/>
      <c r="J92" s="552">
        <f>H92/DAY(B2)</f>
        <v>-57.45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'19'!F93</f>
        <v>178058</v>
      </c>
      <c r="F93" s="484">
        <v>178158</v>
      </c>
      <c r="G93" s="1343">
        <f t="shared" si="8"/>
        <v>100</v>
      </c>
      <c r="H93" s="460">
        <f>G93+'19'!H93</f>
        <v>-1521</v>
      </c>
      <c r="I93" s="480"/>
      <c r="J93" s="552">
        <f>H93/DAY(B2)</f>
        <v>-76.05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>
        <f>'19'!F94</f>
        <v>0</v>
      </c>
      <c r="F94" s="484"/>
      <c r="G94" s="1343">
        <f>G92+G93</f>
        <v>177</v>
      </c>
      <c r="H94" s="460">
        <f>G94+'19'!H94</f>
        <v>-2889</v>
      </c>
      <c r="I94" s="480"/>
      <c r="J94" s="552">
        <f>H94/DAY(B2)</f>
        <v>-144.44999999999999</v>
      </c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'19'!F95</f>
        <v>409761</v>
      </c>
      <c r="F95" s="484">
        <v>409838</v>
      </c>
      <c r="G95" s="1343">
        <f t="shared" ref="G95:G100" si="9">F95-E95</f>
        <v>77</v>
      </c>
      <c r="H95" s="460">
        <f>G95+'19'!H95</f>
        <v>-947</v>
      </c>
      <c r="I95" s="480"/>
      <c r="J95" s="552">
        <f>H95/DAY(B2)</f>
        <v>-47.35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'19'!F96</f>
        <v>101609</v>
      </c>
      <c r="F96" s="484">
        <v>101625</v>
      </c>
      <c r="G96" s="1343">
        <f t="shared" si="9"/>
        <v>16</v>
      </c>
      <c r="H96" s="460">
        <f>G96+'19'!H96</f>
        <v>-206</v>
      </c>
      <c r="I96" s="480"/>
      <c r="J96" s="552">
        <f>H96/DAY(B2)</f>
        <v>-10.3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'19'!F97</f>
        <v>96661</v>
      </c>
      <c r="F97" s="484">
        <v>96681</v>
      </c>
      <c r="G97" s="1343">
        <f t="shared" si="9"/>
        <v>20</v>
      </c>
      <c r="H97" s="460">
        <f>G97+'19'!H97</f>
        <v>-247</v>
      </c>
      <c r="I97" s="480"/>
      <c r="J97" s="552">
        <f>H97/DAY(B2)</f>
        <v>-12.35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'19'!F98</f>
        <v>148491</v>
      </c>
      <c r="F98" s="484">
        <v>148510</v>
      </c>
      <c r="G98" s="1343">
        <f t="shared" si="9"/>
        <v>19</v>
      </c>
      <c r="H98" s="460">
        <f>G98+'19'!H98</f>
        <v>-399</v>
      </c>
      <c r="I98" s="480"/>
      <c r="J98" s="552">
        <f>H98/DAY(B2)</f>
        <v>-19.95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'19'!F99</f>
        <v>6674</v>
      </c>
      <c r="F99" s="484">
        <v>6679</v>
      </c>
      <c r="G99" s="1343">
        <f t="shared" si="9"/>
        <v>5</v>
      </c>
      <c r="H99" s="460">
        <f>G99+'19'!H99</f>
        <v>-176</v>
      </c>
      <c r="I99" s="480"/>
      <c r="J99" s="552">
        <f>H99/DAY(B2)</f>
        <v>-8.8000000000000007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'19'!F100</f>
        <v>4764</v>
      </c>
      <c r="F100" s="484">
        <v>4774</v>
      </c>
      <c r="G100" s="1343">
        <f t="shared" si="9"/>
        <v>10</v>
      </c>
      <c r="H100" s="460">
        <f>G100+'19'!H100</f>
        <v>-169</v>
      </c>
      <c r="I100" s="480"/>
      <c r="J100" s="552">
        <f>H100/DAY(B2)</f>
        <v>-8.4499999999999993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1358">
        <f>SUM(G95:G100)</f>
        <v>147</v>
      </c>
      <c r="H101" s="460">
        <f>G101+'19'!H101</f>
        <v>-2144</v>
      </c>
      <c r="I101" s="526"/>
      <c r="J101" s="552">
        <f>H101/DAY(B2)</f>
        <v>-107.2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9"/>
      <c r="H102" s="530"/>
      <c r="I102" s="531"/>
      <c r="J102" s="557"/>
      <c r="N102" s="444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1360"/>
      <c r="H103" s="533"/>
      <c r="I103" s="532"/>
      <c r="J103" s="558"/>
      <c r="N103" s="444"/>
      <c r="O103" s="382"/>
    </row>
    <row r="104" spans="1:15" s="442" customFormat="1" ht="27.75">
      <c r="A104" s="1429" t="s">
        <v>219</v>
      </c>
      <c r="B104" s="1430"/>
      <c r="C104" s="1143"/>
      <c r="D104" s="622" t="s">
        <v>144</v>
      </c>
      <c r="E104" s="532">
        <f>'19'!F104</f>
        <v>7281</v>
      </c>
      <c r="F104" s="532">
        <v>7281</v>
      </c>
      <c r="G104" s="1360">
        <f>F104-E104</f>
        <v>0</v>
      </c>
      <c r="H104" s="460">
        <f>G104+'19'!H104</f>
        <v>100</v>
      </c>
      <c r="I104" s="532"/>
      <c r="J104" s="558">
        <f>H104/DAY(B2)</f>
        <v>5</v>
      </c>
      <c r="N104" s="444"/>
      <c r="O104" s="382"/>
    </row>
    <row r="105" spans="1:15" s="442" customFormat="1" ht="27.75">
      <c r="A105" s="1429" t="s">
        <v>77</v>
      </c>
      <c r="B105" s="1430"/>
      <c r="C105" s="1143"/>
      <c r="D105" s="622" t="s">
        <v>144</v>
      </c>
      <c r="E105" s="534">
        <f>'19'!F105</f>
        <v>35548</v>
      </c>
      <c r="F105" s="534">
        <v>35558</v>
      </c>
      <c r="G105" s="1360">
        <f t="shared" ref="G105:G106" si="10">F105-E105</f>
        <v>10</v>
      </c>
      <c r="H105" s="460">
        <f>G105+'19'!H105</f>
        <v>74</v>
      </c>
      <c r="I105" s="532"/>
      <c r="J105" s="558">
        <f>H105/DAY(B2)</f>
        <v>3.7</v>
      </c>
      <c r="N105" s="444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'19'!F106</f>
        <v>19349</v>
      </c>
      <c r="F106" s="532">
        <v>19356</v>
      </c>
      <c r="G106" s="1360">
        <f t="shared" si="10"/>
        <v>7</v>
      </c>
      <c r="H106" s="460">
        <f>G106+'19'!H106</f>
        <v>411</v>
      </c>
      <c r="I106" s="532"/>
      <c r="J106" s="558">
        <f>H106/DAY(B2)</f>
        <v>20.55</v>
      </c>
      <c r="N106" s="444"/>
      <c r="O106" s="382"/>
    </row>
    <row r="107" spans="1:15" s="442" customFormat="1" ht="27.75">
      <c r="A107" s="1431" t="s">
        <v>202</v>
      </c>
      <c r="B107" s="1432"/>
      <c r="C107" s="1143"/>
      <c r="D107" s="622"/>
      <c r="E107" s="532">
        <f>'19'!F107</f>
        <v>0</v>
      </c>
      <c r="F107" s="532"/>
      <c r="G107" s="1360">
        <f>SUM(G104:G106)</f>
        <v>17</v>
      </c>
      <c r="H107" s="460">
        <f>G107+'19'!H107</f>
        <v>275</v>
      </c>
      <c r="I107" s="532"/>
      <c r="J107" s="558">
        <f>H107/DAY(B2)</f>
        <v>13.75</v>
      </c>
      <c r="N107" s="444"/>
      <c r="O107" s="382"/>
    </row>
    <row r="108" spans="1:15" s="442" customFormat="1" ht="27.75">
      <c r="A108" s="1435" t="s">
        <v>79</v>
      </c>
      <c r="B108" s="1436"/>
      <c r="C108" s="1143"/>
      <c r="D108" s="622" t="s">
        <v>144</v>
      </c>
      <c r="E108" s="532">
        <f>'19'!F108</f>
        <v>0</v>
      </c>
      <c r="F108" s="532"/>
      <c r="G108" s="1360"/>
      <c r="H108" s="460"/>
      <c r="I108" s="532"/>
      <c r="J108" s="558"/>
      <c r="N108" s="444"/>
      <c r="O108" s="382"/>
    </row>
    <row r="109" spans="1:15" s="442" customFormat="1" ht="27.75">
      <c r="A109" s="1429" t="s">
        <v>220</v>
      </c>
      <c r="B109" s="1430"/>
      <c r="C109" s="1143"/>
      <c r="D109" s="622" t="s">
        <v>144</v>
      </c>
      <c r="E109" s="532">
        <f>'19'!F109</f>
        <v>57824</v>
      </c>
      <c r="F109" s="532">
        <v>57867</v>
      </c>
      <c r="G109" s="1360">
        <f>F109-E109</f>
        <v>43</v>
      </c>
      <c r="H109" s="460">
        <f>G109+'19'!H109</f>
        <v>424</v>
      </c>
      <c r="I109" s="532"/>
      <c r="J109" s="558">
        <f>H109/DAY(B2)</f>
        <v>21.2</v>
      </c>
      <c r="N109" s="444"/>
      <c r="O109" s="382"/>
    </row>
    <row r="110" spans="1:15" s="442" customFormat="1" ht="27.75">
      <c r="A110" s="1429" t="s">
        <v>221</v>
      </c>
      <c r="B110" s="1430"/>
      <c r="C110" s="1143"/>
      <c r="D110" s="622" t="s">
        <v>144</v>
      </c>
      <c r="E110" s="532">
        <f>'19'!F110</f>
        <v>31307</v>
      </c>
      <c r="F110" s="532">
        <v>31335</v>
      </c>
      <c r="G110" s="1360">
        <f t="shared" ref="G110:G111" si="11">F110-E110</f>
        <v>28</v>
      </c>
      <c r="H110" s="460">
        <f>G110+'19'!H110</f>
        <v>76</v>
      </c>
      <c r="I110" s="532"/>
      <c r="J110" s="558">
        <f>H110/DAY(B2)</f>
        <v>3.8</v>
      </c>
      <c r="N110" s="444"/>
      <c r="O110" s="382"/>
    </row>
    <row r="111" spans="1:15" s="442" customFormat="1" ht="27.75">
      <c r="A111" s="1429" t="s">
        <v>222</v>
      </c>
      <c r="B111" s="1430"/>
      <c r="C111" s="1143"/>
      <c r="D111" s="622" t="s">
        <v>144</v>
      </c>
      <c r="E111" s="532">
        <f>'19'!F111</f>
        <v>4084</v>
      </c>
      <c r="F111" s="532">
        <v>4098</v>
      </c>
      <c r="G111" s="1360">
        <f t="shared" si="11"/>
        <v>14</v>
      </c>
      <c r="H111" s="460">
        <f>G111+'19'!H111</f>
        <v>253</v>
      </c>
      <c r="I111" s="532"/>
      <c r="J111" s="558">
        <f>H111/DAY(B2)</f>
        <v>12.65</v>
      </c>
      <c r="N111" s="444"/>
      <c r="O111" s="382"/>
    </row>
    <row r="112" spans="1:15" s="442" customFormat="1" ht="27.75">
      <c r="A112" s="1433" t="s">
        <v>110</v>
      </c>
      <c r="B112" s="1434"/>
      <c r="C112" s="1143"/>
      <c r="D112" s="622"/>
      <c r="E112" s="532">
        <f>'19'!F112</f>
        <v>0</v>
      </c>
      <c r="F112" s="532"/>
      <c r="G112" s="1360">
        <f>SUM(G109:G111)</f>
        <v>85</v>
      </c>
      <c r="H112" s="460">
        <f>G112+'19'!H112</f>
        <v>1208</v>
      </c>
      <c r="I112" s="532"/>
      <c r="J112" s="558">
        <f>H112/DAY(B2)</f>
        <v>60.4</v>
      </c>
      <c r="N112" s="444"/>
      <c r="O112" s="382"/>
    </row>
    <row r="113" spans="1:15" s="442" customFormat="1" ht="27.75">
      <c r="A113" s="1435" t="s">
        <v>223</v>
      </c>
      <c r="B113" s="1436"/>
      <c r="C113" s="1143"/>
      <c r="D113" s="622"/>
      <c r="E113" s="532">
        <f>'19'!F113</f>
        <v>0</v>
      </c>
      <c r="F113" s="532"/>
      <c r="G113" s="1360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4">
        <f>'19'!F114</f>
        <v>10639</v>
      </c>
      <c r="F114" s="534">
        <v>10648</v>
      </c>
      <c r="G114" s="1361">
        <f>F114-E114</f>
        <v>9</v>
      </c>
      <c r="H114" s="460">
        <f>G114+'19'!H114</f>
        <v>30</v>
      </c>
      <c r="I114" s="532"/>
      <c r="J114" s="558">
        <f>H114/DAY(B2)</f>
        <v>1.5</v>
      </c>
      <c r="N114" s="444"/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4">
        <f>'19'!F115</f>
        <v>7840</v>
      </c>
      <c r="F115" s="534">
        <v>7849</v>
      </c>
      <c r="G115" s="1361">
        <f t="shared" ref="G115:G116" si="12">F115-E115</f>
        <v>9</v>
      </c>
      <c r="H115" s="460">
        <f>G115+'19'!H115</f>
        <v>110</v>
      </c>
      <c r="I115" s="532"/>
      <c r="J115" s="558">
        <f>H115/DAY(B2)</f>
        <v>5.5</v>
      </c>
      <c r="N115" s="444"/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1361">
        <f t="shared" si="12"/>
        <v>0</v>
      </c>
      <c r="H116" s="460">
        <f>G116+'19'!H116</f>
        <v>127</v>
      </c>
      <c r="I116" s="532"/>
      <c r="J116" s="558">
        <f>H116/DAY(B2)</f>
        <v>6.35</v>
      </c>
      <c r="N116" s="444"/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1361">
        <f>SUM(G114:G116)</f>
        <v>18</v>
      </c>
      <c r="H117" s="460">
        <f>G117+'19'!H117</f>
        <v>125</v>
      </c>
      <c r="I117" s="534"/>
      <c r="J117" s="558">
        <f>H117/DAY(B2)</f>
        <v>6.25</v>
      </c>
      <c r="N117" s="447"/>
      <c r="O117" s="382"/>
    </row>
    <row r="118" spans="1:15" s="446" customFormat="1" ht="27.75">
      <c r="A118" s="1425" t="s">
        <v>227</v>
      </c>
      <c r="B118" s="1426"/>
      <c r="C118" s="1142"/>
      <c r="D118" s="624" t="s">
        <v>144</v>
      </c>
      <c r="E118" s="536"/>
      <c r="F118" s="536">
        <f>SUM(G19+G92)</f>
        <v>129</v>
      </c>
      <c r="G118" s="1361">
        <f>SUM(G19+G92)</f>
        <v>129</v>
      </c>
      <c r="H118" s="460">
        <f>G118+'19'!H118</f>
        <v>379</v>
      </c>
      <c r="I118" s="535"/>
      <c r="J118" s="559">
        <f>H118/DAY(B2)</f>
        <v>18.95</v>
      </c>
      <c r="N118" s="782"/>
      <c r="O118" s="382"/>
    </row>
    <row r="119" spans="1:15" s="446" customFormat="1" ht="27.75">
      <c r="A119" s="1425" t="s">
        <v>228</v>
      </c>
      <c r="B119" s="1426"/>
      <c r="C119" s="1142"/>
      <c r="D119" s="624" t="s">
        <v>144</v>
      </c>
      <c r="E119" s="536"/>
      <c r="F119" s="536">
        <f>SUM(G95,G96,G97,G99,G100)</f>
        <v>128</v>
      </c>
      <c r="G119" s="1361">
        <f>SUM(G95,G96,G97,G99,G100)</f>
        <v>128</v>
      </c>
      <c r="H119" s="460">
        <f>G119+'19'!H119</f>
        <v>393</v>
      </c>
      <c r="I119" s="535"/>
      <c r="J119" s="559">
        <f>H119/DAY(B2)</f>
        <v>19.649999999999999</v>
      </c>
      <c r="N119" s="782"/>
      <c r="O119" s="382"/>
    </row>
    <row r="120" spans="1:15" s="446" customFormat="1" ht="27.75">
      <c r="A120" s="1425" t="s">
        <v>229</v>
      </c>
      <c r="B120" s="1426"/>
      <c r="C120" s="1142"/>
      <c r="D120" s="624" t="s">
        <v>144</v>
      </c>
      <c r="E120" s="534"/>
      <c r="F120" s="534">
        <f>SUM(G112)</f>
        <v>85</v>
      </c>
      <c r="G120" s="1361">
        <f>SUM(G112)</f>
        <v>85</v>
      </c>
      <c r="H120" s="460">
        <f>G120+'19'!H120</f>
        <v>299</v>
      </c>
      <c r="I120" s="535"/>
      <c r="J120" s="559">
        <f>H120/DAY(B2)</f>
        <v>14.95</v>
      </c>
      <c r="N120" s="782"/>
      <c r="O120" s="382"/>
    </row>
    <row r="121" spans="1:15" s="442" customFormat="1" ht="27.75">
      <c r="A121" s="1427"/>
      <c r="B121" s="1428"/>
      <c r="C121" s="1143"/>
      <c r="D121" s="560"/>
      <c r="E121" s="560"/>
      <c r="F121" s="560" t="s">
        <v>215</v>
      </c>
      <c r="G121" s="1362"/>
      <c r="H121" s="561"/>
      <c r="I121" s="560"/>
      <c r="J121" s="562"/>
      <c r="N121" s="444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1346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'19'!F123</f>
        <v>815762.73</v>
      </c>
      <c r="F123" s="478">
        <v>816030.47</v>
      </c>
      <c r="G123" s="1343">
        <f t="shared" ref="G123:G127" si="13">F123-E123</f>
        <v>267.73999999999069</v>
      </c>
      <c r="H123" s="460">
        <f>G123+'19'!H123</f>
        <v>-2779.5300000000279</v>
      </c>
      <c r="I123" s="526"/>
      <c r="J123" s="552">
        <f>H123/DAY(B2)</f>
        <v>-138.97650000000141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'19'!F124</f>
        <v>73583</v>
      </c>
      <c r="F124" s="626">
        <v>73583</v>
      </c>
      <c r="G124" s="1343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78">
        <f>'19'!F125</f>
        <v>141231.13</v>
      </c>
      <c r="F125" s="478">
        <v>141308.01</v>
      </c>
      <c r="G125" s="1343">
        <f t="shared" si="13"/>
        <v>76.880000000004657</v>
      </c>
      <c r="H125" s="460">
        <f>G125+'19'!H125</f>
        <v>-827.98999999999069</v>
      </c>
      <c r="I125" s="526"/>
      <c r="J125" s="552">
        <f>H125/DAY(B2)</f>
        <v>-41.399499999999534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'19'!F126</f>
        <v>59726.6</v>
      </c>
      <c r="F126" s="626">
        <v>59750.8</v>
      </c>
      <c r="G126" s="1343">
        <f t="shared" si="13"/>
        <v>24.200000000004366</v>
      </c>
      <c r="H126" s="460">
        <f>G126+'19'!H126</f>
        <v>28432.100000000002</v>
      </c>
      <c r="I126" s="526"/>
      <c r="J126" s="552">
        <f>H126/DAY(B2)</f>
        <v>1421.605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'19'!F127</f>
        <v>8933.9</v>
      </c>
      <c r="F127" s="626">
        <v>8938.4</v>
      </c>
      <c r="G127" s="1343">
        <f t="shared" si="13"/>
        <v>4.5</v>
      </c>
      <c r="H127" s="460">
        <f>G127+'19'!H127</f>
        <v>-23.600000000000364</v>
      </c>
      <c r="I127" s="480"/>
      <c r="J127" s="552">
        <f>H127/DAY(B2)</f>
        <v>-1.1800000000000181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3">
        <f>G15-SUM(G123:G127)</f>
        <v>549.02000000008411</v>
      </c>
      <c r="H128" s="460">
        <f>G128+'19'!H128</f>
        <v>2447.560999999956</v>
      </c>
      <c r="I128" s="480"/>
      <c r="J128" s="552">
        <f>H128/DAY(B2)</f>
        <v>122.3780499999978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3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'19'!F130</f>
        <v>0</v>
      </c>
      <c r="F130" s="484">
        <v>0</v>
      </c>
      <c r="G130" s="1343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'19'!F131</f>
        <v>0</v>
      </c>
      <c r="F131" s="484">
        <v>0</v>
      </c>
      <c r="G131" s="1343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84">
        <f>'19'!F132</f>
        <v>39249.360000000001</v>
      </c>
      <c r="F132" s="1338">
        <v>39269.15</v>
      </c>
      <c r="G132" s="1364">
        <f t="shared" si="14"/>
        <v>19.790000000000873</v>
      </c>
      <c r="H132" s="460">
        <f>G132+'19'!H132</f>
        <v>-273.18000000000029</v>
      </c>
      <c r="I132" s="480"/>
      <c r="J132" s="552">
        <f>H132/DAY(B2)</f>
        <v>-13.659000000000015</v>
      </c>
      <c r="N132" s="382">
        <f>G132-24</f>
        <v>-4.2099999999991269</v>
      </c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484">
        <f>'19'!F133</f>
        <v>299</v>
      </c>
      <c r="F133" s="541">
        <v>299.52</v>
      </c>
      <c r="G133" s="1365">
        <f t="shared" si="14"/>
        <v>0.51999999999998181</v>
      </c>
      <c r="H133" s="708">
        <f>G133+'19'!H133</f>
        <v>-0.48000000000001819</v>
      </c>
      <c r="I133" s="1076">
        <f>G130+G131+G132+G133</f>
        <v>20.310000000000855</v>
      </c>
      <c r="J133" s="710">
        <f>H133/DAY(B2)</f>
        <v>-2.4000000000000909E-2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484">
        <f>'19'!F134</f>
        <v>40798</v>
      </c>
      <c r="F134" s="1338">
        <f>40798+4</f>
        <v>40802</v>
      </c>
      <c r="G134" s="1364">
        <f t="shared" si="14"/>
        <v>4</v>
      </c>
      <c r="H134" s="460">
        <f>G134+'19'!H134</f>
        <v>-37</v>
      </c>
      <c r="I134" s="480"/>
      <c r="J134" s="552">
        <f>H134/DAY(B2)</f>
        <v>-1.85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84">
        <f>'19'!F135</f>
        <v>32582.92</v>
      </c>
      <c r="F135" s="541">
        <v>32582.92</v>
      </c>
      <c r="G135" s="1343">
        <f t="shared" si="14"/>
        <v>0</v>
      </c>
      <c r="H135" s="460">
        <f>G135+'19'!H135</f>
        <v>-8.000000000174623E-2</v>
      </c>
      <c r="I135" s="480"/>
      <c r="J135" s="552">
        <f>H135/DAY(B2)</f>
        <v>-4.0000000000873113E-3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84">
        <f>'19'!F136</f>
        <v>22380.9</v>
      </c>
      <c r="F136" s="541">
        <v>22390.75</v>
      </c>
      <c r="G136" s="1343">
        <f t="shared" si="14"/>
        <v>9.8499999999985448</v>
      </c>
      <c r="H136" s="460">
        <f>G136+'19'!H136</f>
        <v>-97.900000000001455</v>
      </c>
      <c r="I136" s="480">
        <f>G134+G135+G136</f>
        <v>13.849999999998545</v>
      </c>
      <c r="J136" s="552">
        <f>H136/DAY(B2)</f>
        <v>-4.8950000000000724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84">
        <f>'19'!F137</f>
        <v>25044.31</v>
      </c>
      <c r="F137" s="541">
        <v>25044.31</v>
      </c>
      <c r="G137" s="1343">
        <f t="shared" si="14"/>
        <v>0</v>
      </c>
      <c r="H137" s="460">
        <f>G137+'19'!H137</f>
        <v>-4.4799999999995634</v>
      </c>
      <c r="I137" s="480"/>
      <c r="J137" s="552">
        <f>H137/DAY(B2)</f>
        <v>-0.22399999999997816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84">
        <f>'19'!F138</f>
        <v>70227.14</v>
      </c>
      <c r="F138" s="541">
        <v>70229.62</v>
      </c>
      <c r="G138" s="1343">
        <f t="shared" si="14"/>
        <v>2.4799999999959255</v>
      </c>
      <c r="H138" s="460">
        <f>G138+'19'!H138</f>
        <v>-24.410000000003492</v>
      </c>
      <c r="I138" s="480">
        <f>G137+G138</f>
        <v>2.4799999999959255</v>
      </c>
      <c r="J138" s="552">
        <f>H138/DAY(B2)</f>
        <v>-1.2205000000001747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'19'!F139</f>
        <v>1536.52</v>
      </c>
      <c r="F139" s="484">
        <v>1536.52</v>
      </c>
      <c r="G139" s="1343">
        <f t="shared" si="14"/>
        <v>0</v>
      </c>
      <c r="H139" s="460">
        <f>G139+'19'!H139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'19'!F140</f>
        <v>4361.6899999999996</v>
      </c>
      <c r="F140" s="484">
        <v>4370.8500000000004</v>
      </c>
      <c r="G140" s="1343">
        <f t="shared" si="14"/>
        <v>9.160000000000764</v>
      </c>
      <c r="H140" s="460">
        <f>G140+'19'!H140</f>
        <v>-97.6899999999996</v>
      </c>
      <c r="I140" s="542"/>
      <c r="J140" s="552">
        <f>H140/DAY(B2)</f>
        <v>-4.8844999999999796</v>
      </c>
      <c r="N140" s="382"/>
      <c r="O140" s="382"/>
    </row>
    <row r="141" spans="1:15">
      <c r="A141" s="1443" t="s">
        <v>250</v>
      </c>
      <c r="B141" s="1444"/>
      <c r="C141" s="1151"/>
      <c r="D141" s="472"/>
      <c r="E141" s="472"/>
      <c r="F141" s="472"/>
      <c r="G141" s="1346"/>
      <c r="H141" s="483"/>
      <c r="I141" s="483"/>
      <c r="J141" s="563"/>
      <c r="K141" s="380"/>
      <c r="L141" s="377"/>
      <c r="N141" s="382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1356">
        <f>G35+G43+G49+G57</f>
        <v>5797.9200000000419</v>
      </c>
      <c r="H142" s="460">
        <f>G142+'19'!H142</f>
        <v>-66598.37</v>
      </c>
      <c r="I142" s="480"/>
      <c r="J142" s="552">
        <f>H142/DAY(B2)</f>
        <v>-3329.9184999999998</v>
      </c>
      <c r="K142" s="380"/>
      <c r="L142" s="377"/>
      <c r="N142" s="382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1366">
        <f>G142/G7</f>
        <v>0.26913243280880295</v>
      </c>
      <c r="H143" s="460">
        <f>G143+'19'!H143</f>
        <v>5.3719640622434488</v>
      </c>
      <c r="I143" s="544"/>
      <c r="J143" s="552">
        <f>H143/DAY(B2)</f>
        <v>0.26859820311217242</v>
      </c>
      <c r="K143" s="380"/>
      <c r="L143" s="377"/>
      <c r="N143" s="382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1356">
        <f>G41+G42+G55+G56</f>
        <v>5278.3600000000879</v>
      </c>
      <c r="H144" s="460">
        <f>G144+'19'!H144</f>
        <v>-64953.746999999959</v>
      </c>
      <c r="I144" s="480"/>
      <c r="J144" s="552">
        <f>H144/DAY(B2)</f>
        <v>-3247.6873499999979</v>
      </c>
      <c r="K144" s="380"/>
      <c r="L144" s="377"/>
      <c r="N144" s="382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1366">
        <f>G144/G7</f>
        <v>0.24501508610686012</v>
      </c>
      <c r="H145" s="460">
        <f>G145+'19'!H145</f>
        <v>5.2230517037778501</v>
      </c>
      <c r="I145" s="544"/>
      <c r="J145" s="552">
        <f>H145/DAY(B2)</f>
        <v>0.26115258518889251</v>
      </c>
      <c r="K145" s="380"/>
      <c r="L145" s="377"/>
      <c r="N145" s="382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1356">
        <f>G39+G53</f>
        <v>4428.9200000000128</v>
      </c>
      <c r="H146" s="460">
        <f>G146+'19'!H146</f>
        <v>-46975</v>
      </c>
      <c r="I146" s="545"/>
      <c r="J146" s="552">
        <f>H146/DAY(B2)</f>
        <v>-2348.75</v>
      </c>
      <c r="K146" s="380"/>
      <c r="L146" s="377"/>
      <c r="N146" s="382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1366">
        <f>G146/G7</f>
        <v>0.20558510885206391</v>
      </c>
      <c r="H147" s="460">
        <f>G147+'19'!H147</f>
        <v>3.8828502681165031</v>
      </c>
      <c r="I147" s="545"/>
      <c r="J147" s="552">
        <f>H147/DAY(B2)</f>
        <v>0.19414251340582517</v>
      </c>
      <c r="N147" s="382"/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1356">
        <f>G38+G52</f>
        <v>1803.9100000000035</v>
      </c>
      <c r="H148" s="460">
        <f>G148+'19'!H148</f>
        <v>-20546.200000000048</v>
      </c>
      <c r="I148" s="480"/>
      <c r="J148" s="552">
        <f>H148/DAY(B2)</f>
        <v>-1027.3100000000024</v>
      </c>
      <c r="K148" s="381"/>
      <c r="N148" s="382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1366">
        <f>G148/G7</f>
        <v>8.3735320057559459E-2</v>
      </c>
      <c r="H149" s="460">
        <f>G149+'19'!H149</f>
        <v>1.6977108451853562</v>
      </c>
      <c r="I149" s="545"/>
      <c r="J149" s="552">
        <f>H149/DAY(B2)</f>
        <v>8.488554225926781E-2</v>
      </c>
      <c r="N149" s="382"/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1356">
        <f>G36+G50</f>
        <v>2008.6200000000536</v>
      </c>
      <c r="H150" s="460">
        <f>G150+'19'!H150</f>
        <v>-22195.359999999986</v>
      </c>
      <c r="I150" s="545"/>
      <c r="J150" s="552">
        <f>H150/DAY(B2)</f>
        <v>-1109.7679999999993</v>
      </c>
      <c r="N150" s="382"/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1366">
        <f>G150/G7</f>
        <v>9.3237710625263592E-2</v>
      </c>
      <c r="H151" s="460">
        <f>G151+'19'!H151</f>
        <v>1.7935021162544293</v>
      </c>
      <c r="I151" s="480"/>
      <c r="J151" s="552">
        <f>H151/DAY(B2)</f>
        <v>8.9675105812721465E-2</v>
      </c>
      <c r="N151" s="382"/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1356">
        <f>G37+G51</f>
        <v>1568.4199999999983</v>
      </c>
      <c r="H152" s="460">
        <f>G152+'19'!H152</f>
        <v>-16684.600000000006</v>
      </c>
      <c r="I152" s="480"/>
      <c r="J152" s="552">
        <f>H152/DAY(B2)</f>
        <v>-834.23000000000025</v>
      </c>
      <c r="L152" s="376" t="s">
        <v>277</v>
      </c>
      <c r="M152" s="376">
        <v>0.5</v>
      </c>
      <c r="N152" s="382">
        <v>50</v>
      </c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1367">
        <f>G152/G7</f>
        <v>7.2804159123613155E-2</v>
      </c>
      <c r="H153" s="460">
        <f>G153+'19'!H153</f>
        <v>1.4004466349621083</v>
      </c>
      <c r="I153" s="568"/>
      <c r="J153" s="569">
        <f>H153/DAY(B2)</f>
        <v>7.0022331748105418E-2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8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'19'!F160</f>
        <v>32414.7</v>
      </c>
      <c r="F160" s="661">
        <v>32499.77</v>
      </c>
      <c r="G160" s="1343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88" t="s">
        <v>264</v>
      </c>
      <c r="B161" s="789"/>
      <c r="C161" s="789"/>
      <c r="D161" s="511" t="s">
        <v>187</v>
      </c>
      <c r="E161" s="661">
        <f>'19'!F161</f>
        <v>63565.36</v>
      </c>
      <c r="F161" s="661">
        <v>63999.59</v>
      </c>
      <c r="G161" s="1343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88" t="s">
        <v>265</v>
      </c>
      <c r="B162" s="789"/>
      <c r="C162" s="789"/>
      <c r="D162" s="511" t="s">
        <v>187</v>
      </c>
      <c r="E162" s="661">
        <f>'19'!F162</f>
        <v>25895.200000000001</v>
      </c>
      <c r="F162" s="661">
        <v>26288.81</v>
      </c>
      <c r="G162" s="1343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88" t="s">
        <v>266</v>
      </c>
      <c r="B163" s="789"/>
      <c r="C163" s="789"/>
      <c r="D163" s="511" t="s">
        <v>187</v>
      </c>
      <c r="E163" s="661">
        <f>'19'!F163</f>
        <v>5640.96</v>
      </c>
      <c r="F163" s="661">
        <v>5658.19</v>
      </c>
      <c r="G163" s="1343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3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3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12" t="s">
        <v>99</v>
      </c>
      <c r="B166" s="1412"/>
      <c r="C166" s="1412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3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12" t="s">
        <v>100</v>
      </c>
      <c r="B167" s="1412"/>
      <c r="C167" s="1412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3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12" t="s">
        <v>101</v>
      </c>
      <c r="B168" s="1412"/>
      <c r="C168" s="1412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3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12" t="s">
        <v>102</v>
      </c>
      <c r="B169" s="1412"/>
      <c r="C169" s="1412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3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12" t="s">
        <v>103</v>
      </c>
      <c r="B170" s="1412"/>
      <c r="C170" s="1412"/>
      <c r="D170" s="523" t="s">
        <v>187</v>
      </c>
      <c r="E170" s="514">
        <f t="shared" si="18"/>
        <v>79036.47</v>
      </c>
      <c r="F170" s="514">
        <f t="shared" si="19"/>
        <v>79364.5</v>
      </c>
      <c r="G170" s="1343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12" t="s">
        <v>104</v>
      </c>
      <c r="B171" s="1412"/>
      <c r="C171" s="1412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3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69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7" t="s">
        <v>268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4" zoomScale="55" zoomScaleNormal="60" zoomScaleSheetLayoutView="55" zoomScalePageLayoutView="20" workbookViewId="0">
      <selection activeCell="E11" sqref="E1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215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278</v>
      </c>
      <c r="B2" s="1036">
        <v>44276</v>
      </c>
      <c r="C2" s="1147" t="s">
        <v>69</v>
      </c>
      <c r="D2" s="611">
        <v>0.48</v>
      </c>
      <c r="E2" s="461"/>
      <c r="F2" s="461"/>
      <c r="G2" s="133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28</v>
      </c>
      <c r="E3" s="1454" t="s">
        <v>121</v>
      </c>
      <c r="F3" s="1455"/>
      <c r="G3" s="134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0.75</v>
      </c>
      <c r="E4" s="464"/>
      <c r="F4" s="464"/>
      <c r="G4" s="134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134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4871292</v>
      </c>
      <c r="F7" s="455">
        <v>4892810</v>
      </c>
      <c r="G7" s="1343">
        <f>F7-E7</f>
        <v>21518</v>
      </c>
      <c r="H7" s="460">
        <f>G7+'20'!H7</f>
        <v>-221113</v>
      </c>
      <c r="I7" s="474">
        <f>'1'!I7</f>
        <v>12000</v>
      </c>
      <c r="J7" s="552">
        <f>H7/DAY(B2)</f>
        <v>-10529.190476190477</v>
      </c>
      <c r="K7" s="549">
        <v>12199</v>
      </c>
      <c r="L7" s="377">
        <f>G7-K7</f>
        <v>9319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4901625</v>
      </c>
      <c r="F8" s="475">
        <v>4923235</v>
      </c>
      <c r="G8" s="1344">
        <f>F8-E8</f>
        <v>21610</v>
      </c>
      <c r="H8" s="460">
        <f>G8+'20'!H8</f>
        <v>-222083</v>
      </c>
      <c r="I8" s="477">
        <f>'1'!I8</f>
        <v>12000</v>
      </c>
      <c r="J8" s="552">
        <f>H8/DAY(B2)</f>
        <v>-10575.380952380952</v>
      </c>
      <c r="K8" s="549">
        <v>12262</v>
      </c>
      <c r="L8" s="425">
        <f>G8-K8</f>
        <v>9348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160986</v>
      </c>
      <c r="F9" s="478">
        <v>181842.27</v>
      </c>
      <c r="G9" s="1343">
        <f t="shared" ref="G9:G12" si="0">F9-E9</f>
        <v>20856.26999999999</v>
      </c>
      <c r="H9" s="460">
        <f>G9+'20'!H9</f>
        <v>-214226.73</v>
      </c>
      <c r="I9" s="479">
        <f>I8-J8</f>
        <v>22575.380952380954</v>
      </c>
      <c r="J9" s="552">
        <f>H9/DAY(B2)</f>
        <v>-10201.272857142858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2324.48</v>
      </c>
      <c r="F10" s="478">
        <v>2324.48</v>
      </c>
      <c r="G10" s="1343">
        <f t="shared" si="0"/>
        <v>0</v>
      </c>
      <c r="H10" s="460">
        <f>G10+'20'!H10</f>
        <v>358433.95</v>
      </c>
      <c r="I10" s="480"/>
      <c r="J10" s="552">
        <f>H10/DAY(B2)</f>
        <v>17068.283333333333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3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3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5">
        <f>G9+G10+G11+G12</f>
        <v>20856.26999999999</v>
      </c>
      <c r="H13" s="460">
        <f>G13+'20'!H13</f>
        <v>123213.22000000002</v>
      </c>
      <c r="I13" s="482">
        <f>G7-G13</f>
        <v>661.73000000001048</v>
      </c>
      <c r="J13" s="552">
        <f>H13/DAY(B2)</f>
        <v>5867.2961904761914</v>
      </c>
      <c r="K13" s="428"/>
      <c r="L13" s="377"/>
      <c r="N13" s="382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1346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'20'!F15</f>
        <v>1637039</v>
      </c>
      <c r="F15" s="484">
        <v>1638018.97</v>
      </c>
      <c r="G15" s="1347">
        <f>(F15-E15)</f>
        <v>979.96999999997206</v>
      </c>
      <c r="H15" s="460">
        <f>G15+'20'!H15</f>
        <v>-8670.0300000000279</v>
      </c>
      <c r="I15" s="474">
        <v>800</v>
      </c>
      <c r="J15" s="552">
        <f>H15/DAY(B2)</f>
        <v>-412.85857142857276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3"/>
      <c r="H16" s="486"/>
      <c r="I16" s="487">
        <f>I15-J15</f>
        <v>1212.8585714285728</v>
      </c>
      <c r="J16" s="553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1346"/>
      <c r="H17" s="472"/>
      <c r="I17" s="472"/>
      <c r="J17" s="551"/>
      <c r="K17" s="428"/>
      <c r="L17" s="377"/>
      <c r="N17" s="382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f>'20'!F18</f>
        <v>10</v>
      </c>
      <c r="F18" s="484">
        <v>15</v>
      </c>
      <c r="G18" s="1345">
        <f>F18*10</f>
        <v>150</v>
      </c>
      <c r="H18" s="460">
        <f>G18+'20'!H18</f>
        <v>2470</v>
      </c>
      <c r="I18" s="474">
        <f>'1'!I18</f>
        <v>65</v>
      </c>
      <c r="J18" s="552">
        <f>H18/DAY(B2)</f>
        <v>117.61904761904762</v>
      </c>
      <c r="K18" s="428"/>
      <c r="L18" s="377"/>
      <c r="N18" s="382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84">
        <f>'20'!F19</f>
        <v>135510</v>
      </c>
      <c r="F19" s="484">
        <v>135563</v>
      </c>
      <c r="G19" s="1343">
        <f t="shared" ref="G19" si="1">F19-E19</f>
        <v>53</v>
      </c>
      <c r="H19" s="460">
        <f>G19+'20'!H19</f>
        <v>-527</v>
      </c>
      <c r="I19" s="489"/>
      <c r="J19" s="552">
        <f>H19/DAY(B2)</f>
        <v>-25.095238095238095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8">
        <f>G18+G19</f>
        <v>203</v>
      </c>
      <c r="H20" s="460">
        <f>G20+'20'!H20</f>
        <v>1943</v>
      </c>
      <c r="I20" s="492">
        <f>I18-J20</f>
        <v>-27.523809523809518</v>
      </c>
      <c r="J20" s="552">
        <f>H20/DAY(B2)</f>
        <v>92.523809523809518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1346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5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5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5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134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21610</v>
      </c>
      <c r="F27" s="501">
        <v>9</v>
      </c>
      <c r="G27" s="1351">
        <f>E27*F27</f>
        <v>194490</v>
      </c>
      <c r="H27" s="460">
        <f>G27+'20'!H27</f>
        <v>-1998747</v>
      </c>
      <c r="I27" s="503"/>
      <c r="J27" s="552">
        <f>H27/DAY(B2)</f>
        <v>-95178.428571428565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979.96999999997206</v>
      </c>
      <c r="F28" s="501">
        <v>51.45</v>
      </c>
      <c r="G28" s="1351">
        <f t="shared" ref="G28:G30" si="3">E28*F28</f>
        <v>50419.456499998567</v>
      </c>
      <c r="H28" s="460">
        <f>G28+'20'!H28</f>
        <v>-446073.04350000143</v>
      </c>
      <c r="I28" s="505"/>
      <c r="J28" s="552">
        <f>H28/DAY(B2)</f>
        <v>-21241.573500000068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1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1351">
        <f t="shared" si="3"/>
        <v>7102</v>
      </c>
      <c r="H30" s="460">
        <f>G30+'20'!H30</f>
        <v>-69250</v>
      </c>
      <c r="I30" s="505"/>
      <c r="J30" s="552">
        <f>H30/DAY(B2)</f>
        <v>-3297.6190476190477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150</v>
      </c>
      <c r="F31" s="501">
        <v>80</v>
      </c>
      <c r="G31" s="1351">
        <f>E31*F31</f>
        <v>12000</v>
      </c>
      <c r="H31" s="460">
        <f>G31+'20'!H31</f>
        <v>197600</v>
      </c>
      <c r="I31" s="505"/>
      <c r="J31" s="552">
        <f>H31/DAY(B2)</f>
        <v>9409.5238095238092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2">
        <f>G27+G28+G29+G30+G31</f>
        <v>264011.45649999857</v>
      </c>
      <c r="H32" s="460">
        <f>G32+'20'!H32</f>
        <v>-2316470.0435000015</v>
      </c>
      <c r="I32" s="509"/>
      <c r="J32" s="552">
        <f>H32/DAY(B2)</f>
        <v>-110308.09730952389</v>
      </c>
      <c r="K32" s="373"/>
      <c r="L32" s="443"/>
      <c r="N32" s="444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761545.59</v>
      </c>
      <c r="F35" s="510">
        <v>764932.63</v>
      </c>
      <c r="G35" s="1343">
        <f t="shared" ref="G35:G46" si="4">F35-E35</f>
        <v>3387.0400000000373</v>
      </c>
      <c r="H35" s="460">
        <f>G35+'20'!H35</f>
        <v>-33456.369999999995</v>
      </c>
      <c r="I35" s="455"/>
      <c r="J35" s="552">
        <f>H35/DAY(B2)</f>
        <v>-1593.1604761904759</v>
      </c>
      <c r="K35" s="428">
        <v>1520.2800000000279</v>
      </c>
      <c r="L35" s="377">
        <f t="shared" ref="L35:L60" si="5">G35-K35</f>
        <v>1866.7600000000093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309506.81</v>
      </c>
      <c r="F36" s="510">
        <v>310111.95</v>
      </c>
      <c r="G36" s="1343">
        <f t="shared" si="4"/>
        <v>605.14000000001397</v>
      </c>
      <c r="H36" s="460">
        <f>G36+'20'!H36</f>
        <v>-7324.0499999999884</v>
      </c>
      <c r="I36" s="455"/>
      <c r="J36" s="552">
        <f>H36/DAY(B2)</f>
        <v>-348.76428571428517</v>
      </c>
      <c r="K36" s="428">
        <v>485.22000000000116</v>
      </c>
      <c r="L36" s="377">
        <f t="shared" si="5"/>
        <v>119.92000000001281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38112.53</v>
      </c>
      <c r="F37" s="510">
        <v>39717.9</v>
      </c>
      <c r="G37" s="1343">
        <f t="shared" si="4"/>
        <v>1605.3700000000026</v>
      </c>
      <c r="H37" s="460">
        <f>G37+'20'!H37</f>
        <v>-15079.099999999999</v>
      </c>
      <c r="I37" s="455"/>
      <c r="J37" s="552">
        <f>H37/DAY(B2)</f>
        <v>-718.05238095238087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51763.73</v>
      </c>
      <c r="F38" s="469">
        <v>53625.16</v>
      </c>
      <c r="G38" s="1343">
        <f t="shared" si="4"/>
        <v>1861.4300000000003</v>
      </c>
      <c r="H38" s="460">
        <f>G38+'20'!H38</f>
        <v>-18682.839999999997</v>
      </c>
      <c r="I38" s="455"/>
      <c r="J38" s="552">
        <f>H38/DAY(B2)</f>
        <v>-889.65904761904744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108097.37</v>
      </c>
      <c r="F39" s="510">
        <v>112277.03</v>
      </c>
      <c r="G39" s="1343">
        <f t="shared" si="4"/>
        <v>4179.6600000000035</v>
      </c>
      <c r="H39" s="460">
        <f>G39+'20'!H39</f>
        <v>-40544.97</v>
      </c>
      <c r="I39" s="455"/>
      <c r="J39" s="552">
        <f>H39/DAY(B2)</f>
        <v>-1930.7128571428573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0.23</v>
      </c>
      <c r="F40" s="510">
        <v>0.23</v>
      </c>
      <c r="G40" s="1343">
        <f t="shared" si="4"/>
        <v>0</v>
      </c>
      <c r="H40" s="460">
        <f>G40+'20'!H40</f>
        <v>0.34</v>
      </c>
      <c r="I40" s="455"/>
      <c r="J40" s="552">
        <f>H40/DAY(B2)</f>
        <v>1.6190476190476193E-2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75394.27</v>
      </c>
      <c r="F41" s="510">
        <v>80765.850000000006</v>
      </c>
      <c r="G41" s="1343">
        <f t="shared" si="4"/>
        <v>5371.5800000000017</v>
      </c>
      <c r="H41" s="460">
        <f>G41+'20'!H41</f>
        <v>-52375.149999999994</v>
      </c>
      <c r="I41" s="455"/>
      <c r="J41" s="552">
        <f>H41/DAY(B2)</f>
        <v>-2494.0547619047616</v>
      </c>
      <c r="K41" s="428">
        <v>0</v>
      </c>
      <c r="L41" s="377">
        <f t="shared" si="5"/>
        <v>5371.5800000000017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59128.163</v>
      </c>
      <c r="F42" s="510">
        <v>59128.6</v>
      </c>
      <c r="G42" s="1343">
        <f t="shared" si="4"/>
        <v>0.43699999999807915</v>
      </c>
      <c r="H42" s="460">
        <f>G42+'20'!H42</f>
        <v>0.43999999999505235</v>
      </c>
      <c r="I42" s="455"/>
      <c r="J42" s="552">
        <f>H42/DAY(B2)</f>
        <v>2.0952380952145348E-2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874608.55</v>
      </c>
      <c r="F43" s="510">
        <v>877049</v>
      </c>
      <c r="G43" s="1343">
        <f t="shared" si="4"/>
        <v>2440.4499999999534</v>
      </c>
      <c r="H43" s="460">
        <f>G43+'20'!H43</f>
        <v>-24999</v>
      </c>
      <c r="I43" s="455"/>
      <c r="J43" s="552">
        <f>H43/DAY(B2)</f>
        <v>-1190.4285714285713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3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614</v>
      </c>
      <c r="F45" s="510">
        <v>614</v>
      </c>
      <c r="G45" s="1343">
        <f t="shared" si="4"/>
        <v>0</v>
      </c>
      <c r="H45" s="460">
        <f>G45+'20'!H45</f>
        <v>614</v>
      </c>
      <c r="I45" s="455"/>
      <c r="J45" s="552">
        <f>H45/DAY(B2)</f>
        <v>29.238095238095237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187.44</v>
      </c>
      <c r="F46" s="510">
        <v>187.44</v>
      </c>
      <c r="G46" s="1343">
        <f t="shared" si="4"/>
        <v>0</v>
      </c>
      <c r="H46" s="460">
        <f>G46+'20'!H46</f>
        <v>187.44</v>
      </c>
      <c r="I46" s="455"/>
      <c r="J46" s="552">
        <f>H46/DAY(B2)</f>
        <v>8.9257142857142853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5">
        <f>G35+G36+G37+G38+G39+G40+G41+G42+G43+G44+G45+G46</f>
        <v>19451.107000000011</v>
      </c>
      <c r="H47" s="460">
        <f>G47+'20'!H47</f>
        <v>-191659.26</v>
      </c>
      <c r="I47" s="455"/>
      <c r="J47" s="552">
        <f>H47/DAY(B2)</f>
        <v>-9126.6314285714288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3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3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426965.83</v>
      </c>
      <c r="F50" s="510">
        <v>428178.31</v>
      </c>
      <c r="G50" s="1343">
        <f>F50-E50</f>
        <v>1212.4799999999814</v>
      </c>
      <c r="H50" s="460">
        <f>G50+'20'!H50</f>
        <v>-14247.690000000002</v>
      </c>
      <c r="I50" s="455"/>
      <c r="J50" s="552">
        <f>H50/DAY(B2)</f>
        <v>-678.46142857142866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43">
        <f t="shared" si="6"/>
        <v>0</v>
      </c>
      <c r="H51" s="460">
        <f>G51+'20'!H51</f>
        <v>-1549.1300000000047</v>
      </c>
      <c r="I51" s="455"/>
      <c r="J51" s="552">
        <f>H51/DAY(B2)</f>
        <v>-73.768095238095455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43">
        <f t="shared" si="6"/>
        <v>0</v>
      </c>
      <c r="H52" s="460">
        <f>G52+'20'!H52</f>
        <v>-2047.9300000000512</v>
      </c>
      <c r="I52" s="455"/>
      <c r="J52" s="552">
        <f>H52/DAY(B2)</f>
        <v>-97.520476190478632</v>
      </c>
      <c r="K52" s="428">
        <v>985.97999999998137</v>
      </c>
      <c r="L52" s="377">
        <f t="shared" si="5"/>
        <v>-985.97999999998137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399013.63</v>
      </c>
      <c r="F53" s="510">
        <v>399219.25</v>
      </c>
      <c r="G53" s="1343">
        <f t="shared" si="6"/>
        <v>205.61999999999534</v>
      </c>
      <c r="H53" s="460">
        <f>G53+'20'!H53</f>
        <v>-6229.75</v>
      </c>
      <c r="I53" s="455"/>
      <c r="J53" s="552">
        <f>H53/DAY(B2)</f>
        <v>-296.65476190476193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8354.56</v>
      </c>
      <c r="F54" s="510">
        <v>8433.0499999999993</v>
      </c>
      <c r="G54" s="1343">
        <f t="shared" si="6"/>
        <v>78.489999999999782</v>
      </c>
      <c r="H54" s="460">
        <f>G54+'20'!H54</f>
        <v>2276.09</v>
      </c>
      <c r="I54" s="455"/>
      <c r="J54" s="552">
        <f>H54/DAY(B2)</f>
        <v>108.38523809523811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208980.55</v>
      </c>
      <c r="F55" s="510">
        <v>208980.55</v>
      </c>
      <c r="G55" s="1343">
        <f t="shared" si="6"/>
        <v>0</v>
      </c>
      <c r="H55" s="460">
        <f>G55+'20'!H55</f>
        <v>-12115.450000000012</v>
      </c>
      <c r="I55" s="455"/>
      <c r="J55" s="552">
        <f>H55/DAY(B2)</f>
        <v>-576.92619047619098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'20'!F56</f>
        <v>588876.43000000005</v>
      </c>
      <c r="F56" s="656">
        <v>588885.15</v>
      </c>
      <c r="G56" s="1365">
        <f t="shared" si="6"/>
        <v>8.7199999999720603</v>
      </c>
      <c r="H56" s="708">
        <f>G56+'20'!H56</f>
        <v>-81.849999999976717</v>
      </c>
      <c r="I56" s="709"/>
      <c r="J56" s="710">
        <f>H56/DAY(B2)</f>
        <v>-3.8976190476179391</v>
      </c>
      <c r="K56" s="1370">
        <v>0</v>
      </c>
      <c r="L56" s="1111">
        <f t="shared" si="5"/>
        <v>8.7199999999720603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3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39512.25</v>
      </c>
      <c r="F58" s="510">
        <v>39695.67</v>
      </c>
      <c r="G58" s="1343">
        <f t="shared" si="6"/>
        <v>183.41999999999825</v>
      </c>
      <c r="H58" s="460">
        <f>G58+'20'!H58</f>
        <v>-2047.3300000000017</v>
      </c>
      <c r="I58" s="455"/>
      <c r="J58" s="552">
        <f>H58/DAY(B2)</f>
        <v>-97.491904761904848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5">
        <f>G49+G50+G51+G52+G53+G54+G55+G56+G57+G58</f>
        <v>1688.7299999999468</v>
      </c>
      <c r="H59" s="460">
        <f>G59+'20'!H59</f>
        <v>-36042.910000000069</v>
      </c>
      <c r="I59" s="455">
        <f>G7-G60</f>
        <v>378.16300000004412</v>
      </c>
      <c r="J59" s="552">
        <f>H59/DAY(B2)</f>
        <v>-1716.3290476190509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5">
        <f>G47+G59</f>
        <v>21139.836999999956</v>
      </c>
      <c r="H60" s="460">
        <f>G60+'20'!H60</f>
        <v>-213533.1700000001</v>
      </c>
      <c r="I60" s="455">
        <f>G13-G60</f>
        <v>-283.56699999996636</v>
      </c>
      <c r="J60" s="552">
        <f>H60/DAY(B2)</f>
        <v>-10168.246190476195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3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1967.95</v>
      </c>
      <c r="F63" s="514">
        <v>1978.63</v>
      </c>
      <c r="G63" s="1343">
        <f t="shared" si="7"/>
        <v>10.680000000000064</v>
      </c>
      <c r="H63" s="460">
        <f>G63+'20'!H63</f>
        <v>-117.36999999999989</v>
      </c>
      <c r="I63" s="515"/>
      <c r="J63" s="552">
        <f>H63/DAY(B2)</f>
        <v>-5.5890476190476139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f>'20'!F64</f>
        <v>133862.37</v>
      </c>
      <c r="F64" s="484">
        <f>133862+500</f>
        <v>134362</v>
      </c>
      <c r="G64" s="1343">
        <f t="shared" si="7"/>
        <v>499.63000000000466</v>
      </c>
      <c r="H64" s="460">
        <f>G64+'20'!H64</f>
        <v>-4818</v>
      </c>
      <c r="I64" s="480"/>
      <c r="J64" s="552">
        <f>H64/DAY(B2)</f>
        <v>-229.42857142857142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f>'20'!F65</f>
        <v>140044.29</v>
      </c>
      <c r="F65" s="484">
        <v>140430.63</v>
      </c>
      <c r="G65" s="1343">
        <f t="shared" si="7"/>
        <v>386.33999999999651</v>
      </c>
      <c r="H65" s="460">
        <f>G65+'20'!H65</f>
        <v>-3774.3699999999953</v>
      </c>
      <c r="I65" s="489"/>
      <c r="J65" s="552">
        <f>H65/DAY(B2)</f>
        <v>-179.73190476190453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f>'20'!F66</f>
        <v>32782.800000000003</v>
      </c>
      <c r="F66" s="484">
        <v>33176.11</v>
      </c>
      <c r="G66" s="1343">
        <f t="shared" si="7"/>
        <v>393.30999999999767</v>
      </c>
      <c r="H66" s="460">
        <f>G66+'20'!H66</f>
        <v>-4031.8899999999994</v>
      </c>
      <c r="I66" s="480"/>
      <c r="J66" s="552">
        <f>H66/DAY(B2)</f>
        <v>-191.99476190476187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f>'20'!F67</f>
        <v>221548.83</v>
      </c>
      <c r="F67" s="484">
        <v>222220.17</v>
      </c>
      <c r="G67" s="1343">
        <f t="shared" si="7"/>
        <v>671.34000000002561</v>
      </c>
      <c r="H67" s="460">
        <f>G67+'20'!H67</f>
        <v>-6879.8299999999872</v>
      </c>
      <c r="I67" s="489"/>
      <c r="J67" s="552">
        <f>H67/DAY(B2)</f>
        <v>-327.61095238095174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f>'20'!F68</f>
        <v>79364.5</v>
      </c>
      <c r="F68" s="484">
        <v>79702.070000000007</v>
      </c>
      <c r="G68" s="1343">
        <f t="shared" si="7"/>
        <v>337.57000000000698</v>
      </c>
      <c r="H68" s="460">
        <f>G68+'20'!H68</f>
        <v>-3384.929999999993</v>
      </c>
      <c r="I68" s="516"/>
      <c r="J68" s="552">
        <f>H68/DAY(B2)</f>
        <v>-161.18714285714253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f>'20'!F69</f>
        <v>70863.710000000006</v>
      </c>
      <c r="F69" s="484">
        <v>71182.59</v>
      </c>
      <c r="G69" s="1343">
        <f t="shared" si="7"/>
        <v>318.8799999999901</v>
      </c>
      <c r="H69" s="460">
        <f>G69+'20'!H69</f>
        <v>-3146.4100000000035</v>
      </c>
      <c r="I69" s="516"/>
      <c r="J69" s="552">
        <f>H69/DAY(B2)</f>
        <v>-149.8290476190478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1355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f>'20'!F72</f>
        <v>852362</v>
      </c>
      <c r="F72" s="519">
        <v>852452</v>
      </c>
      <c r="G72" s="1343">
        <f t="shared" ref="G72:G84" si="8">F72-E72</f>
        <v>90</v>
      </c>
      <c r="H72" s="460">
        <f>G72+'20'!H72</f>
        <v>-817</v>
      </c>
      <c r="I72" s="480"/>
      <c r="J72" s="552">
        <f>H72/DAY(B2)</f>
        <v>-38.904761904761905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20">
        <f>'20'!F73</f>
        <v>885786</v>
      </c>
      <c r="F73" s="520">
        <v>885788</v>
      </c>
      <c r="G73" s="1343">
        <f t="shared" si="8"/>
        <v>2</v>
      </c>
      <c r="H73" s="460">
        <f>G73+'20'!H73</f>
        <v>-1457</v>
      </c>
      <c r="I73" s="480"/>
      <c r="J73" s="552">
        <f>H73/DAY(B2)</f>
        <v>-69.38095238095238</v>
      </c>
      <c r="K73" s="430"/>
      <c r="L73" s="377"/>
      <c r="N73" s="382"/>
      <c r="O73" s="382"/>
    </row>
    <row r="74" spans="1:15" ht="27.75">
      <c r="A74" s="1490" t="s">
        <v>193</v>
      </c>
      <c r="B74" s="1491"/>
      <c r="C74" s="1492"/>
      <c r="D74" s="523" t="s">
        <v>187</v>
      </c>
      <c r="E74" s="521">
        <f>'20'!F74</f>
        <v>1120.0999999999999</v>
      </c>
      <c r="F74" s="521">
        <v>1158.7</v>
      </c>
      <c r="G74" s="1343">
        <f t="shared" si="8"/>
        <v>38.600000000000136</v>
      </c>
      <c r="H74" s="460">
        <f>G74+'20'!H74</f>
        <v>-211.29999999999995</v>
      </c>
      <c r="I74" s="480"/>
      <c r="J74" s="552">
        <f>H74/DAY(B2)</f>
        <v>-10.06190476190476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21">
        <f>'20'!F75</f>
        <v>6859</v>
      </c>
      <c r="F75" s="521">
        <v>7017.55</v>
      </c>
      <c r="G75" s="1343">
        <f t="shared" si="8"/>
        <v>158.55000000000018</v>
      </c>
      <c r="H75" s="460">
        <f>G75+'20'!H75</f>
        <v>-1662.4499999999998</v>
      </c>
      <c r="I75" s="480"/>
      <c r="J75" s="552">
        <f>H75/DAY(B2)</f>
        <v>-79.164285714285711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20">
        <f>'20'!F76</f>
        <v>3138.47</v>
      </c>
      <c r="F76" s="648">
        <v>3215.91</v>
      </c>
      <c r="G76" s="1343">
        <f t="shared" si="8"/>
        <v>77.440000000000055</v>
      </c>
      <c r="H76" s="460">
        <f>G76+'20'!H76</f>
        <v>-2420.09</v>
      </c>
      <c r="I76" s="505"/>
      <c r="J76" s="552">
        <f>H76/DAY(B2)</f>
        <v>-115.24238095238096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21">
        <f>'20'!F77</f>
        <v>699657</v>
      </c>
      <c r="F77" s="521">
        <v>699705</v>
      </c>
      <c r="G77" s="1343">
        <f t="shared" si="8"/>
        <v>48</v>
      </c>
      <c r="H77" s="460">
        <f>G77+'20'!H77</f>
        <v>-509</v>
      </c>
      <c r="I77" s="505"/>
      <c r="J77" s="552">
        <f>H77/DAY(B2)</f>
        <v>-24.238095238095237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'20'!F78</f>
        <v>661159</v>
      </c>
      <c r="F78" s="521">
        <v>661570</v>
      </c>
      <c r="G78" s="1343">
        <f t="shared" si="8"/>
        <v>411</v>
      </c>
      <c r="H78" s="460">
        <f>G78+'20'!H78</f>
        <v>-3810</v>
      </c>
      <c r="I78" s="505"/>
      <c r="J78" s="552">
        <f>H78/DAY(B2)</f>
        <v>-181.42857142857142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f>'20'!F79</f>
        <v>819187</v>
      </c>
      <c r="F79" s="521">
        <v>819356</v>
      </c>
      <c r="G79" s="1343">
        <f t="shared" si="8"/>
        <v>169</v>
      </c>
      <c r="H79" s="460">
        <f>G79+'20'!H79</f>
        <v>-5760</v>
      </c>
      <c r="I79" s="505"/>
      <c r="J79" s="552">
        <f>H79/DAY(B2)</f>
        <v>-274.28571428571428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f>'20'!F80</f>
        <v>501795.55</v>
      </c>
      <c r="F80" s="520">
        <v>502178.76</v>
      </c>
      <c r="G80" s="1343">
        <f t="shared" si="8"/>
        <v>383.21000000002095</v>
      </c>
      <c r="H80" s="460">
        <f>G80+'20'!H80</f>
        <v>-539.23999999999069</v>
      </c>
      <c r="I80" s="505"/>
      <c r="J80" s="552">
        <f>H80/DAY(B2)</f>
        <v>-25.678095238094794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'20'!F81</f>
        <v>628110.92000000004</v>
      </c>
      <c r="F81" s="520">
        <v>628225.80000000005</v>
      </c>
      <c r="G81" s="1343">
        <f t="shared" si="8"/>
        <v>114.88000000000466</v>
      </c>
      <c r="H81" s="460">
        <f>G81+'20'!H81</f>
        <v>-1959.1999999999534</v>
      </c>
      <c r="I81" s="505"/>
      <c r="J81" s="552">
        <f>H81/DAY(B2)</f>
        <v>-93.295238095235874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'20'!F82</f>
        <v>106646.68</v>
      </c>
      <c r="F82" s="522">
        <v>106667.71</v>
      </c>
      <c r="G82" s="1343">
        <f t="shared" si="8"/>
        <v>21.030000000013388</v>
      </c>
      <c r="H82" s="460">
        <f>G82+'20'!H82</f>
        <v>-227.2899999999936</v>
      </c>
      <c r="I82" s="486"/>
      <c r="J82" s="552">
        <f>H82/DAY(B2)</f>
        <v>-10.823333333333029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'20'!F83</f>
        <v>3888</v>
      </c>
      <c r="F83" s="511">
        <v>4140</v>
      </c>
      <c r="G83" s="1343">
        <f t="shared" si="8"/>
        <v>252</v>
      </c>
      <c r="H83" s="460">
        <f>G83+'20'!H83</f>
        <v>-2917</v>
      </c>
      <c r="I83" s="481"/>
      <c r="J83" s="552">
        <f>H83/DAY(B2)</f>
        <v>-138.9047619047619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'20'!F84</f>
        <v>446161</v>
      </c>
      <c r="F84" s="627">
        <v>446844</v>
      </c>
      <c r="G84" s="1343">
        <f t="shared" si="8"/>
        <v>683</v>
      </c>
      <c r="H84" s="460">
        <f>G84+'20'!H84</f>
        <v>-7840</v>
      </c>
      <c r="I84" s="481"/>
      <c r="J84" s="552">
        <f>H84/DAY(B2)</f>
        <v>-373.33333333333331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6">
        <f xml:space="preserve"> SUM(G72:G84)</f>
        <v>2448.7100000000391</v>
      </c>
      <c r="H85" s="460">
        <f>G85+'20'!H85</f>
        <v>-26073.569999999931</v>
      </c>
      <c r="I85" s="481"/>
      <c r="J85" s="552">
        <f>H85/DAY(B2)</f>
        <v>-1241.5985714285682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452861.04</v>
      </c>
      <c r="F86" s="650">
        <v>452912.52</v>
      </c>
      <c r="G86" s="1357">
        <f t="shared" ref="G86:G90" si="9">F86-E86</f>
        <v>51.480000000039581</v>
      </c>
      <c r="H86" s="460">
        <f>G86+'20'!H86</f>
        <v>463.84000000002561</v>
      </c>
      <c r="I86" s="655"/>
      <c r="J86" s="710">
        <f>H86/DAY(B2)</f>
        <v>22.087619047620269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79803.3</v>
      </c>
      <c r="F87" s="650">
        <v>79825.600000000006</v>
      </c>
      <c r="G87" s="1357">
        <f t="shared" si="9"/>
        <v>22.30000000000291</v>
      </c>
      <c r="H87" s="460">
        <f>G87+'20'!H87</f>
        <v>123.80000000000291</v>
      </c>
      <c r="I87" s="655"/>
      <c r="J87" s="710">
        <f>H87/DAY(B2)</f>
        <v>5.8952380952382342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149811.29</v>
      </c>
      <c r="F88" s="650">
        <v>149842.51</v>
      </c>
      <c r="G88" s="1357">
        <f t="shared" si="9"/>
        <v>31.220000000001164</v>
      </c>
      <c r="H88" s="460">
        <f>G88+'20'!H88</f>
        <v>286.80999999999767</v>
      </c>
      <c r="I88" s="655"/>
      <c r="J88" s="710">
        <f>H88/DAY(B2)</f>
        <v>13.657619047618937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63004.3</v>
      </c>
      <c r="F89" s="650">
        <v>63048.800000000003</v>
      </c>
      <c r="G89" s="1357">
        <f t="shared" si="9"/>
        <v>44.5</v>
      </c>
      <c r="H89" s="460">
        <f>G89+'20'!H89</f>
        <v>215.70000000000437</v>
      </c>
      <c r="I89" s="655"/>
      <c r="J89" s="710">
        <f>H89/DAY(B2)</f>
        <v>10.27142857142878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3244</v>
      </c>
      <c r="F90" s="650">
        <v>3245.6</v>
      </c>
      <c r="G90" s="1357">
        <f t="shared" si="9"/>
        <v>1.5999999999999091</v>
      </c>
      <c r="H90" s="460">
        <f>G90+'20'!H90</f>
        <v>6.9000000000000909</v>
      </c>
      <c r="I90" s="655"/>
      <c r="J90" s="710">
        <f>H90/DAY(B2)</f>
        <v>0.3285714285714329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6"/>
      <c r="H91" s="472"/>
      <c r="I91" s="472"/>
      <c r="J91" s="551"/>
      <c r="K91" s="380"/>
      <c r="L91" s="378"/>
      <c r="N91" s="780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'20'!F92</f>
        <v>241497</v>
      </c>
      <c r="F92" s="484">
        <v>241612</v>
      </c>
      <c r="G92" s="1343">
        <f t="shared" ref="G92:G93" si="10">F92-E92</f>
        <v>115</v>
      </c>
      <c r="H92" s="460">
        <f>G92+'20'!H92</f>
        <v>-1034</v>
      </c>
      <c r="I92" s="480"/>
      <c r="J92" s="552">
        <f>H92/DAY(B2)</f>
        <v>-49.238095238095241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'20'!F93</f>
        <v>178158</v>
      </c>
      <c r="F93" s="484">
        <v>178309</v>
      </c>
      <c r="G93" s="1343">
        <f t="shared" si="10"/>
        <v>151</v>
      </c>
      <c r="H93" s="460">
        <f>G93+'20'!H93</f>
        <v>-1370</v>
      </c>
      <c r="I93" s="480"/>
      <c r="J93" s="552">
        <f>H93/DAY(B2)</f>
        <v>-65.238095238095241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>
        <f>'20'!F94</f>
        <v>0</v>
      </c>
      <c r="F94" s="484"/>
      <c r="G94" s="1343">
        <f>G92+G93</f>
        <v>266</v>
      </c>
      <c r="H94" s="460">
        <f>G94+'20'!H94</f>
        <v>-2623</v>
      </c>
      <c r="I94" s="480"/>
      <c r="J94" s="552">
        <f>H94/DAY(B2)</f>
        <v>-124.9047619047619</v>
      </c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'20'!F95</f>
        <v>409838</v>
      </c>
      <c r="F95" s="484">
        <v>409918</v>
      </c>
      <c r="G95" s="1343">
        <f t="shared" ref="G95:G100" si="11">F95-E95</f>
        <v>80</v>
      </c>
      <c r="H95" s="460">
        <f>G95+'20'!H95</f>
        <v>-867</v>
      </c>
      <c r="I95" s="480"/>
      <c r="J95" s="552">
        <f>H95/DAY(B2)</f>
        <v>-41.285714285714285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'20'!F96</f>
        <v>101625</v>
      </c>
      <c r="F96" s="484">
        <v>101651</v>
      </c>
      <c r="G96" s="1343">
        <f t="shared" si="11"/>
        <v>26</v>
      </c>
      <c r="H96" s="460">
        <f>G96+'20'!H96</f>
        <v>-180</v>
      </c>
      <c r="I96" s="480"/>
      <c r="J96" s="552">
        <f>H96/DAY(B2)</f>
        <v>-8.5714285714285712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'20'!F97</f>
        <v>96681</v>
      </c>
      <c r="F97" s="484">
        <v>96709</v>
      </c>
      <c r="G97" s="1343">
        <f t="shared" si="11"/>
        <v>28</v>
      </c>
      <c r="H97" s="460">
        <f>G97+'20'!H97</f>
        <v>-219</v>
      </c>
      <c r="I97" s="480"/>
      <c r="J97" s="552">
        <f>H97/DAY(B2)</f>
        <v>-10.428571428571429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'20'!F98</f>
        <v>148510</v>
      </c>
      <c r="F98" s="484">
        <v>148547</v>
      </c>
      <c r="G98" s="1343">
        <f t="shared" si="11"/>
        <v>37</v>
      </c>
      <c r="H98" s="460">
        <f>G98+'20'!H98</f>
        <v>-362</v>
      </c>
      <c r="I98" s="480"/>
      <c r="J98" s="552">
        <f>H98/DAY(B2)</f>
        <v>-17.238095238095237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'20'!F99</f>
        <v>6679</v>
      </c>
      <c r="F99" s="484">
        <v>6693</v>
      </c>
      <c r="G99" s="1343">
        <f t="shared" si="11"/>
        <v>14</v>
      </c>
      <c r="H99" s="460">
        <f>G99+'20'!H99</f>
        <v>-162</v>
      </c>
      <c r="I99" s="480"/>
      <c r="J99" s="552">
        <f>H99/DAY(B2)</f>
        <v>-7.7142857142857144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'20'!F100</f>
        <v>4774</v>
      </c>
      <c r="F100" s="484">
        <v>4785</v>
      </c>
      <c r="G100" s="1343">
        <f t="shared" si="11"/>
        <v>11</v>
      </c>
      <c r="H100" s="460">
        <f>G100+'20'!H100</f>
        <v>-158</v>
      </c>
      <c r="I100" s="480"/>
      <c r="J100" s="552">
        <f>H100/DAY(B2)</f>
        <v>-7.5238095238095237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1358">
        <f>SUM(G95:G100)</f>
        <v>196</v>
      </c>
      <c r="H101" s="460">
        <f>G101+'20'!H101</f>
        <v>-1948</v>
      </c>
      <c r="I101" s="526"/>
      <c r="J101" s="552">
        <f>H101/DAY(B2)</f>
        <v>-92.761904761904759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9"/>
      <c r="H102" s="530"/>
      <c r="I102" s="531"/>
      <c r="J102" s="557"/>
      <c r="N102" s="444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1360"/>
      <c r="H103" s="533"/>
      <c r="I103" s="532"/>
      <c r="J103" s="558"/>
      <c r="N103" s="444"/>
      <c r="O103" s="382"/>
    </row>
    <row r="104" spans="1:15" s="442" customFormat="1" ht="27.75">
      <c r="A104" s="1429" t="s">
        <v>219</v>
      </c>
      <c r="B104" s="1430"/>
      <c r="C104" s="1143"/>
      <c r="D104" s="622" t="s">
        <v>144</v>
      </c>
      <c r="E104" s="532">
        <f>'20'!F104</f>
        <v>7281</v>
      </c>
      <c r="F104" s="532">
        <v>7281</v>
      </c>
      <c r="G104" s="1360">
        <f>F104-E104</f>
        <v>0</v>
      </c>
      <c r="H104" s="460">
        <f>G104+'20'!H104</f>
        <v>100</v>
      </c>
      <c r="I104" s="532"/>
      <c r="J104" s="558">
        <f>H104/DAY(B2)</f>
        <v>4.7619047619047619</v>
      </c>
      <c r="N104" s="444"/>
      <c r="O104" s="382"/>
    </row>
    <row r="105" spans="1:15" s="442" customFormat="1" ht="27.75">
      <c r="A105" s="1429" t="s">
        <v>77</v>
      </c>
      <c r="B105" s="1430"/>
      <c r="C105" s="1143"/>
      <c r="D105" s="622" t="s">
        <v>144</v>
      </c>
      <c r="E105" s="534">
        <f>'20'!F105</f>
        <v>35558</v>
      </c>
      <c r="F105" s="534">
        <v>35567</v>
      </c>
      <c r="G105" s="1360">
        <f t="shared" ref="G105:G106" si="12">F105-E105</f>
        <v>9</v>
      </c>
      <c r="H105" s="460">
        <f>G105+'20'!H105</f>
        <v>83</v>
      </c>
      <c r="I105" s="532"/>
      <c r="J105" s="558">
        <f>H105/DAY(B2)</f>
        <v>3.9523809523809526</v>
      </c>
      <c r="N105" s="444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'20'!F106</f>
        <v>19356</v>
      </c>
      <c r="F106" s="532">
        <v>19362</v>
      </c>
      <c r="G106" s="1360">
        <f t="shared" si="12"/>
        <v>6</v>
      </c>
      <c r="H106" s="460">
        <f>G106+'20'!H106</f>
        <v>417</v>
      </c>
      <c r="I106" s="532"/>
      <c r="J106" s="558">
        <f>H106/DAY(B2)</f>
        <v>19.857142857142858</v>
      </c>
      <c r="N106" s="444"/>
      <c r="O106" s="382"/>
    </row>
    <row r="107" spans="1:15" s="442" customFormat="1" ht="27.75">
      <c r="A107" s="1431" t="s">
        <v>202</v>
      </c>
      <c r="B107" s="1432"/>
      <c r="C107" s="1143"/>
      <c r="D107" s="622"/>
      <c r="E107" s="532">
        <f>'20'!F107</f>
        <v>0</v>
      </c>
      <c r="F107" s="532"/>
      <c r="G107" s="1360">
        <f>SUM(G104:G106)</f>
        <v>15</v>
      </c>
      <c r="H107" s="460">
        <f>G107+'20'!H107</f>
        <v>290</v>
      </c>
      <c r="I107" s="532"/>
      <c r="J107" s="558">
        <f>H107/DAY(B2)</f>
        <v>13.80952380952381</v>
      </c>
      <c r="N107" s="444"/>
      <c r="O107" s="382"/>
    </row>
    <row r="108" spans="1:15" s="442" customFormat="1" ht="27.75">
      <c r="A108" s="1435" t="s">
        <v>79</v>
      </c>
      <c r="B108" s="1436"/>
      <c r="C108" s="1143"/>
      <c r="D108" s="622" t="s">
        <v>144</v>
      </c>
      <c r="E108" s="532">
        <f>'20'!F108</f>
        <v>0</v>
      </c>
      <c r="F108" s="532"/>
      <c r="G108" s="1360"/>
      <c r="H108" s="460"/>
      <c r="I108" s="532"/>
      <c r="J108" s="558"/>
      <c r="N108" s="444"/>
      <c r="O108" s="382"/>
    </row>
    <row r="109" spans="1:15" s="442" customFormat="1" ht="27.75">
      <c r="A109" s="1429" t="s">
        <v>220</v>
      </c>
      <c r="B109" s="1430"/>
      <c r="C109" s="1143"/>
      <c r="D109" s="622" t="s">
        <v>144</v>
      </c>
      <c r="E109" s="532">
        <f>'20'!F109</f>
        <v>57867</v>
      </c>
      <c r="F109" s="532">
        <v>57962</v>
      </c>
      <c r="G109" s="1360">
        <f>F109-E109</f>
        <v>95</v>
      </c>
      <c r="H109" s="460">
        <f>G109+'20'!H109</f>
        <v>519</v>
      </c>
      <c r="I109" s="532"/>
      <c r="J109" s="558">
        <f>H109/DAY(B2)</f>
        <v>24.714285714285715</v>
      </c>
      <c r="N109" s="444"/>
      <c r="O109" s="382"/>
    </row>
    <row r="110" spans="1:15" s="442" customFormat="1" ht="27.75">
      <c r="A110" s="1429" t="s">
        <v>221</v>
      </c>
      <c r="B110" s="1430"/>
      <c r="C110" s="1143"/>
      <c r="D110" s="622" t="s">
        <v>144</v>
      </c>
      <c r="E110" s="532">
        <f>'20'!F110</f>
        <v>31335</v>
      </c>
      <c r="F110" s="532">
        <v>31357</v>
      </c>
      <c r="G110" s="1360">
        <f t="shared" ref="G110:G111" si="13">F110-E110</f>
        <v>22</v>
      </c>
      <c r="H110" s="460">
        <f>G110+'20'!H110</f>
        <v>98</v>
      </c>
      <c r="I110" s="532"/>
      <c r="J110" s="558">
        <f>H110/DAY(B2)</f>
        <v>4.666666666666667</v>
      </c>
      <c r="N110" s="444"/>
      <c r="O110" s="382"/>
    </row>
    <row r="111" spans="1:15" s="442" customFormat="1" ht="27.75">
      <c r="A111" s="1429" t="s">
        <v>222</v>
      </c>
      <c r="B111" s="1430"/>
      <c r="C111" s="1143"/>
      <c r="D111" s="622" t="s">
        <v>144</v>
      </c>
      <c r="E111" s="532">
        <f>'20'!F111</f>
        <v>4098</v>
      </c>
      <c r="F111" s="532">
        <v>4098</v>
      </c>
      <c r="G111" s="1360">
        <f t="shared" si="13"/>
        <v>0</v>
      </c>
      <c r="H111" s="460">
        <f>G111+'20'!H111</f>
        <v>253</v>
      </c>
      <c r="I111" s="532"/>
      <c r="J111" s="558">
        <f>H111/DAY(B2)</f>
        <v>12.047619047619047</v>
      </c>
      <c r="N111" s="444"/>
      <c r="O111" s="382"/>
    </row>
    <row r="112" spans="1:15" s="442" customFormat="1" ht="27.75">
      <c r="A112" s="1433" t="s">
        <v>110</v>
      </c>
      <c r="B112" s="1434"/>
      <c r="C112" s="1143"/>
      <c r="D112" s="622"/>
      <c r="E112" s="532">
        <f>'20'!F112</f>
        <v>0</v>
      </c>
      <c r="F112" s="532"/>
      <c r="G112" s="1360">
        <f>SUM(G109:G111)</f>
        <v>117</v>
      </c>
      <c r="H112" s="460">
        <f>G112+'20'!H112</f>
        <v>1325</v>
      </c>
      <c r="I112" s="532"/>
      <c r="J112" s="558">
        <f>H112/DAY(B2)</f>
        <v>63.095238095238095</v>
      </c>
      <c r="N112" s="444"/>
      <c r="O112" s="382"/>
    </row>
    <row r="113" spans="1:15" s="442" customFormat="1" ht="27.75">
      <c r="A113" s="1435" t="s">
        <v>223</v>
      </c>
      <c r="B113" s="1436"/>
      <c r="C113" s="1143"/>
      <c r="D113" s="622"/>
      <c r="E113" s="532">
        <f>'20'!F113</f>
        <v>0</v>
      </c>
      <c r="F113" s="532"/>
      <c r="G113" s="1360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4">
        <f>'20'!F114</f>
        <v>10648</v>
      </c>
      <c r="F114" s="534">
        <v>10665</v>
      </c>
      <c r="G114" s="1361">
        <f>F114-E114</f>
        <v>17</v>
      </c>
      <c r="H114" s="460">
        <f>G114+'20'!H114</f>
        <v>47</v>
      </c>
      <c r="I114" s="532"/>
      <c r="J114" s="558">
        <f>H114/DAY(B2)</f>
        <v>2.2380952380952381</v>
      </c>
      <c r="N114" s="444"/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4">
        <f>'20'!F115</f>
        <v>7849</v>
      </c>
      <c r="F115" s="534">
        <v>7853</v>
      </c>
      <c r="G115" s="1361">
        <f t="shared" ref="G115:G116" si="14">F115-E115</f>
        <v>4</v>
      </c>
      <c r="H115" s="460">
        <f>G115+'20'!H115</f>
        <v>114</v>
      </c>
      <c r="I115" s="532"/>
      <c r="J115" s="558">
        <f>H115/DAY(B2)</f>
        <v>5.4285714285714288</v>
      </c>
      <c r="N115" s="444"/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1361">
        <f t="shared" si="14"/>
        <v>0</v>
      </c>
      <c r="H116" s="460">
        <f>G116+'20'!H116</f>
        <v>127</v>
      </c>
      <c r="I116" s="532"/>
      <c r="J116" s="558">
        <f>H116/DAY(B2)</f>
        <v>6.0476190476190474</v>
      </c>
      <c r="N116" s="444"/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1361">
        <f>SUM(G114:G116)</f>
        <v>21</v>
      </c>
      <c r="H117" s="460">
        <f>G117+'20'!H117</f>
        <v>146</v>
      </c>
      <c r="I117" s="534"/>
      <c r="J117" s="558">
        <f>H117/DAY(B2)</f>
        <v>6.9523809523809526</v>
      </c>
      <c r="N117" s="447"/>
      <c r="O117" s="382"/>
    </row>
    <row r="118" spans="1:15" s="446" customFormat="1" ht="27.75">
      <c r="A118" s="1425" t="s">
        <v>227</v>
      </c>
      <c r="B118" s="1426"/>
      <c r="C118" s="1142"/>
      <c r="D118" s="624" t="s">
        <v>144</v>
      </c>
      <c r="E118" s="536"/>
      <c r="F118" s="536">
        <f>SUM(G19+G92)</f>
        <v>168</v>
      </c>
      <c r="G118" s="1361">
        <f>SUM(G19+G92)</f>
        <v>168</v>
      </c>
      <c r="H118" s="460">
        <f>G118+'20'!H118</f>
        <v>547</v>
      </c>
      <c r="I118" s="535"/>
      <c r="J118" s="559">
        <f>H118/DAY(B2)</f>
        <v>26.047619047619047</v>
      </c>
      <c r="N118" s="782"/>
      <c r="O118" s="382"/>
    </row>
    <row r="119" spans="1:15" s="446" customFormat="1" ht="27.75">
      <c r="A119" s="1425" t="s">
        <v>228</v>
      </c>
      <c r="B119" s="1426"/>
      <c r="C119" s="1142"/>
      <c r="D119" s="624" t="s">
        <v>144</v>
      </c>
      <c r="E119" s="536"/>
      <c r="F119" s="536">
        <f>SUM(G95,G96,G97,G99,G100)</f>
        <v>159</v>
      </c>
      <c r="G119" s="1361">
        <f>SUM(G95,G96,G97,G99,G100)</f>
        <v>159</v>
      </c>
      <c r="H119" s="460">
        <f>G119+'20'!H119</f>
        <v>552</v>
      </c>
      <c r="I119" s="535"/>
      <c r="J119" s="559">
        <f>H119/DAY(B2)</f>
        <v>26.285714285714285</v>
      </c>
      <c r="N119" s="782"/>
      <c r="O119" s="382"/>
    </row>
    <row r="120" spans="1:15" s="446" customFormat="1" ht="27.75">
      <c r="A120" s="1425" t="s">
        <v>229</v>
      </c>
      <c r="B120" s="1426"/>
      <c r="C120" s="1142"/>
      <c r="D120" s="624" t="s">
        <v>144</v>
      </c>
      <c r="E120" s="534"/>
      <c r="F120" s="534">
        <f>SUM(G112)</f>
        <v>117</v>
      </c>
      <c r="G120" s="1361">
        <f>SUM(G112)</f>
        <v>117</v>
      </c>
      <c r="H120" s="460">
        <f>G120+'20'!H120</f>
        <v>416</v>
      </c>
      <c r="I120" s="535"/>
      <c r="J120" s="559">
        <f>H120/DAY(B2)</f>
        <v>19.80952380952381</v>
      </c>
      <c r="N120" s="782"/>
      <c r="O120" s="382"/>
    </row>
    <row r="121" spans="1:15" s="442" customFormat="1" ht="27.75">
      <c r="A121" s="1427"/>
      <c r="B121" s="1428"/>
      <c r="C121" s="1143"/>
      <c r="D121" s="560"/>
      <c r="E121" s="560"/>
      <c r="F121" s="560" t="s">
        <v>215</v>
      </c>
      <c r="G121" s="1362"/>
      <c r="H121" s="561">
        <v>0</v>
      </c>
      <c r="I121" s="560"/>
      <c r="J121" s="562"/>
      <c r="N121" s="444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1346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'20'!F123</f>
        <v>816030.47</v>
      </c>
      <c r="F123" s="478">
        <v>816330.72</v>
      </c>
      <c r="G123" s="1343">
        <f t="shared" ref="G123:G127" si="15">F123-E123</f>
        <v>300.25</v>
      </c>
      <c r="H123" s="460">
        <f>G123+'20'!H123</f>
        <v>-2479.2800000000279</v>
      </c>
      <c r="I123" s="526"/>
      <c r="J123" s="552">
        <f>H123/DAY(B2)</f>
        <v>-118.06095238095371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'20'!F124</f>
        <v>73583</v>
      </c>
      <c r="F124" s="626">
        <v>73583</v>
      </c>
      <c r="G124" s="1343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78">
        <f>'20'!F125</f>
        <v>141308.01</v>
      </c>
      <c r="F125" s="478">
        <v>141381.29</v>
      </c>
      <c r="G125" s="1343">
        <f t="shared" si="15"/>
        <v>73.279999999998836</v>
      </c>
      <c r="H125" s="460">
        <f>G125+'20'!H125</f>
        <v>-754.70999999999185</v>
      </c>
      <c r="I125" s="526"/>
      <c r="J125" s="552">
        <f>H125/DAY(B2)</f>
        <v>-35.938571428571038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'20'!F126</f>
        <v>59750.8</v>
      </c>
      <c r="F126" s="626">
        <v>59780.6</v>
      </c>
      <c r="G126" s="1343">
        <f t="shared" si="15"/>
        <v>29.799999999995634</v>
      </c>
      <c r="H126" s="460">
        <f>G126+'20'!H126</f>
        <v>28461.899999999998</v>
      </c>
      <c r="I126" s="526"/>
      <c r="J126" s="552">
        <f>H126/DAY(B2)</f>
        <v>1355.3285714285714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'20'!F127</f>
        <v>8938.4</v>
      </c>
      <c r="F127" s="626">
        <v>8940.9</v>
      </c>
      <c r="G127" s="1343">
        <f t="shared" si="15"/>
        <v>2.5</v>
      </c>
      <c r="H127" s="460">
        <f>G127+'20'!H127</f>
        <v>-21.100000000000364</v>
      </c>
      <c r="I127" s="480"/>
      <c r="J127" s="552">
        <f>H127/DAY(B2)</f>
        <v>-1.0047619047619221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3">
        <f>G15-SUM(G123:G127)</f>
        <v>574.13999999997759</v>
      </c>
      <c r="H128" s="460">
        <f>G128+'20'!H128</f>
        <v>3021.7009999999336</v>
      </c>
      <c r="I128" s="480"/>
      <c r="J128" s="552">
        <f>H128/DAY(B2)</f>
        <v>143.89052380952066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3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'20'!F130</f>
        <v>0</v>
      </c>
      <c r="F130" s="484">
        <v>0</v>
      </c>
      <c r="G130" s="1343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'20'!F131</f>
        <v>0</v>
      </c>
      <c r="F131" s="484">
        <v>0</v>
      </c>
      <c r="G131" s="1343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'20'!F132</f>
        <v>39269.15</v>
      </c>
      <c r="F132" s="541">
        <v>39293.5</v>
      </c>
      <c r="G132" s="1343">
        <f t="shared" si="16"/>
        <v>24.349999999998545</v>
      </c>
      <c r="H132" s="460">
        <f>G132+'20'!H132</f>
        <v>-248.83000000000175</v>
      </c>
      <c r="I132" s="480"/>
      <c r="J132" s="552">
        <f>H132/DAY(B2)</f>
        <v>-11.849047619047703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'20'!F133</f>
        <v>299.52</v>
      </c>
      <c r="F133" s="541">
        <v>299.52</v>
      </c>
      <c r="G133" s="1365">
        <f t="shared" si="16"/>
        <v>0</v>
      </c>
      <c r="H133" s="708">
        <f>G133+'20'!H133</f>
        <v>-0.48000000000001819</v>
      </c>
      <c r="I133" s="1076">
        <f>G130+G131+G132+G133</f>
        <v>24.349999999998545</v>
      </c>
      <c r="J133" s="710">
        <f>H133/DAY(B2)</f>
        <v>-2.2857142857143724E-2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'20'!F134</f>
        <v>40802</v>
      </c>
      <c r="F134" s="541">
        <v>40802</v>
      </c>
      <c r="G134" s="1343">
        <f t="shared" si="16"/>
        <v>0</v>
      </c>
      <c r="H134" s="460">
        <f>G134+'20'!H134</f>
        <v>-37</v>
      </c>
      <c r="I134" s="480"/>
      <c r="J134" s="552">
        <f>H134/DAY(B2)</f>
        <v>-1.7619047619047619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'20'!F135</f>
        <v>32582.92</v>
      </c>
      <c r="F135" s="541">
        <v>32582.92</v>
      </c>
      <c r="G135" s="1343">
        <f t="shared" si="16"/>
        <v>0</v>
      </c>
      <c r="H135" s="460">
        <f>G135+'20'!H135</f>
        <v>-8.000000000174623E-2</v>
      </c>
      <c r="I135" s="480"/>
      <c r="J135" s="552">
        <f>H135/DAY(B2)</f>
        <v>-3.8095238096069635E-3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'20'!F136</f>
        <v>22390.75</v>
      </c>
      <c r="F136" s="541">
        <v>22400.32</v>
      </c>
      <c r="G136" s="1343">
        <f t="shared" si="16"/>
        <v>9.569999999999709</v>
      </c>
      <c r="H136" s="460">
        <f>G136+'20'!H136</f>
        <v>-88.330000000001746</v>
      </c>
      <c r="I136" s="480">
        <f>G134+G135+G136</f>
        <v>9.569999999999709</v>
      </c>
      <c r="J136" s="552">
        <f>H136/DAY(B2)</f>
        <v>-4.2061904761905593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'20'!F137</f>
        <v>25044.31</v>
      </c>
      <c r="F137" s="541">
        <v>25044.31</v>
      </c>
      <c r="G137" s="1343">
        <f t="shared" si="16"/>
        <v>0</v>
      </c>
      <c r="H137" s="460">
        <f>G137+'20'!H137</f>
        <v>-4.4799999999995634</v>
      </c>
      <c r="I137" s="480"/>
      <c r="J137" s="552">
        <f>H137/DAY(B2)</f>
        <v>-0.21333333333331256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'20'!F138</f>
        <v>70229.62</v>
      </c>
      <c r="F138" s="541">
        <v>70231.600000000006</v>
      </c>
      <c r="G138" s="1343">
        <f t="shared" si="16"/>
        <v>1.9800000000104774</v>
      </c>
      <c r="H138" s="460">
        <f>G138+'20'!H138</f>
        <v>-22.429999999993015</v>
      </c>
      <c r="I138" s="480">
        <f>G137+G138</f>
        <v>1.9800000000104774</v>
      </c>
      <c r="J138" s="552">
        <f>H138/DAY(B2)</f>
        <v>-1.0680952380949056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'20'!F139</f>
        <v>1536.52</v>
      </c>
      <c r="F139" s="484">
        <v>1536.52</v>
      </c>
      <c r="G139" s="1343">
        <f t="shared" si="16"/>
        <v>0</v>
      </c>
      <c r="H139" s="460">
        <f>G139+'20'!H139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'20'!F140</f>
        <v>4370.8500000000004</v>
      </c>
      <c r="F140" s="484">
        <v>4380.67</v>
      </c>
      <c r="G140" s="1343">
        <f t="shared" si="16"/>
        <v>9.819999999999709</v>
      </c>
      <c r="H140" s="460">
        <f>G140+'20'!H140</f>
        <v>-87.869999999999891</v>
      </c>
      <c r="I140" s="542"/>
      <c r="J140" s="552">
        <f>H140/DAY(B2)</f>
        <v>-4.1842857142857088</v>
      </c>
      <c r="N140" s="382"/>
      <c r="O140" s="382"/>
    </row>
    <row r="141" spans="1:15">
      <c r="A141" s="1443" t="s">
        <v>250</v>
      </c>
      <c r="B141" s="1444"/>
      <c r="C141" s="1151"/>
      <c r="D141" s="472"/>
      <c r="E141" s="472"/>
      <c r="F141" s="472"/>
      <c r="G141" s="1346"/>
      <c r="H141" s="483"/>
      <c r="I141" s="483"/>
      <c r="J141" s="563"/>
      <c r="K141" s="380"/>
      <c r="L141" s="377"/>
      <c r="N141" s="382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1356">
        <f>G35+G43+G49+G57</f>
        <v>5827.4899999999907</v>
      </c>
      <c r="H142" s="460">
        <f>G142+'20'!H142</f>
        <v>-60770.880000000005</v>
      </c>
      <c r="I142" s="480"/>
      <c r="J142" s="552">
        <f>H142/DAY(B2)</f>
        <v>-2893.8514285714286</v>
      </c>
      <c r="K142" s="380"/>
      <c r="L142" s="377"/>
      <c r="N142" s="382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1366">
        <f>G142/G7</f>
        <v>0.27081931406264481</v>
      </c>
      <c r="H143" s="460">
        <f>G143+'20'!H143</f>
        <v>5.6427833763060935</v>
      </c>
      <c r="I143" s="544"/>
      <c r="J143" s="552">
        <f>H143/DAY(B2)</f>
        <v>0.26870397030029014</v>
      </c>
      <c r="K143" s="380"/>
      <c r="L143" s="377"/>
      <c r="N143" s="382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1356">
        <f>G41+G42+G55+G56</f>
        <v>5380.7369999999719</v>
      </c>
      <c r="H144" s="460">
        <f>G144+'20'!H144</f>
        <v>-59573.009999999987</v>
      </c>
      <c r="I144" s="480"/>
      <c r="J144" s="552">
        <f>H144/DAY(B2)</f>
        <v>-2836.8099999999995</v>
      </c>
      <c r="K144" s="380"/>
      <c r="L144" s="377"/>
      <c r="N144" s="382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1366">
        <f>G144/G7</f>
        <v>0.25005748675527334</v>
      </c>
      <c r="H145" s="460">
        <f>G145+'20'!H145</f>
        <v>5.4731091905331235</v>
      </c>
      <c r="I145" s="544"/>
      <c r="J145" s="552">
        <f>H145/DAY(B2)</f>
        <v>0.26062424716824395</v>
      </c>
      <c r="K145" s="380"/>
      <c r="L145" s="377"/>
      <c r="N145" s="382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1356">
        <f>G39+G53</f>
        <v>4385.2799999999988</v>
      </c>
      <c r="H146" s="460">
        <f>G146+'20'!H146</f>
        <v>-42589.72</v>
      </c>
      <c r="I146" s="545"/>
      <c r="J146" s="552">
        <f>H146/DAY(B2)</f>
        <v>-2028.0819047619048</v>
      </c>
      <c r="K146" s="380"/>
      <c r="L146" s="377"/>
      <c r="N146" s="382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1366">
        <f>G146/G7</f>
        <v>0.20379589181150659</v>
      </c>
      <c r="H147" s="460">
        <f>G147+'20'!H147</f>
        <v>4.0866461599280095</v>
      </c>
      <c r="I147" s="545"/>
      <c r="J147" s="552">
        <f>H147/DAY(B2)</f>
        <v>0.19460219809180998</v>
      </c>
      <c r="N147" s="382"/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1356">
        <f>G38+G52</f>
        <v>1861.4300000000003</v>
      </c>
      <c r="H148" s="460">
        <f>G148+'20'!H148</f>
        <v>-18684.770000000048</v>
      </c>
      <c r="I148" s="480"/>
      <c r="J148" s="552">
        <f>H148/DAY(B2)</f>
        <v>-889.75095238095469</v>
      </c>
      <c r="K148" s="381"/>
      <c r="N148" s="382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1366">
        <f>G148/G7</f>
        <v>8.6505716144623115E-2</v>
      </c>
      <c r="H149" s="460">
        <f>G149+'20'!H149</f>
        <v>1.7842165613299794</v>
      </c>
      <c r="I149" s="545"/>
      <c r="J149" s="552">
        <f>H149/DAY(B2)</f>
        <v>8.4962693396665692E-2</v>
      </c>
      <c r="N149" s="382"/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1356">
        <f>G36+G50</f>
        <v>1817.6199999999953</v>
      </c>
      <c r="H150" s="460">
        <f>G150+'20'!H150</f>
        <v>-20377.739999999991</v>
      </c>
      <c r="I150" s="545"/>
      <c r="J150" s="552">
        <f>H150/DAY(B2)</f>
        <v>-970.36857142857093</v>
      </c>
      <c r="N150" s="382"/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1366">
        <f>G150/G7</f>
        <v>8.446974625894578E-2</v>
      </c>
      <c r="H151" s="460">
        <f>G151+'20'!H151</f>
        <v>1.8779718625133752</v>
      </c>
      <c r="I151" s="480"/>
      <c r="J151" s="552">
        <f>H151/DAY(B2)</f>
        <v>8.9427231548255964E-2</v>
      </c>
      <c r="N151" s="382"/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1356">
        <f>G37+G51</f>
        <v>1605.3700000000026</v>
      </c>
      <c r="H152" s="460">
        <f>G152+'20'!H152</f>
        <v>-15079.230000000003</v>
      </c>
      <c r="I152" s="480"/>
      <c r="J152" s="552">
        <f>H152/DAY(B2)</f>
        <v>-718.05857142857155</v>
      </c>
      <c r="N152" s="382"/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1367">
        <f>G152/G7</f>
        <v>7.4605911330049388E-2</v>
      </c>
      <c r="H153" s="460">
        <f>G153+'20'!H153</f>
        <v>1.4750525462921578</v>
      </c>
      <c r="I153" s="568"/>
      <c r="J153" s="569">
        <f>H153/DAY(B2)</f>
        <v>7.0240597442483704E-2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8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'20'!F160</f>
        <v>32499.77</v>
      </c>
      <c r="F160" s="661">
        <v>32585.17</v>
      </c>
      <c r="G160" s="1343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88" t="s">
        <v>264</v>
      </c>
      <c r="B161" s="789"/>
      <c r="C161" s="789"/>
      <c r="D161" s="511" t="s">
        <v>187</v>
      </c>
      <c r="E161" s="661">
        <f>'20'!F161</f>
        <v>63999.59</v>
      </c>
      <c r="F161" s="661">
        <v>64409.64</v>
      </c>
      <c r="G161" s="1343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88" t="s">
        <v>265</v>
      </c>
      <c r="B162" s="789"/>
      <c r="C162" s="789"/>
      <c r="D162" s="511" t="s">
        <v>187</v>
      </c>
      <c r="E162" s="661">
        <f>'20'!F162</f>
        <v>26288.81</v>
      </c>
      <c r="F162" s="661">
        <v>26634.460999999999</v>
      </c>
      <c r="G162" s="1343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88" t="s">
        <v>266</v>
      </c>
      <c r="B163" s="789"/>
      <c r="C163" s="789"/>
      <c r="D163" s="511" t="s">
        <v>187</v>
      </c>
      <c r="E163" s="661">
        <f>'20'!F163</f>
        <v>5658.19</v>
      </c>
      <c r="F163" s="661">
        <v>5675.94</v>
      </c>
      <c r="G163" s="1343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3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3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12" t="s">
        <v>99</v>
      </c>
      <c r="B166" s="1412"/>
      <c r="C166" s="1412"/>
      <c r="D166" s="523" t="s">
        <v>187</v>
      </c>
      <c r="E166" s="514">
        <f t="shared" si="20"/>
        <v>133862.37</v>
      </c>
      <c r="F166" s="514">
        <f t="shared" si="21"/>
        <v>134362</v>
      </c>
      <c r="G166" s="1343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>
      <c r="A167" s="1412" t="s">
        <v>100</v>
      </c>
      <c r="B167" s="1412"/>
      <c r="C167" s="1412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3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12" t="s">
        <v>101</v>
      </c>
      <c r="B168" s="1412"/>
      <c r="C168" s="1412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3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12" t="s">
        <v>102</v>
      </c>
      <c r="B169" s="1412"/>
      <c r="C169" s="1412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3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12" t="s">
        <v>103</v>
      </c>
      <c r="B170" s="1412"/>
      <c r="C170" s="1412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3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12" t="s">
        <v>104</v>
      </c>
      <c r="B171" s="1412"/>
      <c r="C171" s="1412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3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69">
        <f>SUM(G160:G171)</f>
        <v>3476.6010000000206</v>
      </c>
    </row>
    <row r="176" spans="1:12" ht="18.75" customHeight="1"/>
    <row r="177" spans="6:6" ht="21" customHeight="1">
      <c r="F177" s="537" t="s">
        <v>279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0" zoomScale="55" zoomScaleNormal="71" zoomScaleSheetLayoutView="55" workbookViewId="0">
      <selection activeCell="E11" sqref="E1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327</v>
      </c>
      <c r="B2" s="1036">
        <v>44277</v>
      </c>
      <c r="C2" s="1376" t="s">
        <v>69</v>
      </c>
      <c r="D2" s="611">
        <v>0.38</v>
      </c>
      <c r="E2" s="461"/>
      <c r="F2" s="461"/>
      <c r="G2" s="133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6" t="s">
        <v>120</v>
      </c>
      <c r="D3" s="612">
        <v>28</v>
      </c>
      <c r="E3" s="1454" t="s">
        <v>121</v>
      </c>
      <c r="F3" s="1455"/>
      <c r="G3" s="134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6" t="s">
        <v>122</v>
      </c>
      <c r="D4" s="611">
        <v>0.75</v>
      </c>
      <c r="E4" s="464"/>
      <c r="F4" s="464"/>
      <c r="G4" s="134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8" t="s">
        <v>130</v>
      </c>
      <c r="B6" s="1449"/>
      <c r="C6" s="1450"/>
      <c r="D6" s="471"/>
      <c r="E6" s="471"/>
      <c r="F6" s="471"/>
      <c r="G6" s="134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4892810</v>
      </c>
      <c r="F7" s="455">
        <v>4914463</v>
      </c>
      <c r="G7" s="1343">
        <f>F7-E7</f>
        <v>21653</v>
      </c>
      <c r="H7" s="460">
        <f>G7+'21'!H7</f>
        <v>-199460</v>
      </c>
      <c r="I7" s="474">
        <f>'1'!I7</f>
        <v>12000</v>
      </c>
      <c r="J7" s="552">
        <f>H7/DAY(B2)</f>
        <v>-9066.363636363636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4923235</v>
      </c>
      <c r="F8" s="475">
        <v>4944984</v>
      </c>
      <c r="G8" s="1344">
        <f>F8-E8</f>
        <v>21749</v>
      </c>
      <c r="H8" s="460">
        <f>G8+'21'!H8</f>
        <v>-200334</v>
      </c>
      <c r="I8" s="477">
        <f>'1'!I8</f>
        <v>12000</v>
      </c>
      <c r="J8" s="552">
        <f>H8/DAY(B2)</f>
        <v>-9106.0909090909099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181842.27</v>
      </c>
      <c r="F9" s="478">
        <v>202890.33</v>
      </c>
      <c r="G9" s="1343">
        <f t="shared" ref="G9:G12" si="0">F9-E9</f>
        <v>21048.059999999998</v>
      </c>
      <c r="H9" s="460">
        <f>G9+'21'!H9</f>
        <v>-193178.67</v>
      </c>
      <c r="I9" s="479">
        <f>I8-J8</f>
        <v>21106.090909090912</v>
      </c>
      <c r="J9" s="552">
        <f>H9/DAY(B2)</f>
        <v>-8780.8486363636366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2324.48</v>
      </c>
      <c r="F10" s="478">
        <v>2324.48</v>
      </c>
      <c r="G10" s="1343">
        <f t="shared" si="0"/>
        <v>0</v>
      </c>
      <c r="H10" s="460">
        <f>G10+'21'!H10</f>
        <v>358433.95</v>
      </c>
      <c r="I10" s="480"/>
      <c r="J10" s="552">
        <f>H10/DAY(B2)</f>
        <v>16292.452272727272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3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3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5">
        <f>G9+G10+G11+G12</f>
        <v>21048.059999999998</v>
      </c>
      <c r="H13" s="460">
        <f>G13+'21'!H13</f>
        <v>144261.28000000003</v>
      </c>
      <c r="I13" s="482">
        <f>G7-G13</f>
        <v>604.94000000000233</v>
      </c>
      <c r="J13" s="552">
        <f>H13/DAY(B2)</f>
        <v>6557.3309090909106</v>
      </c>
      <c r="K13" s="428"/>
      <c r="L13" s="377"/>
      <c r="N13" s="382"/>
      <c r="O13" s="382"/>
    </row>
    <row r="14" spans="1:15">
      <c r="A14" s="1451" t="s">
        <v>139</v>
      </c>
      <c r="B14" s="1452"/>
      <c r="C14" s="1453"/>
      <c r="D14" s="472"/>
      <c r="E14" s="472"/>
      <c r="F14" s="472"/>
      <c r="G14" s="1346"/>
      <c r="H14" s="472"/>
      <c r="I14" s="472"/>
      <c r="J14" s="551"/>
      <c r="K14" s="429"/>
      <c r="L14" s="377"/>
      <c r="N14" s="382"/>
      <c r="O14" s="382"/>
    </row>
    <row r="15" spans="1:15">
      <c r="A15" s="1374" t="s">
        <v>140</v>
      </c>
      <c r="B15" s="589"/>
      <c r="C15" s="589"/>
      <c r="D15" s="523" t="s">
        <v>141</v>
      </c>
      <c r="E15" s="484">
        <f>'21'!F15</f>
        <v>1638018.97</v>
      </c>
      <c r="F15" s="484">
        <v>1638968.77</v>
      </c>
      <c r="G15" s="1347">
        <f>(F15-E15)</f>
        <v>949.80000000004657</v>
      </c>
      <c r="H15" s="460">
        <f>G15+'21'!H15</f>
        <v>-7720.2299999999814</v>
      </c>
      <c r="I15" s="474">
        <v>800</v>
      </c>
      <c r="J15" s="552">
        <f>H15/DAY(B2)</f>
        <v>-350.91954545454462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3"/>
      <c r="H16" s="486"/>
      <c r="I16" s="487">
        <f>I15-J15</f>
        <v>1150.9195454545447</v>
      </c>
      <c r="J16" s="553"/>
      <c r="K16" s="428"/>
      <c r="L16" s="377"/>
      <c r="N16" s="382"/>
      <c r="O16" s="382"/>
    </row>
    <row r="17" spans="1:15">
      <c r="A17" s="1451" t="s">
        <v>142</v>
      </c>
      <c r="B17" s="1452"/>
      <c r="C17" s="1453"/>
      <c r="D17" s="472"/>
      <c r="E17" s="472"/>
      <c r="F17" s="472"/>
      <c r="G17" s="1346"/>
      <c r="H17" s="472"/>
      <c r="I17" s="472"/>
      <c r="J17" s="551"/>
      <c r="K17" s="428"/>
      <c r="L17" s="377"/>
      <c r="N17" s="382"/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84">
        <f>'21'!F18</f>
        <v>15</v>
      </c>
      <c r="F18" s="484">
        <v>12</v>
      </c>
      <c r="G18" s="1345">
        <f>F18*10</f>
        <v>120</v>
      </c>
      <c r="H18" s="460">
        <f>G18+'21'!H18</f>
        <v>2590</v>
      </c>
      <c r="I18" s="474">
        <f>'1'!I18</f>
        <v>65</v>
      </c>
      <c r="J18" s="552">
        <f>H18/DAY(B2)</f>
        <v>117.72727272727273</v>
      </c>
      <c r="K18" s="428"/>
      <c r="L18" s="377"/>
      <c r="N18" s="382"/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84">
        <f>'21'!F19</f>
        <v>135563</v>
      </c>
      <c r="F19" s="484">
        <v>135617</v>
      </c>
      <c r="G19" s="1343">
        <f t="shared" ref="G19" si="1">F19-E19</f>
        <v>54</v>
      </c>
      <c r="H19" s="460">
        <f>G19+'21'!H19</f>
        <v>-473</v>
      </c>
      <c r="I19" s="489"/>
      <c r="J19" s="552">
        <f>H19/DAY(B2)</f>
        <v>-21.5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8">
        <f>G18+G19</f>
        <v>174</v>
      </c>
      <c r="H20" s="460">
        <f>G20+'21'!H20</f>
        <v>2117</v>
      </c>
      <c r="I20" s="492">
        <f>I18-J20</f>
        <v>-31.227272727272734</v>
      </c>
      <c r="J20" s="552">
        <f>H20/DAY(B2)</f>
        <v>96.227272727272734</v>
      </c>
      <c r="K20" s="428"/>
      <c r="L20" s="377"/>
      <c r="N20" s="382"/>
      <c r="O20" s="382"/>
    </row>
    <row r="21" spans="1:15">
      <c r="A21" s="1451" t="s">
        <v>146</v>
      </c>
      <c r="B21" s="1452"/>
      <c r="C21" s="1453"/>
      <c r="D21" s="472"/>
      <c r="E21" s="472"/>
      <c r="F21" s="472"/>
      <c r="G21" s="1346"/>
      <c r="H21" s="472"/>
      <c r="I21" s="472"/>
      <c r="J21" s="551"/>
      <c r="K21" s="428"/>
      <c r="L21" s="377"/>
      <c r="N21" s="382"/>
      <c r="O21" s="382"/>
    </row>
    <row r="22" spans="1:15">
      <c r="A22" s="1374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5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4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5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5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134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21749</v>
      </c>
      <c r="F27" s="501">
        <v>9</v>
      </c>
      <c r="G27" s="1351">
        <f>E27*F27</f>
        <v>195741</v>
      </c>
      <c r="H27" s="460">
        <f>G27+'21'!H27</f>
        <v>-1803006</v>
      </c>
      <c r="I27" s="503"/>
      <c r="J27" s="552">
        <f>H27/DAY(B2)</f>
        <v>-81954.818181818177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949.80000000004657</v>
      </c>
      <c r="F28" s="501">
        <v>51.45</v>
      </c>
      <c r="G28" s="1351">
        <f>E28*F28</f>
        <v>48867.2100000024</v>
      </c>
      <c r="H28" s="460">
        <f>G28+'21'!H28</f>
        <v>-397205.83349999902</v>
      </c>
      <c r="I28" s="505"/>
      <c r="J28" s="552">
        <f>H28/DAY(B2)</f>
        <v>-18054.81061363632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1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54</v>
      </c>
      <c r="F30" s="501">
        <v>134</v>
      </c>
      <c r="G30" s="1351">
        <f>E30*F30</f>
        <v>7236</v>
      </c>
      <c r="H30" s="460">
        <f>G30+'21'!H30</f>
        <v>-62014</v>
      </c>
      <c r="I30" s="505"/>
      <c r="J30" s="552">
        <f>H30/DAY(B2)</f>
        <v>-2818.818181818182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1351">
        <f>E31*F31</f>
        <v>9600</v>
      </c>
      <c r="H31" s="460">
        <f>G31+'21'!H31</f>
        <v>207200</v>
      </c>
      <c r="I31" s="505"/>
      <c r="J31" s="552">
        <f>H31/DAY(B2)</f>
        <v>9418.181818181818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2">
        <f>G27+G28+G29+G30+G31</f>
        <v>261444.21000000241</v>
      </c>
      <c r="H32" s="460">
        <f>G32+'21'!H32</f>
        <v>-2055025.8334999993</v>
      </c>
      <c r="I32" s="509"/>
      <c r="J32" s="552">
        <f>H32/DAY(B2)</f>
        <v>-93410.265159090879</v>
      </c>
      <c r="K32" s="373"/>
      <c r="L32" s="443"/>
      <c r="N32" s="444"/>
      <c r="O32" s="38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  <c r="O33" s="382"/>
    </row>
    <row r="34" spans="1:15">
      <c r="A34" s="598" t="s">
        <v>163</v>
      </c>
      <c r="B34" s="1379"/>
      <c r="C34" s="1379"/>
      <c r="D34" s="472"/>
      <c r="E34" s="471"/>
      <c r="F34" s="471"/>
      <c r="G34" s="135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764932.63</v>
      </c>
      <c r="F35" s="510">
        <v>768270.47</v>
      </c>
      <c r="G35" s="1343">
        <f t="shared" ref="G35:G46" si="2">F35-E35</f>
        <v>3337.8399999999674</v>
      </c>
      <c r="H35" s="460">
        <f>G35+'21'!H35</f>
        <v>-30118.530000000028</v>
      </c>
      <c r="I35" s="455"/>
      <c r="J35" s="552">
        <f>H35/DAY(B2)</f>
        <v>-1369.0240909090921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310111.95</v>
      </c>
      <c r="F36" s="510">
        <v>310776.11</v>
      </c>
      <c r="G36" s="1343">
        <f t="shared" si="2"/>
        <v>664.15999999997439</v>
      </c>
      <c r="H36" s="460">
        <f>G36+'21'!H36</f>
        <v>-6659.890000000014</v>
      </c>
      <c r="I36" s="455"/>
      <c r="J36" s="552">
        <f>H36/DAY(B2)</f>
        <v>-302.72227272727338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39717.9</v>
      </c>
      <c r="F37" s="510">
        <v>41271.08</v>
      </c>
      <c r="G37" s="1343">
        <f t="shared" si="2"/>
        <v>1553.1800000000003</v>
      </c>
      <c r="H37" s="460">
        <f>G37+'21'!H37</f>
        <v>-13525.919999999998</v>
      </c>
      <c r="I37" s="455"/>
      <c r="J37" s="552">
        <f>H37/DAY(B2)</f>
        <v>-614.8145454545454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53625.16</v>
      </c>
      <c r="F38" s="469">
        <v>55418.7</v>
      </c>
      <c r="G38" s="1343">
        <f t="shared" si="2"/>
        <v>1793.5399999999936</v>
      </c>
      <c r="H38" s="460">
        <f>G38+'21'!H38</f>
        <v>-16889.300000000003</v>
      </c>
      <c r="I38" s="455"/>
      <c r="J38" s="552">
        <f>H38/DAY(B2)</f>
        <v>-767.69545454545471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112277.03</v>
      </c>
      <c r="F39" s="510">
        <v>116398.21</v>
      </c>
      <c r="G39" s="1343">
        <f t="shared" si="2"/>
        <v>4121.1800000000076</v>
      </c>
      <c r="H39" s="460">
        <f>G39+'21'!H39</f>
        <v>-36423.789999999994</v>
      </c>
      <c r="I39" s="455"/>
      <c r="J39" s="552">
        <f>H39/DAY(B2)</f>
        <v>-1655.626818181818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0.23</v>
      </c>
      <c r="F40" s="510">
        <v>0.23</v>
      </c>
      <c r="G40" s="1343">
        <f t="shared" si="2"/>
        <v>0</v>
      </c>
      <c r="H40" s="460">
        <f>G40+'21'!H40</f>
        <v>0.34</v>
      </c>
      <c r="I40" s="455"/>
      <c r="J40" s="552">
        <f>H40/DAY(B2)</f>
        <v>1.5454545454545455E-2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80765.850000000006</v>
      </c>
      <c r="F41" s="510">
        <v>86446.07</v>
      </c>
      <c r="G41" s="1343">
        <f t="shared" si="2"/>
        <v>5680.2200000000012</v>
      </c>
      <c r="H41" s="460">
        <f>G41+'21'!H41</f>
        <v>-46694.929999999993</v>
      </c>
      <c r="I41" s="455"/>
      <c r="J41" s="552">
        <f>H41/DAY(B2)</f>
        <v>-2122.4968181818181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59128.6</v>
      </c>
      <c r="F42" s="510">
        <v>59128.6</v>
      </c>
      <c r="G42" s="1343">
        <f t="shared" si="2"/>
        <v>0</v>
      </c>
      <c r="H42" s="460">
        <f>G42+'21'!H42</f>
        <v>0.43999999999505235</v>
      </c>
      <c r="I42" s="455"/>
      <c r="J42" s="552">
        <f>H42/DAY(B2)</f>
        <v>1.9999999999775107E-2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877049</v>
      </c>
      <c r="F43" s="510">
        <v>879448.47</v>
      </c>
      <c r="G43" s="1343">
        <f>F43-E43</f>
        <v>2399.4699999999721</v>
      </c>
      <c r="H43" s="460">
        <f>G43+'21'!H43</f>
        <v>-22599.530000000028</v>
      </c>
      <c r="I43" s="455"/>
      <c r="J43" s="552">
        <f>H43/DAY(B2)</f>
        <v>-1027.2513636363649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3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614</v>
      </c>
      <c r="F45" s="510">
        <v>614</v>
      </c>
      <c r="G45" s="1343">
        <f t="shared" si="2"/>
        <v>0</v>
      </c>
      <c r="H45" s="460">
        <f>G45+'21'!H45</f>
        <v>614</v>
      </c>
      <c r="I45" s="455"/>
      <c r="J45" s="552">
        <f>H45/DAY(B2)</f>
        <v>27.90909090909091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187.44</v>
      </c>
      <c r="F46" s="510">
        <v>187.44</v>
      </c>
      <c r="G46" s="1343">
        <f t="shared" si="2"/>
        <v>0</v>
      </c>
      <c r="H46" s="460">
        <f>G46+'21'!H46</f>
        <v>187.44</v>
      </c>
      <c r="I46" s="455"/>
      <c r="J46" s="552">
        <f>H46/DAY(B2)</f>
        <v>8.52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5">
        <f>G35+G36+G37+G38+G39+G40+G41+G42+G43+G44+G45+G46</f>
        <v>19549.589999999916</v>
      </c>
      <c r="H47" s="460">
        <f>G47+'21'!H47</f>
        <v>-172109.6700000001</v>
      </c>
      <c r="I47" s="455"/>
      <c r="J47" s="552">
        <f>H47/DAY(B2)</f>
        <v>-7823.1668181818231</v>
      </c>
      <c r="K47" s="428"/>
      <c r="L47" s="377"/>
      <c r="N47" s="382"/>
      <c r="O47" s="382"/>
    </row>
    <row r="48" spans="1:15">
      <c r="A48" s="598" t="s">
        <v>177</v>
      </c>
      <c r="B48" s="1379"/>
      <c r="C48" s="1379"/>
      <c r="D48" s="472"/>
      <c r="E48" s="471"/>
      <c r="F48" s="471"/>
      <c r="G48" s="1353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3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428178.31</v>
      </c>
      <c r="F50" s="510">
        <v>429426.75</v>
      </c>
      <c r="G50" s="1343">
        <f t="shared" si="3"/>
        <v>1248.4400000000023</v>
      </c>
      <c r="H50" s="460">
        <f>G50+'21'!H50</f>
        <v>-12999.25</v>
      </c>
      <c r="I50" s="455"/>
      <c r="J50" s="552">
        <f>H50/DAY(B2)</f>
        <v>-590.875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43">
        <f t="shared" si="3"/>
        <v>0</v>
      </c>
      <c r="H51" s="460">
        <f>G51+'21'!H51</f>
        <v>-1549.1300000000047</v>
      </c>
      <c r="I51" s="455"/>
      <c r="J51" s="552">
        <f>H51/DAY(B2)</f>
        <v>-70.415000000000205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3">
        <f t="shared" si="3"/>
        <v>0</v>
      </c>
      <c r="H52" s="460">
        <f>G52+'21'!H52</f>
        <v>-2047.9300000000512</v>
      </c>
      <c r="I52" s="455"/>
      <c r="J52" s="552">
        <f>H52/DAY(B2)</f>
        <v>-93.087727272729595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399219.25</v>
      </c>
      <c r="F53" s="510">
        <v>399433.47</v>
      </c>
      <c r="G53" s="1343">
        <f t="shared" si="3"/>
        <v>214.21999999997206</v>
      </c>
      <c r="H53" s="460">
        <f>G53+'21'!H53</f>
        <v>-6015.5300000000279</v>
      </c>
      <c r="I53" s="455"/>
      <c r="J53" s="552">
        <f>H53/DAY(B2)</f>
        <v>-273.43318181818307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8433.0499999999993</v>
      </c>
      <c r="F54" s="510">
        <v>8510.86</v>
      </c>
      <c r="G54" s="1343">
        <f t="shared" si="3"/>
        <v>77.81000000000131</v>
      </c>
      <c r="H54" s="460">
        <f>G54+'21'!H54</f>
        <v>2353.9000000000015</v>
      </c>
      <c r="I54" s="455"/>
      <c r="J54" s="552">
        <f>H54/DAY(B2)</f>
        <v>106.99545454545461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208980.55</v>
      </c>
      <c r="F55" s="510">
        <v>208980.55</v>
      </c>
      <c r="G55" s="1343">
        <f t="shared" si="3"/>
        <v>0</v>
      </c>
      <c r="H55" s="460">
        <f>G55+'21'!H55</f>
        <v>-12115.450000000012</v>
      </c>
      <c r="I55" s="455"/>
      <c r="J55" s="552">
        <f>H55/DAY(B2)</f>
        <v>-550.70227272727323</v>
      </c>
      <c r="K55" s="428"/>
      <c r="L55" s="377"/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'21'!F56</f>
        <v>588885.15</v>
      </c>
      <c r="F56" s="656">
        <v>588894.15</v>
      </c>
      <c r="G56" s="1365">
        <f t="shared" si="3"/>
        <v>9</v>
      </c>
      <c r="H56" s="708">
        <f>G56+'21'!H56</f>
        <v>-72.849999999976717</v>
      </c>
      <c r="I56" s="709"/>
      <c r="J56" s="710">
        <f>H56/DAY(B2)</f>
        <v>-3.3113636363625782</v>
      </c>
      <c r="K56" s="1370"/>
      <c r="L56" s="1111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3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39695.67</v>
      </c>
      <c r="F58" s="510">
        <v>39888.43</v>
      </c>
      <c r="G58" s="1343">
        <f t="shared" si="3"/>
        <v>192.76000000000204</v>
      </c>
      <c r="H58" s="460">
        <f>G58+'21'!H58</f>
        <v>-1854.5699999999997</v>
      </c>
      <c r="I58" s="455"/>
      <c r="J58" s="552">
        <f>H58/DAY(B2)</f>
        <v>-84.298636363636348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5">
        <f>G49+G50+G51+G52+G53+G54+G55+G56+G57+G58</f>
        <v>1742.2299999999777</v>
      </c>
      <c r="H59" s="460">
        <f>G59+'21'!H59</f>
        <v>-34300.680000000095</v>
      </c>
      <c r="I59" s="455">
        <f>G7-G60</f>
        <v>361.18000000010579</v>
      </c>
      <c r="J59" s="552">
        <f>H59/DAY(B2)</f>
        <v>-1559.1218181818224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5">
        <f>G47+G59</f>
        <v>21291.819999999894</v>
      </c>
      <c r="H60" s="460">
        <f>G60+'21'!H60</f>
        <v>-192241.35000000021</v>
      </c>
      <c r="I60" s="455">
        <f>G13-G60</f>
        <v>-243.75999999989654</v>
      </c>
      <c r="J60" s="552">
        <f>H47/DAY(B2)</f>
        <v>-7823.1668181818231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3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1978.63</v>
      </c>
      <c r="F63" s="514">
        <v>1989.3</v>
      </c>
      <c r="G63" s="1343">
        <f t="shared" si="4"/>
        <v>10.669999999999845</v>
      </c>
      <c r="H63" s="460">
        <f>G63+'21'!H63</f>
        <v>-106.70000000000005</v>
      </c>
      <c r="I63" s="515"/>
      <c r="J63" s="552">
        <f>H63/DAY(B2)</f>
        <v>-4.8500000000000023</v>
      </c>
      <c r="K63" s="428"/>
      <c r="L63" s="377"/>
      <c r="N63" s="382"/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84">
        <f>'21'!F64</f>
        <v>134362</v>
      </c>
      <c r="F64" s="484">
        <v>134920</v>
      </c>
      <c r="G64" s="1343">
        <f t="shared" si="4"/>
        <v>558</v>
      </c>
      <c r="H64" s="460">
        <f>G64+'21'!H64</f>
        <v>-4260</v>
      </c>
      <c r="I64" s="480"/>
      <c r="J64" s="552">
        <f>H64/DAY(B2)</f>
        <v>-193.63636363636363</v>
      </c>
      <c r="K64" s="428"/>
      <c r="L64" s="377"/>
      <c r="N64" s="382"/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84">
        <f>'21'!F65</f>
        <v>140430.63</v>
      </c>
      <c r="F65" s="484">
        <v>140813.71</v>
      </c>
      <c r="G65" s="1343">
        <f t="shared" si="4"/>
        <v>383.07999999998719</v>
      </c>
      <c r="H65" s="460">
        <f>G65+'21'!H65</f>
        <v>-3391.2900000000081</v>
      </c>
      <c r="I65" s="489"/>
      <c r="J65" s="552">
        <f>H65/DAY(B2)</f>
        <v>-154.14954545454583</v>
      </c>
      <c r="K65" s="428"/>
      <c r="L65" s="377"/>
      <c r="N65" s="382"/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84">
        <f>'21'!F66</f>
        <v>33176.11</v>
      </c>
      <c r="F66" s="484">
        <v>33568.370000000003</v>
      </c>
      <c r="G66" s="1343">
        <f t="shared" si="4"/>
        <v>392.26000000000204</v>
      </c>
      <c r="H66" s="460">
        <f>G66+'21'!H66</f>
        <v>-3639.6299999999974</v>
      </c>
      <c r="I66" s="480"/>
      <c r="J66" s="552">
        <f>H66/DAY(B2)</f>
        <v>-165.43772727272716</v>
      </c>
      <c r="K66" s="428"/>
      <c r="L66" s="377"/>
      <c r="N66" s="382"/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84">
        <f>'21'!F67</f>
        <v>222220.17</v>
      </c>
      <c r="F67" s="484">
        <v>222910.69</v>
      </c>
      <c r="G67" s="1343">
        <f t="shared" si="4"/>
        <v>690.51999999998952</v>
      </c>
      <c r="H67" s="460">
        <f>G67+'21'!H67</f>
        <v>-6189.3099999999977</v>
      </c>
      <c r="I67" s="489"/>
      <c r="J67" s="552">
        <f>H67/DAY(B2)</f>
        <v>-281.3322727272726</v>
      </c>
      <c r="K67" s="429"/>
      <c r="L67" s="377"/>
      <c r="N67" s="382"/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84">
        <v>70485</v>
      </c>
      <c r="F68" s="484">
        <v>70793</v>
      </c>
      <c r="G68" s="1343">
        <f t="shared" si="4"/>
        <v>308</v>
      </c>
      <c r="H68" s="460">
        <f>G68+'21'!H68</f>
        <v>-3076.929999999993</v>
      </c>
      <c r="I68" s="516"/>
      <c r="J68" s="552">
        <f>H68/DAY(B2)</f>
        <v>-139.86045454545422</v>
      </c>
      <c r="K68" s="430"/>
      <c r="L68" s="377"/>
      <c r="N68" s="382"/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84">
        <f>'21'!F69</f>
        <v>71182.59</v>
      </c>
      <c r="F69" s="484">
        <v>71492.41</v>
      </c>
      <c r="G69" s="1343">
        <f t="shared" si="4"/>
        <v>309.82000000000698</v>
      </c>
      <c r="H69" s="460">
        <f>G69+'21'!H69</f>
        <v>-2836.5899999999965</v>
      </c>
      <c r="I69" s="516"/>
      <c r="J69" s="552">
        <f>H69/DAY(B2)</f>
        <v>-128.93590909090892</v>
      </c>
      <c r="K69" s="431"/>
      <c r="L69" s="377"/>
      <c r="N69" s="382"/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1355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519">
        <f>'21'!F72</f>
        <v>852452</v>
      </c>
      <c r="F72" s="519">
        <v>852555</v>
      </c>
      <c r="G72" s="1343">
        <f t="shared" ref="G72:G84" si="5">F72-E72</f>
        <v>103</v>
      </c>
      <c r="H72" s="460">
        <f>G72+'21'!H72</f>
        <v>-714</v>
      </c>
      <c r="I72" s="480"/>
      <c r="J72" s="552">
        <f>H72/DAY(B2)</f>
        <v>-32.454545454545453</v>
      </c>
      <c r="K72" s="431"/>
      <c r="L72" s="377"/>
      <c r="N72" s="382"/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520">
        <f>'21'!F73</f>
        <v>885788</v>
      </c>
      <c r="F73" s="520">
        <v>885789</v>
      </c>
      <c r="G73" s="1343">
        <f t="shared" si="5"/>
        <v>1</v>
      </c>
      <c r="H73" s="460">
        <f>G73+'21'!H73</f>
        <v>-1456</v>
      </c>
      <c r="I73" s="480"/>
      <c r="J73" s="552">
        <f>H73/DAY(B2)</f>
        <v>-66.181818181818187</v>
      </c>
      <c r="K73" s="430"/>
      <c r="L73" s="377"/>
      <c r="N73" s="382"/>
      <c r="O73" s="382"/>
    </row>
    <row r="74" spans="1:15" ht="27.75">
      <c r="A74" s="1490" t="s">
        <v>193</v>
      </c>
      <c r="B74" s="1491"/>
      <c r="C74" s="1492"/>
      <c r="D74" s="523" t="s">
        <v>187</v>
      </c>
      <c r="E74" s="521">
        <f>'21'!F74</f>
        <v>1158.7</v>
      </c>
      <c r="F74" s="521">
        <v>1177.21</v>
      </c>
      <c r="G74" s="1343">
        <f t="shared" si="5"/>
        <v>18.509999999999991</v>
      </c>
      <c r="H74" s="460">
        <f>G74+'21'!H74</f>
        <v>-192.78999999999996</v>
      </c>
      <c r="I74" s="480"/>
      <c r="J74" s="552">
        <f>H74/DAY(B2)</f>
        <v>-8.7631818181818169</v>
      </c>
      <c r="K74" s="431"/>
      <c r="L74" s="377"/>
      <c r="N74" s="382"/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521">
        <f>'21'!F75</f>
        <v>7017.55</v>
      </c>
      <c r="F75" s="521">
        <v>7176.97</v>
      </c>
      <c r="G75" s="1343">
        <f t="shared" si="5"/>
        <v>159.42000000000007</v>
      </c>
      <c r="H75" s="460">
        <f>G75+'21'!H75</f>
        <v>-1503.0299999999997</v>
      </c>
      <c r="I75" s="480"/>
      <c r="J75" s="552">
        <f>H75/DAY(B2)</f>
        <v>-68.319545454545448</v>
      </c>
      <c r="K75" s="430"/>
      <c r="L75" s="377"/>
      <c r="N75" s="382"/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520">
        <f>'21'!F76</f>
        <v>3215.91</v>
      </c>
      <c r="F76" s="648">
        <v>3293.9</v>
      </c>
      <c r="G76" s="1343">
        <f t="shared" si="5"/>
        <v>77.990000000000236</v>
      </c>
      <c r="H76" s="460">
        <f>G76+'21'!H76</f>
        <v>-2342.1</v>
      </c>
      <c r="I76" s="505"/>
      <c r="J76" s="552">
        <f>H76/DAY(B2)</f>
        <v>-106.4590909090909</v>
      </c>
      <c r="K76" s="430"/>
      <c r="L76" s="377"/>
      <c r="N76" s="382"/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521">
        <f>'21'!F77</f>
        <v>699705</v>
      </c>
      <c r="F77" s="521">
        <v>699755</v>
      </c>
      <c r="G77" s="1343">
        <f t="shared" si="5"/>
        <v>50</v>
      </c>
      <c r="H77" s="460">
        <f>G77+'21'!H77</f>
        <v>-459</v>
      </c>
      <c r="I77" s="505"/>
      <c r="J77" s="552">
        <f>H77/DAY(B2)</f>
        <v>-20.863636363636363</v>
      </c>
      <c r="K77" s="430"/>
      <c r="L77" s="377"/>
      <c r="N77" s="382"/>
      <c r="O77" s="382"/>
    </row>
    <row r="78" spans="1:15" ht="27.75">
      <c r="A78" s="1377" t="s">
        <v>197</v>
      </c>
      <c r="B78" s="1371"/>
      <c r="C78" s="1371"/>
      <c r="D78" s="523" t="s">
        <v>187</v>
      </c>
      <c r="E78" s="521">
        <f>'21'!F78</f>
        <v>661570</v>
      </c>
      <c r="F78" s="521">
        <v>661975</v>
      </c>
      <c r="G78" s="1343">
        <f t="shared" si="5"/>
        <v>405</v>
      </c>
      <c r="H78" s="460">
        <f>G78+'21'!H78</f>
        <v>-3405</v>
      </c>
      <c r="I78" s="505"/>
      <c r="J78" s="552">
        <f>H78/DAY(B2)</f>
        <v>-154.77272727272728</v>
      </c>
      <c r="K78" s="430"/>
      <c r="L78" s="377"/>
      <c r="N78" s="382"/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521">
        <f>'21'!F79</f>
        <v>819356</v>
      </c>
      <c r="F79" s="521">
        <v>819525</v>
      </c>
      <c r="G79" s="1343">
        <f t="shared" si="5"/>
        <v>169</v>
      </c>
      <c r="H79" s="460">
        <f>G79+'21'!H79</f>
        <v>-5591</v>
      </c>
      <c r="I79" s="505"/>
      <c r="J79" s="552">
        <f>H79/DAY(B2)</f>
        <v>-254.13636363636363</v>
      </c>
      <c r="K79" s="430"/>
      <c r="L79" s="377"/>
      <c r="N79" s="382"/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520">
        <f>'21'!F80</f>
        <v>502178.76</v>
      </c>
      <c r="F80" s="520">
        <v>502516.64</v>
      </c>
      <c r="G80" s="1343">
        <f t="shared" si="5"/>
        <v>337.88000000000466</v>
      </c>
      <c r="H80" s="460">
        <f>G80+'21'!H80</f>
        <v>-201.35999999998603</v>
      </c>
      <c r="I80" s="505"/>
      <c r="J80" s="552">
        <f>H80/DAY(B2)</f>
        <v>-9.1527272727266382</v>
      </c>
      <c r="K80" s="430"/>
      <c r="L80" s="377"/>
      <c r="N80" s="382"/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520">
        <f>'21'!F81</f>
        <v>628225.80000000005</v>
      </c>
      <c r="F81" s="520">
        <v>628349.64</v>
      </c>
      <c r="G81" s="1343">
        <f t="shared" si="5"/>
        <v>123.8399999999674</v>
      </c>
      <c r="H81" s="460">
        <f>G81+'21'!H81</f>
        <v>-1835.359999999986</v>
      </c>
      <c r="I81" s="505"/>
      <c r="J81" s="552">
        <f>H81/DAY(B2)</f>
        <v>-83.425454545453917</v>
      </c>
      <c r="K81" s="430"/>
      <c r="L81" s="377"/>
      <c r="N81" s="382"/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522">
        <f>'21'!F82</f>
        <v>106667.71</v>
      </c>
      <c r="F82" s="522">
        <v>106690.01</v>
      </c>
      <c r="G82" s="1343">
        <f t="shared" si="5"/>
        <v>22.299999999988358</v>
      </c>
      <c r="H82" s="460">
        <f>G82+'21'!H82</f>
        <v>-204.99000000000524</v>
      </c>
      <c r="I82" s="486"/>
      <c r="J82" s="552">
        <f>H82/DAY(B2)</f>
        <v>-9.3177272727275113</v>
      </c>
      <c r="K82" s="430"/>
      <c r="L82" s="377"/>
      <c r="N82" s="382"/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511">
        <f>'21'!F83</f>
        <v>4140</v>
      </c>
      <c r="F83" s="511">
        <v>4382</v>
      </c>
      <c r="G83" s="1343">
        <f t="shared" si="5"/>
        <v>242</v>
      </c>
      <c r="H83" s="460">
        <f>G83+'21'!H83</f>
        <v>-2675</v>
      </c>
      <c r="I83" s="481"/>
      <c r="J83" s="552">
        <f>H83/DAY(B2)</f>
        <v>-121.59090909090909</v>
      </c>
      <c r="K83" s="429"/>
      <c r="L83" s="377"/>
      <c r="N83" s="382"/>
      <c r="O83" s="724"/>
    </row>
    <row r="84" spans="1:15">
      <c r="A84" s="1378" t="s">
        <v>201</v>
      </c>
      <c r="B84" s="571"/>
      <c r="C84" s="571"/>
      <c r="D84" s="478" t="s">
        <v>132</v>
      </c>
      <c r="E84" s="627">
        <f>'21'!F84</f>
        <v>446844</v>
      </c>
      <c r="F84" s="627">
        <v>447519</v>
      </c>
      <c r="G84" s="1343">
        <f t="shared" si="5"/>
        <v>675</v>
      </c>
      <c r="H84" s="460">
        <f>G84+'21'!H84</f>
        <v>-7165</v>
      </c>
      <c r="I84" s="481"/>
      <c r="J84" s="552">
        <f>H84/DAY(B2)</f>
        <v>-325.68181818181819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6">
        <f xml:space="preserve"> SUM(G72:G84)</f>
        <v>2384.9399999999605</v>
      </c>
      <c r="H85" s="460">
        <f>G85+'21'!H85</f>
        <v>-23688.629999999968</v>
      </c>
      <c r="I85" s="481"/>
      <c r="J85" s="552">
        <f>H85/DAY(B2)</f>
        <v>-1076.7559090909076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452912.52</v>
      </c>
      <c r="F86" s="650">
        <v>453110.14</v>
      </c>
      <c r="G86" s="1357">
        <f t="shared" ref="G86:G88" si="6">F86-E86</f>
        <v>197.61999999999534</v>
      </c>
      <c r="H86" s="460">
        <f>G86+'21'!H86</f>
        <v>661.46000000002095</v>
      </c>
      <c r="I86" s="655"/>
      <c r="J86" s="710">
        <f>H86/DAY(B2)</f>
        <v>30.066363636364589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79825.600000000006</v>
      </c>
      <c r="F87" s="650">
        <v>79857</v>
      </c>
      <c r="G87" s="1357">
        <f t="shared" si="6"/>
        <v>31.399999999994179</v>
      </c>
      <c r="H87" s="460">
        <f>G87+'21'!H87</f>
        <v>155.19999999999709</v>
      </c>
      <c r="I87" s="655"/>
      <c r="J87" s="710">
        <f>H87/DAY(B2)</f>
        <v>7.0545454545453223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149842.51</v>
      </c>
      <c r="F88" s="650">
        <v>149945.1</v>
      </c>
      <c r="G88" s="1357">
        <f t="shared" si="6"/>
        <v>102.58999999999651</v>
      </c>
      <c r="H88" s="460">
        <f>G88+'21'!H88</f>
        <v>389.39999999999418</v>
      </c>
      <c r="I88" s="655"/>
      <c r="J88" s="710">
        <f>H88/DAY(B2)</f>
        <v>17.699999999999736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63048.800000000003</v>
      </c>
      <c r="F89" s="650">
        <v>63110.1</v>
      </c>
      <c r="G89" s="1357">
        <f t="shared" ref="G89:G90" si="7">F89-E89</f>
        <v>61.299999999995634</v>
      </c>
      <c r="H89" s="460">
        <f>G89+'21'!H89</f>
        <v>277</v>
      </c>
      <c r="I89" s="655"/>
      <c r="J89" s="710" t="e">
        <f t="shared" ref="J89:J90" si="8">H89/DAY(B3)</f>
        <v>#DIV/0!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3245.6</v>
      </c>
      <c r="F90" s="650">
        <v>3249</v>
      </c>
      <c r="G90" s="1357">
        <f t="shared" si="7"/>
        <v>3.4000000000000909</v>
      </c>
      <c r="H90" s="460">
        <f>G90+'21'!H90</f>
        <v>10.300000000000182</v>
      </c>
      <c r="I90" s="655"/>
      <c r="J90" s="710" t="e">
        <f t="shared" si="8"/>
        <v>#DIV/0!</v>
      </c>
      <c r="K90" s="736"/>
      <c r="L90" s="737"/>
      <c r="N90" s="781"/>
      <c r="O90" s="382"/>
    </row>
    <row r="91" spans="1:15" s="379" customFormat="1">
      <c r="A91" s="606" t="s">
        <v>205</v>
      </c>
      <c r="B91" s="1380"/>
      <c r="C91" s="1380"/>
      <c r="D91" s="472"/>
      <c r="E91" s="472"/>
      <c r="F91" s="472"/>
      <c r="G91" s="1346"/>
      <c r="H91" s="472"/>
      <c r="I91" s="472"/>
      <c r="J91" s="551"/>
      <c r="K91" s="380"/>
      <c r="L91" s="378"/>
      <c r="N91" s="780"/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'21'!F92</f>
        <v>241612</v>
      </c>
      <c r="F92" s="484">
        <v>241696</v>
      </c>
      <c r="G92" s="1343">
        <f t="shared" ref="G92:G93" si="9">F92-E92</f>
        <v>84</v>
      </c>
      <c r="H92" s="460">
        <f>G92+'21'!H92</f>
        <v>-950</v>
      </c>
      <c r="I92" s="480"/>
      <c r="J92" s="552">
        <f>H92/DAY(B2)</f>
        <v>-43.18181818181818</v>
      </c>
      <c r="K92" s="429"/>
      <c r="L92" s="377"/>
      <c r="N92" s="382"/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'21'!F93</f>
        <v>178309</v>
      </c>
      <c r="F93" s="484">
        <v>178414</v>
      </c>
      <c r="G93" s="1343">
        <f t="shared" si="9"/>
        <v>105</v>
      </c>
      <c r="H93" s="460">
        <f>G93+'21'!H93</f>
        <v>-1265</v>
      </c>
      <c r="I93" s="480"/>
      <c r="J93" s="552">
        <f>H93/DAY(B2)</f>
        <v>-57.5</v>
      </c>
      <c r="K93" s="380"/>
      <c r="L93" s="377"/>
      <c r="N93" s="382"/>
      <c r="O93" s="382"/>
    </row>
    <row r="94" spans="1:15">
      <c r="A94" s="1465" t="s">
        <v>208</v>
      </c>
      <c r="B94" s="1466"/>
      <c r="C94" s="1467"/>
      <c r="D94" s="523"/>
      <c r="E94" s="484">
        <f>'21'!F94</f>
        <v>0</v>
      </c>
      <c r="F94" s="484"/>
      <c r="G94" s="1343">
        <f>G92+G93</f>
        <v>189</v>
      </c>
      <c r="H94" s="460">
        <f>G94+'21'!H94</f>
        <v>-2434</v>
      </c>
      <c r="I94" s="480"/>
      <c r="J94" s="552">
        <f>H94/DAY(B2)</f>
        <v>-110.63636363636364</v>
      </c>
      <c r="K94" s="380"/>
      <c r="L94" s="377"/>
      <c r="N94" s="382"/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'21'!F95</f>
        <v>409918</v>
      </c>
      <c r="F95" s="484">
        <v>410003</v>
      </c>
      <c r="G95" s="1343">
        <f t="shared" ref="G95:G100" si="10">F95-E95</f>
        <v>85</v>
      </c>
      <c r="H95" s="460">
        <f>G95+'21'!H95</f>
        <v>-782</v>
      </c>
      <c r="I95" s="480"/>
      <c r="J95" s="552">
        <f>H95/DAY(B2)</f>
        <v>-35.545454545454547</v>
      </c>
      <c r="K95" s="380"/>
      <c r="L95" s="377"/>
      <c r="N95" s="382"/>
      <c r="O95" s="382"/>
    </row>
    <row r="96" spans="1:15" ht="27.75">
      <c r="A96" s="1374" t="s">
        <v>210</v>
      </c>
      <c r="B96" s="1375"/>
      <c r="C96" s="1375"/>
      <c r="D96" s="523" t="s">
        <v>144</v>
      </c>
      <c r="E96" s="484">
        <f>'21'!F96</f>
        <v>101651</v>
      </c>
      <c r="F96" s="484">
        <v>101668</v>
      </c>
      <c r="G96" s="1343">
        <f t="shared" si="10"/>
        <v>17</v>
      </c>
      <c r="H96" s="460">
        <f>G96+'21'!H96</f>
        <v>-163</v>
      </c>
      <c r="I96" s="480"/>
      <c r="J96" s="552">
        <f>H96/DAY(B2)</f>
        <v>-7.4090909090909092</v>
      </c>
      <c r="K96" s="427"/>
      <c r="L96" s="377"/>
      <c r="N96" s="382"/>
      <c r="O96" s="382"/>
    </row>
    <row r="97" spans="1:15" ht="27.75">
      <c r="A97" s="1374" t="s">
        <v>211</v>
      </c>
      <c r="B97" s="1375"/>
      <c r="C97" s="1375"/>
      <c r="D97" s="523" t="s">
        <v>144</v>
      </c>
      <c r="E97" s="484">
        <f>'21'!F97</f>
        <v>96709</v>
      </c>
      <c r="F97" s="484">
        <v>96730</v>
      </c>
      <c r="G97" s="1343">
        <f t="shared" si="10"/>
        <v>21</v>
      </c>
      <c r="H97" s="460">
        <f>G97+'21'!H97</f>
        <v>-198</v>
      </c>
      <c r="I97" s="480"/>
      <c r="J97" s="552">
        <f>H97/DAY(B2)</f>
        <v>-9</v>
      </c>
      <c r="K97" s="432"/>
      <c r="L97" s="377"/>
      <c r="N97" s="382"/>
      <c r="O97" s="382"/>
    </row>
    <row r="98" spans="1:15" ht="27.75">
      <c r="A98" s="1374" t="s">
        <v>212</v>
      </c>
      <c r="B98" s="1375"/>
      <c r="C98" s="1375"/>
      <c r="D98" s="523" t="s">
        <v>144</v>
      </c>
      <c r="E98" s="484">
        <f>'21'!F98</f>
        <v>148547</v>
      </c>
      <c r="F98" s="484">
        <v>148583</v>
      </c>
      <c r="G98" s="1343">
        <f t="shared" si="10"/>
        <v>36</v>
      </c>
      <c r="H98" s="460">
        <f>G98+'21'!H98</f>
        <v>-326</v>
      </c>
      <c r="I98" s="480"/>
      <c r="J98" s="552">
        <f>H98/DAY(B2)</f>
        <v>-14.818181818181818</v>
      </c>
      <c r="K98" s="380"/>
      <c r="L98" s="377"/>
      <c r="N98" s="382"/>
      <c r="O98" s="382"/>
    </row>
    <row r="99" spans="1:15" ht="27.75">
      <c r="A99" s="1374" t="s">
        <v>213</v>
      </c>
      <c r="B99" s="1375"/>
      <c r="C99" s="1375"/>
      <c r="D99" s="523" t="s">
        <v>144</v>
      </c>
      <c r="E99" s="484">
        <f>'21'!F99</f>
        <v>6693</v>
      </c>
      <c r="F99" s="484">
        <v>6703</v>
      </c>
      <c r="G99" s="1343">
        <f t="shared" si="10"/>
        <v>10</v>
      </c>
      <c r="H99" s="460">
        <f>G99+'21'!H99</f>
        <v>-152</v>
      </c>
      <c r="I99" s="480"/>
      <c r="J99" s="552">
        <f>H99/DAY(B2)</f>
        <v>-6.9090909090909092</v>
      </c>
      <c r="K99" s="380"/>
      <c r="L99" s="377"/>
      <c r="N99" s="382"/>
      <c r="O99" s="382"/>
    </row>
    <row r="100" spans="1:15" ht="27.75">
      <c r="A100" s="1374" t="s">
        <v>214</v>
      </c>
      <c r="B100" s="1375"/>
      <c r="C100" s="1375"/>
      <c r="D100" s="523" t="s">
        <v>144</v>
      </c>
      <c r="E100" s="484">
        <f>'21'!F100</f>
        <v>4785</v>
      </c>
      <c r="F100" s="484">
        <v>4806</v>
      </c>
      <c r="G100" s="1343">
        <f t="shared" si="10"/>
        <v>21</v>
      </c>
      <c r="H100" s="460">
        <f>G100+'21'!H100</f>
        <v>-137</v>
      </c>
      <c r="I100" s="480"/>
      <c r="J100" s="552">
        <f>H100/DAY(B2)</f>
        <v>-6.2272727272727275</v>
      </c>
      <c r="K100" s="380"/>
      <c r="L100" s="377"/>
      <c r="N100" s="382"/>
      <c r="O100" s="382"/>
    </row>
    <row r="101" spans="1:15">
      <c r="A101" s="1465" t="s">
        <v>216</v>
      </c>
      <c r="B101" s="1466"/>
      <c r="C101" s="1467"/>
      <c r="D101" s="524"/>
      <c r="E101" s="524"/>
      <c r="F101" s="524"/>
      <c r="G101" s="1358">
        <f>SUM(G95:G100)</f>
        <v>190</v>
      </c>
      <c r="H101" s="460">
        <f>G101+'21'!H101</f>
        <v>-1758</v>
      </c>
      <c r="I101" s="526"/>
      <c r="J101" s="552">
        <f>H101/DAY(B2)</f>
        <v>-79.909090909090907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9"/>
      <c r="H102" s="530"/>
      <c r="I102" s="531"/>
      <c r="J102" s="557"/>
      <c r="N102" s="444"/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1360"/>
      <c r="H103" s="533"/>
      <c r="I103" s="532"/>
      <c r="J103" s="558"/>
      <c r="N103" s="444"/>
      <c r="O103" s="382"/>
    </row>
    <row r="104" spans="1:15" s="442" customFormat="1" ht="27.75">
      <c r="A104" s="1429" t="s">
        <v>219</v>
      </c>
      <c r="B104" s="1430"/>
      <c r="C104" s="1373"/>
      <c r="D104" s="622" t="s">
        <v>144</v>
      </c>
      <c r="E104" s="532">
        <f>'21'!F104</f>
        <v>7281</v>
      </c>
      <c r="F104" s="532">
        <v>7281</v>
      </c>
      <c r="G104" s="1360">
        <f>F104-E104</f>
        <v>0</v>
      </c>
      <c r="H104" s="460">
        <f>SUM(G104+'1'!G76)</f>
        <v>59</v>
      </c>
      <c r="I104" s="532"/>
      <c r="J104" s="558">
        <f>H104/DAY(B2)</f>
        <v>2.6818181818181817</v>
      </c>
      <c r="N104" s="444"/>
      <c r="O104" s="382"/>
    </row>
    <row r="105" spans="1:15" s="442" customFormat="1" ht="27.75">
      <c r="A105" s="1429" t="s">
        <v>77</v>
      </c>
      <c r="B105" s="1430"/>
      <c r="C105" s="1373"/>
      <c r="D105" s="622" t="s">
        <v>144</v>
      </c>
      <c r="E105" s="534">
        <f>'21'!F105</f>
        <v>35567</v>
      </c>
      <c r="F105" s="534">
        <v>35577</v>
      </c>
      <c r="G105" s="1360">
        <f t="shared" ref="G105:G106" si="11">F105-E105</f>
        <v>10</v>
      </c>
      <c r="H105" s="460">
        <f>SUM(G105+'1'!G77)</f>
        <v>60</v>
      </c>
      <c r="I105" s="532"/>
      <c r="J105" s="558">
        <f>H105/DAY(B2)</f>
        <v>2.7272727272727271</v>
      </c>
      <c r="N105" s="444"/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'21'!F106</f>
        <v>19362</v>
      </c>
      <c r="F106" s="532">
        <v>19368</v>
      </c>
      <c r="G106" s="1360">
        <f t="shared" si="11"/>
        <v>6</v>
      </c>
      <c r="H106" s="460">
        <f>SUM(G106+'1'!G78)</f>
        <v>401</v>
      </c>
      <c r="I106" s="532"/>
      <c r="J106" s="558">
        <f>H106/DAY(B2)</f>
        <v>18.227272727272727</v>
      </c>
      <c r="N106" s="444"/>
      <c r="O106" s="382"/>
    </row>
    <row r="107" spans="1:15" s="442" customFormat="1" ht="27.75">
      <c r="A107" s="1431" t="s">
        <v>202</v>
      </c>
      <c r="B107" s="1432"/>
      <c r="C107" s="1373"/>
      <c r="D107" s="622"/>
      <c r="E107" s="532">
        <f>'21'!F107</f>
        <v>0</v>
      </c>
      <c r="F107" s="532"/>
      <c r="G107" s="1360">
        <f>SUM(G104:G106)</f>
        <v>16</v>
      </c>
      <c r="H107" s="460">
        <f>SUM(G107+'1'!G79)</f>
        <v>210</v>
      </c>
      <c r="I107" s="532"/>
      <c r="J107" s="558">
        <f>H107/DAY(B2)</f>
        <v>9.545454545454545</v>
      </c>
      <c r="N107" s="444"/>
      <c r="O107" s="382"/>
    </row>
    <row r="108" spans="1:15" s="442" customFormat="1" ht="27.75">
      <c r="A108" s="1435" t="s">
        <v>79</v>
      </c>
      <c r="B108" s="1436"/>
      <c r="C108" s="1373"/>
      <c r="D108" s="622" t="s">
        <v>144</v>
      </c>
      <c r="E108" s="532">
        <f>'21'!F108</f>
        <v>0</v>
      </c>
      <c r="F108" s="532"/>
      <c r="G108" s="1360"/>
      <c r="H108" s="460"/>
      <c r="I108" s="532"/>
      <c r="J108" s="558"/>
      <c r="N108" s="444"/>
      <c r="O108" s="382"/>
    </row>
    <row r="109" spans="1:15" s="442" customFormat="1" ht="27.75">
      <c r="A109" s="1429" t="s">
        <v>220</v>
      </c>
      <c r="B109" s="1430"/>
      <c r="C109" s="1373"/>
      <c r="D109" s="622" t="s">
        <v>144</v>
      </c>
      <c r="E109" s="532">
        <f>'21'!F109</f>
        <v>57962</v>
      </c>
      <c r="F109" s="532">
        <v>58047</v>
      </c>
      <c r="G109" s="1360">
        <f>F109-E109</f>
        <v>85</v>
      </c>
      <c r="H109" s="460">
        <f>SUM(G109+'1'!G81)</f>
        <v>283</v>
      </c>
      <c r="I109" s="532"/>
      <c r="J109" s="558">
        <f>H109/DAY(B2)</f>
        <v>12.863636363636363</v>
      </c>
      <c r="N109" s="444"/>
      <c r="O109" s="382"/>
    </row>
    <row r="110" spans="1:15" s="442" customFormat="1" ht="27.75">
      <c r="A110" s="1429" t="s">
        <v>221</v>
      </c>
      <c r="B110" s="1430"/>
      <c r="C110" s="1373"/>
      <c r="D110" s="622" t="s">
        <v>144</v>
      </c>
      <c r="E110" s="532">
        <f>'21'!F110</f>
        <v>31357</v>
      </c>
      <c r="F110" s="532">
        <v>31393</v>
      </c>
      <c r="G110" s="1360">
        <f t="shared" ref="G110:G111" si="12">F110-E110</f>
        <v>36</v>
      </c>
      <c r="H110" s="460">
        <f>SUM(G110+'1'!G82)</f>
        <v>59</v>
      </c>
      <c r="I110" s="532"/>
      <c r="J110" s="558">
        <f>H110/DAY(B2)</f>
        <v>2.6818181818181817</v>
      </c>
      <c r="N110" s="444"/>
      <c r="O110" s="382"/>
    </row>
    <row r="111" spans="1:15" s="442" customFormat="1" ht="27.75">
      <c r="A111" s="1429" t="s">
        <v>222</v>
      </c>
      <c r="B111" s="1430"/>
      <c r="C111" s="1373"/>
      <c r="D111" s="622" t="s">
        <v>144</v>
      </c>
      <c r="E111" s="532">
        <f>'21'!F111</f>
        <v>4098</v>
      </c>
      <c r="F111" s="532">
        <v>4106</v>
      </c>
      <c r="G111" s="1360">
        <f t="shared" si="12"/>
        <v>8</v>
      </c>
      <c r="H111" s="460">
        <f>SUM(G111+'1'!G83)</f>
        <v>247</v>
      </c>
      <c r="I111" s="532"/>
      <c r="J111" s="558">
        <f>H111/DAY(B2)</f>
        <v>11.227272727272727</v>
      </c>
      <c r="N111" s="444"/>
      <c r="O111" s="382"/>
    </row>
    <row r="112" spans="1:15" s="442" customFormat="1" ht="27.75">
      <c r="A112" s="1433" t="s">
        <v>110</v>
      </c>
      <c r="B112" s="1434"/>
      <c r="C112" s="1373"/>
      <c r="D112" s="622"/>
      <c r="E112" s="532">
        <f>'21'!F112</f>
        <v>0</v>
      </c>
      <c r="F112" s="532"/>
      <c r="G112" s="1360">
        <f>SUM(G109:G111)</f>
        <v>129</v>
      </c>
      <c r="H112" s="460">
        <f>SUM(G112+'1'!G84)</f>
        <v>1044</v>
      </c>
      <c r="I112" s="532"/>
      <c r="J112" s="558">
        <f>H112/DAY(B2)</f>
        <v>47.454545454545453</v>
      </c>
      <c r="N112" s="444"/>
      <c r="O112" s="382"/>
    </row>
    <row r="113" spans="1:15" s="442" customFormat="1" ht="27.75">
      <c r="A113" s="1435" t="s">
        <v>223</v>
      </c>
      <c r="B113" s="1436"/>
      <c r="C113" s="1373"/>
      <c r="D113" s="622"/>
      <c r="E113" s="532">
        <f>'21'!F113</f>
        <v>0</v>
      </c>
      <c r="F113" s="532"/>
      <c r="G113" s="1360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4">
        <f>'21'!F114</f>
        <v>10665</v>
      </c>
      <c r="F114" s="534">
        <v>10679</v>
      </c>
      <c r="G114" s="1361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4">
        <f>'21'!F115</f>
        <v>7853</v>
      </c>
      <c r="F115" s="534">
        <v>7869</v>
      </c>
      <c r="G115" s="1361">
        <f t="shared" ref="G115:G116" si="13">F115-E115</f>
        <v>16</v>
      </c>
      <c r="H115" s="460">
        <f>SUM(G115+'1'!G92)</f>
        <v>108</v>
      </c>
      <c r="I115" s="532"/>
      <c r="J115" s="558">
        <f>H115/DAY(B2)</f>
        <v>4.9090909090909092</v>
      </c>
      <c r="N115" s="444"/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1361">
        <f t="shared" si="13"/>
        <v>0</v>
      </c>
      <c r="H116" s="460">
        <f>SUM(G116+'1'!G93)</f>
        <v>127</v>
      </c>
      <c r="I116" s="532"/>
      <c r="J116" s="558">
        <f>H116/DAY(B2)</f>
        <v>5.7727272727272725</v>
      </c>
      <c r="N116" s="444"/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1361">
        <f>SUM(G114:G116)</f>
        <v>30</v>
      </c>
      <c r="H117" s="460">
        <f>SUM(G117+'1'!G95)</f>
        <v>107</v>
      </c>
      <c r="I117" s="534"/>
      <c r="J117" s="558">
        <f>H117/DAY(B2)</f>
        <v>4.8636363636363633</v>
      </c>
      <c r="N117" s="447"/>
      <c r="O117" s="382"/>
    </row>
    <row r="118" spans="1:15" s="446" customFormat="1" ht="27.75">
      <c r="A118" s="1425" t="s">
        <v>227</v>
      </c>
      <c r="B118" s="1426"/>
      <c r="C118" s="1372"/>
      <c r="D118" s="624" t="s">
        <v>144</v>
      </c>
      <c r="E118" s="536"/>
      <c r="F118" s="536">
        <f>SUM(G19+G92)</f>
        <v>138</v>
      </c>
      <c r="G118" s="1361">
        <f>SUM(G19+G92)</f>
        <v>138</v>
      </c>
      <c r="H118" s="460">
        <f>SUM(G118+'1'!G96)</f>
        <v>155</v>
      </c>
      <c r="I118" s="535"/>
      <c r="J118" s="559">
        <f>H118/DAY(B2)</f>
        <v>7.0454545454545459</v>
      </c>
      <c r="N118" s="782"/>
      <c r="O118" s="382"/>
    </row>
    <row r="119" spans="1:15" s="446" customFormat="1" ht="27.75">
      <c r="A119" s="1425" t="s">
        <v>228</v>
      </c>
      <c r="B119" s="1426"/>
      <c r="C119" s="1372"/>
      <c r="D119" s="624" t="s">
        <v>144</v>
      </c>
      <c r="E119" s="536"/>
      <c r="F119" s="536">
        <f>SUM(G95,G96,G97,G99,G100)</f>
        <v>154</v>
      </c>
      <c r="G119" s="1361">
        <f>SUM(G95,G96,G97,G99,G100)</f>
        <v>154</v>
      </c>
      <c r="H119" s="460">
        <f>SUM(G119+'1'!G98)</f>
        <v>182</v>
      </c>
      <c r="I119" s="535"/>
      <c r="J119" s="559">
        <f>H119/DAY(B2)</f>
        <v>8.2727272727272734</v>
      </c>
      <c r="N119" s="782"/>
      <c r="O119" s="382"/>
    </row>
    <row r="120" spans="1:15" s="446" customFormat="1" ht="27.75">
      <c r="A120" s="1425" t="s">
        <v>229</v>
      </c>
      <c r="B120" s="1426"/>
      <c r="C120" s="1372"/>
      <c r="D120" s="624" t="s">
        <v>144</v>
      </c>
      <c r="E120" s="534"/>
      <c r="F120" s="534">
        <f>SUM(G112)</f>
        <v>129</v>
      </c>
      <c r="G120" s="1361">
        <f>SUM(G112)</f>
        <v>129</v>
      </c>
      <c r="H120" s="460">
        <f>SUM(G120+'1'!G100)</f>
        <v>135</v>
      </c>
      <c r="I120" s="535"/>
      <c r="J120" s="559">
        <f>H120/DAY(B2)</f>
        <v>6.1363636363636367</v>
      </c>
      <c r="N120" s="782"/>
      <c r="O120" s="382"/>
    </row>
    <row r="121" spans="1:15" s="442" customFormat="1" ht="27.75">
      <c r="A121" s="1427"/>
      <c r="B121" s="1428"/>
      <c r="C121" s="1373"/>
      <c r="D121" s="560"/>
      <c r="E121" s="560"/>
      <c r="F121" s="560" t="s">
        <v>215</v>
      </c>
      <c r="G121" s="1362"/>
      <c r="H121" s="561"/>
      <c r="I121" s="560"/>
      <c r="J121" s="562"/>
      <c r="N121" s="444"/>
      <c r="O121" s="382"/>
    </row>
    <row r="122" spans="1:15">
      <c r="A122" s="1462" t="s">
        <v>230</v>
      </c>
      <c r="B122" s="1463"/>
      <c r="C122" s="1464"/>
      <c r="D122" s="472"/>
      <c r="E122" s="472"/>
      <c r="F122" s="472"/>
      <c r="G122" s="1346"/>
      <c r="H122" s="483"/>
      <c r="I122" s="483"/>
      <c r="J122" s="563"/>
      <c r="K122" s="380"/>
      <c r="L122" s="377"/>
      <c r="N122" s="382"/>
      <c r="O122" s="382"/>
    </row>
    <row r="123" spans="1:15" ht="27.75">
      <c r="A123" s="1374" t="s">
        <v>231</v>
      </c>
      <c r="B123" s="1375"/>
      <c r="C123" s="1375"/>
      <c r="D123" s="523" t="s">
        <v>141</v>
      </c>
      <c r="E123" s="478">
        <f>'21'!F123</f>
        <v>816330.72</v>
      </c>
      <c r="F123" s="478">
        <v>816612.68</v>
      </c>
      <c r="G123" s="1343">
        <f t="shared" ref="G123:G127" si="14">F123-E123</f>
        <v>281.96000000007916</v>
      </c>
      <c r="H123" s="460">
        <f>G123+'21'!H123</f>
        <v>-2197.3199999999488</v>
      </c>
      <c r="I123" s="526"/>
      <c r="J123" s="552">
        <f>H123/DAY(B2)</f>
        <v>-99.878181818179485</v>
      </c>
      <c r="K123" s="380"/>
      <c r="L123" s="377"/>
      <c r="N123" s="382"/>
      <c r="O123" s="382"/>
    </row>
    <row r="124" spans="1:15" ht="27.75">
      <c r="A124" s="1374" t="s">
        <v>232</v>
      </c>
      <c r="B124" s="1375"/>
      <c r="C124" s="1375"/>
      <c r="D124" s="523" t="s">
        <v>141</v>
      </c>
      <c r="E124" s="626">
        <f>'21'!F124</f>
        <v>73583</v>
      </c>
      <c r="F124" s="626">
        <v>73583</v>
      </c>
      <c r="G124" s="1343">
        <f t="shared" si="14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78">
        <f>'21'!F125</f>
        <v>141381.29</v>
      </c>
      <c r="F125" s="478">
        <v>141446.48000000001</v>
      </c>
      <c r="G125" s="1343">
        <f t="shared" si="14"/>
        <v>65.190000000002328</v>
      </c>
      <c r="H125" s="460">
        <f>G125+'21'!H125</f>
        <v>-689.51999999998952</v>
      </c>
      <c r="I125" s="526"/>
      <c r="J125" s="552">
        <f>H125/DAY(B2)</f>
        <v>-31.341818181817704</v>
      </c>
      <c r="K125" s="380"/>
      <c r="L125" s="377"/>
      <c r="N125" s="382"/>
      <c r="O125" s="382"/>
    </row>
    <row r="126" spans="1:15" ht="27.75">
      <c r="A126" s="609" t="s">
        <v>234</v>
      </c>
      <c r="B126" s="1375"/>
      <c r="C126" s="1375"/>
      <c r="D126" s="523" t="s">
        <v>141</v>
      </c>
      <c r="E126" s="626">
        <f>'21'!F126</f>
        <v>59780.6</v>
      </c>
      <c r="F126" s="626">
        <v>59797.2</v>
      </c>
      <c r="G126" s="1343">
        <f t="shared" si="14"/>
        <v>16.599999999998545</v>
      </c>
      <c r="H126" s="460">
        <f>G126+'21'!H126</f>
        <v>28478.499999999996</v>
      </c>
      <c r="I126" s="526"/>
      <c r="J126" s="552">
        <f>H126/DAY(B2)</f>
        <v>1294.4772727272725</v>
      </c>
      <c r="K126" s="380"/>
      <c r="L126" s="377"/>
      <c r="N126" s="382"/>
      <c r="O126" s="382"/>
    </row>
    <row r="127" spans="1:15" ht="27.75">
      <c r="A127" s="609" t="s">
        <v>235</v>
      </c>
      <c r="B127" s="1375"/>
      <c r="C127" s="1375"/>
      <c r="D127" s="523" t="s">
        <v>141</v>
      </c>
      <c r="E127" s="626">
        <f>'21'!F127</f>
        <v>8940.9</v>
      </c>
      <c r="F127" s="626">
        <v>8942.5</v>
      </c>
      <c r="G127" s="1343">
        <f t="shared" si="14"/>
        <v>1.6000000000003638</v>
      </c>
      <c r="H127" s="460">
        <f>G127+'21'!H127</f>
        <v>-19.5</v>
      </c>
      <c r="I127" s="480"/>
      <c r="J127" s="552">
        <f>H127/DAY(B2)</f>
        <v>-0.88636363636363635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5"/>
      <c r="C128" s="1375"/>
      <c r="D128" s="523"/>
      <c r="E128" s="478"/>
      <c r="F128" s="478"/>
      <c r="G128" s="1343">
        <f>G15-SUM(G123:G127)</f>
        <v>584.44999999996617</v>
      </c>
      <c r="H128" s="460">
        <f>G128+'21'!H128</f>
        <v>3606.1509999998998</v>
      </c>
      <c r="I128" s="480"/>
      <c r="J128" s="552">
        <f>H128/DAY(B2)</f>
        <v>163.91595454544998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3"/>
      <c r="H129" s="540"/>
      <c r="I129" s="540"/>
      <c r="J129" s="564"/>
      <c r="N129" s="382"/>
      <c r="O129" s="382"/>
    </row>
    <row r="130" spans="1:15" ht="27.75">
      <c r="A130" s="1374" t="s">
        <v>238</v>
      </c>
      <c r="B130" s="1375"/>
      <c r="C130" s="1375"/>
      <c r="D130" s="523" t="s">
        <v>239</v>
      </c>
      <c r="E130" s="484">
        <f>'21'!F130</f>
        <v>0</v>
      </c>
      <c r="F130" s="484">
        <v>0</v>
      </c>
      <c r="G130" s="1343">
        <f t="shared" ref="G130:G140" si="15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4" t="s">
        <v>240</v>
      </c>
      <c r="B131" s="1375"/>
      <c r="C131" s="1375"/>
      <c r="D131" s="523" t="s">
        <v>239</v>
      </c>
      <c r="E131" s="484">
        <f>'21'!F131</f>
        <v>0</v>
      </c>
      <c r="F131" s="484">
        <v>0</v>
      </c>
      <c r="G131" s="1343">
        <f t="shared" si="15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4" t="s">
        <v>241</v>
      </c>
      <c r="B132" s="1375"/>
      <c r="C132" s="1375"/>
      <c r="D132" s="523" t="s">
        <v>239</v>
      </c>
      <c r="E132" s="541">
        <f>'21'!F132</f>
        <v>39293.5</v>
      </c>
      <c r="F132" s="541">
        <v>39317.72</v>
      </c>
      <c r="G132" s="1343">
        <f t="shared" si="15"/>
        <v>24.220000000001164</v>
      </c>
      <c r="H132" s="460">
        <f>G132+'21'!H132</f>
        <v>-224.61000000000058</v>
      </c>
      <c r="I132" s="480"/>
      <c r="J132" s="552">
        <f>H132/DAY(B2)</f>
        <v>-10.209545454545481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'21'!F133</f>
        <v>299.52</v>
      </c>
      <c r="F133" s="541">
        <v>299.52</v>
      </c>
      <c r="G133" s="1365">
        <f t="shared" si="15"/>
        <v>0</v>
      </c>
      <c r="H133" s="708">
        <f>G133+'21'!H133</f>
        <v>-0.48000000000001819</v>
      </c>
      <c r="I133" s="1076">
        <f>G130+G131+G132+G133</f>
        <v>24.220000000001164</v>
      </c>
      <c r="J133" s="710">
        <f>H133/DAY(B2)</f>
        <v>-2.1818181818182646E-2</v>
      </c>
      <c r="N133" s="716"/>
      <c r="O133" s="716"/>
    </row>
    <row r="134" spans="1:15" ht="27.75">
      <c r="A134" s="1374" t="s">
        <v>243</v>
      </c>
      <c r="B134" s="1375"/>
      <c r="C134" s="1375"/>
      <c r="D134" s="523" t="s">
        <v>239</v>
      </c>
      <c r="E134" s="541">
        <f>'21'!F134</f>
        <v>40802</v>
      </c>
      <c r="F134" s="541">
        <v>40802</v>
      </c>
      <c r="G134" s="1343">
        <f t="shared" si="15"/>
        <v>0</v>
      </c>
      <c r="H134" s="460">
        <f>G134+'21'!H134</f>
        <v>-37</v>
      </c>
      <c r="I134" s="480"/>
      <c r="J134" s="552">
        <f>H134/DAY(B2)</f>
        <v>-1.6818181818181819</v>
      </c>
      <c r="N134" s="382"/>
      <c r="O134" s="382"/>
    </row>
    <row r="135" spans="1:15" ht="27.75">
      <c r="A135" s="1374" t="s">
        <v>244</v>
      </c>
      <c r="B135" s="1375"/>
      <c r="C135" s="1375"/>
      <c r="D135" s="523" t="s">
        <v>239</v>
      </c>
      <c r="E135" s="541">
        <f>'21'!F135</f>
        <v>32582.92</v>
      </c>
      <c r="F135" s="541">
        <v>32582.93</v>
      </c>
      <c r="G135" s="1343">
        <f t="shared" si="15"/>
        <v>1.0000000002037268E-2</v>
      </c>
      <c r="H135" s="460">
        <f>G135+'21'!H135</f>
        <v>-6.9999999999708962E-2</v>
      </c>
      <c r="I135" s="480"/>
      <c r="J135" s="552">
        <f>H135/DAY(B2)</f>
        <v>-3.1818181818049529E-3</v>
      </c>
      <c r="N135" s="382"/>
      <c r="O135" s="382"/>
    </row>
    <row r="136" spans="1:15" ht="27.75">
      <c r="A136" s="1374" t="s">
        <v>245</v>
      </c>
      <c r="B136" s="1375"/>
      <c r="C136" s="1375"/>
      <c r="D136" s="523" t="s">
        <v>239</v>
      </c>
      <c r="E136" s="541">
        <f>'21'!F136</f>
        <v>22400.32</v>
      </c>
      <c r="F136" s="541">
        <v>22410.27</v>
      </c>
      <c r="G136" s="1343">
        <f t="shared" si="15"/>
        <v>9.9500000000007276</v>
      </c>
      <c r="H136" s="460">
        <f>G136+'21'!H136</f>
        <v>-78.380000000001019</v>
      </c>
      <c r="I136" s="480">
        <f>G134+G135+G136</f>
        <v>9.9600000000027649</v>
      </c>
      <c r="J136" s="552">
        <f>H136/DAY(B2)</f>
        <v>-3.5627272727273191</v>
      </c>
      <c r="N136" s="382"/>
      <c r="O136" s="382"/>
    </row>
    <row r="137" spans="1:15" ht="27.75">
      <c r="A137" s="1374" t="s">
        <v>246</v>
      </c>
      <c r="B137" s="1375"/>
      <c r="C137" s="1375"/>
      <c r="D137" s="523" t="s">
        <v>239</v>
      </c>
      <c r="E137" s="541">
        <f>'21'!F137</f>
        <v>25044.31</v>
      </c>
      <c r="F137" s="541">
        <v>25044.37</v>
      </c>
      <c r="G137" s="1343">
        <f t="shared" si="15"/>
        <v>5.9999999997671694E-2</v>
      </c>
      <c r="H137" s="460">
        <f>G137+'21'!H137</f>
        <v>-4.4200000000018917</v>
      </c>
      <c r="I137" s="480"/>
      <c r="J137" s="552">
        <f>H137/DAY(B2)</f>
        <v>-0.20090909090917689</v>
      </c>
      <c r="N137" s="382"/>
      <c r="O137" s="382"/>
    </row>
    <row r="138" spans="1:15" ht="27.75">
      <c r="A138" s="1374" t="s">
        <v>247</v>
      </c>
      <c r="B138" s="1375"/>
      <c r="C138" s="1375"/>
      <c r="D138" s="523" t="s">
        <v>239</v>
      </c>
      <c r="E138" s="541">
        <f>'21'!F138</f>
        <v>70231.600000000006</v>
      </c>
      <c r="F138" s="541">
        <v>70235.37</v>
      </c>
      <c r="G138" s="1343">
        <f t="shared" si="15"/>
        <v>3.7699999999895226</v>
      </c>
      <c r="H138" s="460">
        <f>G138+'21'!H138</f>
        <v>-18.660000000003492</v>
      </c>
      <c r="I138" s="480">
        <f>G137+G138</f>
        <v>3.8299999999871943</v>
      </c>
      <c r="J138" s="552">
        <f>H138/DAY(B2)</f>
        <v>-0.84818181818197691</v>
      </c>
      <c r="N138" s="382"/>
      <c r="O138" s="382"/>
    </row>
    <row r="139" spans="1:15" ht="27.75">
      <c r="A139" s="1374" t="s">
        <v>248</v>
      </c>
      <c r="B139" s="1375"/>
      <c r="C139" s="1375"/>
      <c r="D139" s="523" t="s">
        <v>239</v>
      </c>
      <c r="E139" s="484">
        <f>'21'!F139</f>
        <v>1536.52</v>
      </c>
      <c r="F139" s="484">
        <v>1536.52</v>
      </c>
      <c r="G139" s="1343">
        <f t="shared" si="15"/>
        <v>0</v>
      </c>
      <c r="H139" s="460">
        <f>G139+'21'!H139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374" t="s">
        <v>249</v>
      </c>
      <c r="B140" s="1375"/>
      <c r="C140" s="1375"/>
      <c r="D140" s="523" t="s">
        <v>239</v>
      </c>
      <c r="E140" s="484">
        <f>'21'!F140</f>
        <v>4380.67</v>
      </c>
      <c r="F140" s="484">
        <v>4389.92</v>
      </c>
      <c r="G140" s="1343">
        <f t="shared" si="15"/>
        <v>9.25</v>
      </c>
      <c r="H140" s="460">
        <f>G140+'21'!H140</f>
        <v>-78.619999999999891</v>
      </c>
      <c r="I140" s="542"/>
      <c r="J140" s="552">
        <f>H140/DAY(B2)</f>
        <v>-3.5736363636363588</v>
      </c>
      <c r="N140" s="382"/>
      <c r="O140" s="382"/>
    </row>
    <row r="141" spans="1:15">
      <c r="A141" s="1443" t="s">
        <v>250</v>
      </c>
      <c r="B141" s="1444"/>
      <c r="C141" s="1380"/>
      <c r="D141" s="472"/>
      <c r="E141" s="472"/>
      <c r="F141" s="472"/>
      <c r="G141" s="1346"/>
      <c r="H141" s="483"/>
      <c r="I141" s="483"/>
      <c r="J141" s="563"/>
      <c r="K141" s="380"/>
      <c r="L141" s="377"/>
      <c r="N141" s="382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1356">
        <f>G35+G43+G49+G57</f>
        <v>5737.3099999999395</v>
      </c>
      <c r="H142" s="460">
        <f>G142+'21'!H142</f>
        <v>-55033.570000000065</v>
      </c>
      <c r="I142" s="480"/>
      <c r="J142" s="552">
        <f>H142/DAY(B2)</f>
        <v>-2501.5259090909121</v>
      </c>
      <c r="K142" s="380"/>
      <c r="L142" s="377"/>
      <c r="N142" s="382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1366">
        <f>G142/G7</f>
        <v>0.26496605551193553</v>
      </c>
      <c r="H143" s="460">
        <f>G143+'21'!H143</f>
        <v>5.9077494318180293</v>
      </c>
      <c r="I143" s="544"/>
      <c r="J143" s="552">
        <f>H143/DAY(B2)</f>
        <v>0.26853406508263772</v>
      </c>
      <c r="K143" s="380"/>
      <c r="L143" s="377"/>
      <c r="N143" s="382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1356">
        <f>G41+G42+G55+G56</f>
        <v>5689.2200000000012</v>
      </c>
      <c r="H144" s="460">
        <f>G144+'21'!H144</f>
        <v>-53883.789999999986</v>
      </c>
      <c r="I144" s="480"/>
      <c r="J144" s="552">
        <f>H144/DAY(B2)</f>
        <v>-2449.2631818181812</v>
      </c>
      <c r="K144" s="380"/>
      <c r="L144" s="377"/>
      <c r="N144" s="382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1366">
        <f>G144/G7</f>
        <v>0.26274511615018709</v>
      </c>
      <c r="H145" s="460">
        <f>G145+'21'!H145</f>
        <v>5.7358543066833105</v>
      </c>
      <c r="I145" s="544"/>
      <c r="J145" s="552">
        <f>H145/DAY(B2)</f>
        <v>0.26072065030378683</v>
      </c>
      <c r="K145" s="380"/>
      <c r="L145" s="377"/>
      <c r="N145" s="382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1356">
        <f>G39+G53</f>
        <v>4335.3999999999796</v>
      </c>
      <c r="H146" s="460">
        <f>G146+'21'!H146</f>
        <v>-38254.320000000022</v>
      </c>
      <c r="I146" s="545"/>
      <c r="J146" s="552">
        <f>H146/DAY(B2)</f>
        <v>-1738.8327272727283</v>
      </c>
      <c r="K146" s="380"/>
      <c r="L146" s="377"/>
      <c r="N146" s="382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1366">
        <f>G146/G7</f>
        <v>0.20022167828938159</v>
      </c>
      <c r="H147" s="460">
        <f>G147+'21'!H147</f>
        <v>4.2868678382173915</v>
      </c>
      <c r="I147" s="545"/>
      <c r="J147" s="552">
        <f>H147/DAY(B2)</f>
        <v>0.19485762900988143</v>
      </c>
      <c r="N147" s="382"/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1356">
        <f>G38+G52</f>
        <v>1793.5399999999936</v>
      </c>
      <c r="H148" s="460">
        <f>G148+'21'!H148</f>
        <v>-16891.230000000054</v>
      </c>
      <c r="I148" s="480"/>
      <c r="J148" s="552">
        <f>H148/DAY(B2)</f>
        <v>-767.78318181818429</v>
      </c>
      <c r="K148" s="381"/>
      <c r="N148" s="382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1366">
        <f>G148/G7</f>
        <v>8.2831016487322481E-2</v>
      </c>
      <c r="H149" s="460">
        <f>G149+'21'!H149</f>
        <v>1.8670475778173019</v>
      </c>
      <c r="I149" s="545"/>
      <c r="J149" s="552">
        <f>H149/DAY(B2)</f>
        <v>8.4865798991695537E-2</v>
      </c>
      <c r="N149" s="382"/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1356">
        <f>G36+G50</f>
        <v>1912.5999999999767</v>
      </c>
      <c r="H150" s="460">
        <f>G150+'21'!H150</f>
        <v>-18465.140000000014</v>
      </c>
      <c r="I150" s="545"/>
      <c r="J150" s="552">
        <f>H150/DAY(B2)</f>
        <v>-839.32454545454607</v>
      </c>
      <c r="N150" s="382"/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1366">
        <f>G150/G7</f>
        <v>8.8329561723547625E-2</v>
      </c>
      <c r="H151" s="460">
        <f>G151+'21'!H151</f>
        <v>1.9663014242369228</v>
      </c>
      <c r="I151" s="480"/>
      <c r="J151" s="552">
        <f>H151/DAY(B2)</f>
        <v>8.9377337465314677E-2</v>
      </c>
      <c r="N151" s="382"/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1356">
        <f>G37+G51</f>
        <v>1553.1800000000003</v>
      </c>
      <c r="H152" s="460">
        <f>G152+'21'!H152</f>
        <v>-13526.050000000003</v>
      </c>
      <c r="I152" s="480"/>
      <c r="J152" s="552">
        <f>H152/DAY(B2)</f>
        <v>-614.82045454545471</v>
      </c>
      <c r="N152" s="382"/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1367">
        <f>G152/G7</f>
        <v>7.1730476146492417E-2</v>
      </c>
      <c r="H153" s="460">
        <f>G153+'21'!H153</f>
        <v>1.5467830224386501</v>
      </c>
      <c r="I153" s="568"/>
      <c r="J153" s="569">
        <f>H153/DAY(B2)</f>
        <v>7.0308319201756828E-2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8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'21'!F160</f>
        <v>32585.17</v>
      </c>
      <c r="F160" s="661">
        <v>32670.01</v>
      </c>
      <c r="G160" s="1343">
        <f t="shared" ref="G160:G163" si="16">F160-E160</f>
        <v>84.840000000000146</v>
      </c>
      <c r="H160" s="538">
        <v>68.809999999999491</v>
      </c>
    </row>
    <row r="161" spans="1:8">
      <c r="A161" s="788" t="s">
        <v>264</v>
      </c>
      <c r="B161" s="789"/>
      <c r="C161" s="789"/>
      <c r="D161" s="511" t="s">
        <v>187</v>
      </c>
      <c r="E161" s="661">
        <f>'21'!F161</f>
        <v>64409.64</v>
      </c>
      <c r="F161" s="661">
        <v>64846.5</v>
      </c>
      <c r="G161" s="1343">
        <f t="shared" si="16"/>
        <v>436.86000000000058</v>
      </c>
      <c r="H161" s="538">
        <v>128.56999999999994</v>
      </c>
    </row>
    <row r="162" spans="1:8">
      <c r="A162" s="788" t="s">
        <v>265</v>
      </c>
      <c r="B162" s="789"/>
      <c r="C162" s="789"/>
      <c r="D162" s="511" t="s">
        <v>187</v>
      </c>
      <c r="E162" s="661">
        <f>'21'!F162</f>
        <v>26634.460999999999</v>
      </c>
      <c r="F162" s="661">
        <v>26911.05</v>
      </c>
      <c r="G162" s="1343">
        <f t="shared" si="16"/>
        <v>276.58899999999994</v>
      </c>
      <c r="H162" s="538">
        <v>141.49</v>
      </c>
    </row>
    <row r="163" spans="1:8">
      <c r="A163" s="788" t="s">
        <v>266</v>
      </c>
      <c r="B163" s="789"/>
      <c r="C163" s="789"/>
      <c r="D163" s="511" t="s">
        <v>187</v>
      </c>
      <c r="E163" s="661">
        <f>'21'!F163</f>
        <v>5675.94</v>
      </c>
      <c r="F163" s="661">
        <v>5684.29</v>
      </c>
      <c r="G163" s="1343">
        <f t="shared" si="16"/>
        <v>8.3500000000003638</v>
      </c>
      <c r="H163" s="538">
        <v>45.430000000000007</v>
      </c>
    </row>
    <row r="164" spans="1:8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3">
        <f t="shared" ref="G164:G171" si="17">F164-E164</f>
        <v>-0.10000000000218279</v>
      </c>
      <c r="H164" s="538">
        <v>0</v>
      </c>
    </row>
    <row r="165" spans="1:8">
      <c r="A165" s="790" t="s">
        <v>188</v>
      </c>
      <c r="B165" s="604"/>
      <c r="C165" s="604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3">
        <f t="shared" si="17"/>
        <v>10.669999999999845</v>
      </c>
      <c r="H165" s="538">
        <v>0</v>
      </c>
    </row>
    <row r="166" spans="1:8" ht="27.75">
      <c r="A166" s="1412" t="s">
        <v>99</v>
      </c>
      <c r="B166" s="1412"/>
      <c r="C166" s="1412"/>
      <c r="D166" s="523" t="s">
        <v>187</v>
      </c>
      <c r="E166" s="514">
        <f t="shared" si="18"/>
        <v>134362</v>
      </c>
      <c r="F166" s="514">
        <f t="shared" si="19"/>
        <v>134920</v>
      </c>
      <c r="G166" s="1343">
        <f t="shared" si="17"/>
        <v>558</v>
      </c>
      <c r="H166" s="538">
        <v>178.5199999999968</v>
      </c>
    </row>
    <row r="167" spans="1:8" ht="27.75">
      <c r="A167" s="1412" t="s">
        <v>100</v>
      </c>
      <c r="B167" s="1412"/>
      <c r="C167" s="1412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3">
        <f t="shared" si="17"/>
        <v>383.07999999998719</v>
      </c>
      <c r="H167" s="538">
        <v>198.38999999999942</v>
      </c>
    </row>
    <row r="168" spans="1:8" ht="27.75">
      <c r="A168" s="1412" t="s">
        <v>101</v>
      </c>
      <c r="B168" s="1412"/>
      <c r="C168" s="1412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3">
        <f t="shared" si="17"/>
        <v>392.26000000000204</v>
      </c>
      <c r="H168" s="538">
        <v>226.35000000000582</v>
      </c>
    </row>
    <row r="169" spans="1:8" ht="27.75">
      <c r="A169" s="1412" t="s">
        <v>102</v>
      </c>
      <c r="B169" s="1412"/>
      <c r="C169" s="1412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3">
        <f t="shared" si="17"/>
        <v>690.51999999998952</v>
      </c>
      <c r="H169" s="538">
        <v>312.47000000000116</v>
      </c>
    </row>
    <row r="170" spans="1:8" ht="27.75">
      <c r="A170" s="1412" t="s">
        <v>103</v>
      </c>
      <c r="B170" s="1412"/>
      <c r="C170" s="1412"/>
      <c r="D170" s="523" t="s">
        <v>187</v>
      </c>
      <c r="E170" s="514">
        <f t="shared" si="18"/>
        <v>70485</v>
      </c>
      <c r="F170" s="514">
        <f t="shared" si="19"/>
        <v>70793</v>
      </c>
      <c r="G170" s="1343">
        <f t="shared" si="17"/>
        <v>308</v>
      </c>
      <c r="H170" s="538">
        <v>142.1200000000008</v>
      </c>
    </row>
    <row r="171" spans="1:8" ht="27.75">
      <c r="A171" s="1412" t="s">
        <v>104</v>
      </c>
      <c r="B171" s="1412"/>
      <c r="C171" s="1412"/>
      <c r="D171" s="523" t="s">
        <v>187</v>
      </c>
      <c r="E171" s="514">
        <f t="shared" si="18"/>
        <v>71182.59</v>
      </c>
      <c r="F171" s="514">
        <f t="shared" si="19"/>
        <v>71492.41</v>
      </c>
      <c r="G171" s="1343">
        <f t="shared" si="17"/>
        <v>309.82000000000698</v>
      </c>
      <c r="H171" s="538">
        <v>12.869999999998981</v>
      </c>
    </row>
    <row r="172" spans="1:8">
      <c r="G172" s="1369">
        <f>SUM(G160:G171)</f>
        <v>3458.8889999999847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Normal="80" zoomScaleSheetLayoutView="70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44" t="s">
        <v>117</v>
      </c>
      <c r="B1" s="1545"/>
      <c r="C1" s="1545"/>
      <c r="D1" s="1545"/>
      <c r="E1" s="1545"/>
      <c r="F1" s="1545"/>
      <c r="G1" s="1545"/>
      <c r="H1" s="1545"/>
      <c r="I1" s="1545"/>
      <c r="J1" s="1546"/>
      <c r="K1" s="809">
        <v>10002.799999999999</v>
      </c>
    </row>
    <row r="2" spans="1:15">
      <c r="A2" s="810" t="s">
        <v>315</v>
      </c>
      <c r="B2" s="1081">
        <v>44278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547" t="s">
        <v>121</v>
      </c>
      <c r="F3" s="154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41" t="s">
        <v>130</v>
      </c>
      <c r="B6" s="1542"/>
      <c r="C6" s="154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4914463</v>
      </c>
      <c r="F7" s="843">
        <v>4935396</v>
      </c>
      <c r="G7" s="844">
        <f>F7-E7</f>
        <v>20933</v>
      </c>
      <c r="H7" s="845">
        <f>G7+'22'!H7</f>
        <v>-178527</v>
      </c>
      <c r="I7" s="846">
        <f>'1'!I7</f>
        <v>12000</v>
      </c>
      <c r="J7" s="847">
        <f>H7/DAY(B2)</f>
        <v>-7762.04347826087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4944984</v>
      </c>
      <c r="F8" s="854">
        <v>4966008</v>
      </c>
      <c r="G8" s="855">
        <f>F8-E8</f>
        <v>21024</v>
      </c>
      <c r="H8" s="845">
        <f>G8+'22'!H8</f>
        <v>-179310</v>
      </c>
      <c r="I8" s="856">
        <f>'1'!I8</f>
        <v>12000</v>
      </c>
      <c r="J8" s="847">
        <f>H8/DAY(B2)</f>
        <v>-7796.086956521739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202890.33</v>
      </c>
      <c r="F9" s="861">
        <v>223132</v>
      </c>
      <c r="G9" s="844">
        <f t="shared" ref="G9:G12" si="0">F9-E9</f>
        <v>20241.670000000013</v>
      </c>
      <c r="H9" s="845">
        <f>G9+'22'!H9</f>
        <v>-172937</v>
      </c>
      <c r="I9" s="862">
        <f>I8-J8</f>
        <v>19796.08695652174</v>
      </c>
      <c r="J9" s="847">
        <f>H9/DAY(B2)</f>
        <v>-7519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2324.48</v>
      </c>
      <c r="F10" s="861">
        <v>2324</v>
      </c>
      <c r="G10" s="844">
        <f t="shared" si="0"/>
        <v>-0.48000000000001819</v>
      </c>
      <c r="H10" s="845">
        <f>G10+'22'!H10</f>
        <v>358433.47000000003</v>
      </c>
      <c r="I10" s="864"/>
      <c r="J10" s="847">
        <f>H10/DAY(B2)</f>
        <v>15584.063913043479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20241.190000000013</v>
      </c>
      <c r="H13" s="845">
        <f>G13+'22'!H13</f>
        <v>164502.47000000003</v>
      </c>
      <c r="I13" s="868">
        <f>G7-G13</f>
        <v>691.80999999998676</v>
      </c>
      <c r="J13" s="847">
        <f>H13/DAY(B2)</f>
        <v>7152.2813043478272</v>
      </c>
      <c r="K13" s="863"/>
      <c r="L13" s="822"/>
      <c r="O13" s="849"/>
    </row>
    <row r="14" spans="1:15">
      <c r="A14" s="1535" t="s">
        <v>139</v>
      </c>
      <c r="B14" s="1536"/>
      <c r="C14" s="153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1638968.77</v>
      </c>
      <c r="F15" s="1278">
        <v>1639882</v>
      </c>
      <c r="G15" s="1020">
        <f>(F15-E15)</f>
        <v>913.22999999998137</v>
      </c>
      <c r="H15" s="845">
        <f>G15+'22'!H15</f>
        <v>-6807</v>
      </c>
      <c r="I15" s="846">
        <f>'1'!I15</f>
        <v>800</v>
      </c>
      <c r="J15" s="847">
        <f>H15/DAY(B2)</f>
        <v>-295.95652173913044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1095.9565217391305</v>
      </c>
      <c r="J16" s="880"/>
      <c r="K16" s="863"/>
      <c r="L16" s="822"/>
      <c r="O16" s="849"/>
    </row>
    <row r="17" spans="1:15">
      <c r="A17" s="1535" t="s">
        <v>142</v>
      </c>
      <c r="B17" s="1536"/>
      <c r="C17" s="1537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517" t="s">
        <v>143</v>
      </c>
      <c r="B18" s="1518"/>
      <c r="C18" s="1519"/>
      <c r="D18" s="842" t="s">
        <v>144</v>
      </c>
      <c r="E18" s="843">
        <f>'22'!F18</f>
        <v>12</v>
      </c>
      <c r="F18" s="873">
        <v>10</v>
      </c>
      <c r="G18" s="867">
        <f>F18*10</f>
        <v>100</v>
      </c>
      <c r="H18" s="845">
        <f>G18+'22'!H18</f>
        <v>2690</v>
      </c>
      <c r="I18" s="846">
        <f>'1'!I18</f>
        <v>65</v>
      </c>
      <c r="J18" s="847">
        <f>H18/DAY(B2)</f>
        <v>116.95652173913044</v>
      </c>
      <c r="K18" s="863"/>
      <c r="L18" s="822"/>
      <c r="O18" s="849"/>
    </row>
    <row r="19" spans="1:15">
      <c r="A19" s="1517" t="s">
        <v>71</v>
      </c>
      <c r="B19" s="1518"/>
      <c r="C19" s="1519"/>
      <c r="D19" s="842" t="s">
        <v>144</v>
      </c>
      <c r="E19" s="843">
        <f>'22'!F19</f>
        <v>135617</v>
      </c>
      <c r="F19" s="873">
        <v>135669</v>
      </c>
      <c r="G19" s="844">
        <f t="shared" ref="G19" si="1">F19-E19</f>
        <v>52</v>
      </c>
      <c r="H19" s="845">
        <f>G19+'22'!H19</f>
        <v>-421</v>
      </c>
      <c r="I19" s="846">
        <f>'1'!I19</f>
        <v>0</v>
      </c>
      <c r="J19" s="847">
        <f>H19/DAY(B2)</f>
        <v>-18.304347826086957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152</v>
      </c>
      <c r="H20" s="845">
        <f>G20+'22'!H20</f>
        <v>2269</v>
      </c>
      <c r="I20" s="885">
        <f>I18-J20</f>
        <v>-33.652173913043484</v>
      </c>
      <c r="J20" s="847">
        <f>H20/DAY(B2)</f>
        <v>98.652173913043484</v>
      </c>
      <c r="K20" s="863"/>
      <c r="L20" s="822"/>
      <c r="N20" s="1011">
        <f>N19-F19</f>
        <v>-9498</v>
      </c>
      <c r="O20" s="849"/>
    </row>
    <row r="21" spans="1:15">
      <c r="A21" s="1535" t="s">
        <v>146</v>
      </c>
      <c r="B21" s="1536"/>
      <c r="C21" s="153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541" t="s">
        <v>151</v>
      </c>
      <c r="B25" s="1542"/>
      <c r="C25" s="154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21024</v>
      </c>
      <c r="F27" s="501">
        <v>9</v>
      </c>
      <c r="G27" s="905">
        <f>E27*F27</f>
        <v>189216</v>
      </c>
      <c r="H27" s="845">
        <f>G27+'22'!H27</f>
        <v>-1613790</v>
      </c>
      <c r="I27" s="906"/>
      <c r="J27" s="847">
        <f>H27/DAY(B2)</f>
        <v>-70164.782608695648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913.22999999998137</v>
      </c>
      <c r="F28" s="501">
        <v>51.45</v>
      </c>
      <c r="G28" s="905">
        <f>E28*F28</f>
        <v>46985.683499999046</v>
      </c>
      <c r="H28" s="845">
        <f>G28+'22'!H28</f>
        <v>-350220.14999999997</v>
      </c>
      <c r="I28" s="907"/>
      <c r="J28" s="847">
        <f>H28/DAY(B2)</f>
        <v>-15226.963043478259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52</v>
      </c>
      <c r="F30" s="904">
        <v>134</v>
      </c>
      <c r="G30" s="905">
        <f>E30*F30</f>
        <v>6968</v>
      </c>
      <c r="H30" s="845">
        <f>G30+'22'!H30</f>
        <v>-55046</v>
      </c>
      <c r="I30" s="907"/>
      <c r="J30" s="847">
        <f>H30/DAY(B2)</f>
        <v>-2393.304347826087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G31+'22'!H31</f>
        <v>215200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251169.68349999905</v>
      </c>
      <c r="H32" s="845">
        <f>G32+'22'!H32</f>
        <v>-1803856.1500000001</v>
      </c>
      <c r="I32" s="913"/>
      <c r="J32" s="847">
        <f>H32/DAY(B2)</f>
        <v>-78428.528260869571</v>
      </c>
      <c r="K32" s="863"/>
      <c r="L32" s="893"/>
      <c r="N32" s="1012"/>
      <c r="O32" s="849"/>
    </row>
    <row r="33" spans="1:15" ht="18.75">
      <c r="A33" s="1538" t="s">
        <v>162</v>
      </c>
      <c r="B33" s="1539"/>
      <c r="C33" s="1539"/>
      <c r="D33" s="1539"/>
      <c r="E33" s="1539"/>
      <c r="F33" s="1539"/>
      <c r="G33" s="1539"/>
      <c r="H33" s="1539"/>
      <c r="I33" s="1539"/>
      <c r="J33" s="1540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768270.47</v>
      </c>
      <c r="F35" s="916">
        <v>771551</v>
      </c>
      <c r="G35" s="844">
        <f t="shared" ref="G35:G46" si="3">F35-E35</f>
        <v>3280.5300000000279</v>
      </c>
      <c r="H35" s="845">
        <f>G35+'22'!H35</f>
        <v>-26838</v>
      </c>
      <c r="I35" s="843"/>
      <c r="J35" s="847">
        <f>H35/DAY(B2)</f>
        <v>-1166.8695652173913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310776.11</v>
      </c>
      <c r="F36" s="916">
        <v>311397</v>
      </c>
      <c r="G36" s="844">
        <f t="shared" si="3"/>
        <v>620.89000000001397</v>
      </c>
      <c r="H36" s="845">
        <f>G36+'22'!H36</f>
        <v>-6039</v>
      </c>
      <c r="I36" s="843"/>
      <c r="J36" s="847">
        <f>H36/DAY(B2)</f>
        <v>-262.56521739130437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41271.08</v>
      </c>
      <c r="F37" s="916">
        <v>42759</v>
      </c>
      <c r="G37" s="844">
        <f t="shared" si="3"/>
        <v>1487.9199999999983</v>
      </c>
      <c r="H37" s="845">
        <f>G37+'22'!H37</f>
        <v>-12038</v>
      </c>
      <c r="I37" s="843"/>
      <c r="J37" s="847">
        <f>H37/DAY(B2)</f>
        <v>-523.39130434782612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55418.7</v>
      </c>
      <c r="F38" s="832">
        <v>57242</v>
      </c>
      <c r="G38" s="844">
        <f t="shared" si="3"/>
        <v>1823.3000000000029</v>
      </c>
      <c r="H38" s="845">
        <f>G38+'22'!H38</f>
        <v>-15066</v>
      </c>
      <c r="I38" s="843"/>
      <c r="J38" s="847">
        <f>H38/DAY(B2)</f>
        <v>-655.04347826086962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116398.21</v>
      </c>
      <c r="F39" s="916">
        <v>120519</v>
      </c>
      <c r="G39" s="844">
        <f t="shared" si="3"/>
        <v>4120.7899999999936</v>
      </c>
      <c r="H39" s="845">
        <f>G39+'22'!H39</f>
        <v>-32303</v>
      </c>
      <c r="I39" s="843"/>
      <c r="J39" s="847">
        <f>H39/DAY(B2)</f>
        <v>-1404.4782608695652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0.23</v>
      </c>
      <c r="F40" s="916">
        <v>0.23</v>
      </c>
      <c r="G40" s="844">
        <f t="shared" si="3"/>
        <v>0</v>
      </c>
      <c r="H40" s="845">
        <f>G40+'22'!H40</f>
        <v>0.34</v>
      </c>
      <c r="I40" s="843"/>
      <c r="J40" s="847">
        <f>H40/DAY(B2)</f>
        <v>1.4782608695652176E-2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86446.07</v>
      </c>
      <c r="F41" s="916">
        <v>91684</v>
      </c>
      <c r="G41" s="844">
        <f t="shared" si="3"/>
        <v>5237.929999999993</v>
      </c>
      <c r="H41" s="845">
        <f>G41+'22'!H41</f>
        <v>-41457</v>
      </c>
      <c r="I41" s="843"/>
      <c r="J41" s="847">
        <f>H41/DAY(B2)</f>
        <v>-1802.4782608695652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59128.6</v>
      </c>
      <c r="F42" s="916">
        <v>59128.6</v>
      </c>
      <c r="G42" s="844">
        <f t="shared" si="3"/>
        <v>0</v>
      </c>
      <c r="H42" s="845">
        <f>G42+'22'!H42</f>
        <v>0.43999999999505235</v>
      </c>
      <c r="I42" s="843"/>
      <c r="J42" s="847">
        <f>H42/DAY(B2)</f>
        <v>1.9130434782393579E-2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879448.47</v>
      </c>
      <c r="F43" s="916">
        <v>881807</v>
      </c>
      <c r="G43" s="844">
        <f t="shared" si="3"/>
        <v>2358.5300000000279</v>
      </c>
      <c r="H43" s="845">
        <f>G43+'22'!H43</f>
        <v>-20241</v>
      </c>
      <c r="I43" s="843"/>
      <c r="J43" s="847">
        <f>H43/DAY(B2)</f>
        <v>-880.04347826086962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614</v>
      </c>
      <c r="F45" s="916">
        <v>614</v>
      </c>
      <c r="G45" s="844">
        <f t="shared" si="3"/>
        <v>0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187.44</v>
      </c>
      <c r="F46" s="916">
        <v>187</v>
      </c>
      <c r="G46" s="844">
        <f t="shared" si="3"/>
        <v>-0.43999999999999773</v>
      </c>
      <c r="H46" s="845">
        <f>G46+'22'!H46</f>
        <v>187</v>
      </c>
      <c r="I46" s="843"/>
      <c r="J46" s="847">
        <f>H46/DAY(B2)</f>
        <v>8.1304347826086953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18929.450000000059</v>
      </c>
      <c r="H47" s="845">
        <f>G47+'22'!H47</f>
        <v>-153180.22000000003</v>
      </c>
      <c r="I47" s="843"/>
      <c r="J47" s="847">
        <f>H47/DAY(B2)</f>
        <v>-6660.0095652173923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</v>
      </c>
      <c r="G49" s="844">
        <f t="shared" ref="G49:G58" si="4">F49-E49</f>
        <v>-0.13000000000465661</v>
      </c>
      <c r="H49" s="845">
        <f>G49+'22'!H49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429426.75</v>
      </c>
      <c r="F50" s="916">
        <v>430608</v>
      </c>
      <c r="G50" s="844">
        <f t="shared" si="4"/>
        <v>1181.25</v>
      </c>
      <c r="H50" s="845">
        <f>G50+'22'!H50</f>
        <v>-11818</v>
      </c>
      <c r="I50" s="843"/>
      <c r="J50" s="847">
        <f>H50/DAY(B2)</f>
        <v>-513.82608695652175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144639.87</v>
      </c>
      <c r="F51" s="916">
        <v>144639.87</v>
      </c>
      <c r="G51" s="844">
        <f t="shared" si="4"/>
        <v>0</v>
      </c>
      <c r="H51" s="845">
        <f>G51+'22'!H51</f>
        <v>-1549.1300000000047</v>
      </c>
      <c r="I51" s="843"/>
      <c r="J51" s="847">
        <f>H51/DAY(B2)</f>
        <v>-67.353478260869764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</v>
      </c>
      <c r="G52" s="844">
        <f t="shared" si="4"/>
        <v>-6.9999999948777258E-2</v>
      </c>
      <c r="H52" s="845">
        <f>G52+'22'!H52</f>
        <v>-2048</v>
      </c>
      <c r="I52" s="843"/>
      <c r="J52" s="847">
        <f>H52/DAY(B2)</f>
        <v>-89.043478260869563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399433.47</v>
      </c>
      <c r="F53" s="916">
        <v>399433.47</v>
      </c>
      <c r="G53" s="844">
        <f t="shared" si="4"/>
        <v>0</v>
      </c>
      <c r="H53" s="845">
        <f>G53+'22'!H53</f>
        <v>-6015.5300000000279</v>
      </c>
      <c r="I53" s="843"/>
      <c r="J53" s="847">
        <f>H53/DAY(B2)</f>
        <v>-261.54478260869689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8510.86</v>
      </c>
      <c r="F54" s="916">
        <v>8587</v>
      </c>
      <c r="G54" s="844">
        <f t="shared" si="4"/>
        <v>76.139999999999418</v>
      </c>
      <c r="H54" s="845">
        <f>G54+'22'!H54</f>
        <v>2430.0400000000009</v>
      </c>
      <c r="I54" s="843"/>
      <c r="J54" s="847">
        <f>H54/DAY(B2)</f>
        <v>105.6539130434783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208980.55</v>
      </c>
      <c r="F55" s="916">
        <v>208980.55</v>
      </c>
      <c r="G55" s="844">
        <f t="shared" si="4"/>
        <v>0</v>
      </c>
      <c r="H55" s="845">
        <f>G55+'22'!H55</f>
        <v>-12115.450000000012</v>
      </c>
      <c r="I55" s="843"/>
      <c r="J55" s="847">
        <f>H55/DAY(B2)</f>
        <v>-526.75869565217442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588894.15</v>
      </c>
      <c r="F56" s="916">
        <v>588894</v>
      </c>
      <c r="G56" s="844">
        <f t="shared" si="4"/>
        <v>-0.15000000002328306</v>
      </c>
      <c r="H56" s="845">
        <f>G56+'22'!H56</f>
        <v>-73</v>
      </c>
      <c r="I56" s="843"/>
      <c r="J56" s="847">
        <f>H56/DAY(B2)</f>
        <v>-3.1739130434782608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39888.43</v>
      </c>
      <c r="F58" s="916">
        <v>40079</v>
      </c>
      <c r="G58" s="844">
        <f t="shared" si="4"/>
        <v>190.56999999999971</v>
      </c>
      <c r="H58" s="845">
        <f>G58+'22'!H58</f>
        <v>-1664</v>
      </c>
      <c r="I58" s="843"/>
      <c r="J58" s="847">
        <f>H58/DAY(B2)</f>
        <v>-72.347826086956516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1447.6100000000224</v>
      </c>
      <c r="H59" s="845">
        <f>G59+'22'!H59</f>
        <v>-32853.070000000072</v>
      </c>
      <c r="I59" s="843">
        <f>G7-G60</f>
        <v>555.93999999991865</v>
      </c>
      <c r="J59" s="847">
        <f>H59/DAY(B2)</f>
        <v>-1428.3943478260901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20377.060000000081</v>
      </c>
      <c r="H60" s="845">
        <f>G60+'22'!H60</f>
        <v>-171864.29000000012</v>
      </c>
      <c r="I60" s="843">
        <f>G13-G60</f>
        <v>-135.8700000000681</v>
      </c>
      <c r="J60" s="847">
        <f>H60/DAY(B2)</f>
        <v>-7472.360434782614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1.9999999967694748E-3</v>
      </c>
      <c r="I62" s="927"/>
      <c r="J62" s="847">
        <f>H62/DAY(B2)</f>
        <v>8.6956521598672822E-5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1989.3</v>
      </c>
      <c r="F63" s="926">
        <v>2000</v>
      </c>
      <c r="G63" s="844">
        <f t="shared" si="5"/>
        <v>10.700000000000045</v>
      </c>
      <c r="H63" s="845">
        <f>G63+'22'!H63</f>
        <v>-96</v>
      </c>
      <c r="I63" s="927"/>
      <c r="J63" s="847">
        <f>H63/DAY(B2)</f>
        <v>-4.1739130434782608</v>
      </c>
      <c r="K63" s="863"/>
      <c r="L63" s="822"/>
      <c r="O63" s="849"/>
    </row>
    <row r="64" spans="1:15">
      <c r="A64" s="1523" t="s">
        <v>99</v>
      </c>
      <c r="B64" s="1524"/>
      <c r="C64" s="1525"/>
      <c r="D64" s="842" t="s">
        <v>187</v>
      </c>
      <c r="E64" s="843">
        <f>'22'!F64</f>
        <v>134920</v>
      </c>
      <c r="F64" s="873">
        <v>135417</v>
      </c>
      <c r="G64" s="844">
        <f t="shared" si="5"/>
        <v>497</v>
      </c>
      <c r="H64" s="845">
        <f>G64+'22'!H64</f>
        <v>-3763</v>
      </c>
      <c r="I64" s="864"/>
      <c r="J64" s="847">
        <f>H64/DAY(B2)</f>
        <v>-163.60869565217391</v>
      </c>
      <c r="K64" s="863"/>
      <c r="L64" s="822"/>
      <c r="O64" s="849"/>
    </row>
    <row r="65" spans="1:15">
      <c r="A65" s="1523" t="s">
        <v>100</v>
      </c>
      <c r="B65" s="1524"/>
      <c r="C65" s="1525"/>
      <c r="D65" s="842" t="s">
        <v>187</v>
      </c>
      <c r="E65" s="843">
        <f>'22'!F65</f>
        <v>140813.71</v>
      </c>
      <c r="F65" s="873">
        <v>141186</v>
      </c>
      <c r="G65" s="844">
        <f t="shared" si="5"/>
        <v>372.29000000000815</v>
      </c>
      <c r="H65" s="845">
        <f>G65+'22'!H65</f>
        <v>-3019</v>
      </c>
      <c r="I65" s="882"/>
      <c r="J65" s="847">
        <f>H65/DAY(B2)</f>
        <v>-131.2608695652174</v>
      </c>
      <c r="K65" s="863"/>
      <c r="L65" s="822"/>
      <c r="O65" s="849"/>
    </row>
    <row r="66" spans="1:15">
      <c r="A66" s="1523" t="s">
        <v>101</v>
      </c>
      <c r="B66" s="1524"/>
      <c r="C66" s="1525"/>
      <c r="D66" s="842" t="s">
        <v>187</v>
      </c>
      <c r="E66" s="843">
        <f>'22'!F66</f>
        <v>33568.370000000003</v>
      </c>
      <c r="F66" s="873">
        <v>33948</v>
      </c>
      <c r="G66" s="844">
        <f t="shared" si="5"/>
        <v>379.62999999999738</v>
      </c>
      <c r="H66" s="845">
        <f>G66+'22'!H66</f>
        <v>-3260</v>
      </c>
      <c r="I66" s="864"/>
      <c r="J66" s="847">
        <f>H66/DAY(B2)</f>
        <v>-141.7391304347826</v>
      </c>
      <c r="K66" s="863"/>
      <c r="L66" s="822"/>
      <c r="O66" s="849"/>
    </row>
    <row r="67" spans="1:15">
      <c r="A67" s="1523" t="s">
        <v>102</v>
      </c>
      <c r="B67" s="1524"/>
      <c r="C67" s="1525"/>
      <c r="D67" s="842" t="s">
        <v>187</v>
      </c>
      <c r="E67" s="843">
        <f>'22'!F67</f>
        <v>222910.69</v>
      </c>
      <c r="F67" s="873">
        <v>223612</v>
      </c>
      <c r="G67" s="844">
        <f t="shared" si="5"/>
        <v>701.30999999999767</v>
      </c>
      <c r="H67" s="845">
        <f>G67+'22'!H67</f>
        <v>-5488</v>
      </c>
      <c r="I67" s="882"/>
      <c r="J67" s="847">
        <f>H67/DAY(B2)</f>
        <v>-238.60869565217391</v>
      </c>
      <c r="K67" s="870"/>
      <c r="L67" s="822"/>
      <c r="O67" s="849"/>
    </row>
    <row r="68" spans="1:15">
      <c r="A68" s="1523" t="s">
        <v>103</v>
      </c>
      <c r="B68" s="1524"/>
      <c r="C68" s="1525"/>
      <c r="D68" s="842" t="s">
        <v>187</v>
      </c>
      <c r="E68" s="843">
        <f>'22'!F68</f>
        <v>70793</v>
      </c>
      <c r="F68" s="873">
        <v>80419</v>
      </c>
      <c r="G68" s="844">
        <f t="shared" si="5"/>
        <v>9626</v>
      </c>
      <c r="H68" s="845">
        <f>G68+'22'!H68</f>
        <v>6549.070000000007</v>
      </c>
      <c r="I68" s="928"/>
      <c r="J68" s="847">
        <f>H68/DAY(B2)</f>
        <v>284.74217391304376</v>
      </c>
      <c r="K68" s="929"/>
      <c r="L68" s="822"/>
      <c r="O68" s="849"/>
    </row>
    <row r="69" spans="1:15">
      <c r="A69" s="1523" t="s">
        <v>104</v>
      </c>
      <c r="B69" s="1524"/>
      <c r="C69" s="1525"/>
      <c r="D69" s="842" t="s">
        <v>187</v>
      </c>
      <c r="E69" s="843">
        <f>'22'!F69</f>
        <v>71492.41</v>
      </c>
      <c r="F69" s="873">
        <v>71807</v>
      </c>
      <c r="G69" s="844">
        <f t="shared" si="5"/>
        <v>314.58999999999651</v>
      </c>
      <c r="H69" s="845">
        <f>G69+'22'!H69</f>
        <v>-2522</v>
      </c>
      <c r="I69" s="928"/>
      <c r="J69" s="847">
        <f>H69/DAY(B2)</f>
        <v>-109.65217391304348</v>
      </c>
      <c r="K69" s="930"/>
      <c r="L69" s="822"/>
      <c r="O69" s="849"/>
    </row>
    <row r="70" spans="1:15">
      <c r="A70" s="1532" t="s">
        <v>189</v>
      </c>
      <c r="B70" s="1533"/>
      <c r="C70" s="153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29" t="s">
        <v>190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929"/>
      <c r="L71" s="822"/>
      <c r="O71" s="849"/>
    </row>
    <row r="72" spans="1:15">
      <c r="A72" s="1523" t="s">
        <v>191</v>
      </c>
      <c r="B72" s="1524"/>
      <c r="C72" s="1525"/>
      <c r="D72" s="842" t="s">
        <v>187</v>
      </c>
      <c r="E72" s="843">
        <f>'22'!F72</f>
        <v>852555</v>
      </c>
      <c r="F72" s="934">
        <v>852655</v>
      </c>
      <c r="G72" s="844">
        <f t="shared" ref="G72:G84" si="6">F72-E72</f>
        <v>100</v>
      </c>
      <c r="H72" s="845">
        <f>G72+'22'!H72</f>
        <v>-614</v>
      </c>
      <c r="I72" s="864"/>
      <c r="J72" s="847">
        <f>H72/DAY(B2)</f>
        <v>-26.695652173913043</v>
      </c>
      <c r="K72" s="930"/>
      <c r="L72" s="822"/>
      <c r="O72" s="849"/>
    </row>
    <row r="73" spans="1:15">
      <c r="A73" s="1523" t="s">
        <v>192</v>
      </c>
      <c r="B73" s="1524"/>
      <c r="C73" s="1525"/>
      <c r="D73" s="842" t="s">
        <v>187</v>
      </c>
      <c r="E73" s="843">
        <f>'22'!F73</f>
        <v>885789</v>
      </c>
      <c r="F73" s="935">
        <v>885789</v>
      </c>
      <c r="G73" s="844">
        <f t="shared" si="6"/>
        <v>0</v>
      </c>
      <c r="H73" s="845">
        <f>G73+'22'!H73</f>
        <v>-1456</v>
      </c>
      <c r="I73" s="864"/>
      <c r="J73" s="847">
        <f>H73/DAY(B2)</f>
        <v>-63.304347826086953</v>
      </c>
      <c r="K73" s="929"/>
      <c r="L73" s="822"/>
      <c r="O73" s="849"/>
    </row>
    <row r="74" spans="1:15">
      <c r="A74" s="1523" t="s">
        <v>193</v>
      </c>
      <c r="B74" s="1524"/>
      <c r="C74" s="1525"/>
      <c r="D74" s="842" t="s">
        <v>187</v>
      </c>
      <c r="E74" s="843">
        <f>'22'!F74</f>
        <v>1177.21</v>
      </c>
      <c r="F74" s="936">
        <v>1195</v>
      </c>
      <c r="G74" s="844">
        <f t="shared" si="6"/>
        <v>17.789999999999964</v>
      </c>
      <c r="H74" s="845">
        <f>G74+'22'!H74</f>
        <v>-175</v>
      </c>
      <c r="I74" s="864"/>
      <c r="J74" s="847">
        <f>H74/DAY(B2)</f>
        <v>-7.6086956521739131</v>
      </c>
      <c r="K74" s="930"/>
      <c r="L74" s="822"/>
      <c r="O74" s="849"/>
    </row>
    <row r="75" spans="1:15">
      <c r="A75" s="1526" t="s">
        <v>194</v>
      </c>
      <c r="B75" s="1527"/>
      <c r="C75" s="1528"/>
      <c r="D75" s="842" t="s">
        <v>187</v>
      </c>
      <c r="E75" s="843">
        <f>'22'!F75</f>
        <v>7176.97</v>
      </c>
      <c r="F75" s="936">
        <v>7331</v>
      </c>
      <c r="G75" s="844">
        <f t="shared" si="6"/>
        <v>154.02999999999975</v>
      </c>
      <c r="H75" s="845">
        <f>G75+'22'!H75</f>
        <v>-1349</v>
      </c>
      <c r="I75" s="864"/>
      <c r="J75" s="847">
        <f>H75/DAY(B2)</f>
        <v>-58.652173913043477</v>
      </c>
      <c r="K75" s="929"/>
      <c r="L75" s="822"/>
      <c r="O75" s="849"/>
    </row>
    <row r="76" spans="1:15">
      <c r="A76" s="1526" t="s">
        <v>195</v>
      </c>
      <c r="B76" s="1527"/>
      <c r="C76" s="1528"/>
      <c r="D76" s="842" t="s">
        <v>187</v>
      </c>
      <c r="E76" s="843">
        <f>'22'!F76</f>
        <v>3293.9</v>
      </c>
      <c r="F76" s="935">
        <v>3369</v>
      </c>
      <c r="G76" s="844">
        <f t="shared" si="6"/>
        <v>75.099999999999909</v>
      </c>
      <c r="H76" s="845">
        <f>G76+'22'!H76</f>
        <v>-2267</v>
      </c>
      <c r="I76" s="907"/>
      <c r="J76" s="847">
        <f>H76/DAY(B2)</f>
        <v>-98.565217391304344</v>
      </c>
      <c r="K76" s="929"/>
      <c r="L76" s="822"/>
      <c r="O76" s="849"/>
    </row>
    <row r="77" spans="1:15">
      <c r="A77" s="1523" t="s">
        <v>196</v>
      </c>
      <c r="B77" s="1524"/>
      <c r="C77" s="1525"/>
      <c r="D77" s="842" t="s">
        <v>187</v>
      </c>
      <c r="E77" s="843">
        <f>'22'!F77</f>
        <v>699755</v>
      </c>
      <c r="F77" s="935">
        <v>699805</v>
      </c>
      <c r="G77" s="844">
        <f t="shared" si="6"/>
        <v>50</v>
      </c>
      <c r="H77" s="845">
        <f>G77+'22'!H77</f>
        <v>-409</v>
      </c>
      <c r="I77" s="907"/>
      <c r="J77" s="847">
        <f>H77/DAY(B2)</f>
        <v>-17.782608695652176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'22'!F78</f>
        <v>661975</v>
      </c>
      <c r="F78" s="936">
        <v>662390</v>
      </c>
      <c r="G78" s="844">
        <f t="shared" si="6"/>
        <v>415</v>
      </c>
      <c r="H78" s="845">
        <f>G78+'22'!H78</f>
        <v>-2990</v>
      </c>
      <c r="I78" s="907"/>
      <c r="J78" s="847">
        <f>H78/DAY(B2)</f>
        <v>-130</v>
      </c>
      <c r="K78" s="929"/>
      <c r="L78" s="822"/>
      <c r="O78" s="849"/>
    </row>
    <row r="79" spans="1:15">
      <c r="A79" s="1526" t="s">
        <v>92</v>
      </c>
      <c r="B79" s="1527"/>
      <c r="C79" s="1528"/>
      <c r="D79" s="876" t="s">
        <v>187</v>
      </c>
      <c r="E79" s="843">
        <f>'22'!F79</f>
        <v>819525</v>
      </c>
      <c r="F79" s="1236">
        <v>819724</v>
      </c>
      <c r="G79" s="844">
        <f t="shared" si="6"/>
        <v>199</v>
      </c>
      <c r="H79" s="845">
        <f>G79+'22'!H79</f>
        <v>-5392</v>
      </c>
      <c r="I79" s="907"/>
      <c r="J79" s="847">
        <f>H79/DAY(B2)</f>
        <v>-234.43478260869566</v>
      </c>
      <c r="K79" s="929"/>
      <c r="L79" s="822"/>
      <c r="O79" s="849"/>
    </row>
    <row r="80" spans="1:15">
      <c r="A80" s="1526" t="s">
        <v>198</v>
      </c>
      <c r="B80" s="1527"/>
      <c r="C80" s="1528"/>
      <c r="D80" s="876" t="s">
        <v>187</v>
      </c>
      <c r="E80" s="843">
        <f>'22'!F80</f>
        <v>502516.64</v>
      </c>
      <c r="F80" s="935">
        <v>502871</v>
      </c>
      <c r="G80" s="844">
        <f t="shared" si="6"/>
        <v>354.35999999998603</v>
      </c>
      <c r="H80" s="845">
        <f>G80+'22'!H80</f>
        <v>153</v>
      </c>
      <c r="I80" s="907"/>
      <c r="J80" s="847">
        <f>H80/DAY(B2)</f>
        <v>6.6521739130434785</v>
      </c>
      <c r="K80" s="929"/>
      <c r="L80" s="822"/>
      <c r="O80" s="849"/>
    </row>
    <row r="81" spans="1:15">
      <c r="A81" s="1526" t="s">
        <v>199</v>
      </c>
      <c r="B81" s="1527"/>
      <c r="C81" s="1528"/>
      <c r="D81" s="876" t="s">
        <v>187</v>
      </c>
      <c r="E81" s="843">
        <f>'22'!F81</f>
        <v>628349.64</v>
      </c>
      <c r="F81" s="935">
        <v>628468</v>
      </c>
      <c r="G81" s="844">
        <f t="shared" si="6"/>
        <v>118.35999999998603</v>
      </c>
      <c r="H81" s="845">
        <f>G81+'22'!H81</f>
        <v>-1717</v>
      </c>
      <c r="I81" s="907"/>
      <c r="J81" s="847">
        <f>H81/DAY(B2)</f>
        <v>-74.652173913043484</v>
      </c>
      <c r="K81" s="929"/>
      <c r="L81" s="822"/>
      <c r="O81" s="849"/>
    </row>
    <row r="82" spans="1:15">
      <c r="A82" s="1526" t="s">
        <v>93</v>
      </c>
      <c r="B82" s="1527"/>
      <c r="C82" s="1528"/>
      <c r="D82" s="877" t="s">
        <v>132</v>
      </c>
      <c r="E82" s="843">
        <f>'22'!F82</f>
        <v>106690.01</v>
      </c>
      <c r="F82" s="938">
        <v>106710</v>
      </c>
      <c r="G82" s="844">
        <f t="shared" si="6"/>
        <v>19.990000000005239</v>
      </c>
      <c r="H82" s="845">
        <f>G82+'22'!H82</f>
        <v>-185</v>
      </c>
      <c r="I82" s="878"/>
      <c r="J82" s="847">
        <f>H82/DAY(B2)</f>
        <v>-8.0434782608695645</v>
      </c>
      <c r="K82" s="929"/>
      <c r="L82" s="822"/>
      <c r="O82" s="849"/>
    </row>
    <row r="83" spans="1:15">
      <c r="A83" s="1526" t="s">
        <v>200</v>
      </c>
      <c r="B83" s="1527"/>
      <c r="C83" s="1528"/>
      <c r="D83" s="939" t="s">
        <v>132</v>
      </c>
      <c r="E83" s="843">
        <f>'22'!F83</f>
        <v>4382</v>
      </c>
      <c r="F83" s="1279">
        <v>4677</v>
      </c>
      <c r="G83" s="844">
        <f t="shared" si="6"/>
        <v>295</v>
      </c>
      <c r="H83" s="845">
        <f>G83+'22'!H83</f>
        <v>-2380</v>
      </c>
      <c r="I83" s="867"/>
      <c r="J83" s="847">
        <f>H83/DAY(B2)</f>
        <v>-103.47826086956522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447519</v>
      </c>
      <c r="F84" s="942">
        <v>448227</v>
      </c>
      <c r="G84" s="844">
        <f t="shared" si="6"/>
        <v>708</v>
      </c>
      <c r="H84" s="845">
        <f>G84+'22'!H84</f>
        <v>-6457</v>
      </c>
      <c r="I84" s="867"/>
      <c r="J84" s="847">
        <f>H84/DAY(B2)</f>
        <v>-280.73913043478262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2506.6299999999769</v>
      </c>
      <c r="H85" s="845">
        <f>G85+'22'!H85</f>
        <v>-21181.999999999993</v>
      </c>
      <c r="I85" s="867"/>
      <c r="J85" s="847">
        <f>H85/DAY(B2)</f>
        <v>-920.95652173913015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453110.14</v>
      </c>
      <c r="F86" s="951">
        <v>453224</v>
      </c>
      <c r="G86" s="952">
        <f t="shared" ref="G86:G88" si="7">F86-E86</f>
        <v>113.85999999998603</v>
      </c>
      <c r="H86" s="952">
        <f t="shared" ref="H86:H88" si="8">G86</f>
        <v>113.85999999998603</v>
      </c>
      <c r="I86" s="953"/>
      <c r="J86" s="954">
        <f>H86/DAY(B2)</f>
        <v>4.9504347826080881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79857</v>
      </c>
      <c r="F87" s="951">
        <v>79894</v>
      </c>
      <c r="G87" s="952">
        <f t="shared" si="7"/>
        <v>37</v>
      </c>
      <c r="H87" s="952">
        <f t="shared" si="8"/>
        <v>37</v>
      </c>
      <c r="I87" s="953"/>
      <c r="J87" s="954">
        <f>H87/DAY(B2)</f>
        <v>1.6086956521739131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149945.1</v>
      </c>
      <c r="F88" s="951">
        <v>150034</v>
      </c>
      <c r="G88" s="952">
        <f t="shared" si="7"/>
        <v>88.899999999994179</v>
      </c>
      <c r="H88" s="952">
        <f t="shared" si="8"/>
        <v>88.899999999994179</v>
      </c>
      <c r="I88" s="953"/>
      <c r="J88" s="954">
        <f>H88/DAY(B2)</f>
        <v>3.8652173913040948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63110.1</v>
      </c>
      <c r="F89" s="951">
        <v>63176</v>
      </c>
      <c r="G89" s="952">
        <f t="shared" ref="G89:G90" si="9">F89-E89</f>
        <v>65.900000000001455</v>
      </c>
      <c r="H89" s="952">
        <f>G89</f>
        <v>65.900000000001455</v>
      </c>
      <c r="I89" s="953"/>
      <c r="J89" s="954">
        <f>H89/DAY(B2)</f>
        <v>2.865217391304411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3249</v>
      </c>
      <c r="F90" s="951">
        <v>3254</v>
      </c>
      <c r="G90" s="952">
        <f t="shared" si="9"/>
        <v>5</v>
      </c>
      <c r="H90" s="952">
        <f>G90</f>
        <v>5</v>
      </c>
      <c r="I90" s="953"/>
      <c r="J90" s="954">
        <f>H90/DAY(B2)</f>
        <v>0.21739130434782608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17" t="s">
        <v>206</v>
      </c>
      <c r="B92" s="1518"/>
      <c r="C92" s="1519"/>
      <c r="D92" s="842" t="s">
        <v>144</v>
      </c>
      <c r="E92" s="843">
        <f>'22'!F92</f>
        <v>241696</v>
      </c>
      <c r="F92" s="873">
        <v>241784</v>
      </c>
      <c r="G92" s="844">
        <f t="shared" ref="G92:G93" si="10">F92-E92</f>
        <v>88</v>
      </c>
      <c r="H92" s="845">
        <f>G92+'22'!H92</f>
        <v>-862</v>
      </c>
      <c r="I92" s="864"/>
      <c r="J92" s="847">
        <f>H92/DAY(B2)</f>
        <v>-37.478260869565219</v>
      </c>
      <c r="K92" s="870"/>
      <c r="L92" s="822"/>
      <c r="O92" s="849"/>
    </row>
    <row r="93" spans="1:15">
      <c r="A93" s="1517" t="s">
        <v>207</v>
      </c>
      <c r="B93" s="1518"/>
      <c r="C93" s="1519"/>
      <c r="D93" s="842" t="s">
        <v>144</v>
      </c>
      <c r="E93" s="843">
        <f>'22'!F93</f>
        <v>178414</v>
      </c>
      <c r="F93" s="1278">
        <v>178537</v>
      </c>
      <c r="G93" s="844">
        <f t="shared" si="10"/>
        <v>123</v>
      </c>
      <c r="H93" s="845">
        <f>G93+'22'!H93</f>
        <v>-1142</v>
      </c>
      <c r="I93" s="864"/>
      <c r="J93" s="847">
        <f>H93/DAY(B2)</f>
        <v>-49.652173913043477</v>
      </c>
      <c r="K93" s="943"/>
      <c r="L93" s="822"/>
      <c r="O93" s="849"/>
    </row>
    <row r="94" spans="1:15">
      <c r="A94" s="1509" t="s">
        <v>208</v>
      </c>
      <c r="B94" s="1510"/>
      <c r="C94" s="1511"/>
      <c r="D94" s="842"/>
      <c r="E94" s="843">
        <f>'22'!F94</f>
        <v>0</v>
      </c>
      <c r="F94" s="873"/>
      <c r="G94" s="844">
        <f>G92+G93</f>
        <v>211</v>
      </c>
      <c r="H94" s="845">
        <f>G94+'22'!H94</f>
        <v>-2223</v>
      </c>
      <c r="I94" s="864"/>
      <c r="J94" s="847">
        <f>H94/DAY(B2)</f>
        <v>-96.652173913043484</v>
      </c>
      <c r="K94" s="943"/>
      <c r="L94" s="822"/>
      <c r="O94" s="849"/>
    </row>
    <row r="95" spans="1:15">
      <c r="A95" s="1517" t="s">
        <v>209</v>
      </c>
      <c r="B95" s="1518"/>
      <c r="C95" s="1519"/>
      <c r="D95" s="842" t="s">
        <v>144</v>
      </c>
      <c r="E95" s="843">
        <f>'22'!F95</f>
        <v>410003</v>
      </c>
      <c r="F95" s="873">
        <v>410079</v>
      </c>
      <c r="G95" s="844">
        <f t="shared" ref="G95:G100" si="11">F95-E95</f>
        <v>76</v>
      </c>
      <c r="H95" s="845">
        <f>G95+'22'!H95</f>
        <v>-706</v>
      </c>
      <c r="I95" s="864"/>
      <c r="J95" s="847">
        <f>H95/DAY(B2)</f>
        <v>-30.695652173913043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'22'!F96</f>
        <v>101668</v>
      </c>
      <c r="F96" s="873">
        <v>101684</v>
      </c>
      <c r="G96" s="844">
        <f t="shared" si="11"/>
        <v>16</v>
      </c>
      <c r="H96" s="845">
        <f>G96+'22'!H96</f>
        <v>-147</v>
      </c>
      <c r="I96" s="864"/>
      <c r="J96" s="847">
        <f>H96/DAY(B2)</f>
        <v>-6.3913043478260869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'22'!F97</f>
        <v>96730</v>
      </c>
      <c r="F97" s="873">
        <v>96744</v>
      </c>
      <c r="G97" s="844">
        <f t="shared" si="11"/>
        <v>14</v>
      </c>
      <c r="H97" s="845">
        <f>G97+'22'!H97</f>
        <v>-184</v>
      </c>
      <c r="I97" s="864"/>
      <c r="J97" s="847">
        <f>H97/DAY(B2)</f>
        <v>-8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'22'!F98</f>
        <v>148583</v>
      </c>
      <c r="F98" s="873">
        <v>148629</v>
      </c>
      <c r="G98" s="844">
        <f t="shared" si="11"/>
        <v>46</v>
      </c>
      <c r="H98" s="845">
        <f>G98+'22'!H98</f>
        <v>-280</v>
      </c>
      <c r="I98" s="864"/>
      <c r="J98" s="847">
        <f>H98/DAY(B2)</f>
        <v>-12.173913043478262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'22'!F99</f>
        <v>6703</v>
      </c>
      <c r="F99" s="873">
        <v>6714</v>
      </c>
      <c r="G99" s="844">
        <f t="shared" si="11"/>
        <v>11</v>
      </c>
      <c r="H99" s="845">
        <f>G99+'22'!H99</f>
        <v>-141</v>
      </c>
      <c r="I99" s="864"/>
      <c r="J99" s="847">
        <f>H99/DAY(B2)</f>
        <v>-6.1304347826086953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'22'!F100</f>
        <v>4806</v>
      </c>
      <c r="F100" s="873">
        <v>4827</v>
      </c>
      <c r="G100" s="844">
        <f t="shared" si="11"/>
        <v>21</v>
      </c>
      <c r="H100" s="845">
        <f>G100+'22'!H100</f>
        <v>-116</v>
      </c>
      <c r="I100" s="864"/>
      <c r="J100" s="847">
        <f>H100/DAY(B2)</f>
        <v>-5.0434782608695654</v>
      </c>
      <c r="K100" s="943"/>
      <c r="L100" s="822"/>
      <c r="O100" s="849"/>
    </row>
    <row r="101" spans="1:15">
      <c r="A101" s="1509" t="s">
        <v>216</v>
      </c>
      <c r="B101" s="1510"/>
      <c r="C101" s="1511"/>
      <c r="D101" s="876"/>
      <c r="E101" s="876"/>
      <c r="F101" s="876"/>
      <c r="G101" s="960">
        <f>SUM(G95:G100)</f>
        <v>184</v>
      </c>
      <c r="H101" s="845">
        <f>G101+'22'!H101</f>
        <v>-1574</v>
      </c>
      <c r="I101" s="961"/>
      <c r="J101" s="847">
        <f>H101/DAY(B2)</f>
        <v>-68.434782608695656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06" t="s">
        <v>218</v>
      </c>
      <c r="B103" s="1507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00" t="s">
        <v>219</v>
      </c>
      <c r="B104" s="1501"/>
      <c r="C104" s="976"/>
      <c r="D104" s="972" t="s">
        <v>144</v>
      </c>
      <c r="E104" s="973">
        <f>'22'!F104</f>
        <v>7281</v>
      </c>
      <c r="F104" s="973">
        <v>7284</v>
      </c>
      <c r="G104" s="973">
        <f>F104-E104</f>
        <v>3</v>
      </c>
      <c r="H104" s="974">
        <f>SUM(G104+'1'!G76)</f>
        <v>62</v>
      </c>
      <c r="I104" s="973"/>
      <c r="J104" s="975">
        <f>H104/DAY(B2)</f>
        <v>2.6956521739130435</v>
      </c>
      <c r="N104" s="1012"/>
      <c r="O104" s="849"/>
    </row>
    <row r="105" spans="1:15" s="894" customFormat="1">
      <c r="A105" s="1500" t="s">
        <v>77</v>
      </c>
      <c r="B105" s="1501"/>
      <c r="C105" s="976"/>
      <c r="D105" s="972" t="s">
        <v>144</v>
      </c>
      <c r="E105" s="973">
        <f>'22'!F105</f>
        <v>35577</v>
      </c>
      <c r="F105" s="1280">
        <v>35587</v>
      </c>
      <c r="G105" s="973">
        <f t="shared" ref="G105:G106" si="12">F105-E105</f>
        <v>10</v>
      </c>
      <c r="H105" s="974">
        <f>SUM(G105+'1'!G77)</f>
        <v>60</v>
      </c>
      <c r="I105" s="973"/>
      <c r="J105" s="975">
        <f>H105/DAY(B2)</f>
        <v>2.6086956521739131</v>
      </c>
      <c r="N105" s="1012"/>
      <c r="O105" s="849"/>
    </row>
    <row r="106" spans="1:15" s="894" customFormat="1">
      <c r="A106" s="1500" t="s">
        <v>78</v>
      </c>
      <c r="B106" s="1508"/>
      <c r="C106" s="1501"/>
      <c r="D106" s="972" t="s">
        <v>144</v>
      </c>
      <c r="E106" s="973">
        <f>'22'!F106</f>
        <v>19368</v>
      </c>
      <c r="F106" s="973">
        <v>19374</v>
      </c>
      <c r="G106" s="973">
        <f t="shared" si="12"/>
        <v>6</v>
      </c>
      <c r="H106" s="974">
        <f>SUM(G106+'1'!G78)</f>
        <v>401</v>
      </c>
      <c r="I106" s="973"/>
      <c r="J106" s="975">
        <f>H106/DAY(B2)</f>
        <v>17.434782608695652</v>
      </c>
      <c r="N106" s="1012"/>
      <c r="O106" s="849"/>
    </row>
    <row r="107" spans="1:15" s="894" customFormat="1">
      <c r="A107" s="1502" t="s">
        <v>202</v>
      </c>
      <c r="B107" s="1503"/>
      <c r="C107" s="976"/>
      <c r="D107" s="972"/>
      <c r="E107" s="973">
        <f>'22'!F107</f>
        <v>0</v>
      </c>
      <c r="F107" s="973"/>
      <c r="G107" s="973">
        <f>SUM(G104:G106)</f>
        <v>19</v>
      </c>
      <c r="H107" s="974">
        <f>SUM(G107+'1'!G79)</f>
        <v>213</v>
      </c>
      <c r="I107" s="973"/>
      <c r="J107" s="975">
        <f>H107/DAY(B2)</f>
        <v>9.2608695652173907</v>
      </c>
      <c r="N107" s="1012"/>
      <c r="O107" s="849"/>
    </row>
    <row r="108" spans="1:15" s="894" customFormat="1">
      <c r="A108" s="1498" t="s">
        <v>79</v>
      </c>
      <c r="B108" s="1499"/>
      <c r="C108" s="976"/>
      <c r="D108" s="972" t="s">
        <v>144</v>
      </c>
      <c r="E108" s="973">
        <f>'22'!F108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00" t="s">
        <v>220</v>
      </c>
      <c r="B109" s="1501"/>
      <c r="C109" s="976"/>
      <c r="D109" s="972" t="s">
        <v>144</v>
      </c>
      <c r="E109" s="973">
        <f>'22'!F109</f>
        <v>58047</v>
      </c>
      <c r="F109" s="973">
        <v>58132</v>
      </c>
      <c r="G109" s="973">
        <f>F109-E109</f>
        <v>85</v>
      </c>
      <c r="H109" s="974">
        <f>SUM(G109+'1'!G81)</f>
        <v>283</v>
      </c>
      <c r="I109" s="973"/>
      <c r="J109" s="975">
        <f>H109/DAY(B2)</f>
        <v>12.304347826086957</v>
      </c>
      <c r="N109" s="1012"/>
      <c r="O109" s="849"/>
    </row>
    <row r="110" spans="1:15" s="894" customFormat="1">
      <c r="A110" s="1500" t="s">
        <v>221</v>
      </c>
      <c r="B110" s="1501"/>
      <c r="C110" s="976"/>
      <c r="D110" s="972" t="s">
        <v>144</v>
      </c>
      <c r="E110" s="973">
        <f>'22'!F110</f>
        <v>31393</v>
      </c>
      <c r="F110" s="1280">
        <v>31451</v>
      </c>
      <c r="G110" s="973">
        <f t="shared" ref="G110:G111" si="13">F110-E110</f>
        <v>58</v>
      </c>
      <c r="H110" s="974">
        <f>SUM(G110+'1'!G82)</f>
        <v>81</v>
      </c>
      <c r="I110" s="973"/>
      <c r="J110" s="975">
        <f>H110/DAY(B2)</f>
        <v>3.5217391304347827</v>
      </c>
      <c r="N110" s="1012"/>
      <c r="O110" s="849"/>
    </row>
    <row r="111" spans="1:15" s="894" customFormat="1">
      <c r="A111" s="1500" t="s">
        <v>222</v>
      </c>
      <c r="B111" s="1501"/>
      <c r="C111" s="976"/>
      <c r="D111" s="972" t="s">
        <v>144</v>
      </c>
      <c r="E111" s="973">
        <f>'22'!F111</f>
        <v>4106</v>
      </c>
      <c r="F111" s="1280">
        <v>4117</v>
      </c>
      <c r="G111" s="973">
        <f t="shared" si="13"/>
        <v>11</v>
      </c>
      <c r="H111" s="974">
        <f>SUM(G111+'1'!G83)</f>
        <v>250</v>
      </c>
      <c r="I111" s="973"/>
      <c r="J111" s="975">
        <f>H111/DAY(B2)</f>
        <v>10.869565217391305</v>
      </c>
      <c r="N111" s="1012"/>
      <c r="O111" s="849"/>
    </row>
    <row r="112" spans="1:15" s="894" customFormat="1">
      <c r="A112" s="1504" t="s">
        <v>110</v>
      </c>
      <c r="B112" s="1505"/>
      <c r="C112" s="976"/>
      <c r="D112" s="972"/>
      <c r="E112" s="973">
        <f>'22'!F112</f>
        <v>0</v>
      </c>
      <c r="F112" s="973"/>
      <c r="G112" s="973">
        <f>SUM(G109:G111)</f>
        <v>154</v>
      </c>
      <c r="H112" s="974">
        <f>SUM(G112+'1'!G84)</f>
        <v>1069</v>
      </c>
      <c r="I112" s="973"/>
      <c r="J112" s="975">
        <f>H112/DAY(B2)</f>
        <v>46.478260869565219</v>
      </c>
      <c r="N112" s="1012"/>
      <c r="O112" s="849"/>
    </row>
    <row r="113" spans="1:15" s="894" customFormat="1">
      <c r="A113" s="1498" t="s">
        <v>223</v>
      </c>
      <c r="B113" s="1499"/>
      <c r="C113" s="976"/>
      <c r="D113" s="972"/>
      <c r="E113" s="973">
        <f>'22'!F113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00" t="s">
        <v>224</v>
      </c>
      <c r="B114" s="1501"/>
      <c r="C114" s="978"/>
      <c r="D114" s="972" t="s">
        <v>144</v>
      </c>
      <c r="E114" s="973">
        <f>'22'!F114</f>
        <v>10679</v>
      </c>
      <c r="F114" s="977">
        <v>10691</v>
      </c>
      <c r="G114" s="977">
        <f>F114-E114</f>
        <v>12</v>
      </c>
      <c r="H114" s="974">
        <f>SUM(G114+'1'!G91)</f>
        <v>12</v>
      </c>
      <c r="I114" s="973"/>
      <c r="J114" s="975">
        <f>H114/DAY(B2)</f>
        <v>0.52173913043478259</v>
      </c>
      <c r="N114" s="1012"/>
      <c r="O114" s="849"/>
    </row>
    <row r="115" spans="1:15" s="894" customFormat="1">
      <c r="A115" s="1500" t="s">
        <v>225</v>
      </c>
      <c r="B115" s="1501"/>
      <c r="C115" s="978"/>
      <c r="D115" s="972" t="s">
        <v>144</v>
      </c>
      <c r="E115" s="973">
        <f>'22'!F115</f>
        <v>7869</v>
      </c>
      <c r="F115" s="977">
        <v>7885</v>
      </c>
      <c r="G115" s="977">
        <f t="shared" ref="G115:G116" si="14">F115-E115</f>
        <v>16</v>
      </c>
      <c r="H115" s="974">
        <f>SUM(G115+'1'!G92)</f>
        <v>108</v>
      </c>
      <c r="I115" s="973"/>
      <c r="J115" s="975">
        <f>H115/DAY(B2)</f>
        <v>4.6956521739130439</v>
      </c>
      <c r="N115" s="1012"/>
      <c r="O115" s="849"/>
    </row>
    <row r="116" spans="1:15" s="894" customFormat="1">
      <c r="A116" s="1500" t="s">
        <v>226</v>
      </c>
      <c r="B116" s="1501"/>
      <c r="C116" s="978"/>
      <c r="D116" s="972" t="s">
        <v>144</v>
      </c>
      <c r="E116" s="977"/>
      <c r="F116" s="977"/>
      <c r="G116" s="977">
        <f t="shared" si="14"/>
        <v>0</v>
      </c>
      <c r="H116" s="974">
        <f>SUM(G116+'1'!G93)</f>
        <v>127</v>
      </c>
      <c r="I116" s="973"/>
      <c r="J116" s="975">
        <f>H116/DAY(B2)</f>
        <v>5.5217391304347823</v>
      </c>
      <c r="N116" s="1012"/>
      <c r="O116" s="849"/>
    </row>
    <row r="117" spans="1:15" s="980" customFormat="1">
      <c r="A117" s="1502" t="s">
        <v>202</v>
      </c>
      <c r="B117" s="1503"/>
      <c r="C117" s="978"/>
      <c r="D117" s="979"/>
      <c r="E117" s="977"/>
      <c r="F117" s="977"/>
      <c r="G117" s="977">
        <f>SUM(G114:G116)</f>
        <v>28</v>
      </c>
      <c r="H117" s="974">
        <f>SUM(G117+'1'!G95)</f>
        <v>105</v>
      </c>
      <c r="I117" s="977"/>
      <c r="J117" s="975">
        <f>H117/DAY(B2)</f>
        <v>4.5652173913043477</v>
      </c>
      <c r="N117" s="1017"/>
      <c r="O117" s="849"/>
    </row>
    <row r="118" spans="1:15" s="772" customFormat="1">
      <c r="A118" s="1494" t="s">
        <v>227</v>
      </c>
      <c r="B118" s="1495"/>
      <c r="C118" s="981"/>
      <c r="D118" s="982" t="s">
        <v>144</v>
      </c>
      <c r="E118" s="983"/>
      <c r="F118" s="984"/>
      <c r="G118" s="984">
        <f>SUM(G19+G92)</f>
        <v>140</v>
      </c>
      <c r="H118" s="974">
        <f>SUM(G118+'1'!G96)</f>
        <v>157</v>
      </c>
      <c r="I118" s="983"/>
      <c r="J118" s="985">
        <f>H118/DAY(B2)</f>
        <v>6.8260869565217392</v>
      </c>
      <c r="N118" s="1018" t="s">
        <v>215</v>
      </c>
      <c r="O118" s="849"/>
    </row>
    <row r="119" spans="1:15" s="772" customFormat="1">
      <c r="A119" s="1494" t="s">
        <v>228</v>
      </c>
      <c r="B119" s="1495"/>
      <c r="C119" s="981"/>
      <c r="D119" s="982" t="s">
        <v>144</v>
      </c>
      <c r="E119" s="983"/>
      <c r="F119" s="984"/>
      <c r="G119" s="984">
        <f>SUM(G95,G96,G97,G99,G100)</f>
        <v>138</v>
      </c>
      <c r="H119" s="974">
        <f>SUM(G119+'1'!G98)</f>
        <v>166</v>
      </c>
      <c r="I119" s="983"/>
      <c r="J119" s="985">
        <f>H119/DAY(B2)</f>
        <v>7.2173913043478262</v>
      </c>
      <c r="N119" s="1018"/>
      <c r="O119" s="849"/>
    </row>
    <row r="120" spans="1:15" s="772" customFormat="1">
      <c r="A120" s="1494" t="s">
        <v>229</v>
      </c>
      <c r="B120" s="1495"/>
      <c r="C120" s="981"/>
      <c r="D120" s="982" t="s">
        <v>144</v>
      </c>
      <c r="E120" s="983"/>
      <c r="F120" s="977"/>
      <c r="G120" s="977">
        <f>SUM(G112)</f>
        <v>154</v>
      </c>
      <c r="H120" s="974">
        <f>SUM(G120+'1'!G100)</f>
        <v>160</v>
      </c>
      <c r="I120" s="983"/>
      <c r="J120" s="985">
        <f>H120/DAY(B2)</f>
        <v>6.9565217391304346</v>
      </c>
      <c r="N120" s="1018"/>
      <c r="O120" s="849"/>
    </row>
    <row r="121" spans="1:15" s="894" customFormat="1">
      <c r="A121" s="1496"/>
      <c r="B121" s="149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12" t="s">
        <v>230</v>
      </c>
      <c r="B122" s="1513"/>
      <c r="C122" s="1514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'22'!F123</f>
        <v>816612.68</v>
      </c>
      <c r="F123" s="877">
        <v>816886</v>
      </c>
      <c r="G123" s="844">
        <f>F123-E123</f>
        <v>273.31999999994878</v>
      </c>
      <c r="H123" s="845">
        <f>G123+'22'!H123</f>
        <v>-1924</v>
      </c>
      <c r="I123" s="961"/>
      <c r="J123" s="847">
        <f>H123/DAY(B2)</f>
        <v>-83.652173913043484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'22'!F124</f>
        <v>73583</v>
      </c>
      <c r="F124" s="877">
        <v>73583</v>
      </c>
      <c r="G124" s="844">
        <f t="shared" ref="G124:G127" si="15">F124-E124</f>
        <v>0</v>
      </c>
      <c r="H124" s="845">
        <f>G124+'22'!H124</f>
        <v>-0.39999999999417923</v>
      </c>
      <c r="I124" s="961"/>
      <c r="J124" s="847">
        <f>H124/DAY(B2)</f>
        <v>-1.7391304347573012E-2</v>
      </c>
      <c r="K124" s="943"/>
      <c r="L124" s="822"/>
      <c r="O124" s="849"/>
    </row>
    <row r="125" spans="1:15">
      <c r="A125" s="1523" t="s">
        <v>233</v>
      </c>
      <c r="B125" s="1524"/>
      <c r="C125" s="1525"/>
      <c r="D125" s="842" t="s">
        <v>141</v>
      </c>
      <c r="E125" s="843">
        <f>'22'!F125</f>
        <v>141446.48000000001</v>
      </c>
      <c r="F125" s="877">
        <v>141525</v>
      </c>
      <c r="G125" s="844">
        <f t="shared" si="15"/>
        <v>78.519999999989523</v>
      </c>
      <c r="H125" s="845">
        <f>G125+'22'!H125</f>
        <v>-611</v>
      </c>
      <c r="I125" s="961"/>
      <c r="J125" s="847">
        <f>H125/DAY(B2)</f>
        <v>-26.565217391304348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'22'!F126</f>
        <v>59797.2</v>
      </c>
      <c r="F126" s="877">
        <v>59820</v>
      </c>
      <c r="G126" s="844">
        <f t="shared" si="15"/>
        <v>22.80000000000291</v>
      </c>
      <c r="H126" s="845">
        <f>G126+'22'!H126</f>
        <v>28501.3</v>
      </c>
      <c r="I126" s="961"/>
      <c r="J126" s="847">
        <f>H126/DAY(B2)</f>
        <v>1239.1869565217391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'22'!F127</f>
        <v>8942.5</v>
      </c>
      <c r="F127" s="877">
        <v>8944</v>
      </c>
      <c r="G127" s="844">
        <f t="shared" si="15"/>
        <v>1.5</v>
      </c>
      <c r="H127" s="845">
        <f>G127+'22'!H127</f>
        <v>-18</v>
      </c>
      <c r="I127" s="864"/>
      <c r="J127" s="847">
        <f>H127/DAY(B2)</f>
        <v>-0.78260869565217395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537.09000000004016</v>
      </c>
      <c r="H128" s="845">
        <f>G128+'22'!H128</f>
        <v>4143.24099999994</v>
      </c>
      <c r="I128" s="864"/>
      <c r="J128" s="847">
        <f>H128/DAY(B2)</f>
        <v>180.14091304347565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'22'!F130</f>
        <v>0</v>
      </c>
      <c r="F130" s="873">
        <v>0</v>
      </c>
      <c r="G130" s="844">
        <f t="shared" ref="G130:G140" si="16">F130-E130</f>
        <v>0</v>
      </c>
      <c r="H130" s="845">
        <f>G130+'22'!H130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si="16"/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'22'!F132</f>
        <v>39317.72</v>
      </c>
      <c r="F132" s="994">
        <v>39341.300000000003</v>
      </c>
      <c r="G132" s="844">
        <f t="shared" si="16"/>
        <v>23.580000000001746</v>
      </c>
      <c r="H132" s="845">
        <f>G132+'22'!H132</f>
        <v>-201.02999999999884</v>
      </c>
      <c r="I132" s="864"/>
      <c r="J132" s="847">
        <f>H132/DAY(B2)</f>
        <v>-8.740434782608645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'22'!F133</f>
        <v>299.52</v>
      </c>
      <c r="F133" s="994">
        <v>299.52</v>
      </c>
      <c r="G133" s="844">
        <f t="shared" si="16"/>
        <v>0</v>
      </c>
      <c r="H133" s="845">
        <f>G133+'22'!H133</f>
        <v>-0.48000000000001819</v>
      </c>
      <c r="I133" s="864">
        <f>G130+G131+G132+G133</f>
        <v>23.580000000001746</v>
      </c>
      <c r="J133" s="847">
        <f>H133/DAY(B2)</f>
        <v>-2.0869565217392094E-2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'22'!F134</f>
        <v>40802</v>
      </c>
      <c r="F134" s="994">
        <v>40802</v>
      </c>
      <c r="G134" s="844">
        <f t="shared" si="16"/>
        <v>0</v>
      </c>
      <c r="H134" s="845">
        <v>24</v>
      </c>
      <c r="I134" s="864"/>
      <c r="J134" s="847">
        <f>H134/DAY(B2)</f>
        <v>1.0434782608695652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'22'!F135</f>
        <v>32582.93</v>
      </c>
      <c r="F135" s="994">
        <v>32582.93</v>
      </c>
      <c r="G135" s="844">
        <f t="shared" si="16"/>
        <v>0</v>
      </c>
      <c r="H135" s="845">
        <v>13</v>
      </c>
      <c r="I135" s="864"/>
      <c r="J135" s="847">
        <f>H135/DAY(B2)</f>
        <v>0.56521739130434778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'22'!F136</f>
        <v>22410.27</v>
      </c>
      <c r="F136" s="994">
        <v>22418.85</v>
      </c>
      <c r="G136" s="844">
        <f t="shared" si="16"/>
        <v>8.5799999999981083</v>
      </c>
      <c r="H136" s="845">
        <f>G136+'22'!H136</f>
        <v>-69.80000000000291</v>
      </c>
      <c r="I136" s="864">
        <f>G134+G135+G136</f>
        <v>8.5799999999981083</v>
      </c>
      <c r="J136" s="847">
        <f>H136/DAY(B2)</f>
        <v>-3.0347826086957785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'22'!F137</f>
        <v>25044.37</v>
      </c>
      <c r="F137" s="994">
        <v>25044.31</v>
      </c>
      <c r="G137" s="844">
        <f t="shared" si="16"/>
        <v>-5.9999999997671694E-2</v>
      </c>
      <c r="H137" s="845">
        <v>8</v>
      </c>
      <c r="I137" s="864"/>
      <c r="J137" s="847">
        <f>H137/DAY(B2)</f>
        <v>0.34782608695652173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'22'!F138</f>
        <v>70235.37</v>
      </c>
      <c r="F138" s="994">
        <v>70238</v>
      </c>
      <c r="G138" s="844">
        <f t="shared" si="16"/>
        <v>2.6300000000046566</v>
      </c>
      <c r="H138" s="845">
        <v>15</v>
      </c>
      <c r="I138" s="864">
        <f>G137+G138</f>
        <v>2.5700000000069849</v>
      </c>
      <c r="J138" s="847">
        <f>H138/DAY(B2)</f>
        <v>0.65217391304347827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'22'!F139</f>
        <v>1536.52</v>
      </c>
      <c r="F139" s="873">
        <v>1536.52</v>
      </c>
      <c r="G139" s="844">
        <f t="shared" si="16"/>
        <v>0</v>
      </c>
      <c r="H139" s="845">
        <f>G139+'22'!H139</f>
        <v>0</v>
      </c>
      <c r="I139" s="995"/>
      <c r="J139" s="847">
        <f>H139/DAY(B2)</f>
        <v>0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'22'!F140</f>
        <v>4389.92</v>
      </c>
      <c r="F140" s="873">
        <v>4399.66</v>
      </c>
      <c r="G140" s="844">
        <f t="shared" si="16"/>
        <v>9.7399999999997817</v>
      </c>
      <c r="H140" s="845">
        <f>G140+'22'!H140</f>
        <v>-68.880000000000109</v>
      </c>
      <c r="I140" s="995"/>
      <c r="J140" s="847">
        <f>H140/DAY(B2)</f>
        <v>-2.9947826086956568</v>
      </c>
      <c r="O140" s="849"/>
    </row>
    <row r="141" spans="1:15">
      <c r="A141" s="1515" t="s">
        <v>250</v>
      </c>
      <c r="B141" s="1516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17" t="s">
        <v>251</v>
      </c>
      <c r="B142" s="1518"/>
      <c r="C142" s="1519"/>
      <c r="D142" s="842" t="s">
        <v>132</v>
      </c>
      <c r="E142" s="842"/>
      <c r="F142" s="842"/>
      <c r="G142" s="845">
        <f>G35+G43+G49+G57</f>
        <v>5638.9300000000512</v>
      </c>
      <c r="H142" s="845">
        <f>G142+'22'!H142</f>
        <v>-49394.640000000014</v>
      </c>
      <c r="I142" s="864"/>
      <c r="J142" s="847">
        <f>H142/DAY(B2)</f>
        <v>-2147.5930434782613</v>
      </c>
      <c r="K142" s="943"/>
      <c r="L142" s="822"/>
      <c r="O142" s="849"/>
    </row>
    <row r="143" spans="1:15">
      <c r="A143" s="1517" t="s">
        <v>252</v>
      </c>
      <c r="B143" s="1518"/>
      <c r="C143" s="1519"/>
      <c r="D143" s="842" t="s">
        <v>24</v>
      </c>
      <c r="E143" s="829"/>
      <c r="F143" s="829"/>
      <c r="G143" s="996">
        <f>G142/G7</f>
        <v>0.26937992643195202</v>
      </c>
      <c r="H143" s="845">
        <f>G143+'22'!H143</f>
        <v>6.1771293582499815</v>
      </c>
      <c r="I143" s="997"/>
      <c r="J143" s="847">
        <f>H143/DAY(B2)</f>
        <v>0.26857084166304268</v>
      </c>
      <c r="K143" s="943"/>
      <c r="L143" s="822"/>
      <c r="O143" s="849"/>
    </row>
    <row r="144" spans="1:15">
      <c r="A144" s="1517" t="s">
        <v>253</v>
      </c>
      <c r="B144" s="1518"/>
      <c r="C144" s="1519"/>
      <c r="D144" s="842" t="s">
        <v>132</v>
      </c>
      <c r="E144" s="843"/>
      <c r="F144" s="843"/>
      <c r="G144" s="845">
        <f>G41+G42+G55+G56</f>
        <v>5237.7799999999697</v>
      </c>
      <c r="H144" s="845">
        <f>G144+'22'!H144</f>
        <v>-48646.010000000017</v>
      </c>
      <c r="I144" s="864"/>
      <c r="J144" s="847">
        <f>H144/DAY(B2)</f>
        <v>-2115.0439130434788</v>
      </c>
      <c r="K144" s="943"/>
      <c r="L144" s="822"/>
      <c r="O144" s="849"/>
    </row>
    <row r="145" spans="1:15">
      <c r="A145" s="1517" t="s">
        <v>254</v>
      </c>
      <c r="B145" s="1518"/>
      <c r="C145" s="1519"/>
      <c r="D145" s="842" t="s">
        <v>24</v>
      </c>
      <c r="E145" s="843"/>
      <c r="F145" s="843"/>
      <c r="G145" s="996">
        <f>G144/G7</f>
        <v>0.25021640471981893</v>
      </c>
      <c r="H145" s="845">
        <f>G145+'22'!H145</f>
        <v>5.9860707114031291</v>
      </c>
      <c r="I145" s="997"/>
      <c r="J145" s="847">
        <f>H145/DAY(B2)</f>
        <v>0.26026394397404912</v>
      </c>
      <c r="K145" s="943"/>
      <c r="L145" s="822"/>
      <c r="O145" s="849"/>
    </row>
    <row r="146" spans="1:15">
      <c r="A146" s="1517" t="s">
        <v>255</v>
      </c>
      <c r="B146" s="1518"/>
      <c r="C146" s="1519"/>
      <c r="D146" s="842" t="s">
        <v>132</v>
      </c>
      <c r="E146" s="843"/>
      <c r="F146" s="843"/>
      <c r="G146" s="845">
        <f>G39+G53</f>
        <v>4120.7899999999936</v>
      </c>
      <c r="H146" s="845">
        <f>G146+'22'!H146</f>
        <v>-34133.530000000028</v>
      </c>
      <c r="I146" s="998"/>
      <c r="J146" s="847">
        <f>H146/DAY(B2)</f>
        <v>-1484.0665217391318</v>
      </c>
      <c r="K146" s="943"/>
      <c r="L146" s="822"/>
      <c r="O146" s="849"/>
    </row>
    <row r="147" spans="1:15">
      <c r="A147" s="1517" t="s">
        <v>256</v>
      </c>
      <c r="B147" s="1518"/>
      <c r="C147" s="1519"/>
      <c r="D147" s="842" t="s">
        <v>24</v>
      </c>
      <c r="E147" s="843"/>
      <c r="F147" s="843"/>
      <c r="G147" s="996">
        <f>G146/G7</f>
        <v>0.19685616012993806</v>
      </c>
      <c r="H147" s="845">
        <f>G147+'22'!H147</f>
        <v>4.4837239983473296</v>
      </c>
      <c r="I147" s="998"/>
      <c r="J147" s="847">
        <f>H147/DAY(B2)</f>
        <v>0.19494452166727519</v>
      </c>
      <c r="O147" s="849"/>
    </row>
    <row r="148" spans="1:15">
      <c r="A148" s="1517" t="s">
        <v>257</v>
      </c>
      <c r="B148" s="1518"/>
      <c r="C148" s="1519"/>
      <c r="D148" s="842" t="s">
        <v>183</v>
      </c>
      <c r="E148" s="843"/>
      <c r="F148" s="843"/>
      <c r="G148" s="845">
        <f>G38+G52</f>
        <v>1823.2300000000541</v>
      </c>
      <c r="H148" s="845">
        <f>G148+'22'!H148</f>
        <v>-15068</v>
      </c>
      <c r="I148" s="864"/>
      <c r="J148" s="847">
        <f>H148/DAY(B2)</f>
        <v>-655.13043478260875</v>
      </c>
      <c r="K148" s="999"/>
      <c r="O148" s="849"/>
    </row>
    <row r="149" spans="1:15">
      <c r="A149" s="1517" t="s">
        <v>258</v>
      </c>
      <c r="B149" s="1518"/>
      <c r="C149" s="1519"/>
      <c r="D149" s="842" t="s">
        <v>24</v>
      </c>
      <c r="E149" s="843"/>
      <c r="F149" s="843"/>
      <c r="G149" s="996">
        <f>G148/G7</f>
        <v>8.7098361438879002E-2</v>
      </c>
      <c r="H149" s="845">
        <f>G149+'22'!H149</f>
        <v>1.9541459392561809</v>
      </c>
      <c r="I149" s="998"/>
      <c r="J149" s="847">
        <f>H149/DAY(B2)</f>
        <v>8.4962866924181771E-2</v>
      </c>
      <c r="O149" s="849"/>
    </row>
    <row r="150" spans="1:15">
      <c r="A150" s="1517" t="s">
        <v>259</v>
      </c>
      <c r="B150" s="1518"/>
      <c r="C150" s="1519"/>
      <c r="D150" s="842" t="s">
        <v>183</v>
      </c>
      <c r="E150" s="843"/>
      <c r="F150" s="843"/>
      <c r="G150" s="845">
        <f>G36+G50</f>
        <v>1802.140000000014</v>
      </c>
      <c r="H150" s="845">
        <f>G150+'22'!H150</f>
        <v>-16663</v>
      </c>
      <c r="I150" s="998"/>
      <c r="J150" s="847">
        <f>H150/DAY(B2)</f>
        <v>-724.47826086956525</v>
      </c>
      <c r="O150" s="849"/>
    </row>
    <row r="151" spans="1:15">
      <c r="A151" s="1517" t="s">
        <v>260</v>
      </c>
      <c r="B151" s="1518"/>
      <c r="C151" s="1519"/>
      <c r="D151" s="842" t="s">
        <v>24</v>
      </c>
      <c r="E151" s="843"/>
      <c r="F151" s="843"/>
      <c r="G151" s="996">
        <f>G150/G7</f>
        <v>8.6090861319448431E-2</v>
      </c>
      <c r="H151" s="845">
        <f>G151+'22'!H151</f>
        <v>2.0523922855563712</v>
      </c>
      <c r="I151" s="864"/>
      <c r="J151" s="847">
        <f>H151/DAY(B2)</f>
        <v>8.9234447198103098E-2</v>
      </c>
      <c r="O151" s="849"/>
    </row>
    <row r="152" spans="1:15">
      <c r="A152" s="1517" t="s">
        <v>261</v>
      </c>
      <c r="B152" s="1518"/>
      <c r="C152" s="1519"/>
      <c r="D152" s="842" t="s">
        <v>183</v>
      </c>
      <c r="E152" s="843"/>
      <c r="F152" s="843"/>
      <c r="G152" s="845">
        <f>G37+G51</f>
        <v>1487.9199999999983</v>
      </c>
      <c r="H152" s="845">
        <f>G152+'22'!H152</f>
        <v>-12038.130000000005</v>
      </c>
      <c r="I152" s="864"/>
      <c r="J152" s="847">
        <f>H152/DAY(B2)</f>
        <v>-523.3969565217393</v>
      </c>
      <c r="O152" s="849"/>
    </row>
    <row r="153" spans="1:15" ht="21" thickBot="1">
      <c r="A153" s="1520" t="s">
        <v>262</v>
      </c>
      <c r="B153" s="1521"/>
      <c r="C153" s="1522"/>
      <c r="D153" s="1000" t="s">
        <v>24</v>
      </c>
      <c r="E153" s="1001"/>
      <c r="F153" s="1001"/>
      <c r="G153" s="1002">
        <f>G152/G7</f>
        <v>7.1080112740648654E-2</v>
      </c>
      <c r="H153" s="845">
        <f>G153+'22'!H153</f>
        <v>1.6178631351792987</v>
      </c>
      <c r="I153" s="1003"/>
      <c r="J153" s="1004">
        <f>H153/DAY(B2)</f>
        <v>7.0341875442578208E-2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'22'!F160</f>
        <v>32670.01</v>
      </c>
      <c r="F160" s="1019">
        <v>32754</v>
      </c>
      <c r="G160" s="844">
        <f t="shared" ref="G160:G163" si="17">F160-E160</f>
        <v>83.990000000001601</v>
      </c>
    </row>
    <row r="161" spans="1:10" ht="21.75" customHeight="1">
      <c r="A161" s="995" t="s">
        <v>264</v>
      </c>
      <c r="B161" s="995"/>
      <c r="C161" s="995"/>
      <c r="D161" s="829" t="s">
        <v>187</v>
      </c>
      <c r="E161" s="843">
        <f>'22'!F161</f>
        <v>64846.5</v>
      </c>
      <c r="F161" s="1019">
        <v>65273.79</v>
      </c>
      <c r="G161" s="844">
        <f t="shared" si="17"/>
        <v>427.29000000000087</v>
      </c>
    </row>
    <row r="162" spans="1:10" ht="21.75" customHeight="1">
      <c r="A162" s="995" t="s">
        <v>265</v>
      </c>
      <c r="B162" s="995"/>
      <c r="C162" s="995"/>
      <c r="D162" s="829" t="s">
        <v>187</v>
      </c>
      <c r="E162" s="843">
        <f>'22'!F162</f>
        <v>26911.05</v>
      </c>
      <c r="F162" s="1019">
        <v>27180</v>
      </c>
      <c r="G162" s="844">
        <f t="shared" si="17"/>
        <v>268.95000000000073</v>
      </c>
    </row>
    <row r="163" spans="1:10" ht="21.75" customHeight="1">
      <c r="A163" s="995" t="s">
        <v>266</v>
      </c>
      <c r="B163" s="995"/>
      <c r="C163" s="995"/>
      <c r="D163" s="829" t="s">
        <v>187</v>
      </c>
      <c r="E163" s="843">
        <f>'22'!F163</f>
        <v>5684.29</v>
      </c>
      <c r="F163" s="1019">
        <v>5696.57</v>
      </c>
      <c r="G163" s="844">
        <f t="shared" si="17"/>
        <v>12.279999999999745</v>
      </c>
    </row>
    <row r="164" spans="1:10" ht="21.75" customHeight="1">
      <c r="A164" s="925" t="s">
        <v>98</v>
      </c>
      <c r="B164" s="925"/>
      <c r="C164" s="925"/>
      <c r="D164" s="829" t="s">
        <v>187</v>
      </c>
      <c r="E164" s="926">
        <f>E62</f>
        <v>20419.2</v>
      </c>
      <c r="F164" s="926">
        <f>F62</f>
        <v>20419</v>
      </c>
      <c r="G164" s="844">
        <f t="shared" ref="G164:G171" si="18">F164-E164</f>
        <v>-0.2000000000007276</v>
      </c>
      <c r="J164" s="1077"/>
    </row>
    <row r="165" spans="1:10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9">E63</f>
        <v>1989.3</v>
      </c>
      <c r="F165" s="926">
        <f t="shared" ref="F165:F171" si="20">F63</f>
        <v>2000</v>
      </c>
      <c r="G165" s="844">
        <f t="shared" si="18"/>
        <v>10.700000000000045</v>
      </c>
    </row>
    <row r="166" spans="1:10" ht="21.75" customHeight="1">
      <c r="A166" s="1493" t="s">
        <v>99</v>
      </c>
      <c r="B166" s="1493"/>
      <c r="C166" s="1493"/>
      <c r="D166" s="842" t="s">
        <v>187</v>
      </c>
      <c r="E166" s="926">
        <f t="shared" si="19"/>
        <v>134920</v>
      </c>
      <c r="F166" s="926">
        <f t="shared" si="20"/>
        <v>135417</v>
      </c>
      <c r="G166" s="844">
        <f t="shared" si="18"/>
        <v>497</v>
      </c>
    </row>
    <row r="167" spans="1:10" ht="21.75" customHeight="1">
      <c r="A167" s="1493" t="s">
        <v>100</v>
      </c>
      <c r="B167" s="1493"/>
      <c r="C167" s="1493"/>
      <c r="D167" s="842" t="s">
        <v>187</v>
      </c>
      <c r="E167" s="926">
        <f t="shared" si="19"/>
        <v>140813.71</v>
      </c>
      <c r="F167" s="926">
        <f t="shared" si="20"/>
        <v>141186</v>
      </c>
      <c r="G167" s="844">
        <f t="shared" si="18"/>
        <v>372.29000000000815</v>
      </c>
    </row>
    <row r="168" spans="1:10" ht="21.75" customHeight="1">
      <c r="A168" s="1493" t="s">
        <v>101</v>
      </c>
      <c r="B168" s="1493"/>
      <c r="C168" s="1493"/>
      <c r="D168" s="842" t="s">
        <v>187</v>
      </c>
      <c r="E168" s="926">
        <f t="shared" si="19"/>
        <v>33568.370000000003</v>
      </c>
      <c r="F168" s="926">
        <f t="shared" si="20"/>
        <v>33948</v>
      </c>
      <c r="G168" s="844">
        <f t="shared" si="18"/>
        <v>379.62999999999738</v>
      </c>
    </row>
    <row r="169" spans="1:10">
      <c r="A169" s="1493" t="s">
        <v>102</v>
      </c>
      <c r="B169" s="1493"/>
      <c r="C169" s="1493"/>
      <c r="D169" s="842" t="s">
        <v>187</v>
      </c>
      <c r="E169" s="926">
        <f t="shared" si="19"/>
        <v>222910.69</v>
      </c>
      <c r="F169" s="926">
        <f t="shared" si="20"/>
        <v>223612</v>
      </c>
      <c r="G169" s="844">
        <f t="shared" si="18"/>
        <v>701.30999999999767</v>
      </c>
    </row>
    <row r="170" spans="1:10" ht="24" customHeight="1">
      <c r="A170" s="1493" t="s">
        <v>103</v>
      </c>
      <c r="B170" s="1493"/>
      <c r="C170" s="1493"/>
      <c r="D170" s="842" t="s">
        <v>187</v>
      </c>
      <c r="E170" s="926">
        <f t="shared" si="19"/>
        <v>70793</v>
      </c>
      <c r="F170" s="926">
        <f t="shared" si="20"/>
        <v>80419</v>
      </c>
      <c r="G170" s="844">
        <f t="shared" si="18"/>
        <v>9626</v>
      </c>
      <c r="J170" s="1078"/>
    </row>
    <row r="171" spans="1:10">
      <c r="A171" s="1493" t="s">
        <v>104</v>
      </c>
      <c r="B171" s="1493"/>
      <c r="C171" s="1493"/>
      <c r="D171" s="842" t="s">
        <v>187</v>
      </c>
      <c r="E171" s="926">
        <f t="shared" si="19"/>
        <v>71492.41</v>
      </c>
      <c r="F171" s="926">
        <f t="shared" si="20"/>
        <v>71807</v>
      </c>
      <c r="G171" s="844">
        <f t="shared" si="18"/>
        <v>314.58999999999651</v>
      </c>
    </row>
    <row r="172" spans="1:10">
      <c r="G172" s="1010">
        <f>SUM(G160:G171)</f>
        <v>12693.830000000002</v>
      </c>
    </row>
    <row r="173" spans="1:10">
      <c r="J173" s="1079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68" zoomScaleNormal="44" zoomScaleSheetLayoutView="68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44" t="s">
        <v>117</v>
      </c>
      <c r="B1" s="1545"/>
      <c r="C1" s="1545"/>
      <c r="D1" s="1545"/>
      <c r="E1" s="1545"/>
      <c r="F1" s="1545"/>
      <c r="G1" s="1545"/>
      <c r="H1" s="1545"/>
      <c r="I1" s="1545"/>
      <c r="J1" s="1546"/>
    </row>
    <row r="2" spans="1:15">
      <c r="A2" s="810" t="s">
        <v>314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547" t="s">
        <v>121</v>
      </c>
      <c r="F3" s="154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41" t="s">
        <v>130</v>
      </c>
      <c r="B6" s="1542"/>
      <c r="C6" s="154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4935396</v>
      </c>
      <c r="F7" s="843">
        <v>4956677</v>
      </c>
      <c r="G7" s="844">
        <f>F7-E7</f>
        <v>21281</v>
      </c>
      <c r="H7" s="845">
        <f>G7+'23'!H7</f>
        <v>-157246</v>
      </c>
      <c r="I7" s="846">
        <f>'1'!I7</f>
        <v>12000</v>
      </c>
      <c r="J7" s="847">
        <f>H7/DAY(B2)</f>
        <v>-6551.916666666667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4966008</v>
      </c>
      <c r="F8" s="854">
        <v>4987377</v>
      </c>
      <c r="G8" s="855">
        <f>F8-E8</f>
        <v>21369</v>
      </c>
      <c r="H8" s="845">
        <f>G8+'23'!H8</f>
        <v>-157941</v>
      </c>
      <c r="I8" s="856">
        <f>'1'!I8</f>
        <v>12000</v>
      </c>
      <c r="J8" s="847">
        <f>H8/DAY(B2)</f>
        <v>-6580.875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223132</v>
      </c>
      <c r="F9" s="861">
        <v>243752</v>
      </c>
      <c r="G9" s="844">
        <f t="shared" ref="G9:G12" si="0">F9-E9</f>
        <v>20620</v>
      </c>
      <c r="H9" s="845">
        <f>G9+'23'!H9</f>
        <v>-152317</v>
      </c>
      <c r="I9" s="862">
        <f>I8-J8</f>
        <v>18580.875</v>
      </c>
      <c r="J9" s="847">
        <f>H9/DAY(B2)</f>
        <v>-6346.541666666667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2324</v>
      </c>
      <c r="F10" s="861">
        <v>2324</v>
      </c>
      <c r="G10" s="844">
        <f t="shared" si="0"/>
        <v>0</v>
      </c>
      <c r="H10" s="845">
        <f>G10+'23'!H10</f>
        <v>358433.47000000003</v>
      </c>
      <c r="I10" s="864"/>
      <c r="J10" s="847">
        <f>H10/DAY(B2)</f>
        <v>14934.727916666669</v>
      </c>
      <c r="K10" s="863"/>
      <c r="L10" s="822"/>
      <c r="M10" s="809" t="s">
        <v>280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20620</v>
      </c>
      <c r="H13" s="845">
        <f>G13+'23'!H13</f>
        <v>185122.47000000003</v>
      </c>
      <c r="I13" s="868">
        <f>G7-G13</f>
        <v>661</v>
      </c>
      <c r="J13" s="847">
        <f>H13/DAY(B2)</f>
        <v>7713.4362500000016</v>
      </c>
      <c r="K13" s="863"/>
      <c r="L13" s="822"/>
      <c r="O13" s="849"/>
    </row>
    <row r="14" spans="1:15">
      <c r="A14" s="1535" t="s">
        <v>139</v>
      </c>
      <c r="B14" s="1536"/>
      <c r="C14" s="153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1639882</v>
      </c>
      <c r="F15" s="873">
        <v>1640178</v>
      </c>
      <c r="G15" s="1020">
        <f>(F15-E15)</f>
        <v>296</v>
      </c>
      <c r="H15" s="845">
        <f>G15+'23'!H15</f>
        <v>-6511</v>
      </c>
      <c r="I15" s="846">
        <f>'1'!I15</f>
        <v>800</v>
      </c>
      <c r="J15" s="847">
        <f>H15/DAY(B2)</f>
        <v>-271.29166666666669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1071.2916666666667</v>
      </c>
      <c r="J16" s="880"/>
      <c r="K16" s="863"/>
      <c r="L16" s="822"/>
      <c r="N16" s="1013"/>
      <c r="O16" s="849"/>
    </row>
    <row r="17" spans="1:15">
      <c r="A17" s="1535" t="s">
        <v>142</v>
      </c>
      <c r="B17" s="1536"/>
      <c r="C17" s="1537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517" t="s">
        <v>143</v>
      </c>
      <c r="B18" s="1518"/>
      <c r="C18" s="1519"/>
      <c r="D18" s="842" t="s">
        <v>144</v>
      </c>
      <c r="E18" s="843">
        <f>'23'!F18</f>
        <v>10</v>
      </c>
      <c r="F18" s="873">
        <v>14</v>
      </c>
      <c r="G18" s="867">
        <f>F18*10</f>
        <v>140</v>
      </c>
      <c r="H18" s="845">
        <f>G18+'23'!H18</f>
        <v>2830</v>
      </c>
      <c r="I18" s="846">
        <f>'1'!I18</f>
        <v>65</v>
      </c>
      <c r="J18" s="847">
        <f>H18/DAY(B2)</f>
        <v>117.91666666666667</v>
      </c>
      <c r="K18" s="863"/>
      <c r="L18" s="822"/>
      <c r="O18" s="849"/>
    </row>
    <row r="19" spans="1:15">
      <c r="A19" s="1517" t="s">
        <v>71</v>
      </c>
      <c r="B19" s="1518"/>
      <c r="C19" s="1519"/>
      <c r="D19" s="842" t="s">
        <v>144</v>
      </c>
      <c r="E19" s="843">
        <f>'23'!F19</f>
        <v>135669</v>
      </c>
      <c r="F19" s="873">
        <v>135723</v>
      </c>
      <c r="G19" s="844">
        <f t="shared" ref="G19" si="1">F19-E19</f>
        <v>54</v>
      </c>
      <c r="H19" s="845">
        <f>G19+'23'!H19</f>
        <v>-367</v>
      </c>
      <c r="I19" s="882"/>
      <c r="J19" s="847">
        <f>H19/DAY(B2)</f>
        <v>-15.291666666666666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2463</v>
      </c>
      <c r="I20" s="885">
        <f>I18-J20</f>
        <v>-37.625</v>
      </c>
      <c r="J20" s="847">
        <f>H20/DAY(B2)</f>
        <v>102.625</v>
      </c>
      <c r="K20" s="863"/>
      <c r="L20" s="822"/>
      <c r="O20" s="849"/>
    </row>
    <row r="21" spans="1:15">
      <c r="A21" s="1535" t="s">
        <v>146</v>
      </c>
      <c r="B21" s="1536"/>
      <c r="C21" s="153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541" t="s">
        <v>151</v>
      </c>
      <c r="B25" s="1542"/>
      <c r="C25" s="154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21369</v>
      </c>
      <c r="F27" s="501">
        <v>9</v>
      </c>
      <c r="G27" s="905">
        <f>E27*F27</f>
        <v>192321</v>
      </c>
      <c r="H27" s="845">
        <f>G27+'23'!H27</f>
        <v>-1421469</v>
      </c>
      <c r="I27" s="906"/>
      <c r="J27" s="847">
        <f>H27/DAY(B2)</f>
        <v>-59227.875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296</v>
      </c>
      <c r="F28" s="501">
        <v>51.45</v>
      </c>
      <c r="G28" s="905">
        <f>E28*F28</f>
        <v>15229.2</v>
      </c>
      <c r="H28" s="845">
        <f>G28+'23'!H28</f>
        <v>-334990.94999999995</v>
      </c>
      <c r="I28" s="907"/>
      <c r="J28" s="847">
        <f>H28/DAY(B2)</f>
        <v>-13957.956249999997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54</v>
      </c>
      <c r="F30" s="904">
        <v>134</v>
      </c>
      <c r="G30" s="905">
        <f>E30*F30</f>
        <v>7236</v>
      </c>
      <c r="H30" s="845">
        <f>G30+'23'!H30</f>
        <v>-47810</v>
      </c>
      <c r="I30" s="907"/>
      <c r="J30" s="847">
        <f>H30/DAY(B2)</f>
        <v>-1992.0833333333333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140</v>
      </c>
      <c r="F31" s="904">
        <v>80</v>
      </c>
      <c r="G31" s="905">
        <f>E31*F31</f>
        <v>11200</v>
      </c>
      <c r="H31" s="845">
        <f>G31+'23'!H31</f>
        <v>226400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314996.2</v>
      </c>
      <c r="H32" s="845">
        <f>G32+'23'!H32</f>
        <v>-1488859.9500000002</v>
      </c>
      <c r="I32" s="913"/>
      <c r="J32" s="847">
        <f>H32/DAY(B2)</f>
        <v>-62035.83125000001</v>
      </c>
      <c r="K32" s="863"/>
      <c r="L32" s="893"/>
      <c r="N32" s="1012"/>
      <c r="O32" s="849"/>
    </row>
    <row r="33" spans="1:15" ht="18.75">
      <c r="A33" s="1538" t="s">
        <v>162</v>
      </c>
      <c r="B33" s="1539"/>
      <c r="C33" s="1539"/>
      <c r="D33" s="1539"/>
      <c r="E33" s="1539"/>
      <c r="F33" s="1539"/>
      <c r="G33" s="1539"/>
      <c r="H33" s="1539"/>
      <c r="I33" s="1539"/>
      <c r="J33" s="1540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771551</v>
      </c>
      <c r="F35" s="916">
        <v>774670</v>
      </c>
      <c r="G35" s="844">
        <f t="shared" ref="G35:G46" si="3">F35-E35</f>
        <v>3119</v>
      </c>
      <c r="H35" s="845">
        <f>G35+'23'!H35</f>
        <v>-23719</v>
      </c>
      <c r="I35" s="843"/>
      <c r="J35" s="847">
        <f>H35/DAY(B2)</f>
        <v>-988.29166666666663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311397</v>
      </c>
      <c r="F36" s="916">
        <v>311995</v>
      </c>
      <c r="G36" s="844">
        <f t="shared" si="3"/>
        <v>598</v>
      </c>
      <c r="H36" s="845">
        <f>G36+'23'!H36</f>
        <v>-5441</v>
      </c>
      <c r="I36" s="843"/>
      <c r="J36" s="847">
        <f>H36/DAY(B2)</f>
        <v>-226.70833333333334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42759</v>
      </c>
      <c r="F37" s="916">
        <v>44239</v>
      </c>
      <c r="G37" s="844">
        <f t="shared" si="3"/>
        <v>1480</v>
      </c>
      <c r="H37" s="845">
        <f>G37+'23'!H37</f>
        <v>-10558</v>
      </c>
      <c r="I37" s="843"/>
      <c r="J37" s="847">
        <f>H37/DAY(B2)</f>
        <v>-439.91666666666669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57242</v>
      </c>
      <c r="F38" s="832">
        <v>59005</v>
      </c>
      <c r="G38" s="844">
        <f t="shared" si="3"/>
        <v>1763</v>
      </c>
      <c r="H38" s="845">
        <f>G38+'23'!H38</f>
        <v>-13303</v>
      </c>
      <c r="I38" s="843"/>
      <c r="J38" s="847">
        <f>H38/DAY(B2)</f>
        <v>-554.29166666666663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120519</v>
      </c>
      <c r="F39" s="916">
        <v>124610</v>
      </c>
      <c r="G39" s="844">
        <f t="shared" si="3"/>
        <v>4091</v>
      </c>
      <c r="H39" s="845">
        <f>G39+'23'!H39</f>
        <v>-28212</v>
      </c>
      <c r="I39" s="843"/>
      <c r="J39" s="847">
        <f>H39/DAY(B2)</f>
        <v>-1175.5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0.34</v>
      </c>
      <c r="I40" s="843"/>
      <c r="J40" s="847">
        <f>H40/DAY(B2)</f>
        <v>1.4166666666666668E-2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91684</v>
      </c>
      <c r="F41" s="916">
        <v>96858</v>
      </c>
      <c r="G41" s="844">
        <f t="shared" si="3"/>
        <v>5174</v>
      </c>
      <c r="H41" s="845">
        <f>G41+'23'!H41</f>
        <v>-36283</v>
      </c>
      <c r="I41" s="843"/>
      <c r="J41" s="847">
        <f>H41/DAY(B2)</f>
        <v>-1511.7916666666667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59128.6</v>
      </c>
      <c r="F42" s="916">
        <v>59129</v>
      </c>
      <c r="G42" s="844">
        <f t="shared" si="3"/>
        <v>0.40000000000145519</v>
      </c>
      <c r="H42" s="845">
        <f>G42+'23'!H42</f>
        <v>0.83999999999650754</v>
      </c>
      <c r="I42" s="843"/>
      <c r="J42" s="847">
        <f>H42/DAY(B2)</f>
        <v>3.4999999999854481E-2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881807</v>
      </c>
      <c r="F43" s="916">
        <v>884161</v>
      </c>
      <c r="G43" s="844">
        <f t="shared" si="3"/>
        <v>2354</v>
      </c>
      <c r="H43" s="845">
        <f>G43+'23'!H43</f>
        <v>-17887</v>
      </c>
      <c r="I43" s="843"/>
      <c r="J43" s="847">
        <f>H43/DAY(B2)</f>
        <v>-745.29166666666663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187</v>
      </c>
      <c r="I46" s="843"/>
      <c r="J46" s="847">
        <f>H46/DAY(B2)</f>
        <v>7.791666666666667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18579.400000000001</v>
      </c>
      <c r="H47" s="845">
        <f>G47+'23'!H47</f>
        <v>-134600.82000000004</v>
      </c>
      <c r="I47" s="843"/>
      <c r="J47" s="847">
        <f>H47/DAY(B2)</f>
        <v>-5608.3675000000012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</v>
      </c>
      <c r="F49" s="916">
        <v>260732</v>
      </c>
      <c r="G49" s="844">
        <f t="shared" ref="G49:G58" si="4">F49-E49</f>
        <v>0</v>
      </c>
      <c r="H49" s="845">
        <f>G49+'23'!H49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430608</v>
      </c>
      <c r="F50" s="916">
        <v>432426</v>
      </c>
      <c r="G50" s="844">
        <f t="shared" si="4"/>
        <v>1818</v>
      </c>
      <c r="H50" s="845">
        <f>G50+'23'!H50</f>
        <v>-10000</v>
      </c>
      <c r="I50" s="843"/>
      <c r="J50" s="847">
        <f>H50/DAY(B2)</f>
        <v>-416.66666666666669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144640</v>
      </c>
      <c r="G51" s="844">
        <f t="shared" si="4"/>
        <v>0.13000000000465661</v>
      </c>
      <c r="H51" s="845">
        <f>G51+'23'!H51</f>
        <v>-1549</v>
      </c>
      <c r="I51" s="843"/>
      <c r="J51" s="847">
        <f>H51/DAY(B2)</f>
        <v>-64.541666666666671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</v>
      </c>
      <c r="F52" s="916">
        <v>539606</v>
      </c>
      <c r="G52" s="844">
        <f t="shared" si="4"/>
        <v>0</v>
      </c>
      <c r="H52" s="845">
        <f>G52+'23'!H52</f>
        <v>-2048</v>
      </c>
      <c r="I52" s="843"/>
      <c r="J52" s="847">
        <f>H52/DAY(B2)</f>
        <v>-85.333333333333329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399433.47</v>
      </c>
      <c r="F53" s="916">
        <v>399433</v>
      </c>
      <c r="G53" s="844">
        <f t="shared" si="4"/>
        <v>-0.46999999997206032</v>
      </c>
      <c r="H53" s="845">
        <f>G53+'23'!H53</f>
        <v>-6016</v>
      </c>
      <c r="I53" s="843"/>
      <c r="J53" s="847">
        <f>H53/DAY(B2)</f>
        <v>-250.66666666666666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8587</v>
      </c>
      <c r="F54" s="916">
        <v>8657</v>
      </c>
      <c r="G54" s="844">
        <f t="shared" si="4"/>
        <v>70</v>
      </c>
      <c r="H54" s="845">
        <f>G54+'23'!H54</f>
        <v>2500.0400000000009</v>
      </c>
      <c r="I54" s="843"/>
      <c r="J54" s="847">
        <f>H54/DAY(B2)</f>
        <v>104.16833333333336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208980.55</v>
      </c>
      <c r="F55" s="916">
        <v>208981</v>
      </c>
      <c r="G55" s="844">
        <f t="shared" si="4"/>
        <v>0.45000000001164153</v>
      </c>
      <c r="H55" s="845">
        <f>G55+'23'!H55</f>
        <v>-12115</v>
      </c>
      <c r="I55" s="843"/>
      <c r="J55" s="847">
        <f>H55/DAY(B2)</f>
        <v>-504.79166666666669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588894</v>
      </c>
      <c r="F56" s="916">
        <v>588894</v>
      </c>
      <c r="G56" s="844">
        <f t="shared" si="4"/>
        <v>0</v>
      </c>
      <c r="H56" s="845">
        <f>G56+'23'!H56</f>
        <v>-73</v>
      </c>
      <c r="I56" s="843"/>
      <c r="J56" s="847">
        <f>H56/DAY(B2)</f>
        <v>-3.0416666666666665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40079</v>
      </c>
      <c r="F58" s="916">
        <v>40284</v>
      </c>
      <c r="G58" s="844">
        <f t="shared" si="4"/>
        <v>205</v>
      </c>
      <c r="H58" s="845">
        <f>G58+'23'!H58</f>
        <v>-1459</v>
      </c>
      <c r="I58" s="843"/>
      <c r="J58" s="847">
        <f>H58/DAY(B2)</f>
        <v>-60.791666666666664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2093.1100000000442</v>
      </c>
      <c r="H59" s="845">
        <f>G59+'23'!H59</f>
        <v>-30759.960000000028</v>
      </c>
      <c r="I59" s="843">
        <f>G7-G60</f>
        <v>608.48999999995431</v>
      </c>
      <c r="J59" s="847">
        <f>H59/DAY(B2)</f>
        <v>-1281.6650000000011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20672.510000000046</v>
      </c>
      <c r="H60" s="845">
        <f>G60+'23'!H60</f>
        <v>-151191.78000000009</v>
      </c>
      <c r="I60" s="843">
        <f>G13-G60</f>
        <v>-52.510000000045693</v>
      </c>
      <c r="J60" s="847">
        <f>H60/DAY(B2)</f>
        <v>-6299.6575000000039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1.9999999967694748E-3</v>
      </c>
      <c r="I62" s="927"/>
      <c r="J62" s="847">
        <f>H62/DAY(B2)</f>
        <v>8.3333333198728113E-5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2000</v>
      </c>
      <c r="F63" s="926">
        <v>2012</v>
      </c>
      <c r="G63" s="844">
        <f t="shared" si="5"/>
        <v>12</v>
      </c>
      <c r="H63" s="845">
        <f>G63+'23'!H63</f>
        <v>-84</v>
      </c>
      <c r="I63" s="927"/>
      <c r="J63" s="847">
        <f>H63/DAY(B2)</f>
        <v>-3.5</v>
      </c>
      <c r="K63" s="863"/>
      <c r="L63" s="822"/>
      <c r="O63" s="849"/>
    </row>
    <row r="64" spans="1:15">
      <c r="A64" s="1523" t="s">
        <v>99</v>
      </c>
      <c r="B64" s="1524"/>
      <c r="C64" s="1525"/>
      <c r="D64" s="842" t="s">
        <v>187</v>
      </c>
      <c r="E64" s="843">
        <f>'23'!F64</f>
        <v>135417</v>
      </c>
      <c r="F64" s="873">
        <v>135907</v>
      </c>
      <c r="G64" s="844">
        <f t="shared" si="5"/>
        <v>490</v>
      </c>
      <c r="H64" s="845">
        <f>G64+'23'!H64</f>
        <v>-3273</v>
      </c>
      <c r="I64" s="864"/>
      <c r="J64" s="847">
        <f>H64/DAY(B2)</f>
        <v>-136.375</v>
      </c>
      <c r="K64" s="863"/>
      <c r="L64" s="822"/>
      <c r="O64" s="849"/>
    </row>
    <row r="65" spans="1:15">
      <c r="A65" s="1523" t="s">
        <v>100</v>
      </c>
      <c r="B65" s="1524"/>
      <c r="C65" s="1525"/>
      <c r="D65" s="842" t="s">
        <v>187</v>
      </c>
      <c r="E65" s="843">
        <f>'23'!F65</f>
        <v>141186</v>
      </c>
      <c r="F65" s="873">
        <v>141579</v>
      </c>
      <c r="G65" s="844">
        <f t="shared" si="5"/>
        <v>393</v>
      </c>
      <c r="H65" s="845">
        <f>G65+'23'!H65</f>
        <v>-2626</v>
      </c>
      <c r="I65" s="882"/>
      <c r="J65" s="847">
        <f>H65/DAY(B2)</f>
        <v>-109.41666666666667</v>
      </c>
      <c r="K65" s="863"/>
      <c r="L65" s="822"/>
      <c r="O65" s="849"/>
    </row>
    <row r="66" spans="1:15">
      <c r="A66" s="1523" t="s">
        <v>101</v>
      </c>
      <c r="B66" s="1524"/>
      <c r="C66" s="1525"/>
      <c r="D66" s="842" t="s">
        <v>187</v>
      </c>
      <c r="E66" s="843">
        <f>'23'!F66</f>
        <v>33948</v>
      </c>
      <c r="F66" s="873">
        <v>34324</v>
      </c>
      <c r="G66" s="844">
        <f t="shared" si="5"/>
        <v>376</v>
      </c>
      <c r="H66" s="845">
        <f>G66+'23'!H66</f>
        <v>-2884</v>
      </c>
      <c r="I66" s="864"/>
      <c r="J66" s="847">
        <f>H66/DAY(B2)</f>
        <v>-120.16666666666667</v>
      </c>
      <c r="K66" s="863"/>
      <c r="L66" s="822"/>
      <c r="O66" s="849"/>
    </row>
    <row r="67" spans="1:15">
      <c r="A67" s="1523" t="s">
        <v>102</v>
      </c>
      <c r="B67" s="1524"/>
      <c r="C67" s="1525"/>
      <c r="D67" s="842" t="s">
        <v>187</v>
      </c>
      <c r="E67" s="843">
        <f>'23'!F67</f>
        <v>223612</v>
      </c>
      <c r="F67" s="873">
        <v>224328</v>
      </c>
      <c r="G67" s="844">
        <f t="shared" si="5"/>
        <v>716</v>
      </c>
      <c r="H67" s="845">
        <f>G67+'23'!H67</f>
        <v>-4772</v>
      </c>
      <c r="I67" s="882"/>
      <c r="J67" s="847">
        <f>H67/DAY(B2)</f>
        <v>-198.83333333333334</v>
      </c>
      <c r="K67" s="870"/>
      <c r="L67" s="822"/>
      <c r="O67" s="849"/>
    </row>
    <row r="68" spans="1:15">
      <c r="A68" s="1523" t="s">
        <v>103</v>
      </c>
      <c r="B68" s="1524"/>
      <c r="C68" s="1525"/>
      <c r="D68" s="842" t="s">
        <v>187</v>
      </c>
      <c r="E68" s="843">
        <f>'23'!F68</f>
        <v>80419</v>
      </c>
      <c r="F68" s="873">
        <v>80766</v>
      </c>
      <c r="G68" s="844">
        <f t="shared" si="5"/>
        <v>347</v>
      </c>
      <c r="H68" s="845">
        <f>G68+'23'!H68</f>
        <v>6896.070000000007</v>
      </c>
      <c r="I68" s="928"/>
      <c r="J68" s="847">
        <f>H68/DAY(B2)</f>
        <v>287.33625000000029</v>
      </c>
      <c r="K68" s="929"/>
      <c r="L68" s="822"/>
      <c r="O68" s="849"/>
    </row>
    <row r="69" spans="1:15">
      <c r="A69" s="1523" t="s">
        <v>104</v>
      </c>
      <c r="B69" s="1524"/>
      <c r="C69" s="1525"/>
      <c r="D69" s="842" t="s">
        <v>187</v>
      </c>
      <c r="E69" s="843">
        <f>'23'!F69</f>
        <v>71807</v>
      </c>
      <c r="F69" s="873">
        <v>72124</v>
      </c>
      <c r="G69" s="844">
        <f t="shared" si="5"/>
        <v>317</v>
      </c>
      <c r="H69" s="845">
        <f>G69+'23'!H69</f>
        <v>-2205</v>
      </c>
      <c r="I69" s="928"/>
      <c r="J69" s="847">
        <f>H69/DAY(B2)</f>
        <v>-91.875</v>
      </c>
      <c r="K69" s="930"/>
      <c r="L69" s="822"/>
      <c r="O69" s="849"/>
    </row>
    <row r="70" spans="1:15">
      <c r="A70" s="1532" t="s">
        <v>189</v>
      </c>
      <c r="B70" s="1533"/>
      <c r="C70" s="1534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529" t="s">
        <v>190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929"/>
      <c r="L71" s="822"/>
      <c r="O71" s="849"/>
    </row>
    <row r="72" spans="1:15">
      <c r="A72" s="1523" t="s">
        <v>191</v>
      </c>
      <c r="B72" s="1524"/>
      <c r="C72" s="1525"/>
      <c r="D72" s="842" t="s">
        <v>187</v>
      </c>
      <c r="E72" s="843">
        <f>'23'!F72</f>
        <v>852655</v>
      </c>
      <c r="F72" s="934">
        <v>852740</v>
      </c>
      <c r="G72" s="844">
        <f t="shared" ref="G72:G90" si="6">F72-E72</f>
        <v>85</v>
      </c>
      <c r="H72" s="845">
        <f>G72+'23'!H72</f>
        <v>-529</v>
      </c>
      <c r="I72" s="864"/>
      <c r="J72" s="847">
        <f>H72/DAY(B2)</f>
        <v>-22.041666666666668</v>
      </c>
      <c r="K72" s="930"/>
      <c r="L72" s="822"/>
      <c r="O72" s="849"/>
    </row>
    <row r="73" spans="1:15">
      <c r="A73" s="1523" t="s">
        <v>192</v>
      </c>
      <c r="B73" s="1524"/>
      <c r="C73" s="1525"/>
      <c r="D73" s="842" t="s">
        <v>187</v>
      </c>
      <c r="E73" s="843">
        <f>'23'!F73</f>
        <v>885789</v>
      </c>
      <c r="F73" s="935">
        <v>885790</v>
      </c>
      <c r="G73" s="844">
        <f t="shared" si="6"/>
        <v>1</v>
      </c>
      <c r="H73" s="845">
        <f>G73+'23'!H73</f>
        <v>-1455</v>
      </c>
      <c r="I73" s="864"/>
      <c r="J73" s="847">
        <f>H73/DAY(B2)</f>
        <v>-60.625</v>
      </c>
      <c r="K73" s="929"/>
      <c r="L73" s="822"/>
      <c r="O73" s="849"/>
    </row>
    <row r="74" spans="1:15">
      <c r="A74" s="1523" t="s">
        <v>193</v>
      </c>
      <c r="B74" s="1524"/>
      <c r="C74" s="1525"/>
      <c r="D74" s="842" t="s">
        <v>187</v>
      </c>
      <c r="E74" s="843">
        <f>'23'!F74</f>
        <v>1195</v>
      </c>
      <c r="F74" s="936">
        <v>1214</v>
      </c>
      <c r="G74" s="844">
        <f t="shared" si="6"/>
        <v>19</v>
      </c>
      <c r="H74" s="845">
        <f>G74+'23'!H74</f>
        <v>-156</v>
      </c>
      <c r="I74" s="864"/>
      <c r="J74" s="847">
        <f>H74/DAY(B2)</f>
        <v>-6.5</v>
      </c>
      <c r="K74" s="930"/>
      <c r="L74" s="822"/>
      <c r="O74" s="849"/>
    </row>
    <row r="75" spans="1:15">
      <c r="A75" s="1526" t="s">
        <v>194</v>
      </c>
      <c r="B75" s="1527"/>
      <c r="C75" s="1528"/>
      <c r="D75" s="842" t="s">
        <v>187</v>
      </c>
      <c r="E75" s="843">
        <f>'23'!F75</f>
        <v>7331</v>
      </c>
      <c r="F75" s="936">
        <v>7505</v>
      </c>
      <c r="G75" s="844">
        <f t="shared" si="6"/>
        <v>174</v>
      </c>
      <c r="H75" s="845">
        <f>G75+'23'!H75</f>
        <v>-1175</v>
      </c>
      <c r="I75" s="864"/>
      <c r="J75" s="847">
        <f>H75/DAY(B2)</f>
        <v>-48.958333333333336</v>
      </c>
      <c r="K75" s="929"/>
      <c r="L75" s="822"/>
      <c r="O75" s="849"/>
    </row>
    <row r="76" spans="1:15">
      <c r="A76" s="1526" t="s">
        <v>195</v>
      </c>
      <c r="B76" s="1527"/>
      <c r="C76" s="1528"/>
      <c r="D76" s="842" t="s">
        <v>187</v>
      </c>
      <c r="E76" s="843">
        <f>'23'!F76</f>
        <v>3369</v>
      </c>
      <c r="F76" s="935">
        <v>3451</v>
      </c>
      <c r="G76" s="844">
        <f t="shared" si="6"/>
        <v>82</v>
      </c>
      <c r="H76" s="845">
        <f>G76+'23'!H76</f>
        <v>-2185</v>
      </c>
      <c r="I76" s="907"/>
      <c r="J76" s="847">
        <f>H76/DAY(B2)</f>
        <v>-91.041666666666671</v>
      </c>
      <c r="K76" s="929"/>
      <c r="L76" s="822"/>
      <c r="O76" s="849"/>
    </row>
    <row r="77" spans="1:15">
      <c r="A77" s="1523" t="s">
        <v>196</v>
      </c>
      <c r="B77" s="1524"/>
      <c r="C77" s="1525"/>
      <c r="D77" s="842" t="s">
        <v>187</v>
      </c>
      <c r="E77" s="843">
        <f>'23'!F77</f>
        <v>699805</v>
      </c>
      <c r="F77" s="935">
        <v>699854</v>
      </c>
      <c r="G77" s="844">
        <f t="shared" si="6"/>
        <v>49</v>
      </c>
      <c r="H77" s="845">
        <f>G77+'23'!H77</f>
        <v>-360</v>
      </c>
      <c r="I77" s="907"/>
      <c r="J77" s="847">
        <f>H77/DAY(B2)</f>
        <v>-15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'23'!F78</f>
        <v>662390</v>
      </c>
      <c r="F78" s="936">
        <v>662799</v>
      </c>
      <c r="G78" s="844">
        <f t="shared" si="6"/>
        <v>409</v>
      </c>
      <c r="H78" s="845">
        <f>G78+'23'!H78</f>
        <v>-2581</v>
      </c>
      <c r="I78" s="907"/>
      <c r="J78" s="847">
        <f>H78/DAY(B2)</f>
        <v>-107.54166666666667</v>
      </c>
      <c r="K78" s="929"/>
      <c r="L78" s="822"/>
      <c r="O78" s="849"/>
    </row>
    <row r="79" spans="1:15">
      <c r="A79" s="1526" t="s">
        <v>92</v>
      </c>
      <c r="B79" s="1527"/>
      <c r="C79" s="1528"/>
      <c r="D79" s="876" t="s">
        <v>187</v>
      </c>
      <c r="E79" s="843">
        <f>'23'!F79</f>
        <v>819724</v>
      </c>
      <c r="F79" s="936">
        <v>819907</v>
      </c>
      <c r="G79" s="844">
        <f t="shared" si="6"/>
        <v>183</v>
      </c>
      <c r="H79" s="845">
        <f>G79+'23'!H79</f>
        <v>-5209</v>
      </c>
      <c r="I79" s="907"/>
      <c r="J79" s="847">
        <f>H79/DAY(B2)</f>
        <v>-217.04166666666666</v>
      </c>
      <c r="K79" s="929"/>
      <c r="L79" s="822"/>
      <c r="O79" s="849"/>
    </row>
    <row r="80" spans="1:15">
      <c r="A80" s="1526" t="s">
        <v>198</v>
      </c>
      <c r="B80" s="1527"/>
      <c r="C80" s="1528"/>
      <c r="D80" s="876" t="s">
        <v>187</v>
      </c>
      <c r="E80" s="843">
        <f>'23'!F80</f>
        <v>502871</v>
      </c>
      <c r="F80" s="1236">
        <v>503279</v>
      </c>
      <c r="G80" s="844">
        <f t="shared" si="6"/>
        <v>408</v>
      </c>
      <c r="H80" s="845">
        <f>G80+'23'!H80</f>
        <v>561</v>
      </c>
      <c r="I80" s="907"/>
      <c r="J80" s="847">
        <f>H80/DAY(B2)</f>
        <v>23.375</v>
      </c>
      <c r="K80" s="929"/>
      <c r="L80" s="822"/>
      <c r="O80" s="849"/>
    </row>
    <row r="81" spans="1:15">
      <c r="A81" s="1526" t="s">
        <v>199</v>
      </c>
      <c r="B81" s="1527"/>
      <c r="C81" s="1528"/>
      <c r="D81" s="876" t="s">
        <v>187</v>
      </c>
      <c r="E81" s="843">
        <f>'23'!F81</f>
        <v>628468</v>
      </c>
      <c r="F81" s="935">
        <v>628605</v>
      </c>
      <c r="G81" s="844">
        <f t="shared" si="6"/>
        <v>137</v>
      </c>
      <c r="H81" s="845">
        <f>G81+'23'!H81</f>
        <v>-1580</v>
      </c>
      <c r="I81" s="907"/>
      <c r="J81" s="847">
        <f>H81/DAY(B2)</f>
        <v>-65.833333333333329</v>
      </c>
      <c r="K81" s="929"/>
      <c r="L81" s="822"/>
      <c r="O81" s="849"/>
    </row>
    <row r="82" spans="1:15">
      <c r="A82" s="1526" t="s">
        <v>93</v>
      </c>
      <c r="B82" s="1527"/>
      <c r="C82" s="1528"/>
      <c r="D82" s="877" t="s">
        <v>132</v>
      </c>
      <c r="E82" s="843">
        <f>'23'!F82</f>
        <v>106710</v>
      </c>
      <c r="F82" s="938">
        <v>106732</v>
      </c>
      <c r="G82" s="844">
        <f t="shared" si="6"/>
        <v>22</v>
      </c>
      <c r="H82" s="845">
        <f>G82+'23'!H82</f>
        <v>-163</v>
      </c>
      <c r="I82" s="878"/>
      <c r="J82" s="847">
        <f>H82/DAY(B2)</f>
        <v>-6.791666666666667</v>
      </c>
      <c r="K82" s="929"/>
      <c r="L82" s="822"/>
      <c r="O82" s="849"/>
    </row>
    <row r="83" spans="1:15">
      <c r="A83" s="1526" t="s">
        <v>200</v>
      </c>
      <c r="B83" s="1527"/>
      <c r="C83" s="1528"/>
      <c r="D83" s="939" t="s">
        <v>132</v>
      </c>
      <c r="E83" s="843">
        <f>'23'!F83</f>
        <v>4677</v>
      </c>
      <c r="F83" s="829">
        <v>4914</v>
      </c>
      <c r="G83" s="844">
        <f>F83-E83</f>
        <v>237</v>
      </c>
      <c r="H83" s="845">
        <f>G83+'23'!H83</f>
        <v>-2143</v>
      </c>
      <c r="I83" s="867"/>
      <c r="J83" s="847">
        <f>H83/DAY(B2)</f>
        <v>-89.291666666666671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448227</v>
      </c>
      <c r="F84" s="942">
        <v>448965</v>
      </c>
      <c r="G84" s="844">
        <f t="shared" si="6"/>
        <v>738</v>
      </c>
      <c r="H84" s="845">
        <f>G84+'23'!H84</f>
        <v>-5719</v>
      </c>
      <c r="I84" s="867"/>
      <c r="J84" s="847">
        <f>H84/DAY(B2)</f>
        <v>-238.29166666666666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2544</v>
      </c>
      <c r="H85" s="845">
        <f>G85+'23'!H85</f>
        <v>-18637.999999999993</v>
      </c>
      <c r="I85" s="867"/>
      <c r="J85" s="847">
        <f>H85/DAY(B2)</f>
        <v>-776.58333333333303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453224</v>
      </c>
      <c r="F86" s="951">
        <v>453391</v>
      </c>
      <c r="G86" s="952">
        <f t="shared" si="6"/>
        <v>167</v>
      </c>
      <c r="H86" s="952">
        <f t="shared" ref="H86:H88" si="7">G86</f>
        <v>167</v>
      </c>
      <c r="I86" s="953"/>
      <c r="J86" s="954">
        <f>H86/DAY(B2)</f>
        <v>6.958333333333333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79894</v>
      </c>
      <c r="F87" s="951">
        <v>79939</v>
      </c>
      <c r="G87" s="952">
        <f t="shared" si="6"/>
        <v>45</v>
      </c>
      <c r="H87" s="952">
        <f t="shared" si="7"/>
        <v>45</v>
      </c>
      <c r="I87" s="953"/>
      <c r="J87" s="954">
        <f>H87/DAY(B2)</f>
        <v>1.875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150034</v>
      </c>
      <c r="F88" s="951">
        <v>150114</v>
      </c>
      <c r="G88" s="952">
        <f t="shared" si="6"/>
        <v>80</v>
      </c>
      <c r="H88" s="952">
        <f t="shared" si="7"/>
        <v>80</v>
      </c>
      <c r="I88" s="953"/>
      <c r="J88" s="954">
        <f>H88/DAY(B2)</f>
        <v>3.3333333333333335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63176</v>
      </c>
      <c r="F89" s="951">
        <v>63238</v>
      </c>
      <c r="G89" s="952">
        <f t="shared" si="6"/>
        <v>62</v>
      </c>
      <c r="H89" s="952">
        <f>G89</f>
        <v>62</v>
      </c>
      <c r="I89" s="953"/>
      <c r="J89" s="954">
        <f>H89/DAY(B2)</f>
        <v>2.5833333333333335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3254</v>
      </c>
      <c r="F90" s="951">
        <v>3258</v>
      </c>
      <c r="G90" s="952">
        <f t="shared" si="6"/>
        <v>4</v>
      </c>
      <c r="H90" s="952">
        <f>G90</f>
        <v>4</v>
      </c>
      <c r="I90" s="953"/>
      <c r="J90" s="954">
        <f>H90/DAY(B2)</f>
        <v>0.16666666666666666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17" t="s">
        <v>206</v>
      </c>
      <c r="B92" s="1518"/>
      <c r="C92" s="1519"/>
      <c r="D92" s="842" t="s">
        <v>144</v>
      </c>
      <c r="E92" s="843">
        <f>'23'!F92</f>
        <v>241784</v>
      </c>
      <c r="F92" s="873">
        <v>241863</v>
      </c>
      <c r="G92" s="844">
        <f t="shared" ref="G92:G93" si="8">F92-E92</f>
        <v>79</v>
      </c>
      <c r="H92" s="845">
        <f>G92+'23'!H92</f>
        <v>-783</v>
      </c>
      <c r="I92" s="864"/>
      <c r="J92" s="847">
        <f>H92/DAY(B2)</f>
        <v>-32.625</v>
      </c>
      <c r="K92" s="870"/>
      <c r="L92" s="822"/>
      <c r="O92" s="849"/>
    </row>
    <row r="93" spans="1:15">
      <c r="A93" s="1517" t="s">
        <v>207</v>
      </c>
      <c r="B93" s="1518"/>
      <c r="C93" s="1519"/>
      <c r="D93" s="842" t="s">
        <v>144</v>
      </c>
      <c r="E93" s="843">
        <f>'23'!F93</f>
        <v>178537</v>
      </c>
      <c r="F93" s="873">
        <v>178651</v>
      </c>
      <c r="G93" s="844">
        <f t="shared" si="8"/>
        <v>114</v>
      </c>
      <c r="H93" s="845">
        <f>G93+'23'!H93</f>
        <v>-1028</v>
      </c>
      <c r="I93" s="864"/>
      <c r="J93" s="847">
        <f>H93/DAY(B2)</f>
        <v>-42.833333333333336</v>
      </c>
      <c r="K93" s="943"/>
      <c r="L93" s="822"/>
      <c r="O93" s="849"/>
    </row>
    <row r="94" spans="1:15">
      <c r="A94" s="1509" t="s">
        <v>208</v>
      </c>
      <c r="B94" s="1510"/>
      <c r="C94" s="1511"/>
      <c r="D94" s="842"/>
      <c r="E94" s="843">
        <f>'23'!F94</f>
        <v>0</v>
      </c>
      <c r="F94" s="873"/>
      <c r="G94" s="844">
        <f>G92+G93</f>
        <v>193</v>
      </c>
      <c r="H94" s="845">
        <f>G94+'23'!H94</f>
        <v>-2030</v>
      </c>
      <c r="I94" s="864"/>
      <c r="J94" s="847">
        <f>H94/DAY(B2)</f>
        <v>-84.583333333333329</v>
      </c>
      <c r="K94" s="943"/>
      <c r="L94" s="822"/>
      <c r="O94" s="849"/>
    </row>
    <row r="95" spans="1:15">
      <c r="A95" s="1517" t="s">
        <v>209</v>
      </c>
      <c r="B95" s="1518"/>
      <c r="C95" s="1519"/>
      <c r="D95" s="842" t="s">
        <v>144</v>
      </c>
      <c r="E95" s="843">
        <f>'23'!F95</f>
        <v>410079</v>
      </c>
      <c r="F95" s="873">
        <v>410164</v>
      </c>
      <c r="G95" s="844">
        <f t="shared" ref="G95:G100" si="9">F95-E95</f>
        <v>85</v>
      </c>
      <c r="H95" s="845">
        <f>G95+'23'!H95</f>
        <v>-621</v>
      </c>
      <c r="I95" s="864"/>
      <c r="J95" s="847">
        <f>H95/DAY(B2)</f>
        <v>-25.875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'23'!F96</f>
        <v>101684</v>
      </c>
      <c r="F96" s="873">
        <v>101699</v>
      </c>
      <c r="G96" s="844">
        <f t="shared" si="9"/>
        <v>15</v>
      </c>
      <c r="H96" s="845">
        <f>G96+'23'!H96</f>
        <v>-132</v>
      </c>
      <c r="I96" s="864"/>
      <c r="J96" s="847">
        <f>H96/DAY(B2)</f>
        <v>-5.5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'23'!F97</f>
        <v>96744</v>
      </c>
      <c r="F97" s="873">
        <v>96757</v>
      </c>
      <c r="G97" s="844">
        <f t="shared" si="9"/>
        <v>13</v>
      </c>
      <c r="H97" s="845">
        <f>G97+'23'!H97</f>
        <v>-171</v>
      </c>
      <c r="I97" s="864"/>
      <c r="J97" s="847">
        <f>H97/DAY(B2)</f>
        <v>-7.125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'23'!F98</f>
        <v>148629</v>
      </c>
      <c r="F98" s="873">
        <v>148687</v>
      </c>
      <c r="G98" s="844">
        <f t="shared" si="9"/>
        <v>58</v>
      </c>
      <c r="H98" s="845">
        <f>G98+'23'!H98</f>
        <v>-222</v>
      </c>
      <c r="I98" s="864"/>
      <c r="J98" s="847">
        <f>H98/DAY(B2)</f>
        <v>-9.25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'23'!F99</f>
        <v>6714</v>
      </c>
      <c r="F99" s="873">
        <v>6722</v>
      </c>
      <c r="G99" s="844">
        <f t="shared" si="9"/>
        <v>8</v>
      </c>
      <c r="H99" s="845">
        <f>G99+'23'!H99</f>
        <v>-133</v>
      </c>
      <c r="I99" s="864"/>
      <c r="J99" s="847">
        <f>H99/DAY(B2)</f>
        <v>-5.541666666666667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'23'!F100</f>
        <v>4827</v>
      </c>
      <c r="F100" s="873">
        <v>4841</v>
      </c>
      <c r="G100" s="844">
        <f t="shared" si="9"/>
        <v>14</v>
      </c>
      <c r="H100" s="845">
        <f>G100+'23'!H100</f>
        <v>-102</v>
      </c>
      <c r="I100" s="864"/>
      <c r="J100" s="847">
        <f>H100/DAY(B2)</f>
        <v>-4.25</v>
      </c>
      <c r="K100" s="943"/>
      <c r="L100" s="822"/>
      <c r="O100" s="849"/>
    </row>
    <row r="101" spans="1:15">
      <c r="A101" s="1509" t="s">
        <v>216</v>
      </c>
      <c r="B101" s="1510"/>
      <c r="C101" s="1511"/>
      <c r="D101" s="876"/>
      <c r="E101" s="876"/>
      <c r="F101" s="876"/>
      <c r="G101" s="960">
        <f>SUM(G95:G100)</f>
        <v>193</v>
      </c>
      <c r="H101" s="845">
        <f>G101+'23'!H101</f>
        <v>-1381</v>
      </c>
      <c r="I101" s="961"/>
      <c r="J101" s="847">
        <f>H101/DAY(B2)</f>
        <v>-57.541666666666664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06" t="s">
        <v>218</v>
      </c>
      <c r="B103" s="1507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00" t="s">
        <v>219</v>
      </c>
      <c r="B104" s="1501"/>
      <c r="C104" s="976"/>
      <c r="D104" s="972" t="s">
        <v>144</v>
      </c>
      <c r="E104" s="973">
        <f>'23'!F104</f>
        <v>7284</v>
      </c>
      <c r="F104" s="973">
        <v>7287</v>
      </c>
      <c r="G104" s="973">
        <f>F104-E104</f>
        <v>3</v>
      </c>
      <c r="H104" s="974">
        <f>SUM(G104+'1'!G76)</f>
        <v>62</v>
      </c>
      <c r="I104" s="973"/>
      <c r="J104" s="975">
        <f>H104/DAY(B2)</f>
        <v>2.5833333333333335</v>
      </c>
      <c r="N104" s="1012"/>
      <c r="O104" s="849"/>
    </row>
    <row r="105" spans="1:15" s="894" customFormat="1">
      <c r="A105" s="1500" t="s">
        <v>77</v>
      </c>
      <c r="B105" s="1501"/>
      <c r="C105" s="976"/>
      <c r="D105" s="972" t="s">
        <v>144</v>
      </c>
      <c r="E105" s="973">
        <f>'23'!F105</f>
        <v>35587</v>
      </c>
      <c r="F105" s="977">
        <v>35594</v>
      </c>
      <c r="G105" s="973">
        <f t="shared" ref="G105:G106" si="10">F105-E105</f>
        <v>7</v>
      </c>
      <c r="H105" s="974">
        <f>SUM(G105+'1'!G77)</f>
        <v>57</v>
      </c>
      <c r="I105" s="973"/>
      <c r="J105" s="975">
        <f>H105/DAY(B2)</f>
        <v>2.375</v>
      </c>
      <c r="N105" s="1012"/>
      <c r="O105" s="849"/>
    </row>
    <row r="106" spans="1:15" s="894" customFormat="1">
      <c r="A106" s="1500" t="s">
        <v>78</v>
      </c>
      <c r="B106" s="1508"/>
      <c r="C106" s="1501"/>
      <c r="D106" s="972" t="s">
        <v>144</v>
      </c>
      <c r="E106" s="973">
        <f>'23'!F106</f>
        <v>19374</v>
      </c>
      <c r="F106" s="973">
        <v>19381</v>
      </c>
      <c r="G106" s="973">
        <f t="shared" si="10"/>
        <v>7</v>
      </c>
      <c r="H106" s="974">
        <f>SUM(G106+'1'!G78)</f>
        <v>402</v>
      </c>
      <c r="I106" s="973"/>
      <c r="J106" s="975">
        <f>H106/DAY(B2)</f>
        <v>16.75</v>
      </c>
      <c r="N106" s="1012"/>
      <c r="O106" s="849"/>
    </row>
    <row r="107" spans="1:15" s="894" customFormat="1">
      <c r="A107" s="1502" t="s">
        <v>202</v>
      </c>
      <c r="B107" s="1503"/>
      <c r="C107" s="976"/>
      <c r="D107" s="972"/>
      <c r="E107" s="973"/>
      <c r="F107" s="973"/>
      <c r="G107" s="973">
        <f>SUM(G104:G106)</f>
        <v>17</v>
      </c>
      <c r="H107" s="974">
        <f>SUM(G107+'1'!G79)</f>
        <v>211</v>
      </c>
      <c r="I107" s="973"/>
      <c r="J107" s="975">
        <f>H107/DAY(B2)</f>
        <v>8.7916666666666661</v>
      </c>
      <c r="N107" s="1012"/>
      <c r="O107" s="849"/>
    </row>
    <row r="108" spans="1:15" s="894" customFormat="1">
      <c r="A108" s="1498" t="s">
        <v>79</v>
      </c>
      <c r="B108" s="1499"/>
      <c r="C108" s="976"/>
      <c r="D108" s="972" t="s">
        <v>144</v>
      </c>
      <c r="E108" s="973">
        <f>'23'!F108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00" t="s">
        <v>220</v>
      </c>
      <c r="B109" s="1501"/>
      <c r="C109" s="976"/>
      <c r="D109" s="972" t="s">
        <v>144</v>
      </c>
      <c r="E109" s="973">
        <f>'23'!F109</f>
        <v>58132</v>
      </c>
      <c r="F109" s="973">
        <v>58195</v>
      </c>
      <c r="G109" s="973">
        <f>F109-E109</f>
        <v>63</v>
      </c>
      <c r="H109" s="974">
        <f>SUM(G109+'1'!G81)</f>
        <v>261</v>
      </c>
      <c r="I109" s="973"/>
      <c r="J109" s="975">
        <f>H109/DAY(B2)</f>
        <v>10.875</v>
      </c>
      <c r="N109" s="1012"/>
      <c r="O109" s="849"/>
    </row>
    <row r="110" spans="1:15" s="894" customFormat="1">
      <c r="A110" s="1500" t="s">
        <v>221</v>
      </c>
      <c r="B110" s="1501"/>
      <c r="C110" s="976"/>
      <c r="D110" s="972" t="s">
        <v>144</v>
      </c>
      <c r="E110" s="973">
        <f>'23'!F110</f>
        <v>31451</v>
      </c>
      <c r="F110" s="973">
        <v>31489</v>
      </c>
      <c r="G110" s="973">
        <f t="shared" ref="G110:G111" si="11">F110-E110</f>
        <v>38</v>
      </c>
      <c r="H110" s="974">
        <f>SUM(G110+'1'!G82)</f>
        <v>61</v>
      </c>
      <c r="I110" s="973"/>
      <c r="J110" s="975">
        <f>H110/DAY(B2)</f>
        <v>2.5416666666666665</v>
      </c>
      <c r="N110" s="1012"/>
      <c r="O110" s="849"/>
    </row>
    <row r="111" spans="1:15" s="894" customFormat="1">
      <c r="A111" s="1500" t="s">
        <v>222</v>
      </c>
      <c r="B111" s="1501"/>
      <c r="C111" s="976"/>
      <c r="D111" s="972" t="s">
        <v>144</v>
      </c>
      <c r="E111" s="973">
        <f>'23'!F111</f>
        <v>4117</v>
      </c>
      <c r="F111" s="973">
        <v>4117</v>
      </c>
      <c r="G111" s="973">
        <f t="shared" si="11"/>
        <v>0</v>
      </c>
      <c r="H111" s="974">
        <f>SUM(G111+'1'!G83)</f>
        <v>239</v>
      </c>
      <c r="I111" s="973"/>
      <c r="J111" s="975">
        <f>H111/DAY(B2)</f>
        <v>9.9583333333333339</v>
      </c>
      <c r="N111" s="1012"/>
      <c r="O111" s="849"/>
    </row>
    <row r="112" spans="1:15" s="894" customFormat="1">
      <c r="A112" s="1504" t="s">
        <v>110</v>
      </c>
      <c r="B112" s="1505"/>
      <c r="C112" s="976"/>
      <c r="D112" s="972"/>
      <c r="E112" s="973">
        <f>'23'!F112</f>
        <v>0</v>
      </c>
      <c r="F112" s="973"/>
      <c r="G112" s="973">
        <f>SUM(G109:G111)</f>
        <v>101</v>
      </c>
      <c r="H112" s="974">
        <f>SUM(G112+'1'!G84)</f>
        <v>1016</v>
      </c>
      <c r="I112" s="973"/>
      <c r="J112" s="975">
        <f>H112/DAY(B2)</f>
        <v>42.333333333333336</v>
      </c>
      <c r="N112" s="1012"/>
      <c r="O112" s="849"/>
    </row>
    <row r="113" spans="1:15" s="894" customFormat="1">
      <c r="A113" s="1498" t="s">
        <v>223</v>
      </c>
      <c r="B113" s="1499"/>
      <c r="C113" s="976"/>
      <c r="D113" s="972"/>
      <c r="E113" s="973"/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00" t="s">
        <v>224</v>
      </c>
      <c r="B114" s="1501"/>
      <c r="C114" s="978"/>
      <c r="D114" s="972" t="s">
        <v>144</v>
      </c>
      <c r="E114" s="973">
        <f>'23'!F114</f>
        <v>10691</v>
      </c>
      <c r="F114" s="977">
        <v>10701</v>
      </c>
      <c r="G114" s="977">
        <f>F114-E114</f>
        <v>10</v>
      </c>
      <c r="H114" s="974">
        <f>SUM(G114+'1'!G91)</f>
        <v>10</v>
      </c>
      <c r="I114" s="973"/>
      <c r="J114" s="975">
        <f>H114/DAY(B2)</f>
        <v>0.41666666666666669</v>
      </c>
      <c r="N114" s="1012"/>
      <c r="O114" s="849"/>
    </row>
    <row r="115" spans="1:15" s="894" customFormat="1">
      <c r="A115" s="1500" t="s">
        <v>225</v>
      </c>
      <c r="B115" s="1501"/>
      <c r="C115" s="978"/>
      <c r="D115" s="972" t="s">
        <v>144</v>
      </c>
      <c r="E115" s="973">
        <f>'23'!F115</f>
        <v>7885</v>
      </c>
      <c r="F115" s="977">
        <v>7898</v>
      </c>
      <c r="G115" s="977">
        <f t="shared" ref="G115:G116" si="12">F115-E115</f>
        <v>13</v>
      </c>
      <c r="H115" s="974">
        <f>SUM(G115+'1'!G92)</f>
        <v>105</v>
      </c>
      <c r="I115" s="973"/>
      <c r="J115" s="975">
        <f>H115/DAY(B2)</f>
        <v>4.375</v>
      </c>
      <c r="N115" s="1012"/>
      <c r="O115" s="849"/>
    </row>
    <row r="116" spans="1:15" s="894" customFormat="1">
      <c r="A116" s="1500" t="s">
        <v>226</v>
      </c>
      <c r="B116" s="1501"/>
      <c r="C116" s="978"/>
      <c r="D116" s="972" t="s">
        <v>144</v>
      </c>
      <c r="E116" s="977"/>
      <c r="F116" s="977"/>
      <c r="G116" s="977">
        <f t="shared" si="12"/>
        <v>0</v>
      </c>
      <c r="H116" s="974">
        <f>SUM(G116+'1'!G93)</f>
        <v>127</v>
      </c>
      <c r="I116" s="973"/>
      <c r="J116" s="975">
        <f>H116/DAY(B2)</f>
        <v>5.291666666666667</v>
      </c>
      <c r="N116" s="1012"/>
      <c r="O116" s="849"/>
    </row>
    <row r="117" spans="1:15" s="980" customFormat="1">
      <c r="A117" s="1502" t="s">
        <v>202</v>
      </c>
      <c r="B117" s="1503"/>
      <c r="C117" s="978"/>
      <c r="D117" s="979"/>
      <c r="E117" s="977"/>
      <c r="F117" s="977"/>
      <c r="G117" s="977">
        <f>SUM(G114:G116)</f>
        <v>23</v>
      </c>
      <c r="H117" s="974">
        <f>SUM(G117+'1'!G95)</f>
        <v>100</v>
      </c>
      <c r="I117" s="977"/>
      <c r="J117" s="975">
        <f>H117/DAY(B2)</f>
        <v>4.166666666666667</v>
      </c>
      <c r="N117" s="1017"/>
      <c r="O117" s="849"/>
    </row>
    <row r="118" spans="1:15" s="772" customFormat="1">
      <c r="A118" s="1494" t="s">
        <v>227</v>
      </c>
      <c r="B118" s="1495"/>
      <c r="C118" s="981"/>
      <c r="D118" s="982" t="s">
        <v>144</v>
      </c>
      <c r="E118" s="983"/>
      <c r="F118" s="984"/>
      <c r="G118" s="984">
        <f>SUM(G19+G92)</f>
        <v>133</v>
      </c>
      <c r="H118" s="974">
        <f>SUM(G118+'1'!G96)</f>
        <v>150</v>
      </c>
      <c r="I118" s="983"/>
      <c r="J118" s="985">
        <f>H118/DAY(B2)</f>
        <v>6.25</v>
      </c>
      <c r="N118" s="1018"/>
      <c r="O118" s="849"/>
    </row>
    <row r="119" spans="1:15" s="772" customFormat="1">
      <c r="A119" s="1494" t="s">
        <v>228</v>
      </c>
      <c r="B119" s="1495"/>
      <c r="C119" s="981"/>
      <c r="D119" s="982" t="s">
        <v>144</v>
      </c>
      <c r="E119" s="983"/>
      <c r="F119" s="984"/>
      <c r="G119" s="984">
        <f>SUM(G95,G96,G97,G99,G100)</f>
        <v>135</v>
      </c>
      <c r="H119" s="974">
        <f>SUM(G119+'1'!G98)</f>
        <v>163</v>
      </c>
      <c r="I119" s="983"/>
      <c r="J119" s="985">
        <f>H119/DAY(B2)</f>
        <v>6.791666666666667</v>
      </c>
      <c r="N119" s="1018"/>
      <c r="O119" s="849"/>
    </row>
    <row r="120" spans="1:15" s="772" customFormat="1">
      <c r="A120" s="1494" t="s">
        <v>229</v>
      </c>
      <c r="B120" s="1495"/>
      <c r="C120" s="981"/>
      <c r="D120" s="982" t="s">
        <v>144</v>
      </c>
      <c r="E120" s="983"/>
      <c r="F120" s="977"/>
      <c r="G120" s="977">
        <f>SUM(G112)</f>
        <v>101</v>
      </c>
      <c r="H120" s="974">
        <f>SUM(G120+'1'!G100)</f>
        <v>107</v>
      </c>
      <c r="I120" s="983"/>
      <c r="J120" s="985">
        <f>H120/DAY(B2)</f>
        <v>4.458333333333333</v>
      </c>
      <c r="N120" s="1018"/>
      <c r="O120" s="849"/>
    </row>
    <row r="121" spans="1:15" s="894" customFormat="1">
      <c r="A121" s="1496"/>
      <c r="B121" s="149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12" t="s">
        <v>230</v>
      </c>
      <c r="B122" s="1513"/>
      <c r="C122" s="1514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'23'!F123</f>
        <v>816886</v>
      </c>
      <c r="F123" s="861">
        <v>816987</v>
      </c>
      <c r="G123" s="844">
        <f t="shared" ref="G123:G127" si="13">F123-E123</f>
        <v>101</v>
      </c>
      <c r="H123" s="845">
        <f>G123+'23'!H123</f>
        <v>-1823</v>
      </c>
      <c r="I123" s="961"/>
      <c r="J123" s="847">
        <f>H123/DAY(B2)</f>
        <v>-75.958333333333329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'23'!F124</f>
        <v>73583</v>
      </c>
      <c r="F124" s="989">
        <v>73583</v>
      </c>
      <c r="G124" s="844">
        <f t="shared" si="13"/>
        <v>0</v>
      </c>
      <c r="H124" s="845">
        <f>G124+'23'!H124</f>
        <v>-0.39999999999417923</v>
      </c>
      <c r="I124" s="961"/>
      <c r="J124" s="847">
        <f>H124/DAY(B2)</f>
        <v>-1.6666666666424135E-2</v>
      </c>
      <c r="K124" s="943"/>
      <c r="L124" s="822"/>
      <c r="O124" s="849"/>
    </row>
    <row r="125" spans="1:15">
      <c r="A125" s="1523" t="s">
        <v>233</v>
      </c>
      <c r="B125" s="1524"/>
      <c r="C125" s="1525"/>
      <c r="D125" s="842" t="s">
        <v>141</v>
      </c>
      <c r="E125" s="843">
        <f>'23'!F125</f>
        <v>141525</v>
      </c>
      <c r="F125" s="861">
        <v>141548.57999999999</v>
      </c>
      <c r="G125" s="844">
        <f t="shared" si="13"/>
        <v>23.579999999987194</v>
      </c>
      <c r="H125" s="845">
        <f>G125+'23'!H125</f>
        <v>-587.42000000001281</v>
      </c>
      <c r="I125" s="961"/>
      <c r="J125" s="847">
        <f>H125/DAY(B2)</f>
        <v>-24.475833333333867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'23'!F126</f>
        <v>59820</v>
      </c>
      <c r="F126" s="989">
        <v>59823</v>
      </c>
      <c r="G126" s="844">
        <f t="shared" si="13"/>
        <v>3</v>
      </c>
      <c r="H126" s="845">
        <f>G126+'23'!H126</f>
        <v>28504.3</v>
      </c>
      <c r="I126" s="961"/>
      <c r="J126" s="847">
        <f>H126/DAY(B2)</f>
        <v>1187.6791666666666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'23'!F127</f>
        <v>8944</v>
      </c>
      <c r="F127" s="989">
        <v>8944</v>
      </c>
      <c r="G127" s="844">
        <f t="shared" si="13"/>
        <v>0</v>
      </c>
      <c r="H127" s="845">
        <f>G127+'23'!H127</f>
        <v>-18</v>
      </c>
      <c r="I127" s="864"/>
      <c r="J127" s="847">
        <f>H127/DAY(B2)</f>
        <v>-0.75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168.42000000001281</v>
      </c>
      <c r="H128" s="845">
        <f>G128+'23'!H128</f>
        <v>4311.6609999999528</v>
      </c>
      <c r="I128" s="864"/>
      <c r="J128" s="847">
        <f>H128/DAY(B2)</f>
        <v>179.65254166666469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'23'!F130</f>
        <v>0</v>
      </c>
      <c r="F130" s="873">
        <v>0</v>
      </c>
      <c r="G130" s="844">
        <f t="shared" ref="G130:G140" si="14">F130-E130</f>
        <v>0</v>
      </c>
      <c r="H130" s="845">
        <f>G130+'23'!H130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si="14"/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'23'!F132</f>
        <v>39341.300000000003</v>
      </c>
      <c r="F132" s="994">
        <v>39365.279999999999</v>
      </c>
      <c r="G132" s="844">
        <f t="shared" si="14"/>
        <v>23.979999999995925</v>
      </c>
      <c r="H132" s="845">
        <f>G132+'23'!H132</f>
        <v>-177.05000000000291</v>
      </c>
      <c r="I132" s="864"/>
      <c r="J132" s="847">
        <f>H132/DAY(B2)</f>
        <v>-7.3770833333334549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'23'!F133</f>
        <v>299.52</v>
      </c>
      <c r="F133" s="994">
        <v>299.52</v>
      </c>
      <c r="G133" s="844">
        <f t="shared" si="14"/>
        <v>0</v>
      </c>
      <c r="H133" s="845">
        <f>G133+'23'!H133</f>
        <v>-0.48000000000001819</v>
      </c>
      <c r="I133" s="864">
        <f>G130+G131+G132+G133</f>
        <v>23.979999999995925</v>
      </c>
      <c r="J133" s="847">
        <f>H133/DAY(B2)</f>
        <v>-2.0000000000000757E-2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'23'!F134</f>
        <v>40802</v>
      </c>
      <c r="F134" s="994">
        <v>40802</v>
      </c>
      <c r="G134" s="844">
        <f t="shared" si="14"/>
        <v>0</v>
      </c>
      <c r="H134" s="845">
        <f>G134+'23'!H134</f>
        <v>24</v>
      </c>
      <c r="I134" s="864"/>
      <c r="J134" s="847">
        <f>H134/DAY(B2)</f>
        <v>1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'23'!F135</f>
        <v>32582.93</v>
      </c>
      <c r="F135" s="994">
        <v>32582.93</v>
      </c>
      <c r="G135" s="844">
        <f t="shared" si="14"/>
        <v>0</v>
      </c>
      <c r="H135" s="845">
        <f>G135+'23'!H135</f>
        <v>13</v>
      </c>
      <c r="I135" s="864"/>
      <c r="J135" s="847">
        <f>H135/DAY(B2)</f>
        <v>0.54166666666666663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'23'!F136</f>
        <v>22418.85</v>
      </c>
      <c r="F136" s="994">
        <v>22422.25</v>
      </c>
      <c r="G136" s="844">
        <f t="shared" si="14"/>
        <v>3.4000000000014552</v>
      </c>
      <c r="H136" s="845">
        <f>G136+'23'!H136</f>
        <v>-66.400000000001455</v>
      </c>
      <c r="I136" s="864">
        <f>G134+G135+G136</f>
        <v>3.4000000000014552</v>
      </c>
      <c r="J136" s="847">
        <f>H136/DAY(B2)</f>
        <v>-2.7666666666667274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'23'!F137</f>
        <v>25044.31</v>
      </c>
      <c r="F137" s="994">
        <v>25048.97</v>
      </c>
      <c r="G137" s="844">
        <f t="shared" si="14"/>
        <v>4.6599999999998545</v>
      </c>
      <c r="H137" s="845">
        <f>G137+'23'!H137</f>
        <v>12.659999999999854</v>
      </c>
      <c r="I137" s="864"/>
      <c r="J137" s="847">
        <f>H137/DAY(B2)</f>
        <v>0.52749999999999397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'23'!F138</f>
        <v>70238</v>
      </c>
      <c r="F138" s="994">
        <v>70238</v>
      </c>
      <c r="G138" s="844">
        <f t="shared" si="14"/>
        <v>0</v>
      </c>
      <c r="H138" s="845">
        <f>G138+'23'!H138</f>
        <v>15</v>
      </c>
      <c r="I138" s="864">
        <f>G137+G138</f>
        <v>4.6599999999998545</v>
      </c>
      <c r="J138" s="847">
        <f>H138/DAY(B2)</f>
        <v>0.625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'23'!F139</f>
        <v>1536.52</v>
      </c>
      <c r="F139" s="873">
        <v>1536.52</v>
      </c>
      <c r="G139" s="844">
        <f t="shared" si="14"/>
        <v>0</v>
      </c>
      <c r="H139" s="845">
        <f>G139+'23'!H139</f>
        <v>0</v>
      </c>
      <c r="I139" s="995"/>
      <c r="J139" s="847">
        <f>H139/DAY(B2)</f>
        <v>0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'23'!F140</f>
        <v>4399.66</v>
      </c>
      <c r="F140" s="873">
        <v>4408.37</v>
      </c>
      <c r="G140" s="844">
        <f t="shared" si="14"/>
        <v>8.7100000000000364</v>
      </c>
      <c r="H140" s="845">
        <f>G140+'23'!H140</f>
        <v>-60.170000000000073</v>
      </c>
      <c r="I140" s="995"/>
      <c r="J140" s="847">
        <f>H140/DAY(B2)</f>
        <v>-2.5070833333333362</v>
      </c>
      <c r="O140" s="849"/>
    </row>
    <row r="141" spans="1:15">
      <c r="A141" s="1515" t="s">
        <v>250</v>
      </c>
      <c r="B141" s="1516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17" t="s">
        <v>251</v>
      </c>
      <c r="B142" s="1518"/>
      <c r="C142" s="1519"/>
      <c r="D142" s="842" t="s">
        <v>132</v>
      </c>
      <c r="E142" s="842"/>
      <c r="F142" s="842"/>
      <c r="G142" s="845">
        <f>G35+G43+G49+G57</f>
        <v>5473</v>
      </c>
      <c r="H142" s="845">
        <f>G142+'23'!H142</f>
        <v>-43921.640000000014</v>
      </c>
      <c r="I142" s="864"/>
      <c r="J142" s="847">
        <f>H142/DAY(B2)</f>
        <v>-1830.0683333333338</v>
      </c>
      <c r="K142" s="943"/>
      <c r="L142" s="822"/>
      <c r="O142" s="849"/>
    </row>
    <row r="143" spans="1:15">
      <c r="A143" s="1517" t="s">
        <v>252</v>
      </c>
      <c r="B143" s="1518"/>
      <c r="C143" s="1519"/>
      <c r="D143" s="842" t="s">
        <v>24</v>
      </c>
      <c r="E143" s="829"/>
      <c r="F143" s="829"/>
      <c r="G143" s="996">
        <f>G142/G7</f>
        <v>0.25717776420281002</v>
      </c>
      <c r="H143" s="845">
        <f>G143+'23'!H143</f>
        <v>6.4343071224527915</v>
      </c>
      <c r="I143" s="997"/>
      <c r="J143" s="847">
        <f>H143/DAY(B2)</f>
        <v>0.26809613010219963</v>
      </c>
      <c r="K143" s="943"/>
      <c r="L143" s="822"/>
      <c r="O143" s="849"/>
    </row>
    <row r="144" spans="1:15">
      <c r="A144" s="1517" t="s">
        <v>253</v>
      </c>
      <c r="B144" s="1518"/>
      <c r="C144" s="1519"/>
      <c r="D144" s="842" t="s">
        <v>132</v>
      </c>
      <c r="E144" s="843"/>
      <c r="F144" s="843"/>
      <c r="G144" s="845">
        <f>G41+G42+G55+G56</f>
        <v>5174.8500000000131</v>
      </c>
      <c r="H144" s="845">
        <f>G144+'23'!H144</f>
        <v>-43471.16</v>
      </c>
      <c r="I144" s="864"/>
      <c r="J144" s="847">
        <f>H144/DAY(B2)</f>
        <v>-1811.2983333333334</v>
      </c>
      <c r="K144" s="943"/>
      <c r="L144" s="822"/>
      <c r="O144" s="849"/>
    </row>
    <row r="145" spans="1:15">
      <c r="A145" s="1517" t="s">
        <v>254</v>
      </c>
      <c r="B145" s="1518"/>
      <c r="C145" s="1519"/>
      <c r="D145" s="842" t="s">
        <v>24</v>
      </c>
      <c r="E145" s="843"/>
      <c r="F145" s="843"/>
      <c r="G145" s="996">
        <f>G144/G7</f>
        <v>0.24316761430383971</v>
      </c>
      <c r="H145" s="845">
        <f>G145+'23'!H145</f>
        <v>6.2292383257069686</v>
      </c>
      <c r="I145" s="997"/>
      <c r="J145" s="847">
        <f>H145/DAY(B2)</f>
        <v>0.259551596904457</v>
      </c>
      <c r="K145" s="943"/>
      <c r="L145" s="822"/>
      <c r="O145" s="849"/>
    </row>
    <row r="146" spans="1:15">
      <c r="A146" s="1517" t="s">
        <v>255</v>
      </c>
      <c r="B146" s="1518"/>
      <c r="C146" s="1519"/>
      <c r="D146" s="842" t="s">
        <v>132</v>
      </c>
      <c r="E146" s="843"/>
      <c r="F146" s="843"/>
      <c r="G146" s="845">
        <f>G39+G53</f>
        <v>4090.5300000000279</v>
      </c>
      <c r="H146" s="845">
        <f>G146+'23'!H146</f>
        <v>-30043</v>
      </c>
      <c r="I146" s="998"/>
      <c r="J146" s="847">
        <f>H146/DAY(B2)</f>
        <v>-1251.7916666666667</v>
      </c>
      <c r="K146" s="943"/>
      <c r="L146" s="822"/>
      <c r="O146" s="849"/>
    </row>
    <row r="147" spans="1:15">
      <c r="A147" s="1517" t="s">
        <v>256</v>
      </c>
      <c r="B147" s="1518"/>
      <c r="C147" s="1519"/>
      <c r="D147" s="842" t="s">
        <v>24</v>
      </c>
      <c r="E147" s="843"/>
      <c r="F147" s="843"/>
      <c r="G147" s="996">
        <f>G146/G7</f>
        <v>0.19221512146985706</v>
      </c>
      <c r="H147" s="845">
        <f>G147+'23'!H147</f>
        <v>4.6759391198171869</v>
      </c>
      <c r="I147" s="998"/>
      <c r="J147" s="847">
        <f>H147/DAY(B2)</f>
        <v>0.19483079665904945</v>
      </c>
      <c r="O147" s="849"/>
    </row>
    <row r="148" spans="1:15">
      <c r="A148" s="1517" t="s">
        <v>257</v>
      </c>
      <c r="B148" s="1518"/>
      <c r="C148" s="1519"/>
      <c r="D148" s="842" t="s">
        <v>183</v>
      </c>
      <c r="E148" s="843"/>
      <c r="F148" s="843"/>
      <c r="G148" s="845">
        <f>G38+G52</f>
        <v>1763</v>
      </c>
      <c r="H148" s="845">
        <f>G148+'23'!H148</f>
        <v>-13305</v>
      </c>
      <c r="I148" s="864"/>
      <c r="J148" s="847">
        <f>H148/DAY(B2)</f>
        <v>-554.375</v>
      </c>
      <c r="K148" s="999"/>
      <c r="O148" s="849"/>
    </row>
    <row r="149" spans="1:15">
      <c r="A149" s="1517" t="s">
        <v>258</v>
      </c>
      <c r="B149" s="1518"/>
      <c r="C149" s="1519"/>
      <c r="D149" s="842" t="s">
        <v>24</v>
      </c>
      <c r="E149" s="843"/>
      <c r="F149" s="843"/>
      <c r="G149" s="996">
        <f>G148/G7</f>
        <v>8.2843851322776191E-2</v>
      </c>
      <c r="H149" s="845">
        <f>G149+'23'!H149</f>
        <v>2.0369897905789571</v>
      </c>
      <c r="I149" s="998"/>
      <c r="J149" s="847">
        <f>H149/DAY(B2)</f>
        <v>8.4874574607456552E-2</v>
      </c>
      <c r="O149" s="849"/>
    </row>
    <row r="150" spans="1:15">
      <c r="A150" s="1517" t="s">
        <v>259</v>
      </c>
      <c r="B150" s="1518"/>
      <c r="C150" s="1519"/>
      <c r="D150" s="842" t="s">
        <v>183</v>
      </c>
      <c r="E150" s="843"/>
      <c r="F150" s="843"/>
      <c r="G150" s="845">
        <f>G36+G50</f>
        <v>2416</v>
      </c>
      <c r="H150" s="845">
        <f>G150+'23'!H150</f>
        <v>-14247</v>
      </c>
      <c r="I150" s="998"/>
      <c r="J150" s="847">
        <f>H150/DAY(B2)</f>
        <v>-593.625</v>
      </c>
      <c r="O150" s="849"/>
    </row>
    <row r="151" spans="1:15">
      <c r="A151" s="1517" t="s">
        <v>260</v>
      </c>
      <c r="B151" s="1518"/>
      <c r="C151" s="1519"/>
      <c r="D151" s="842" t="s">
        <v>24</v>
      </c>
      <c r="E151" s="843"/>
      <c r="F151" s="843"/>
      <c r="G151" s="996">
        <f>G150/G7</f>
        <v>0.11352849960058269</v>
      </c>
      <c r="H151" s="845">
        <f>G151+'23'!H151</f>
        <v>2.165920785156954</v>
      </c>
      <c r="I151" s="864"/>
      <c r="J151" s="847">
        <f>H151/DAY(B2)</f>
        <v>9.0246699381539744E-2</v>
      </c>
      <c r="O151" s="849"/>
    </row>
    <row r="152" spans="1:15">
      <c r="A152" s="1517" t="s">
        <v>261</v>
      </c>
      <c r="B152" s="1518"/>
      <c r="C152" s="1519"/>
      <c r="D152" s="842" t="s">
        <v>183</v>
      </c>
      <c r="E152" s="843"/>
      <c r="F152" s="843"/>
      <c r="G152" s="845">
        <f>G37+G51</f>
        <v>1480.1300000000047</v>
      </c>
      <c r="H152" s="845">
        <f>G152+'23'!H152</f>
        <v>-10558</v>
      </c>
      <c r="I152" s="864"/>
      <c r="J152" s="847">
        <f>H152/DAY(B2)</f>
        <v>-439.91666666666669</v>
      </c>
      <c r="O152" s="849"/>
    </row>
    <row r="153" spans="1:15" ht="21" thickBot="1">
      <c r="A153" s="1520" t="s">
        <v>262</v>
      </c>
      <c r="B153" s="1521"/>
      <c r="C153" s="1522"/>
      <c r="D153" s="1000" t="s">
        <v>24</v>
      </c>
      <c r="E153" s="1001"/>
      <c r="F153" s="1001"/>
      <c r="G153" s="1002">
        <f>G152/G7</f>
        <v>6.9551712795451553E-2</v>
      </c>
      <c r="H153" s="845">
        <f>G153+'23'!H153</f>
        <v>1.6874148479747502</v>
      </c>
      <c r="I153" s="1003"/>
      <c r="J153" s="1004">
        <f>H153/DAY(B2)</f>
        <v>7.0308951998947919E-2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'23'!F160</f>
        <v>32754</v>
      </c>
      <c r="F160" s="1019">
        <v>32839</v>
      </c>
      <c r="G160" s="844">
        <f t="shared" ref="G160:G163" si="15">F160-E160</f>
        <v>85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'23'!F161</f>
        <v>65273.79</v>
      </c>
      <c r="F161" s="1019">
        <v>65688</v>
      </c>
      <c r="G161" s="844">
        <f t="shared" si="15"/>
        <v>414.20999999999913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'23'!F162</f>
        <v>27180</v>
      </c>
      <c r="F162" s="1019">
        <v>27451</v>
      </c>
      <c r="G162" s="844">
        <f t="shared" si="15"/>
        <v>271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'23'!F163</f>
        <v>5696.57</v>
      </c>
      <c r="F163" s="1019">
        <v>5715</v>
      </c>
      <c r="G163" s="844">
        <f t="shared" si="15"/>
        <v>18.430000000000291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6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7">E63</f>
        <v>2000</v>
      </c>
      <c r="F165" s="926">
        <f t="shared" ref="F165:F171" si="18">F63</f>
        <v>2012</v>
      </c>
      <c r="G165" s="844">
        <f t="shared" si="16"/>
        <v>12</v>
      </c>
    </row>
    <row r="166" spans="1:7" ht="21.75" customHeight="1">
      <c r="A166" s="1493" t="s">
        <v>99</v>
      </c>
      <c r="B166" s="1493"/>
      <c r="C166" s="1493"/>
      <c r="D166" s="842" t="s">
        <v>187</v>
      </c>
      <c r="E166" s="926">
        <f t="shared" si="17"/>
        <v>135417</v>
      </c>
      <c r="F166" s="926">
        <f t="shared" si="18"/>
        <v>135907</v>
      </c>
      <c r="G166" s="844">
        <f t="shared" si="16"/>
        <v>490</v>
      </c>
    </row>
    <row r="167" spans="1:7" ht="21.75" customHeight="1">
      <c r="A167" s="1493" t="s">
        <v>100</v>
      </c>
      <c r="B167" s="1493"/>
      <c r="C167" s="1493"/>
      <c r="D167" s="842" t="s">
        <v>187</v>
      </c>
      <c r="E167" s="926">
        <f t="shared" si="17"/>
        <v>141186</v>
      </c>
      <c r="F167" s="926">
        <f t="shared" si="18"/>
        <v>141579</v>
      </c>
      <c r="G167" s="844">
        <f t="shared" si="16"/>
        <v>393</v>
      </c>
    </row>
    <row r="168" spans="1:7" ht="21.75" customHeight="1">
      <c r="A168" s="1493" t="s">
        <v>101</v>
      </c>
      <c r="B168" s="1493"/>
      <c r="C168" s="1493"/>
      <c r="D168" s="842" t="s">
        <v>187</v>
      </c>
      <c r="E168" s="926">
        <f t="shared" si="17"/>
        <v>33948</v>
      </c>
      <c r="F168" s="926">
        <f t="shared" si="18"/>
        <v>34324</v>
      </c>
      <c r="G168" s="844">
        <f t="shared" si="16"/>
        <v>376</v>
      </c>
    </row>
    <row r="169" spans="1:7">
      <c r="A169" s="1493" t="s">
        <v>102</v>
      </c>
      <c r="B169" s="1493"/>
      <c r="C169" s="1493"/>
      <c r="D169" s="842" t="s">
        <v>187</v>
      </c>
      <c r="E169" s="926">
        <f t="shared" si="17"/>
        <v>223612</v>
      </c>
      <c r="F169" s="926">
        <f t="shared" si="18"/>
        <v>224328</v>
      </c>
      <c r="G169" s="844">
        <f t="shared" si="16"/>
        <v>716</v>
      </c>
    </row>
    <row r="170" spans="1:7" ht="24" customHeight="1">
      <c r="A170" s="1493" t="s">
        <v>103</v>
      </c>
      <c r="B170" s="1493"/>
      <c r="C170" s="1493"/>
      <c r="D170" s="842" t="s">
        <v>187</v>
      </c>
      <c r="E170" s="926">
        <f t="shared" si="17"/>
        <v>80419</v>
      </c>
      <c r="F170" s="926">
        <f t="shared" si="18"/>
        <v>80766</v>
      </c>
      <c r="G170" s="844">
        <f t="shared" si="16"/>
        <v>347</v>
      </c>
    </row>
    <row r="171" spans="1:7">
      <c r="A171" s="1493" t="s">
        <v>104</v>
      </c>
      <c r="B171" s="1493"/>
      <c r="C171" s="1493"/>
      <c r="D171" s="842" t="s">
        <v>187</v>
      </c>
      <c r="E171" s="926">
        <f t="shared" si="17"/>
        <v>71807</v>
      </c>
      <c r="F171" s="926">
        <f t="shared" si="18"/>
        <v>72124</v>
      </c>
      <c r="G171" s="844">
        <f t="shared" si="16"/>
        <v>317</v>
      </c>
    </row>
    <row r="172" spans="1:7">
      <c r="G172" s="1010">
        <f>SUM(G160:G171)</f>
        <v>3439.6399999999994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28" zoomScale="70" zoomScaleNormal="49" zoomScaleSheetLayoutView="70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544" t="s">
        <v>117</v>
      </c>
      <c r="B1" s="1545"/>
      <c r="C1" s="1545"/>
      <c r="D1" s="1545"/>
      <c r="E1" s="1545"/>
      <c r="F1" s="1545"/>
      <c r="G1" s="1545"/>
      <c r="H1" s="1545"/>
      <c r="I1" s="1545"/>
      <c r="J1" s="1546"/>
    </row>
    <row r="2" spans="1:15">
      <c r="A2" s="810" t="s">
        <v>278</v>
      </c>
      <c r="B2" s="1081">
        <v>43915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547" t="s">
        <v>121</v>
      </c>
      <c r="F3" s="154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41" t="s">
        <v>130</v>
      </c>
      <c r="B6" s="1542"/>
      <c r="C6" s="154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4956677</v>
      </c>
      <c r="F7" s="843">
        <v>4977142</v>
      </c>
      <c r="G7" s="844">
        <f>F7-E7</f>
        <v>20465</v>
      </c>
      <c r="H7" s="845">
        <f>G7+'24'!H7</f>
        <v>-136781</v>
      </c>
      <c r="I7" s="846">
        <f>'1'!I7</f>
        <v>12000</v>
      </c>
      <c r="J7" s="847">
        <f>H7/DAY(B2)</f>
        <v>-5471.24</v>
      </c>
      <c r="K7" s="848"/>
      <c r="L7" s="822"/>
      <c r="N7" s="1022">
        <f>G7/G8</f>
        <v>0.9959606774381935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4987377</v>
      </c>
      <c r="F8" s="854">
        <v>5007925</v>
      </c>
      <c r="G8" s="855">
        <f>F8-E8</f>
        <v>20548</v>
      </c>
      <c r="H8" s="845">
        <f>G8+'24'!H8</f>
        <v>-137393</v>
      </c>
      <c r="I8" s="856">
        <f>'1'!I8</f>
        <v>12000</v>
      </c>
      <c r="J8" s="847">
        <f>H8/DAY(B2)</f>
        <v>-5495.72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243752</v>
      </c>
      <c r="F9" s="861">
        <v>263592.43</v>
      </c>
      <c r="G9" s="844">
        <f t="shared" ref="G9:G12" si="0">F9-E9</f>
        <v>19840.429999999993</v>
      </c>
      <c r="H9" s="845">
        <f>G9+'24'!H9</f>
        <v>-132476.57</v>
      </c>
      <c r="I9" s="862">
        <f>I8-J8</f>
        <v>17495.72</v>
      </c>
      <c r="J9" s="847">
        <f>H9/DAY(B2)</f>
        <v>-5299.0628000000006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v>527</v>
      </c>
      <c r="F10" s="861">
        <v>2322.58</v>
      </c>
      <c r="G10" s="844">
        <f t="shared" si="0"/>
        <v>1795.58</v>
      </c>
      <c r="H10" s="845">
        <f>G10+'24'!H10</f>
        <v>360229.05000000005</v>
      </c>
      <c r="I10" s="864"/>
      <c r="J10" s="847">
        <f>H10/DAY(B2)</f>
        <v>14409.162000000002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20382.335263772631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21636.009999999995</v>
      </c>
      <c r="H13" s="845">
        <f>G13+'24'!H13</f>
        <v>206758.48000000004</v>
      </c>
      <c r="I13" s="868">
        <f>G7-G13</f>
        <v>-1171.0099999999948</v>
      </c>
      <c r="J13" s="847">
        <f>H13/DAY(B2)</f>
        <v>8270.3392000000022</v>
      </c>
      <c r="K13" s="863"/>
      <c r="L13" s="822">
        <f>L10-H7</f>
        <v>428775</v>
      </c>
      <c r="O13" s="849"/>
    </row>
    <row r="14" spans="1:15">
      <c r="A14" s="1535" t="s">
        <v>139</v>
      </c>
      <c r="B14" s="1536"/>
      <c r="C14" s="153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1640178</v>
      </c>
      <c r="F15" s="938">
        <v>1641101.003</v>
      </c>
      <c r="G15" s="1020">
        <f>(F15-E15)</f>
        <v>923.00300000002608</v>
      </c>
      <c r="H15" s="845">
        <f>G15+'24'!H15</f>
        <v>-5587.9969999999739</v>
      </c>
      <c r="I15" s="846">
        <f>'1'!I15</f>
        <v>800</v>
      </c>
      <c r="J15" s="847">
        <f>H15/DAY(B2)</f>
        <v>-223.51987999999895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1023.5198799999989</v>
      </c>
      <c r="J16" s="880"/>
      <c r="K16" s="863"/>
      <c r="L16" s="822"/>
      <c r="O16" s="849">
        <f>580-990</f>
        <v>-410</v>
      </c>
    </row>
    <row r="17" spans="1:15">
      <c r="A17" s="1535" t="s">
        <v>142</v>
      </c>
      <c r="B17" s="1536"/>
      <c r="C17" s="1537"/>
      <c r="D17" s="837"/>
      <c r="E17" s="837"/>
      <c r="F17" s="837"/>
      <c r="G17" s="881"/>
      <c r="H17" s="837"/>
      <c r="I17" s="837"/>
      <c r="J17" s="838"/>
      <c r="K17" s="863"/>
      <c r="L17" s="822"/>
      <c r="O17" s="1388">
        <f>O16*3</f>
        <v>-1230</v>
      </c>
    </row>
    <row r="18" spans="1:15">
      <c r="A18" s="1517" t="s">
        <v>143</v>
      </c>
      <c r="B18" s="1518"/>
      <c r="C18" s="1519"/>
      <c r="D18" s="842" t="s">
        <v>144</v>
      </c>
      <c r="E18" s="843">
        <f>'24'!F18</f>
        <v>14</v>
      </c>
      <c r="F18" s="873">
        <v>14</v>
      </c>
      <c r="G18" s="867">
        <f>F18*10</f>
        <v>140</v>
      </c>
      <c r="H18" s="845">
        <f>G18+'24'!H18</f>
        <v>2970</v>
      </c>
      <c r="I18" s="846">
        <f>'1'!I18</f>
        <v>65</v>
      </c>
      <c r="J18" s="847">
        <f>H18/DAY(B2)</f>
        <v>118.8</v>
      </c>
      <c r="K18" s="863"/>
      <c r="L18" s="822"/>
      <c r="O18" s="849"/>
    </row>
    <row r="19" spans="1:15">
      <c r="A19" s="1517" t="s">
        <v>71</v>
      </c>
      <c r="B19" s="1518"/>
      <c r="C19" s="1519"/>
      <c r="D19" s="842" t="s">
        <v>144</v>
      </c>
      <c r="E19" s="843">
        <f>'24'!F19</f>
        <v>135723</v>
      </c>
      <c r="F19" s="873">
        <v>135778</v>
      </c>
      <c r="G19" s="844">
        <f t="shared" ref="G19" si="1">F19-E19</f>
        <v>55</v>
      </c>
      <c r="H19" s="845">
        <f>G19+'24'!H19</f>
        <v>-312</v>
      </c>
      <c r="I19" s="882"/>
      <c r="J19" s="847">
        <f>H19/DAY(B2)</f>
        <v>-12.48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195</v>
      </c>
      <c r="H20" s="845">
        <f>G20+'24'!H20</f>
        <v>2658</v>
      </c>
      <c r="I20" s="885">
        <f>I18-J20</f>
        <v>-41.319999999999993</v>
      </c>
      <c r="J20" s="847">
        <f>H20/DAY(B2)</f>
        <v>106.32</v>
      </c>
      <c r="K20" s="863"/>
      <c r="L20" s="822"/>
      <c r="O20" s="849"/>
    </row>
    <row r="21" spans="1:15">
      <c r="A21" s="1535" t="s">
        <v>146</v>
      </c>
      <c r="B21" s="1536"/>
      <c r="C21" s="153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4">
        <f>'24'!G22</f>
        <v>1290</v>
      </c>
      <c r="F22" s="1385">
        <v>1290</v>
      </c>
      <c r="G22" s="1386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541" t="s">
        <v>151</v>
      </c>
      <c r="B25" s="1542"/>
      <c r="C25" s="154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20548</v>
      </c>
      <c r="F27" s="501">
        <v>9</v>
      </c>
      <c r="G27" s="905">
        <f>E27*F27</f>
        <v>184932</v>
      </c>
      <c r="H27" s="845">
        <f>G27+'24'!H27</f>
        <v>-1236537</v>
      </c>
      <c r="I27" s="906"/>
      <c r="J27" s="847">
        <f>H27/DAY(B2)</f>
        <v>-49461.48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923.00300000002608</v>
      </c>
      <c r="F28" s="501">
        <v>51.45</v>
      </c>
      <c r="G28" s="905">
        <f>E28*F28</f>
        <v>47488.504350001342</v>
      </c>
      <c r="H28" s="845">
        <f>G28+'24'!H28</f>
        <v>-287502.44564999861</v>
      </c>
      <c r="I28" s="907"/>
      <c r="J28" s="847">
        <f>H28/DAY(B2)</f>
        <v>-11500.097825999945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55</v>
      </c>
      <c r="F30" s="904">
        <v>134</v>
      </c>
      <c r="G30" s="905">
        <f>E30*F30</f>
        <v>7370</v>
      </c>
      <c r="H30" s="845">
        <f>G30+'24'!H30</f>
        <v>-40440</v>
      </c>
      <c r="I30" s="907"/>
      <c r="J30" s="847">
        <f>H30/DAY(B2)</f>
        <v>-1617.6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140</v>
      </c>
      <c r="F31" s="904">
        <v>80</v>
      </c>
      <c r="G31" s="905">
        <f>E31*F31</f>
        <v>11200</v>
      </c>
      <c r="H31" s="845">
        <f>G31+'24'!H31</f>
        <v>237600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250990.50435000134</v>
      </c>
      <c r="H32" s="845">
        <f>G32+'24'!H32</f>
        <v>-1237869.4456499987</v>
      </c>
      <c r="I32" s="913"/>
      <c r="J32" s="847">
        <f>H32/DAY(B2)</f>
        <v>-49514.777825999947</v>
      </c>
      <c r="K32" s="863"/>
      <c r="L32" s="893"/>
      <c r="N32" s="1012"/>
      <c r="O32" s="849">
        <f>340*3</f>
        <v>1020</v>
      </c>
    </row>
    <row r="33" spans="1:15" ht="18.75">
      <c r="A33" s="1538" t="s">
        <v>162</v>
      </c>
      <c r="B33" s="1539"/>
      <c r="C33" s="1539"/>
      <c r="D33" s="1539"/>
      <c r="E33" s="1539"/>
      <c r="F33" s="1539"/>
      <c r="G33" s="1539"/>
      <c r="H33" s="1539"/>
      <c r="I33" s="1539"/>
      <c r="J33" s="1540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774670</v>
      </c>
      <c r="F35" s="916">
        <v>777788.71</v>
      </c>
      <c r="G35" s="844">
        <f t="shared" ref="G35:G46" si="3">F35-E35</f>
        <v>3118.7099999999627</v>
      </c>
      <c r="H35" s="845">
        <f>G35+'24'!H35</f>
        <v>-20600.290000000037</v>
      </c>
      <c r="I35" s="843"/>
      <c r="J35" s="847">
        <f>H35/DAY(B2)</f>
        <v>-824.01160000000152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311995</v>
      </c>
      <c r="F36" s="916">
        <v>312678.71000000002</v>
      </c>
      <c r="G36" s="844">
        <f t="shared" si="3"/>
        <v>683.71000000002095</v>
      </c>
      <c r="H36" s="845">
        <f>G36+'24'!H36</f>
        <v>-4757.289999999979</v>
      </c>
      <c r="I36" s="843"/>
      <c r="J36" s="847">
        <f>H36/DAY(B2)</f>
        <v>-190.29159999999916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44239</v>
      </c>
      <c r="F37" s="916">
        <v>45710.46</v>
      </c>
      <c r="G37" s="844">
        <f t="shared" si="3"/>
        <v>1471.4599999999991</v>
      </c>
      <c r="H37" s="845">
        <f>G37+'24'!H37</f>
        <v>-9086.5400000000009</v>
      </c>
      <c r="I37" s="843"/>
      <c r="J37" s="847">
        <f>H37/DAY(B2)</f>
        <v>-363.46160000000003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59005</v>
      </c>
      <c r="F38" s="832">
        <v>60917.5</v>
      </c>
      <c r="G38" s="844">
        <f t="shared" si="3"/>
        <v>1912.5</v>
      </c>
      <c r="H38" s="845">
        <f>G38+'24'!H38</f>
        <v>-11390.5</v>
      </c>
      <c r="I38" s="843"/>
      <c r="J38" s="847">
        <f>H38/DAY(B2)</f>
        <v>-455.62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124610</v>
      </c>
      <c r="F39" s="916">
        <v>128669.02</v>
      </c>
      <c r="G39" s="844">
        <f t="shared" si="3"/>
        <v>4059.0200000000041</v>
      </c>
      <c r="H39" s="845">
        <f>G39+'24'!H39</f>
        <v>-24152.979999999996</v>
      </c>
      <c r="I39" s="843"/>
      <c r="J39" s="847">
        <f>H39/DAY(B2)</f>
        <v>-966.11919999999986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0.34</v>
      </c>
      <c r="I40" s="843"/>
      <c r="J40" s="847">
        <f>H40/DAY(B2)</f>
        <v>1.3600000000000001E-2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96858</v>
      </c>
      <c r="F41" s="916">
        <v>101531.49</v>
      </c>
      <c r="G41" s="844">
        <f t="shared" si="3"/>
        <v>4673.4900000000052</v>
      </c>
      <c r="H41" s="845">
        <f>G41+'24'!H41</f>
        <v>-31609.509999999995</v>
      </c>
      <c r="I41" s="843"/>
      <c r="J41" s="847">
        <f>H41/DAY(B2)</f>
        <v>-1264.3803999999998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59129</v>
      </c>
      <c r="F42" s="916">
        <v>59129</v>
      </c>
      <c r="G42" s="844">
        <f t="shared" si="3"/>
        <v>0</v>
      </c>
      <c r="H42" s="845">
        <f>G42+'24'!H42</f>
        <v>0.83999999999650754</v>
      </c>
      <c r="I42" s="843"/>
      <c r="J42" s="847">
        <f>H42/DAY(B2)</f>
        <v>3.3599999999860304E-2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884161</v>
      </c>
      <c r="F43" s="916">
        <v>886491.19</v>
      </c>
      <c r="G43" s="844">
        <f t="shared" si="3"/>
        <v>2330.1899999999441</v>
      </c>
      <c r="H43" s="845">
        <f>G43+'24'!H43</f>
        <v>-15556.810000000056</v>
      </c>
      <c r="I43" s="843"/>
      <c r="J43" s="847">
        <f>H43/DAY(B2)</f>
        <v>-622.27240000000222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187</v>
      </c>
      <c r="I46" s="843"/>
      <c r="J46" s="847">
        <f>H46/DAY(B2)</f>
        <v>7.48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18249.079999999936</v>
      </c>
      <c r="H47" s="845">
        <f>G47+'24'!H47</f>
        <v>-116351.74000000011</v>
      </c>
      <c r="I47" s="843"/>
      <c r="J47" s="847">
        <f>H47/DAY(B2)</f>
        <v>-4654.0696000000044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'24'!F49</f>
        <v>260732</v>
      </c>
      <c r="F49" s="916">
        <v>260732.13</v>
      </c>
      <c r="G49" s="844">
        <f t="shared" ref="G49:G58" si="4">F49-E49</f>
        <v>0.13000000000465661</v>
      </c>
      <c r="H49" s="845">
        <f>G49+'24'!H49</f>
        <v>0.13000000000465661</v>
      </c>
      <c r="I49" s="843"/>
      <c r="J49" s="847">
        <f>H49/DAY(B2)</f>
        <v>5.2000000001862648E-3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432426</v>
      </c>
      <c r="F50" s="916">
        <v>433811.35</v>
      </c>
      <c r="G50" s="844">
        <f t="shared" si="4"/>
        <v>1385.3499999999767</v>
      </c>
      <c r="H50" s="845">
        <f>G50+'24'!H50</f>
        <v>-8614.6500000000233</v>
      </c>
      <c r="I50" s="843"/>
      <c r="J50" s="847">
        <f>H50/DAY(B2)</f>
        <v>-344.58600000000092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144640</v>
      </c>
      <c r="F51" s="916">
        <v>144639.87</v>
      </c>
      <c r="G51" s="844">
        <f t="shared" si="4"/>
        <v>-0.13000000000465661</v>
      </c>
      <c r="H51" s="845">
        <f>G51+'24'!H51</f>
        <v>-1549.1300000000047</v>
      </c>
      <c r="I51" s="843"/>
      <c r="J51" s="847">
        <f>H51/DAY(B2)</f>
        <v>-61.965200000000188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-2047.9300000000512</v>
      </c>
      <c r="I52" s="843"/>
      <c r="J52" s="847">
        <f>H52/DAY(B2)</f>
        <v>-81.917200000002055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399433</v>
      </c>
      <c r="F53" s="916">
        <v>400041.87</v>
      </c>
      <c r="G53" s="844">
        <f t="shared" si="4"/>
        <v>608.86999999999534</v>
      </c>
      <c r="H53" s="845">
        <f>G53+'24'!H53</f>
        <v>-5407.1300000000047</v>
      </c>
      <c r="I53" s="843"/>
      <c r="J53" s="847">
        <f>H53/DAY(B2)</f>
        <v>-216.28520000000017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8657</v>
      </c>
      <c r="F54" s="916">
        <v>8733.17</v>
      </c>
      <c r="G54" s="844">
        <f t="shared" si="4"/>
        <v>76.170000000000073</v>
      </c>
      <c r="H54" s="845">
        <f>G54+'24'!H54</f>
        <v>2576.2100000000009</v>
      </c>
      <c r="I54" s="843"/>
      <c r="J54" s="847">
        <f>H54/DAY(B2)</f>
        <v>103.04840000000004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208981</v>
      </c>
      <c r="F55" s="916">
        <v>208980.55</v>
      </c>
      <c r="G55" s="844">
        <f t="shared" si="4"/>
        <v>-0.45000000001164153</v>
      </c>
      <c r="H55" s="845">
        <f>G55+'24'!H55</f>
        <v>-12115.450000000012</v>
      </c>
      <c r="I55" s="843"/>
      <c r="J55" s="847">
        <f>H55/DAY(B2)</f>
        <v>-484.61800000000045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588894</v>
      </c>
      <c r="F56" s="916">
        <v>588921.79</v>
      </c>
      <c r="G56" s="844">
        <f t="shared" si="4"/>
        <v>27.790000000037253</v>
      </c>
      <c r="H56" s="845">
        <f>G56+'24'!H56</f>
        <v>-45.209999999962747</v>
      </c>
      <c r="I56" s="843"/>
      <c r="J56" s="847">
        <f>H56/DAY(B2)</f>
        <v>-1.8083999999985099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40284</v>
      </c>
      <c r="F58" s="916">
        <v>40464.65</v>
      </c>
      <c r="G58" s="844">
        <f t="shared" si="4"/>
        <v>180.65000000000146</v>
      </c>
      <c r="H58" s="845">
        <f>G58+'24'!H58</f>
        <v>-1278.3499999999985</v>
      </c>
      <c r="I58" s="843"/>
      <c r="J58" s="847">
        <f>H58/DAY(B2)</f>
        <v>-51.133999999999943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2278.449999999948</v>
      </c>
      <c r="H59" s="845">
        <f>G59+'24'!H59</f>
        <v>-28481.510000000082</v>
      </c>
      <c r="I59" s="843">
        <f>G7-G60</f>
        <v>-62.529999999882421</v>
      </c>
      <c r="J59" s="847">
        <f>H59/DAY(B2)</f>
        <v>-1139.2604000000033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20527.529999999882</v>
      </c>
      <c r="H60" s="845">
        <f>G60+'24'!H60</f>
        <v>-130664.2500000002</v>
      </c>
      <c r="I60" s="843">
        <f>G13-G60</f>
        <v>1108.4800000001123</v>
      </c>
      <c r="J60" s="847">
        <f>H60/DAY(B2)</f>
        <v>-5226.5700000000079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1.9999999967694748E-3</v>
      </c>
      <c r="I62" s="927"/>
      <c r="J62" s="847">
        <f>H62/DAY(B2)</f>
        <v>7.9999999870778991E-5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2012</v>
      </c>
      <c r="F63" s="926">
        <v>2024.2</v>
      </c>
      <c r="G63" s="844">
        <f t="shared" si="5"/>
        <v>12.200000000000045</v>
      </c>
      <c r="H63" s="845">
        <f>G63+'24'!H63</f>
        <v>-71.799999999999955</v>
      </c>
      <c r="I63" s="927"/>
      <c r="J63" s="847">
        <f>H63/DAY(B2)</f>
        <v>-2.8719999999999981</v>
      </c>
      <c r="K63" s="863"/>
      <c r="L63" s="822"/>
      <c r="O63" s="849"/>
    </row>
    <row r="64" spans="1:15">
      <c r="A64" s="1523" t="s">
        <v>99</v>
      </c>
      <c r="B64" s="1524"/>
      <c r="C64" s="1525"/>
      <c r="D64" s="842" t="s">
        <v>187</v>
      </c>
      <c r="E64" s="843">
        <f>'24'!F64</f>
        <v>135907</v>
      </c>
      <c r="F64" s="873">
        <v>136381.76000000001</v>
      </c>
      <c r="G64" s="844">
        <f t="shared" si="5"/>
        <v>474.76000000000931</v>
      </c>
      <c r="H64" s="845">
        <f>G64+'24'!H64</f>
        <v>-2798.2399999999907</v>
      </c>
      <c r="I64" s="864"/>
      <c r="J64" s="847">
        <f>H64/DAY(B2)</f>
        <v>-111.92959999999962</v>
      </c>
      <c r="K64" s="863"/>
      <c r="L64" s="822"/>
      <c r="O64" s="849"/>
    </row>
    <row r="65" spans="1:15">
      <c r="A65" s="1523" t="s">
        <v>100</v>
      </c>
      <c r="B65" s="1524"/>
      <c r="C65" s="1525"/>
      <c r="D65" s="842" t="s">
        <v>187</v>
      </c>
      <c r="E65" s="843">
        <f>'24'!F65</f>
        <v>141579</v>
      </c>
      <c r="F65" s="873">
        <v>141936.20000000001</v>
      </c>
      <c r="G65" s="844">
        <f t="shared" si="5"/>
        <v>357.20000000001164</v>
      </c>
      <c r="H65" s="845">
        <f>G65+'24'!H65</f>
        <v>-2268.7999999999884</v>
      </c>
      <c r="I65" s="882"/>
      <c r="J65" s="847">
        <f>H65/DAY(B2)</f>
        <v>-90.751999999999541</v>
      </c>
      <c r="K65" s="863"/>
      <c r="L65" s="822"/>
      <c r="O65" s="849"/>
    </row>
    <row r="66" spans="1:15">
      <c r="A66" s="1523" t="s">
        <v>101</v>
      </c>
      <c r="B66" s="1524"/>
      <c r="C66" s="1525"/>
      <c r="D66" s="842" t="s">
        <v>187</v>
      </c>
      <c r="E66" s="843">
        <f>'24'!F66</f>
        <v>34324</v>
      </c>
      <c r="F66" s="873">
        <v>34708.26</v>
      </c>
      <c r="G66" s="844">
        <f t="shared" si="5"/>
        <v>384.26000000000204</v>
      </c>
      <c r="H66" s="845">
        <f>G66+'24'!H66</f>
        <v>-2499.739999999998</v>
      </c>
      <c r="I66" s="864"/>
      <c r="J66" s="847">
        <f>H66/DAY(B2)</f>
        <v>-99.989599999999925</v>
      </c>
      <c r="K66" s="863"/>
      <c r="L66" s="822"/>
      <c r="O66" s="849"/>
    </row>
    <row r="67" spans="1:15">
      <c r="A67" s="1523" t="s">
        <v>102</v>
      </c>
      <c r="B67" s="1524"/>
      <c r="C67" s="1525"/>
      <c r="D67" s="842" t="s">
        <v>187</v>
      </c>
      <c r="E67" s="843">
        <f>'24'!F67</f>
        <v>224328</v>
      </c>
      <c r="F67" s="873">
        <v>225049.51</v>
      </c>
      <c r="G67" s="844">
        <f t="shared" si="5"/>
        <v>721.51000000000931</v>
      </c>
      <c r="H67" s="845">
        <f>G67+'24'!H67</f>
        <v>-4050.4899999999907</v>
      </c>
      <c r="I67" s="882"/>
      <c r="J67" s="847">
        <f>H67/DAY(B2)</f>
        <v>-162.01959999999963</v>
      </c>
      <c r="K67" s="870"/>
      <c r="L67" s="822"/>
      <c r="O67" s="849"/>
    </row>
    <row r="68" spans="1:15">
      <c r="A68" s="1523" t="s">
        <v>103</v>
      </c>
      <c r="B68" s="1524"/>
      <c r="C68" s="1525"/>
      <c r="D68" s="842" t="s">
        <v>187</v>
      </c>
      <c r="E68" s="843">
        <f>'24'!F68</f>
        <v>80766</v>
      </c>
      <c r="F68" s="873">
        <v>81121.5</v>
      </c>
      <c r="G68" s="844">
        <f t="shared" si="5"/>
        <v>355.5</v>
      </c>
      <c r="H68" s="845">
        <f>G68+'24'!H68</f>
        <v>7251.570000000007</v>
      </c>
      <c r="I68" s="928"/>
      <c r="J68" s="847">
        <f>H68/DAY(B2)</f>
        <v>290.06280000000027</v>
      </c>
      <c r="K68" s="929"/>
      <c r="L68" s="822"/>
      <c r="O68" s="849"/>
    </row>
    <row r="69" spans="1:15">
      <c r="A69" s="1523" t="s">
        <v>104</v>
      </c>
      <c r="B69" s="1524"/>
      <c r="C69" s="1525"/>
      <c r="D69" s="842" t="s">
        <v>187</v>
      </c>
      <c r="E69" s="843">
        <f>'24'!F69</f>
        <v>72124</v>
      </c>
      <c r="F69" s="873">
        <v>72439.78</v>
      </c>
      <c r="G69" s="844">
        <f t="shared" si="5"/>
        <v>315.77999999999884</v>
      </c>
      <c r="H69" s="845">
        <f>G69+'24'!H69</f>
        <v>-1889.2200000000012</v>
      </c>
      <c r="I69" s="928"/>
      <c r="J69" s="847">
        <f>H69/DAY(B2)</f>
        <v>-75.568800000000053</v>
      </c>
      <c r="K69" s="930"/>
      <c r="L69" s="822"/>
      <c r="O69" s="849"/>
    </row>
    <row r="70" spans="1:15">
      <c r="A70" s="1532" t="s">
        <v>189</v>
      </c>
      <c r="B70" s="1533"/>
      <c r="C70" s="153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29" t="s">
        <v>190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929"/>
      <c r="L71" s="822"/>
      <c r="O71" s="849"/>
    </row>
    <row r="72" spans="1:15">
      <c r="A72" s="1523" t="s">
        <v>191</v>
      </c>
      <c r="B72" s="1524"/>
      <c r="C72" s="1525"/>
      <c r="D72" s="842" t="s">
        <v>187</v>
      </c>
      <c r="E72" s="843">
        <f>'24'!F72</f>
        <v>852740</v>
      </c>
      <c r="F72" s="934">
        <v>852817</v>
      </c>
      <c r="G72" s="844">
        <f t="shared" ref="G72:G84" si="6">F72-E72</f>
        <v>77</v>
      </c>
      <c r="H72" s="845">
        <f>G72+'24'!H72</f>
        <v>-452</v>
      </c>
      <c r="I72" s="864"/>
      <c r="J72" s="847">
        <f>H72/DAY(B2)</f>
        <v>-18.079999999999998</v>
      </c>
      <c r="K72" s="930"/>
      <c r="L72" s="822"/>
      <c r="O72" s="849"/>
    </row>
    <row r="73" spans="1:15">
      <c r="A73" s="1523" t="s">
        <v>192</v>
      </c>
      <c r="B73" s="1524"/>
      <c r="C73" s="1525"/>
      <c r="D73" s="842" t="s">
        <v>187</v>
      </c>
      <c r="E73" s="843">
        <f>'24'!F73</f>
        <v>885790</v>
      </c>
      <c r="F73" s="935">
        <v>885792</v>
      </c>
      <c r="G73" s="844">
        <f t="shared" si="6"/>
        <v>2</v>
      </c>
      <c r="H73" s="845">
        <f>G73+'24'!H73</f>
        <v>-1453</v>
      </c>
      <c r="I73" s="864"/>
      <c r="J73" s="847">
        <f>H73/DAY(B2)</f>
        <v>-58.12</v>
      </c>
      <c r="K73" s="929"/>
      <c r="L73" s="822"/>
      <c r="O73" s="849"/>
    </row>
    <row r="74" spans="1:15">
      <c r="A74" s="1523" t="s">
        <v>193</v>
      </c>
      <c r="B74" s="1524"/>
      <c r="C74" s="1525"/>
      <c r="D74" s="842" t="s">
        <v>187</v>
      </c>
      <c r="E74" s="843">
        <f>'24'!F74</f>
        <v>1214</v>
      </c>
      <c r="F74" s="936">
        <v>1233.67</v>
      </c>
      <c r="G74" s="844">
        <f t="shared" si="6"/>
        <v>19.670000000000073</v>
      </c>
      <c r="H74" s="845">
        <f>G74+'24'!H74</f>
        <v>-136.32999999999993</v>
      </c>
      <c r="I74" s="864"/>
      <c r="J74" s="847">
        <f>H74/DAY(B2)</f>
        <v>-5.4531999999999972</v>
      </c>
      <c r="K74" s="930"/>
      <c r="L74" s="822"/>
      <c r="O74" s="849"/>
    </row>
    <row r="75" spans="1:15">
      <c r="A75" s="1526" t="s">
        <v>194</v>
      </c>
      <c r="B75" s="1527"/>
      <c r="C75" s="1528"/>
      <c r="D75" s="842" t="s">
        <v>187</v>
      </c>
      <c r="E75" s="843">
        <f>'24'!F75</f>
        <v>7505</v>
      </c>
      <c r="F75" s="936">
        <v>7660.93</v>
      </c>
      <c r="G75" s="844">
        <f t="shared" si="6"/>
        <v>155.93000000000029</v>
      </c>
      <c r="H75" s="845">
        <f>G75+'24'!H75</f>
        <v>-1019.0699999999997</v>
      </c>
      <c r="I75" s="864"/>
      <c r="J75" s="847">
        <f>H75/DAY(B2)</f>
        <v>-40.762799999999991</v>
      </c>
      <c r="K75" s="929"/>
      <c r="L75" s="822"/>
      <c r="O75" s="849"/>
    </row>
    <row r="76" spans="1:15">
      <c r="A76" s="1526" t="s">
        <v>195</v>
      </c>
      <c r="B76" s="1527"/>
      <c r="C76" s="1528"/>
      <c r="D76" s="842" t="s">
        <v>187</v>
      </c>
      <c r="E76" s="843">
        <f>'24'!F76</f>
        <v>3451</v>
      </c>
      <c r="F76" s="935">
        <v>3532.07</v>
      </c>
      <c r="G76" s="844">
        <f t="shared" si="6"/>
        <v>81.070000000000164</v>
      </c>
      <c r="H76" s="845">
        <f>G76+'24'!H76</f>
        <v>-2103.9299999999998</v>
      </c>
      <c r="I76" s="907"/>
      <c r="J76" s="847">
        <f>H76/DAY(B2)</f>
        <v>-84.157199999999989</v>
      </c>
      <c r="K76" s="929"/>
      <c r="L76" s="822"/>
      <c r="O76" s="849"/>
    </row>
    <row r="77" spans="1:15">
      <c r="A77" s="1523" t="s">
        <v>196</v>
      </c>
      <c r="B77" s="1524"/>
      <c r="C77" s="1525"/>
      <c r="D77" s="842" t="s">
        <v>187</v>
      </c>
      <c r="E77" s="843">
        <f>'24'!F77</f>
        <v>699854</v>
      </c>
      <c r="F77" s="935">
        <v>699912</v>
      </c>
      <c r="G77" s="844">
        <f t="shared" si="6"/>
        <v>58</v>
      </c>
      <c r="H77" s="845">
        <f>G77+'24'!H77</f>
        <v>-302</v>
      </c>
      <c r="I77" s="907"/>
      <c r="J77" s="847">
        <f>H77/DAY(B2)</f>
        <v>-12.08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'24'!F78</f>
        <v>662799</v>
      </c>
      <c r="F78" s="936">
        <v>663245</v>
      </c>
      <c r="G78" s="844">
        <f t="shared" si="6"/>
        <v>446</v>
      </c>
      <c r="H78" s="845">
        <f>G78+'24'!H78</f>
        <v>-2135</v>
      </c>
      <c r="I78" s="907"/>
      <c r="J78" s="847">
        <f>H78/DAY(B2)</f>
        <v>-85.4</v>
      </c>
      <c r="K78" s="929"/>
      <c r="L78" s="822"/>
      <c r="O78" s="849"/>
    </row>
    <row r="79" spans="1:15">
      <c r="A79" s="1526" t="s">
        <v>92</v>
      </c>
      <c r="B79" s="1527"/>
      <c r="C79" s="1528"/>
      <c r="D79" s="876" t="s">
        <v>187</v>
      </c>
      <c r="E79" s="843">
        <f>'24'!F79</f>
        <v>819907</v>
      </c>
      <c r="F79" s="936">
        <v>820089</v>
      </c>
      <c r="G79" s="844">
        <f t="shared" si="6"/>
        <v>182</v>
      </c>
      <c r="H79" s="845">
        <f>G79+'24'!H79</f>
        <v>-5027</v>
      </c>
      <c r="I79" s="907"/>
      <c r="J79" s="847">
        <f>H79/DAY(B2)</f>
        <v>-201.08</v>
      </c>
      <c r="K79" s="929"/>
      <c r="L79" s="822"/>
      <c r="O79" s="849"/>
    </row>
    <row r="80" spans="1:15">
      <c r="A80" s="1526" t="s">
        <v>198</v>
      </c>
      <c r="B80" s="1527"/>
      <c r="C80" s="1528"/>
      <c r="D80" s="876" t="s">
        <v>187</v>
      </c>
      <c r="E80" s="843">
        <f>'24'!F80</f>
        <v>503279</v>
      </c>
      <c r="F80" s="934">
        <v>503612.52</v>
      </c>
      <c r="G80" s="844">
        <f t="shared" si="6"/>
        <v>333.52000000001863</v>
      </c>
      <c r="H80" s="845">
        <f>G80+'24'!H80</f>
        <v>894.52000000001863</v>
      </c>
      <c r="I80" s="907"/>
      <c r="J80" s="847">
        <f>H80/DAY(B2)</f>
        <v>35.780800000000745</v>
      </c>
      <c r="K80" s="929"/>
      <c r="L80" s="822"/>
      <c r="O80" s="849"/>
    </row>
    <row r="81" spans="1:15">
      <c r="A81" s="1526" t="s">
        <v>199</v>
      </c>
      <c r="B81" s="1527"/>
      <c r="C81" s="1528"/>
      <c r="D81" s="876" t="s">
        <v>187</v>
      </c>
      <c r="E81" s="843">
        <f>'24'!F81</f>
        <v>628605</v>
      </c>
      <c r="F81" s="935">
        <v>628736.84</v>
      </c>
      <c r="G81" s="844">
        <f t="shared" si="6"/>
        <v>131.8399999999674</v>
      </c>
      <c r="H81" s="845">
        <f>G81+'24'!H81</f>
        <v>-1448.1600000000326</v>
      </c>
      <c r="I81" s="907"/>
      <c r="J81" s="847">
        <f>H81/DAY(B2)</f>
        <v>-57.926400000001301</v>
      </c>
      <c r="K81" s="929"/>
      <c r="L81" s="822"/>
      <c r="O81" s="849"/>
    </row>
    <row r="82" spans="1:15">
      <c r="A82" s="1526" t="s">
        <v>93</v>
      </c>
      <c r="B82" s="1527"/>
      <c r="C82" s="1528"/>
      <c r="D82" s="877" t="s">
        <v>132</v>
      </c>
      <c r="E82" s="843">
        <f>'24'!F82</f>
        <v>106732</v>
      </c>
      <c r="F82" s="938">
        <v>106754.76</v>
      </c>
      <c r="G82" s="844">
        <f t="shared" si="6"/>
        <v>22.759999999994761</v>
      </c>
      <c r="H82" s="845">
        <f>G82+'24'!H82</f>
        <v>-140.24000000000524</v>
      </c>
      <c r="I82" s="878"/>
      <c r="J82" s="847">
        <f>H82/DAY(B2)</f>
        <v>-5.60960000000021</v>
      </c>
      <c r="K82" s="929"/>
      <c r="L82" s="822"/>
      <c r="N82" s="1011">
        <f>371*0.99</f>
        <v>367.29</v>
      </c>
      <c r="O82" s="849"/>
    </row>
    <row r="83" spans="1:15">
      <c r="A83" s="1526" t="s">
        <v>200</v>
      </c>
      <c r="B83" s="1527"/>
      <c r="C83" s="1528"/>
      <c r="D83" s="939" t="s">
        <v>132</v>
      </c>
      <c r="E83" s="843">
        <f>'24'!F83</f>
        <v>4914</v>
      </c>
      <c r="F83" s="829">
        <v>5276</v>
      </c>
      <c r="G83" s="844">
        <f t="shared" si="6"/>
        <v>362</v>
      </c>
      <c r="H83" s="845">
        <f>G83+'24'!H83</f>
        <v>-1781</v>
      </c>
      <c r="I83" s="867"/>
      <c r="J83" s="847">
        <f>H83/DAY(B2)</f>
        <v>-71.239999999999995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448965</v>
      </c>
      <c r="F84" s="942">
        <v>449723</v>
      </c>
      <c r="G84" s="844">
        <f t="shared" si="6"/>
        <v>758</v>
      </c>
      <c r="H84" s="845">
        <f>G84+'24'!H84</f>
        <v>-4961</v>
      </c>
      <c r="I84" s="867"/>
      <c r="J84" s="847">
        <f>H84/DAY(B2)</f>
        <v>-198.44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2629.7899999999813</v>
      </c>
      <c r="H85" s="845">
        <f>G85+'24'!H85</f>
        <v>-16008.210000000012</v>
      </c>
      <c r="I85" s="867"/>
      <c r="J85" s="847">
        <f>H85/DAY(B2)</f>
        <v>-640.32840000000044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453391</v>
      </c>
      <c r="F86" s="951">
        <v>453607.84</v>
      </c>
      <c r="G86" s="952">
        <f t="shared" ref="G86:G90" si="7">F86-E86</f>
        <v>216.84000000002561</v>
      </c>
      <c r="H86" s="952">
        <f t="shared" ref="H86:H88" si="8">G86</f>
        <v>216.84000000002561</v>
      </c>
      <c r="I86" s="953"/>
      <c r="J86" s="954">
        <f>H86/DAY(B2)</f>
        <v>8.6736000000010236</v>
      </c>
      <c r="K86" s="955"/>
      <c r="L86" s="956"/>
      <c r="N86" s="1015">
        <f>G86/0.995</f>
        <v>217.92964824123177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79939</v>
      </c>
      <c r="F87" s="951">
        <v>79977.399999999994</v>
      </c>
      <c r="G87" s="952">
        <f t="shared" si="7"/>
        <v>38.399999999994179</v>
      </c>
      <c r="H87" s="952">
        <f t="shared" si="8"/>
        <v>38.399999999994179</v>
      </c>
      <c r="I87" s="953"/>
      <c r="J87" s="954">
        <f>H87/DAY(B2)</f>
        <v>1.5359999999997671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150114</v>
      </c>
      <c r="F88" s="951">
        <v>150186.99</v>
      </c>
      <c r="G88" s="952">
        <f t="shared" si="7"/>
        <v>72.989999999990687</v>
      </c>
      <c r="H88" s="952">
        <f t="shared" si="8"/>
        <v>72.989999999990687</v>
      </c>
      <c r="I88" s="953"/>
      <c r="J88" s="954">
        <f>H88/DAY(B2)</f>
        <v>2.9195999999996274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63238</v>
      </c>
      <c r="F89" s="951">
        <v>63292</v>
      </c>
      <c r="G89" s="952">
        <f t="shared" si="7"/>
        <v>54</v>
      </c>
      <c r="H89" s="952">
        <f>G89</f>
        <v>54</v>
      </c>
      <c r="I89" s="953"/>
      <c r="J89" s="954">
        <f>H89/DAY(B2)</f>
        <v>2.16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3258</v>
      </c>
      <c r="F90" s="951">
        <v>3262.7</v>
      </c>
      <c r="G90" s="952">
        <f t="shared" si="7"/>
        <v>4.6999999999998181</v>
      </c>
      <c r="H90" s="952">
        <f>G90</f>
        <v>4.6999999999998181</v>
      </c>
      <c r="I90" s="953"/>
      <c r="J90" s="954">
        <f>H90/DAY(B2)</f>
        <v>0.18799999999999273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17" t="s">
        <v>206</v>
      </c>
      <c r="B92" s="1518"/>
      <c r="C92" s="1519"/>
      <c r="D92" s="842" t="s">
        <v>144</v>
      </c>
      <c r="E92" s="843">
        <f>'24'!F92</f>
        <v>241863</v>
      </c>
      <c r="F92" s="873">
        <v>241960</v>
      </c>
      <c r="G92" s="844">
        <f t="shared" ref="G92:G93" si="9">F92-E92</f>
        <v>97</v>
      </c>
      <c r="H92" s="845">
        <f>G92+'24'!H92</f>
        <v>-686</v>
      </c>
      <c r="I92" s="864"/>
      <c r="J92" s="847">
        <f>H92/DAY(B2)</f>
        <v>-27.44</v>
      </c>
      <c r="K92" s="870"/>
      <c r="L92" s="822"/>
      <c r="O92" s="849"/>
    </row>
    <row r="93" spans="1:15">
      <c r="A93" s="1517" t="s">
        <v>207</v>
      </c>
      <c r="B93" s="1518"/>
      <c r="C93" s="1519"/>
      <c r="D93" s="842" t="s">
        <v>144</v>
      </c>
      <c r="E93" s="843">
        <f>'24'!F93</f>
        <v>178651</v>
      </c>
      <c r="F93" s="873">
        <v>178772</v>
      </c>
      <c r="G93" s="844">
        <f t="shared" si="9"/>
        <v>121</v>
      </c>
      <c r="H93" s="845">
        <f>G93+'24'!H93</f>
        <v>-907</v>
      </c>
      <c r="I93" s="864"/>
      <c r="J93" s="847">
        <f>H93/DAY(B2)</f>
        <v>-36.28</v>
      </c>
      <c r="K93" s="943"/>
      <c r="L93" s="822"/>
      <c r="O93" s="849"/>
    </row>
    <row r="94" spans="1:15">
      <c r="A94" s="1509" t="s">
        <v>208</v>
      </c>
      <c r="B94" s="1510"/>
      <c r="C94" s="1511"/>
      <c r="D94" s="842"/>
      <c r="E94" s="843">
        <f>'24'!F94</f>
        <v>0</v>
      </c>
      <c r="F94" s="873"/>
      <c r="G94" s="844">
        <f>G92+G93</f>
        <v>218</v>
      </c>
      <c r="H94" s="845">
        <f>G94+'24'!H94</f>
        <v>-1812</v>
      </c>
      <c r="I94" s="864"/>
      <c r="J94" s="847">
        <f>H94/DAY(B2)</f>
        <v>-72.48</v>
      </c>
      <c r="K94" s="943"/>
      <c r="L94" s="822"/>
      <c r="O94" s="849"/>
    </row>
    <row r="95" spans="1:15">
      <c r="A95" s="1517" t="s">
        <v>209</v>
      </c>
      <c r="B95" s="1518"/>
      <c r="C95" s="1519"/>
      <c r="D95" s="842" t="s">
        <v>144</v>
      </c>
      <c r="E95" s="843">
        <f>'24'!F95</f>
        <v>410164</v>
      </c>
      <c r="F95" s="873">
        <v>410252</v>
      </c>
      <c r="G95" s="844">
        <f t="shared" ref="G95:G100" si="10">F95-E95</f>
        <v>88</v>
      </c>
      <c r="H95" s="845">
        <f>G95+'24'!H95</f>
        <v>-533</v>
      </c>
      <c r="I95" s="864"/>
      <c r="J95" s="847">
        <f>H95/DAY(B2)</f>
        <v>-21.32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'24'!F96</f>
        <v>101699</v>
      </c>
      <c r="F96" s="873">
        <v>101716</v>
      </c>
      <c r="G96" s="844">
        <f t="shared" si="10"/>
        <v>17</v>
      </c>
      <c r="H96" s="845">
        <f>G96+'24'!H96</f>
        <v>-115</v>
      </c>
      <c r="I96" s="864"/>
      <c r="J96" s="847">
        <f>H96/DAY(B2)</f>
        <v>-4.5999999999999996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'24'!F97</f>
        <v>96757</v>
      </c>
      <c r="F97" s="994">
        <v>96773</v>
      </c>
      <c r="G97" s="844">
        <f t="shared" si="10"/>
        <v>16</v>
      </c>
      <c r="H97" s="845">
        <f>G97+'24'!H97</f>
        <v>-155</v>
      </c>
      <c r="I97" s="864"/>
      <c r="J97" s="847">
        <f>H97/DAY(B2)</f>
        <v>-6.2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'24'!F98</f>
        <v>148687</v>
      </c>
      <c r="F98" s="873">
        <v>148706</v>
      </c>
      <c r="G98" s="844">
        <f t="shared" si="10"/>
        <v>19</v>
      </c>
      <c r="H98" s="845">
        <f>G98+'24'!H98</f>
        <v>-203</v>
      </c>
      <c r="I98" s="864"/>
      <c r="J98" s="847">
        <f>H98/DAY(B2)</f>
        <v>-8.1199999999999992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'24'!F99</f>
        <v>6722</v>
      </c>
      <c r="F99" s="873">
        <v>6736</v>
      </c>
      <c r="G99" s="844">
        <f t="shared" si="10"/>
        <v>14</v>
      </c>
      <c r="H99" s="845">
        <f>G99+'24'!H99</f>
        <v>-119</v>
      </c>
      <c r="I99" s="864"/>
      <c r="J99" s="847">
        <f>H99/DAY(B2)</f>
        <v>-4.76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'24'!F100</f>
        <v>4841</v>
      </c>
      <c r="F100" s="873">
        <v>4853</v>
      </c>
      <c r="G100" s="844">
        <f t="shared" si="10"/>
        <v>12</v>
      </c>
      <c r="H100" s="845">
        <f>G100+'24'!H100</f>
        <v>-90</v>
      </c>
      <c r="I100" s="864"/>
      <c r="J100" s="847">
        <f>H100/DAY(B2)</f>
        <v>-3.6</v>
      </c>
      <c r="K100" s="943"/>
      <c r="L100" s="822"/>
      <c r="O100" s="849"/>
    </row>
    <row r="101" spans="1:15">
      <c r="A101" s="1509" t="s">
        <v>216</v>
      </c>
      <c r="B101" s="1510"/>
      <c r="C101" s="1511"/>
      <c r="D101" s="876"/>
      <c r="E101" s="876"/>
      <c r="F101" s="876"/>
      <c r="G101" s="960">
        <f>SUM(G95:G100)</f>
        <v>166</v>
      </c>
      <c r="H101" s="845">
        <f>G101+'24'!H101</f>
        <v>-1215</v>
      </c>
      <c r="I101" s="961"/>
      <c r="J101" s="847">
        <f>H101/DAY(B2)</f>
        <v>-48.6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06" t="s">
        <v>218</v>
      </c>
      <c r="B103" s="1507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00" t="s">
        <v>219</v>
      </c>
      <c r="B104" s="1501"/>
      <c r="C104" s="976"/>
      <c r="D104" s="972" t="s">
        <v>144</v>
      </c>
      <c r="E104" s="973">
        <f>'24'!F104</f>
        <v>7287</v>
      </c>
      <c r="F104" s="1387">
        <v>7287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2.36</v>
      </c>
      <c r="N104" s="1012"/>
      <c r="O104" s="849"/>
    </row>
    <row r="105" spans="1:15" s="894" customFormat="1">
      <c r="A105" s="1500" t="s">
        <v>77</v>
      </c>
      <c r="B105" s="1501"/>
      <c r="C105" s="976"/>
      <c r="D105" s="972" t="s">
        <v>144</v>
      </c>
      <c r="E105" s="973">
        <f>'24'!F105</f>
        <v>35594</v>
      </c>
      <c r="F105" s="977">
        <v>35601</v>
      </c>
      <c r="G105" s="973">
        <f t="shared" ref="G105:G106" si="11">F105-E105</f>
        <v>7</v>
      </c>
      <c r="H105" s="974">
        <f>SUM(G105+'1'!G77)</f>
        <v>57</v>
      </c>
      <c r="I105" s="973"/>
      <c r="J105" s="975">
        <f>H105/DAY(B2)</f>
        <v>2.2799999999999998</v>
      </c>
      <c r="N105" s="1012"/>
      <c r="O105" s="849"/>
    </row>
    <row r="106" spans="1:15" s="894" customFormat="1">
      <c r="A106" s="1500" t="s">
        <v>78</v>
      </c>
      <c r="B106" s="1508"/>
      <c r="C106" s="1501"/>
      <c r="D106" s="972" t="s">
        <v>144</v>
      </c>
      <c r="E106" s="973">
        <f>'24'!F106</f>
        <v>19381</v>
      </c>
      <c r="F106" s="973">
        <v>19386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16</v>
      </c>
      <c r="N106" s="1012"/>
      <c r="O106" s="849"/>
    </row>
    <row r="107" spans="1:15" s="894" customFormat="1">
      <c r="A107" s="1502" t="s">
        <v>202</v>
      </c>
      <c r="B107" s="1503"/>
      <c r="C107" s="976"/>
      <c r="D107" s="972"/>
      <c r="E107" s="973">
        <f>'24'!F107</f>
        <v>0</v>
      </c>
      <c r="F107" s="973"/>
      <c r="G107" s="973">
        <f>SUM(G104:G106)</f>
        <v>12</v>
      </c>
      <c r="H107" s="974">
        <f>SUM(G107+'1'!G79)</f>
        <v>206</v>
      </c>
      <c r="I107" s="973"/>
      <c r="J107" s="975">
        <f>H107/DAY(B2)</f>
        <v>8.24</v>
      </c>
      <c r="N107" s="1012"/>
      <c r="O107" s="849"/>
    </row>
    <row r="108" spans="1:15" s="894" customFormat="1">
      <c r="A108" s="1498" t="s">
        <v>79</v>
      </c>
      <c r="B108" s="1499"/>
      <c r="C108" s="976"/>
      <c r="D108" s="972" t="s">
        <v>144</v>
      </c>
      <c r="E108" s="973">
        <f>'24'!F108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00" t="s">
        <v>220</v>
      </c>
      <c r="B109" s="1501"/>
      <c r="C109" s="976"/>
      <c r="D109" s="972" t="s">
        <v>144</v>
      </c>
      <c r="E109" s="973">
        <f>'24'!F109</f>
        <v>58195</v>
      </c>
      <c r="F109" s="973">
        <v>58254</v>
      </c>
      <c r="G109" s="973">
        <f>F109-E109</f>
        <v>59</v>
      </c>
      <c r="H109" s="974">
        <f>SUM(G109+'1'!G81)</f>
        <v>257</v>
      </c>
      <c r="I109" s="973"/>
      <c r="J109" s="975">
        <f>H109/DAY(B2)</f>
        <v>10.28</v>
      </c>
      <c r="N109" s="1012"/>
      <c r="O109" s="849"/>
    </row>
    <row r="110" spans="1:15" s="894" customFormat="1">
      <c r="A110" s="1500" t="s">
        <v>221</v>
      </c>
      <c r="B110" s="1501"/>
      <c r="C110" s="976"/>
      <c r="D110" s="972" t="s">
        <v>144</v>
      </c>
      <c r="E110" s="973">
        <f>'24'!F110</f>
        <v>31489</v>
      </c>
      <c r="F110" s="973">
        <v>31507</v>
      </c>
      <c r="G110" s="973">
        <f t="shared" ref="G110:G111" si="12">F110-E110</f>
        <v>18</v>
      </c>
      <c r="H110" s="974">
        <f>SUM(G110+'1'!G82)</f>
        <v>41</v>
      </c>
      <c r="I110" s="973"/>
      <c r="J110" s="975">
        <f>H110/DAY(B2)</f>
        <v>1.64</v>
      </c>
      <c r="N110" s="1012"/>
      <c r="O110" s="849"/>
    </row>
    <row r="111" spans="1:15" s="894" customFormat="1">
      <c r="A111" s="1500" t="s">
        <v>222</v>
      </c>
      <c r="B111" s="1501"/>
      <c r="C111" s="976"/>
      <c r="D111" s="972" t="s">
        <v>144</v>
      </c>
      <c r="E111" s="973">
        <f>'24'!F111</f>
        <v>4117</v>
      </c>
      <c r="F111" s="973">
        <v>4130</v>
      </c>
      <c r="G111" s="973">
        <f t="shared" si="12"/>
        <v>13</v>
      </c>
      <c r="H111" s="974">
        <f>SUM(G111+'1'!G83)</f>
        <v>252</v>
      </c>
      <c r="I111" s="973"/>
      <c r="J111" s="975">
        <f>H111/DAY(B2)</f>
        <v>10.08</v>
      </c>
      <c r="N111" s="1012"/>
      <c r="O111" s="849"/>
    </row>
    <row r="112" spans="1:15" s="894" customFormat="1">
      <c r="A112" s="1504" t="s">
        <v>110</v>
      </c>
      <c r="B112" s="1505"/>
      <c r="C112" s="976"/>
      <c r="D112" s="972"/>
      <c r="E112" s="973">
        <f>'24'!F112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40.200000000000003</v>
      </c>
      <c r="N112" s="1012"/>
      <c r="O112" s="849"/>
    </row>
    <row r="113" spans="1:15" s="894" customFormat="1">
      <c r="A113" s="1498" t="s">
        <v>223</v>
      </c>
      <c r="B113" s="1499"/>
      <c r="C113" s="976"/>
      <c r="D113" s="972"/>
      <c r="E113" s="973">
        <f>'24'!F113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00" t="s">
        <v>224</v>
      </c>
      <c r="B114" s="1501"/>
      <c r="C114" s="978"/>
      <c r="D114" s="972" t="s">
        <v>144</v>
      </c>
      <c r="E114" s="973">
        <f>'24'!F114</f>
        <v>10701</v>
      </c>
      <c r="F114" s="977">
        <v>10717</v>
      </c>
      <c r="G114" s="977">
        <f>F114-E114</f>
        <v>16</v>
      </c>
      <c r="H114" s="974">
        <f>SUM(G114+'1'!G91)</f>
        <v>16</v>
      </c>
      <c r="I114" s="973"/>
      <c r="J114" s="975">
        <f>H114/DAY(B2)</f>
        <v>0.64</v>
      </c>
      <c r="N114" s="1012"/>
      <c r="O114" s="849"/>
    </row>
    <row r="115" spans="1:15" s="894" customFormat="1">
      <c r="A115" s="1500" t="s">
        <v>225</v>
      </c>
      <c r="B115" s="1501"/>
      <c r="C115" s="978"/>
      <c r="D115" s="972" t="s">
        <v>144</v>
      </c>
      <c r="E115" s="973">
        <f>'24'!F115</f>
        <v>7898</v>
      </c>
      <c r="F115" s="977">
        <v>7903</v>
      </c>
      <c r="G115" s="977">
        <f t="shared" ref="G115:G116" si="13">F115-E115</f>
        <v>5</v>
      </c>
      <c r="H115" s="974">
        <f>SUM(G115+'1'!G92)</f>
        <v>97</v>
      </c>
      <c r="I115" s="973"/>
      <c r="J115" s="975">
        <f>H115/DAY(B2)</f>
        <v>3.88</v>
      </c>
      <c r="N115" s="1012"/>
      <c r="O115" s="849"/>
    </row>
    <row r="116" spans="1:15" s="894" customFormat="1">
      <c r="A116" s="1500" t="s">
        <v>226</v>
      </c>
      <c r="B116" s="1501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5.08</v>
      </c>
      <c r="N116" s="1012"/>
      <c r="O116" s="849"/>
    </row>
    <row r="117" spans="1:15" s="980" customFormat="1">
      <c r="A117" s="1502" t="s">
        <v>202</v>
      </c>
      <c r="B117" s="1503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3.92</v>
      </c>
      <c r="N117" s="1017"/>
      <c r="O117" s="849"/>
    </row>
    <row r="118" spans="1:15" s="772" customFormat="1">
      <c r="A118" s="1494" t="s">
        <v>227</v>
      </c>
      <c r="B118" s="1495"/>
      <c r="C118" s="981"/>
      <c r="D118" s="982" t="s">
        <v>144</v>
      </c>
      <c r="E118" s="983"/>
      <c r="F118" s="984"/>
      <c r="G118" s="984">
        <f>SUM(G19+G92)</f>
        <v>152</v>
      </c>
      <c r="H118" s="974">
        <f>SUM(G118+'1'!G96)</f>
        <v>169</v>
      </c>
      <c r="I118" s="983"/>
      <c r="J118" s="985">
        <f>H118/DAY(B2)</f>
        <v>6.76</v>
      </c>
      <c r="N118" s="1018"/>
      <c r="O118" s="849"/>
    </row>
    <row r="119" spans="1:15" s="772" customFormat="1">
      <c r="A119" s="1494" t="s">
        <v>228</v>
      </c>
      <c r="B119" s="1495"/>
      <c r="C119" s="981"/>
      <c r="D119" s="982" t="s">
        <v>144</v>
      </c>
      <c r="E119" s="983"/>
      <c r="F119" s="984"/>
      <c r="G119" s="984">
        <f>SUM(G95,G96,G97,G99,G100)</f>
        <v>147</v>
      </c>
      <c r="H119" s="974">
        <f>SUM(G119+'1'!G98)</f>
        <v>175</v>
      </c>
      <c r="I119" s="983"/>
      <c r="J119" s="985">
        <f>H119/DAY(B2)</f>
        <v>7</v>
      </c>
      <c r="N119" s="1018"/>
      <c r="O119" s="849"/>
    </row>
    <row r="120" spans="1:15" s="772" customFormat="1">
      <c r="A120" s="1494" t="s">
        <v>229</v>
      </c>
      <c r="B120" s="1495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3.84</v>
      </c>
      <c r="N120" s="1018"/>
      <c r="O120" s="849"/>
    </row>
    <row r="121" spans="1:15" s="894" customFormat="1">
      <c r="A121" s="1496"/>
      <c r="B121" s="149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12" t="s">
        <v>230</v>
      </c>
      <c r="B122" s="1513"/>
      <c r="C122" s="1514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'24'!F123</f>
        <v>816987</v>
      </c>
      <c r="F123" s="861">
        <v>817246</v>
      </c>
      <c r="G123" s="844">
        <f t="shared" ref="G123:G127" si="14">F123-E123</f>
        <v>259</v>
      </c>
      <c r="H123" s="845">
        <f>G123+'24'!H123</f>
        <v>-1564</v>
      </c>
      <c r="I123" s="961"/>
      <c r="J123" s="847">
        <f>H123/DAY(B2)</f>
        <v>-62.56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'24'!F124</f>
        <v>73583</v>
      </c>
      <c r="F124" s="989">
        <v>73583.399999999994</v>
      </c>
      <c r="G124" s="844">
        <f t="shared" si="14"/>
        <v>0.39999999999417923</v>
      </c>
      <c r="H124" s="845">
        <f>G124+'24'!H124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23" t="s">
        <v>233</v>
      </c>
      <c r="B125" s="1524"/>
      <c r="C125" s="1525"/>
      <c r="D125" s="842" t="s">
        <v>141</v>
      </c>
      <c r="E125" s="843">
        <f>'24'!F125</f>
        <v>141548.57999999999</v>
      </c>
      <c r="F125" s="861">
        <v>141621.81</v>
      </c>
      <c r="G125" s="844">
        <f t="shared" si="14"/>
        <v>73.230000000010477</v>
      </c>
      <c r="H125" s="845">
        <f>G125+'24'!H125</f>
        <v>-514.19000000000233</v>
      </c>
      <c r="I125" s="961"/>
      <c r="J125" s="847">
        <f>H125/DAY(B2)</f>
        <v>-20.567600000000095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'24'!F126</f>
        <v>59823</v>
      </c>
      <c r="F126" s="989">
        <v>59853.599999999999</v>
      </c>
      <c r="G126" s="844">
        <f t="shared" si="14"/>
        <v>30.599999999998545</v>
      </c>
      <c r="H126" s="845">
        <f>G126+'24'!H126</f>
        <v>28534.899999999998</v>
      </c>
      <c r="I126" s="961"/>
      <c r="J126" s="847">
        <f>H126/DAY(B2)</f>
        <v>1141.396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'24'!F127</f>
        <v>8944</v>
      </c>
      <c r="F127" s="989">
        <v>8945.7999999999993</v>
      </c>
      <c r="G127" s="844">
        <f t="shared" si="14"/>
        <v>1.7999999999992724</v>
      </c>
      <c r="H127" s="845">
        <f>G127+'24'!H127</f>
        <v>-16.200000000000728</v>
      </c>
      <c r="I127" s="864"/>
      <c r="J127" s="847">
        <f>H127/DAY(B2)</f>
        <v>-0.64800000000002911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557.9730000000236</v>
      </c>
      <c r="H128" s="845">
        <f>G128+'24'!H128</f>
        <v>4869.6339999999764</v>
      </c>
      <c r="I128" s="864"/>
      <c r="J128" s="847">
        <f>H128/DAY(B2)</f>
        <v>194.78535999999906</v>
      </c>
      <c r="K128" s="943"/>
      <c r="L128" s="822"/>
      <c r="O128" s="849"/>
    </row>
    <row r="129" spans="1:16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6">
      <c r="A130" s="871" t="s">
        <v>238</v>
      </c>
      <c r="B130" s="872"/>
      <c r="C130" s="872"/>
      <c r="D130" s="842" t="s">
        <v>239</v>
      </c>
      <c r="E130" s="843">
        <f>'24'!F130</f>
        <v>0</v>
      </c>
      <c r="F130" s="873">
        <v>0</v>
      </c>
      <c r="G130" s="844">
        <f t="shared" ref="G130:G140" si="15">F130-E130</f>
        <v>0</v>
      </c>
      <c r="H130" s="845">
        <f>G130+'24'!H130</f>
        <v>0</v>
      </c>
      <c r="I130" s="864"/>
      <c r="J130" s="847">
        <f>H130/DAY(B2)</f>
        <v>0</v>
      </c>
      <c r="O130" s="849"/>
    </row>
    <row r="131" spans="1:16">
      <c r="A131" s="871" t="s">
        <v>240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si="15"/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241</v>
      </c>
      <c r="B132" s="872"/>
      <c r="C132" s="872"/>
      <c r="D132" s="842" t="s">
        <v>239</v>
      </c>
      <c r="E132" s="843">
        <f>'24'!F132</f>
        <v>39365.279999999999</v>
      </c>
      <c r="F132" s="994">
        <v>39389.03</v>
      </c>
      <c r="G132" s="844">
        <f t="shared" si="15"/>
        <v>23.75</v>
      </c>
      <c r="H132" s="845">
        <f>G132+'24'!H132</f>
        <v>-153.30000000000291</v>
      </c>
      <c r="I132" s="864"/>
      <c r="J132" s="847">
        <f>H132/DAY(B2)</f>
        <v>-6.132000000000116</v>
      </c>
      <c r="O132" s="849"/>
      <c r="P132" s="809">
        <f>49-24</f>
        <v>25</v>
      </c>
    </row>
    <row r="133" spans="1:16">
      <c r="A133" s="871" t="s">
        <v>242</v>
      </c>
      <c r="B133" s="872"/>
      <c r="C133" s="872"/>
      <c r="D133" s="842" t="s">
        <v>239</v>
      </c>
      <c r="E133" s="843">
        <f>'24'!F133</f>
        <v>299.52</v>
      </c>
      <c r="F133" s="994">
        <v>299.52</v>
      </c>
      <c r="G133" s="844">
        <f t="shared" si="15"/>
        <v>0</v>
      </c>
      <c r="H133" s="845">
        <f>G133+'24'!H133</f>
        <v>-0.48000000000001819</v>
      </c>
      <c r="I133" s="864">
        <f>G130+G131+G132+G133</f>
        <v>23.75</v>
      </c>
      <c r="J133" s="847">
        <f>H133/DAY(B2)</f>
        <v>-1.9200000000000727E-2</v>
      </c>
      <c r="O133" s="849"/>
    </row>
    <row r="134" spans="1:16">
      <c r="A134" s="871" t="s">
        <v>243</v>
      </c>
      <c r="B134" s="872"/>
      <c r="C134" s="872"/>
      <c r="D134" s="842" t="s">
        <v>239</v>
      </c>
      <c r="E134" s="843">
        <f>'24'!F134</f>
        <v>40802</v>
      </c>
      <c r="F134" s="994">
        <v>40802</v>
      </c>
      <c r="G134" s="844">
        <f t="shared" si="15"/>
        <v>0</v>
      </c>
      <c r="H134" s="845">
        <f>G134+'24'!H134</f>
        <v>24</v>
      </c>
      <c r="I134" s="864"/>
      <c r="J134" s="847">
        <f>H134/DAY(B2)</f>
        <v>0.96</v>
      </c>
      <c r="O134" s="849"/>
    </row>
    <row r="135" spans="1:16">
      <c r="A135" s="871" t="s">
        <v>244</v>
      </c>
      <c r="B135" s="872"/>
      <c r="C135" s="872"/>
      <c r="D135" s="842" t="s">
        <v>239</v>
      </c>
      <c r="E135" s="843">
        <f>'24'!F135</f>
        <v>32582.93</v>
      </c>
      <c r="F135" s="994">
        <v>32582.93</v>
      </c>
      <c r="G135" s="844">
        <f t="shared" si="15"/>
        <v>0</v>
      </c>
      <c r="H135" s="845">
        <f>G135+'24'!H135</f>
        <v>13</v>
      </c>
      <c r="I135" s="864"/>
      <c r="J135" s="847">
        <f>H135/DAY(B2)</f>
        <v>0.52</v>
      </c>
      <c r="O135" s="849"/>
    </row>
    <row r="136" spans="1:16">
      <c r="A136" s="871" t="s">
        <v>245</v>
      </c>
      <c r="B136" s="872"/>
      <c r="C136" s="872"/>
      <c r="D136" s="842" t="s">
        <v>239</v>
      </c>
      <c r="E136" s="843">
        <f>'24'!F136</f>
        <v>22422.25</v>
      </c>
      <c r="F136" s="994">
        <v>22432.400000000001</v>
      </c>
      <c r="G136" s="844">
        <f t="shared" si="15"/>
        <v>10.150000000001455</v>
      </c>
      <c r="H136" s="845">
        <f>G136+'24'!H136</f>
        <v>-56.25</v>
      </c>
      <c r="I136" s="864">
        <f>G134+G135+G136</f>
        <v>10.150000000001455</v>
      </c>
      <c r="J136" s="847">
        <f>H136/DAY(B2)</f>
        <v>-2.25</v>
      </c>
      <c r="O136" s="849"/>
    </row>
    <row r="137" spans="1:16">
      <c r="A137" s="871" t="s">
        <v>246</v>
      </c>
      <c r="B137" s="872"/>
      <c r="C137" s="872"/>
      <c r="D137" s="842" t="s">
        <v>239</v>
      </c>
      <c r="E137" s="843">
        <f>'24'!F137</f>
        <v>25048.97</v>
      </c>
      <c r="F137" s="994">
        <v>25048.97</v>
      </c>
      <c r="G137" s="844">
        <f t="shared" si="15"/>
        <v>0</v>
      </c>
      <c r="H137" s="845">
        <f>G137+'24'!H137</f>
        <v>12.659999999999854</v>
      </c>
      <c r="I137" s="864"/>
      <c r="J137" s="847">
        <f>H137/DAY(B2)</f>
        <v>0.50639999999999419</v>
      </c>
      <c r="O137" s="849"/>
    </row>
    <row r="138" spans="1:16">
      <c r="A138" s="871" t="s">
        <v>247</v>
      </c>
      <c r="B138" s="872"/>
      <c r="C138" s="872"/>
      <c r="D138" s="842" t="s">
        <v>239</v>
      </c>
      <c r="E138" s="843">
        <f>'24'!F138</f>
        <v>70238</v>
      </c>
      <c r="F138" s="994">
        <v>70238.070000000007</v>
      </c>
      <c r="G138" s="844">
        <f t="shared" si="15"/>
        <v>7.0000000006984919E-2</v>
      </c>
      <c r="H138" s="845">
        <f>G138+'24'!H138</f>
        <v>15.070000000006985</v>
      </c>
      <c r="I138" s="864">
        <f>G137+G138</f>
        <v>7.0000000006984919E-2</v>
      </c>
      <c r="J138" s="847">
        <f>H138/DAY(B2)</f>
        <v>0.60280000000027945</v>
      </c>
      <c r="O138" s="849"/>
    </row>
    <row r="139" spans="1:16">
      <c r="A139" s="871" t="s">
        <v>248</v>
      </c>
      <c r="B139" s="872"/>
      <c r="C139" s="872"/>
      <c r="D139" s="842" t="s">
        <v>239</v>
      </c>
      <c r="E139" s="843">
        <f>'24'!F139</f>
        <v>1536.52</v>
      </c>
      <c r="F139" s="873">
        <v>1536.52</v>
      </c>
      <c r="G139" s="844">
        <f t="shared" si="15"/>
        <v>0</v>
      </c>
      <c r="H139" s="845">
        <f>G139+'24'!H139</f>
        <v>0</v>
      </c>
      <c r="I139" s="995"/>
      <c r="J139" s="847">
        <f>H139/DAY(B2)</f>
        <v>0</v>
      </c>
      <c r="O139" s="849"/>
    </row>
    <row r="140" spans="1:16">
      <c r="A140" s="871" t="s">
        <v>249</v>
      </c>
      <c r="B140" s="872"/>
      <c r="C140" s="872"/>
      <c r="D140" s="842" t="s">
        <v>239</v>
      </c>
      <c r="E140" s="843">
        <f>'24'!F140</f>
        <v>4408.37</v>
      </c>
      <c r="F140" s="873">
        <v>4417.28</v>
      </c>
      <c r="G140" s="844">
        <f t="shared" si="15"/>
        <v>8.9099999999998545</v>
      </c>
      <c r="H140" s="845">
        <f>G140+'24'!H140</f>
        <v>-51.260000000000218</v>
      </c>
      <c r="I140" s="995"/>
      <c r="J140" s="847">
        <f>H140/DAY(B2)</f>
        <v>-2.0504000000000087</v>
      </c>
      <c r="O140" s="849"/>
    </row>
    <row r="141" spans="1:16">
      <c r="A141" s="1515" t="s">
        <v>250</v>
      </c>
      <c r="B141" s="1516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6">
      <c r="A142" s="1517" t="s">
        <v>251</v>
      </c>
      <c r="B142" s="1518"/>
      <c r="C142" s="1519"/>
      <c r="D142" s="842" t="s">
        <v>132</v>
      </c>
      <c r="E142" s="842"/>
      <c r="F142" s="842"/>
      <c r="G142" s="845">
        <f>G35+G43+G49+G57</f>
        <v>5449.0299999999115</v>
      </c>
      <c r="H142" s="845">
        <f>G142+'24'!H142</f>
        <v>-38472.610000000102</v>
      </c>
      <c r="I142" s="864"/>
      <c r="J142" s="847">
        <f>H142/DAY(B2)</f>
        <v>-1538.904400000004</v>
      </c>
      <c r="K142" s="943"/>
      <c r="L142" s="822"/>
      <c r="O142" s="849"/>
    </row>
    <row r="143" spans="1:16">
      <c r="A143" s="1517" t="s">
        <v>252</v>
      </c>
      <c r="B143" s="1518"/>
      <c r="C143" s="1519"/>
      <c r="D143" s="842" t="s">
        <v>24</v>
      </c>
      <c r="E143" s="829"/>
      <c r="F143" s="829"/>
      <c r="G143" s="996">
        <f>G142/G7</f>
        <v>0.26626093330075307</v>
      </c>
      <c r="H143" s="845">
        <f>G143+'24'!H143</f>
        <v>6.7005680557535445</v>
      </c>
      <c r="I143" s="997"/>
      <c r="J143" s="847">
        <f>H143/DAY(B2)</f>
        <v>0.26802272223014179</v>
      </c>
      <c r="K143" s="943"/>
      <c r="L143" s="822"/>
      <c r="O143" s="849"/>
    </row>
    <row r="144" spans="1:16">
      <c r="A144" s="1517" t="s">
        <v>253</v>
      </c>
      <c r="B144" s="1518"/>
      <c r="C144" s="1519"/>
      <c r="D144" s="842" t="s">
        <v>132</v>
      </c>
      <c r="E144" s="843"/>
      <c r="F144" s="843"/>
      <c r="G144" s="845">
        <f>G41+G42+G55+G56</f>
        <v>4700.8300000000309</v>
      </c>
      <c r="H144" s="845">
        <f>G144+'24'!H144</f>
        <v>-38770.329999999973</v>
      </c>
      <c r="I144" s="864"/>
      <c r="J144" s="847">
        <f>H144/DAY(B2)</f>
        <v>-1550.8131999999989</v>
      </c>
      <c r="K144" s="943"/>
      <c r="L144" s="822"/>
      <c r="O144" s="849"/>
    </row>
    <row r="145" spans="1:15">
      <c r="A145" s="1517" t="s">
        <v>254</v>
      </c>
      <c r="B145" s="1518"/>
      <c r="C145" s="1519"/>
      <c r="D145" s="842" t="s">
        <v>24</v>
      </c>
      <c r="E145" s="843"/>
      <c r="F145" s="843"/>
      <c r="G145" s="996">
        <f>G144/G7</f>
        <v>0.2297009528463245</v>
      </c>
      <c r="H145" s="845">
        <f>G145+'24'!H145</f>
        <v>6.4589392785532933</v>
      </c>
      <c r="I145" s="997"/>
      <c r="J145" s="847">
        <f>H145/DAY(B2)</f>
        <v>0.25835757114213176</v>
      </c>
      <c r="K145" s="943"/>
      <c r="L145" s="822"/>
      <c r="O145" s="849"/>
    </row>
    <row r="146" spans="1:15">
      <c r="A146" s="1517" t="s">
        <v>255</v>
      </c>
      <c r="B146" s="1518"/>
      <c r="C146" s="1519"/>
      <c r="D146" s="842" t="s">
        <v>132</v>
      </c>
      <c r="E146" s="843"/>
      <c r="F146" s="843"/>
      <c r="G146" s="845">
        <f>G39+G53</f>
        <v>4667.8899999999994</v>
      </c>
      <c r="H146" s="845">
        <f>G146+'24'!H146</f>
        <v>-25375.11</v>
      </c>
      <c r="I146" s="998"/>
      <c r="J146" s="847">
        <f>H146/DAY(B2)</f>
        <v>-1015.0044</v>
      </c>
      <c r="K146" s="943"/>
      <c r="L146" s="822"/>
      <c r="O146" s="849"/>
    </row>
    <row r="147" spans="1:15">
      <c r="A147" s="1517" t="s">
        <v>256</v>
      </c>
      <c r="B147" s="1518"/>
      <c r="C147" s="1519"/>
      <c r="D147" s="842" t="s">
        <v>24</v>
      </c>
      <c r="E147" s="843"/>
      <c r="F147" s="843"/>
      <c r="G147" s="996">
        <f>G146/G7</f>
        <v>0.22809137551917905</v>
      </c>
      <c r="H147" s="845">
        <f>G147+'24'!H147</f>
        <v>4.9040304953363663</v>
      </c>
      <c r="I147" s="998"/>
      <c r="J147" s="847">
        <f>H147/DAY(B2)</f>
        <v>0.19616121981345466</v>
      </c>
      <c r="O147" s="849"/>
    </row>
    <row r="148" spans="1:15">
      <c r="A148" s="1517" t="s">
        <v>257</v>
      </c>
      <c r="B148" s="1518"/>
      <c r="C148" s="1519"/>
      <c r="D148" s="842" t="s">
        <v>183</v>
      </c>
      <c r="E148" s="843"/>
      <c r="F148" s="843"/>
      <c r="G148" s="845">
        <f>G38+G52</f>
        <v>1912.5699999999488</v>
      </c>
      <c r="H148" s="845">
        <f>G148+'24'!H148</f>
        <v>-11392.430000000051</v>
      </c>
      <c r="I148" s="864"/>
      <c r="J148" s="847">
        <f>H148/DAY(B2)</f>
        <v>-455.69720000000206</v>
      </c>
      <c r="K148" s="999"/>
      <c r="O148" s="849"/>
    </row>
    <row r="149" spans="1:15">
      <c r="A149" s="1517" t="s">
        <v>258</v>
      </c>
      <c r="B149" s="1518"/>
      <c r="C149" s="1519"/>
      <c r="D149" s="842" t="s">
        <v>24</v>
      </c>
      <c r="E149" s="843"/>
      <c r="F149" s="843"/>
      <c r="G149" s="996">
        <f>G148/G7</f>
        <v>9.3455655998042939E-2</v>
      </c>
      <c r="H149" s="845">
        <f>G149+'24'!H149</f>
        <v>2.1304454465770002</v>
      </c>
      <c r="I149" s="998"/>
      <c r="J149" s="847">
        <f>H149/DAY(B2)</f>
        <v>8.5217817863080011E-2</v>
      </c>
      <c r="O149" s="849"/>
    </row>
    <row r="150" spans="1:15">
      <c r="A150" s="1517" t="s">
        <v>259</v>
      </c>
      <c r="B150" s="1518"/>
      <c r="C150" s="1519"/>
      <c r="D150" s="842" t="s">
        <v>183</v>
      </c>
      <c r="E150" s="843"/>
      <c r="F150" s="843"/>
      <c r="G150" s="845">
        <f>G36+G50</f>
        <v>2069.0599999999977</v>
      </c>
      <c r="H150" s="845">
        <f>G150+'24'!H150</f>
        <v>-12177.940000000002</v>
      </c>
      <c r="I150" s="998"/>
      <c r="J150" s="847">
        <f>H150/DAY(B2)</f>
        <v>-487.1176000000001</v>
      </c>
      <c r="O150" s="849"/>
    </row>
    <row r="151" spans="1:15">
      <c r="A151" s="1517" t="s">
        <v>260</v>
      </c>
      <c r="B151" s="1518"/>
      <c r="C151" s="1519"/>
      <c r="D151" s="842" t="s">
        <v>24</v>
      </c>
      <c r="E151" s="843"/>
      <c r="F151" s="843"/>
      <c r="G151" s="996">
        <f>G150/G7</f>
        <v>0.10110236989982886</v>
      </c>
      <c r="H151" s="845">
        <f>G151+'24'!H151</f>
        <v>2.267023155056783</v>
      </c>
      <c r="I151" s="864"/>
      <c r="J151" s="847">
        <f>H151/DAY(B2)</f>
        <v>9.068092620227132E-2</v>
      </c>
      <c r="O151" s="849"/>
    </row>
    <row r="152" spans="1:15">
      <c r="A152" s="1517" t="s">
        <v>261</v>
      </c>
      <c r="B152" s="1518"/>
      <c r="C152" s="1519"/>
      <c r="D152" s="842" t="s">
        <v>183</v>
      </c>
      <c r="E152" s="843"/>
      <c r="F152" s="843"/>
      <c r="G152" s="845">
        <f>G37+G51</f>
        <v>1471.3299999999945</v>
      </c>
      <c r="H152" s="845">
        <f>G152+'24'!H152</f>
        <v>-9086.6700000000055</v>
      </c>
      <c r="I152" s="864"/>
      <c r="J152" s="847">
        <f>H152/DAY(B2)</f>
        <v>-363.46680000000021</v>
      </c>
      <c r="O152" s="849"/>
    </row>
    <row r="153" spans="1:15" ht="21" thickBot="1">
      <c r="A153" s="1520" t="s">
        <v>262</v>
      </c>
      <c r="B153" s="1521"/>
      <c r="C153" s="1522"/>
      <c r="D153" s="1000" t="s">
        <v>24</v>
      </c>
      <c r="E153" s="1001"/>
      <c r="F153" s="1001"/>
      <c r="G153" s="1002">
        <f>G152/G7</f>
        <v>7.1894942584900784E-2</v>
      </c>
      <c r="H153" s="845">
        <f>G153+'24'!H153</f>
        <v>1.7593097905596509</v>
      </c>
      <c r="I153" s="1003"/>
      <c r="J153" s="1004">
        <f>H153/DAY(B2)</f>
        <v>7.0372391622386038E-2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'24'!F160</f>
        <v>32839</v>
      </c>
      <c r="F160" s="1019">
        <v>32922.980000000003</v>
      </c>
      <c r="G160" s="844">
        <f t="shared" ref="G160:G163" si="16">F160-E160</f>
        <v>83.980000000003201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'24'!F161</f>
        <v>65688</v>
      </c>
      <c r="F161" s="1019">
        <v>66102.66</v>
      </c>
      <c r="G161" s="844">
        <f t="shared" si="16"/>
        <v>414.66000000000349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'24'!F162</f>
        <v>27451</v>
      </c>
      <c r="F162" s="1019">
        <v>27723.73</v>
      </c>
      <c r="G162" s="844">
        <f t="shared" si="16"/>
        <v>272.72999999999956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'24'!F163</f>
        <v>5715</v>
      </c>
      <c r="F163" s="1019">
        <v>5729.47</v>
      </c>
      <c r="G163" s="844">
        <f t="shared" si="16"/>
        <v>14.470000000000255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2012</v>
      </c>
      <c r="F165" s="926">
        <f t="shared" ref="F165:F171" si="19">F63</f>
        <v>2024.2</v>
      </c>
      <c r="G165" s="844">
        <f t="shared" si="17"/>
        <v>12.200000000000045</v>
      </c>
    </row>
    <row r="166" spans="1:7" ht="21.75" customHeight="1">
      <c r="A166" s="1493" t="s">
        <v>99</v>
      </c>
      <c r="B166" s="1493"/>
      <c r="C166" s="1493"/>
      <c r="D166" s="842" t="s">
        <v>187</v>
      </c>
      <c r="E166" s="926">
        <f t="shared" si="18"/>
        <v>135907</v>
      </c>
      <c r="F166" s="926">
        <f t="shared" si="19"/>
        <v>136381.76000000001</v>
      </c>
      <c r="G166" s="844">
        <f t="shared" si="17"/>
        <v>474.76000000000931</v>
      </c>
    </row>
    <row r="167" spans="1:7" ht="21.75" customHeight="1">
      <c r="A167" s="1493" t="s">
        <v>100</v>
      </c>
      <c r="B167" s="1493"/>
      <c r="C167" s="1493"/>
      <c r="D167" s="842" t="s">
        <v>187</v>
      </c>
      <c r="E167" s="926">
        <f t="shared" si="18"/>
        <v>141579</v>
      </c>
      <c r="F167" s="926">
        <f t="shared" si="19"/>
        <v>141936.20000000001</v>
      </c>
      <c r="G167" s="844">
        <f t="shared" si="17"/>
        <v>357.20000000001164</v>
      </c>
    </row>
    <row r="168" spans="1:7" ht="21.75" customHeight="1">
      <c r="A168" s="1493" t="s">
        <v>101</v>
      </c>
      <c r="B168" s="1493"/>
      <c r="C168" s="1493"/>
      <c r="D168" s="842" t="s">
        <v>187</v>
      </c>
      <c r="E168" s="926">
        <f t="shared" si="18"/>
        <v>34324</v>
      </c>
      <c r="F168" s="926">
        <f t="shared" si="19"/>
        <v>34708.26</v>
      </c>
      <c r="G168" s="844">
        <f t="shared" si="17"/>
        <v>384.26000000000204</v>
      </c>
    </row>
    <row r="169" spans="1:7">
      <c r="A169" s="1493" t="s">
        <v>102</v>
      </c>
      <c r="B169" s="1493"/>
      <c r="C169" s="1493"/>
      <c r="D169" s="842" t="s">
        <v>187</v>
      </c>
      <c r="E169" s="926">
        <f t="shared" si="18"/>
        <v>224328</v>
      </c>
      <c r="F169" s="926">
        <f t="shared" si="19"/>
        <v>225049.51</v>
      </c>
      <c r="G169" s="844">
        <f t="shared" si="17"/>
        <v>721.51000000000931</v>
      </c>
    </row>
    <row r="170" spans="1:7" ht="24" customHeight="1">
      <c r="A170" s="1493" t="s">
        <v>103</v>
      </c>
      <c r="B170" s="1493"/>
      <c r="C170" s="1493"/>
      <c r="D170" s="842" t="s">
        <v>187</v>
      </c>
      <c r="E170" s="926">
        <f t="shared" si="18"/>
        <v>80766</v>
      </c>
      <c r="F170" s="926">
        <f t="shared" si="19"/>
        <v>81121.5</v>
      </c>
      <c r="G170" s="844">
        <f t="shared" si="17"/>
        <v>355.5</v>
      </c>
    </row>
    <row r="171" spans="1:7">
      <c r="A171" s="1493" t="s">
        <v>104</v>
      </c>
      <c r="B171" s="1493"/>
      <c r="C171" s="1493"/>
      <c r="D171" s="842" t="s">
        <v>187</v>
      </c>
      <c r="E171" s="926">
        <f t="shared" si="18"/>
        <v>72124</v>
      </c>
      <c r="F171" s="926">
        <f t="shared" si="19"/>
        <v>72439.78</v>
      </c>
      <c r="G171" s="844">
        <f t="shared" si="17"/>
        <v>315.77999999999884</v>
      </c>
    </row>
    <row r="172" spans="1:7">
      <c r="G172" s="1010">
        <f>SUM(G160:G171)</f>
        <v>3407.0500000000375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70" zoomScaleSheetLayoutView="70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544" t="s">
        <v>117</v>
      </c>
      <c r="B1" s="1545"/>
      <c r="C1" s="1545"/>
      <c r="D1" s="1545"/>
      <c r="E1" s="1545"/>
      <c r="F1" s="1545"/>
      <c r="G1" s="1545"/>
      <c r="H1" s="1545"/>
      <c r="I1" s="1545"/>
      <c r="J1" s="1546"/>
    </row>
    <row r="2" spans="1:15" ht="30.75" customHeight="1">
      <c r="A2" s="810" t="s">
        <v>353</v>
      </c>
      <c r="B2" s="1081">
        <v>43916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547" t="s">
        <v>121</v>
      </c>
      <c r="F3" s="1548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541" t="s">
        <v>130</v>
      </c>
      <c r="B6" s="1542"/>
      <c r="C6" s="154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4977142</v>
      </c>
      <c r="F7" s="843">
        <v>4998502</v>
      </c>
      <c r="G7" s="844">
        <f>F7-E7</f>
        <v>21360</v>
      </c>
      <c r="H7" s="845">
        <f>G7+'25'!H7</f>
        <v>-115421</v>
      </c>
      <c r="I7" s="846">
        <f>'1'!I7</f>
        <v>12000</v>
      </c>
      <c r="J7" s="847">
        <f>H7/DAY(B2)</f>
        <v>-4439.2692307692305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5007925</v>
      </c>
      <c r="F8" s="854">
        <v>5029385</v>
      </c>
      <c r="G8" s="855">
        <f>F8-E8</f>
        <v>21460</v>
      </c>
      <c r="H8" s="845">
        <f>G8+'25'!H8</f>
        <v>-115933</v>
      </c>
      <c r="I8" s="856">
        <f>'1'!I8</f>
        <v>12000</v>
      </c>
      <c r="J8" s="847">
        <f>H8/DAY(B2)</f>
        <v>-4458.9615384615381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263592.43</v>
      </c>
      <c r="F9" s="861">
        <v>284297.34999999998</v>
      </c>
      <c r="G9" s="844">
        <f>F9-E9</f>
        <v>20704.919999999984</v>
      </c>
      <c r="H9" s="845">
        <f>G9+'25'!H9</f>
        <v>-111771.65000000002</v>
      </c>
      <c r="I9" s="862">
        <f>I8-J8</f>
        <v>16458.961538461539</v>
      </c>
      <c r="J9" s="847">
        <f>H9/DAY(B2)</f>
        <v>-4298.9096153846167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360229.05000000005</v>
      </c>
      <c r="I10" s="864"/>
      <c r="J10" s="847">
        <f>H10/DAY(B2)</f>
        <v>13854.963461538464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20704.919999999984</v>
      </c>
      <c r="H13" s="845">
        <f>G13+'25'!H13</f>
        <v>227463.40000000002</v>
      </c>
      <c r="I13" s="868">
        <f>G7-G13</f>
        <v>655.0800000000163</v>
      </c>
      <c r="J13" s="847">
        <f>H13/DAY(B2)</f>
        <v>8748.5923076923082</v>
      </c>
      <c r="K13" s="863"/>
      <c r="L13" s="822"/>
      <c r="O13" s="849"/>
    </row>
    <row r="14" spans="1:15" ht="28.5" customHeight="1">
      <c r="A14" s="1535" t="s">
        <v>139</v>
      </c>
      <c r="B14" s="1536"/>
      <c r="C14" s="1537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1641101.003</v>
      </c>
      <c r="F15" s="873">
        <v>1641970.2709999999</v>
      </c>
      <c r="G15" s="1020">
        <f>(F15-E15)</f>
        <v>869.26799999992363</v>
      </c>
      <c r="H15" s="845">
        <f>G15+'25'!H15</f>
        <v>-4718.7290000000503</v>
      </c>
      <c r="I15" s="846">
        <f>'1'!I15</f>
        <v>800</v>
      </c>
      <c r="J15" s="847">
        <f>H15/DAY(B2)</f>
        <v>-181.48957692307886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981.48957692307886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535" t="s">
        <v>142</v>
      </c>
      <c r="B17" s="1536"/>
      <c r="C17" s="1537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517" t="s">
        <v>143</v>
      </c>
      <c r="B18" s="1518"/>
      <c r="C18" s="1519"/>
      <c r="D18" s="842" t="s">
        <v>144</v>
      </c>
      <c r="E18" s="843">
        <f>'25'!F18</f>
        <v>14</v>
      </c>
      <c r="F18" s="873">
        <v>19</v>
      </c>
      <c r="G18" s="867">
        <f>F18*10</f>
        <v>190</v>
      </c>
      <c r="H18" s="845">
        <f>G18+'25'!H18</f>
        <v>3160</v>
      </c>
      <c r="I18" s="846">
        <f>'1'!I18</f>
        <v>65</v>
      </c>
      <c r="J18" s="847">
        <f>H18/DAY(B2)</f>
        <v>121.53846153846153</v>
      </c>
      <c r="K18" s="863"/>
      <c r="L18" s="822"/>
      <c r="O18" s="849"/>
    </row>
    <row r="19" spans="1:15" ht="20.100000000000001" customHeight="1">
      <c r="A19" s="1517" t="s">
        <v>71</v>
      </c>
      <c r="B19" s="1518"/>
      <c r="C19" s="1519"/>
      <c r="D19" s="842" t="s">
        <v>144</v>
      </c>
      <c r="E19" s="843">
        <f>'25'!F19</f>
        <v>135778</v>
      </c>
      <c r="F19" s="873">
        <v>135831</v>
      </c>
      <c r="G19" s="844">
        <f t="shared" ref="G19" si="1">F19-E19</f>
        <v>53</v>
      </c>
      <c r="H19" s="845">
        <f>G19+'25'!H19</f>
        <v>-259</v>
      </c>
      <c r="I19" s="882"/>
      <c r="J19" s="847">
        <f>H19/DAY(B2)</f>
        <v>-9.9615384615384617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243</v>
      </c>
      <c r="H20" s="845">
        <f>G20+'25'!H20</f>
        <v>2901</v>
      </c>
      <c r="I20" s="885">
        <f>I18-J20</f>
        <v>-46.57692307692308</v>
      </c>
      <c r="J20" s="847">
        <f>H20/DAY(B2)</f>
        <v>111.57692307692308</v>
      </c>
      <c r="K20" s="863"/>
      <c r="L20" s="822"/>
      <c r="O20" s="849"/>
    </row>
    <row r="21" spans="1:15" ht="20.100000000000001" customHeight="1">
      <c r="A21" s="1535" t="s">
        <v>146</v>
      </c>
      <c r="B21" s="1536"/>
      <c r="C21" s="1537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541" t="s">
        <v>151</v>
      </c>
      <c r="B25" s="1542"/>
      <c r="C25" s="154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21460</v>
      </c>
      <c r="F27" s="501">
        <v>9</v>
      </c>
      <c r="G27" s="905">
        <f>E27*F27</f>
        <v>193140</v>
      </c>
      <c r="H27" s="845">
        <f>G27+'25'!H27</f>
        <v>-1043397</v>
      </c>
      <c r="I27" s="906"/>
      <c r="J27" s="847">
        <f>H27/DAY(B2)</f>
        <v>-40130.653846153844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869.26799999992363</v>
      </c>
      <c r="F28" s="501">
        <v>51.45</v>
      </c>
      <c r="G28" s="905">
        <f>E28*F28</f>
        <v>44723.838599996074</v>
      </c>
      <c r="H28" s="845">
        <f>G28+'25'!H28</f>
        <v>-242778.60705000255</v>
      </c>
      <c r="I28" s="907"/>
      <c r="J28" s="847">
        <f>H28/DAY(B2)</f>
        <v>-9337.638732692405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G30+'25'!H30</f>
        <v>-33338</v>
      </c>
      <c r="I30" s="907"/>
      <c r="J30" s="847">
        <f>H30/DAY(B2)</f>
        <v>-1282.2307692307693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190</v>
      </c>
      <c r="F31" s="904">
        <v>80</v>
      </c>
      <c r="G31" s="905">
        <f>E31*F31</f>
        <v>15200</v>
      </c>
      <c r="H31" s="845">
        <f>G31+'25'!H31</f>
        <v>252800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260165.83859999606</v>
      </c>
      <c r="H32" s="845">
        <f>G32+'25'!H32</f>
        <v>-977703.60705000267</v>
      </c>
      <c r="I32" s="913"/>
      <c r="J32" s="847">
        <f>H32/DAY(B2)</f>
        <v>-37603.984886538565</v>
      </c>
      <c r="K32" s="863"/>
      <c r="L32" s="893"/>
      <c r="N32" s="1012"/>
      <c r="O32" s="849"/>
    </row>
    <row r="33" spans="1:15" ht="20.100000000000001" customHeight="1">
      <c r="A33" s="1538" t="s">
        <v>162</v>
      </c>
      <c r="B33" s="1539"/>
      <c r="C33" s="1539"/>
      <c r="D33" s="1539"/>
      <c r="E33" s="1539"/>
      <c r="F33" s="1539"/>
      <c r="G33" s="1539"/>
      <c r="H33" s="1539"/>
      <c r="I33" s="1539"/>
      <c r="J33" s="1540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777788.71</v>
      </c>
      <c r="F35" s="916">
        <v>781131.19</v>
      </c>
      <c r="G35" s="844">
        <f t="shared" ref="G35:G46" si="3">F35-E35</f>
        <v>3342.4799999999814</v>
      </c>
      <c r="H35" s="845">
        <f>G35+'25'!H35</f>
        <v>-17257.810000000056</v>
      </c>
      <c r="I35" s="843"/>
      <c r="J35" s="847">
        <f>H35/DAY(B2)</f>
        <v>-663.7619230769252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312678.71000000002</v>
      </c>
      <c r="F36" s="916">
        <v>313360.83</v>
      </c>
      <c r="G36" s="844">
        <f t="shared" si="3"/>
        <v>682.11999999999534</v>
      </c>
      <c r="H36" s="845">
        <f>G36+'25'!H36</f>
        <v>-4075.1699999999837</v>
      </c>
      <c r="I36" s="843"/>
      <c r="J36" s="847">
        <f>H36/DAY(B2)</f>
        <v>-156.73730769230707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45710.46</v>
      </c>
      <c r="F37" s="916">
        <v>47245.07</v>
      </c>
      <c r="G37" s="844">
        <f t="shared" si="3"/>
        <v>1534.6100000000006</v>
      </c>
      <c r="H37" s="845">
        <f>G37+'25'!H37</f>
        <v>-7551.93</v>
      </c>
      <c r="I37" s="843"/>
      <c r="J37" s="847">
        <f>H37/DAY(B2)</f>
        <v>-290.45884615384614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60917.5</v>
      </c>
      <c r="F38" s="832">
        <v>63026.400000000001</v>
      </c>
      <c r="G38" s="844">
        <f t="shared" si="3"/>
        <v>2108.9000000000015</v>
      </c>
      <c r="H38" s="845">
        <f>G38+'25'!H38</f>
        <v>-9281.5999999999985</v>
      </c>
      <c r="I38" s="843"/>
      <c r="J38" s="847">
        <f>H38/DAY(B2)</f>
        <v>-356.98461538461532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128669.02</v>
      </c>
      <c r="F39" s="916">
        <v>132822.89000000001</v>
      </c>
      <c r="G39" s="844">
        <f t="shared" si="3"/>
        <v>4153.8700000000099</v>
      </c>
      <c r="H39" s="845">
        <f>G39+'25'!H39</f>
        <v>-19999.109999999986</v>
      </c>
      <c r="I39" s="843"/>
      <c r="J39" s="847">
        <f>H39/DAY(B2)</f>
        <v>-769.1965384615379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0.34</v>
      </c>
      <c r="I40" s="843"/>
      <c r="J40" s="847">
        <f>H40/DAY(B2)</f>
        <v>1.3076923076923078E-2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101531.49</v>
      </c>
      <c r="F41" s="916">
        <v>106423.12</v>
      </c>
      <c r="G41" s="844">
        <f t="shared" si="3"/>
        <v>4891.6299999999901</v>
      </c>
      <c r="H41" s="845">
        <f>G41+'25'!H41</f>
        <v>-26717.880000000005</v>
      </c>
      <c r="I41" s="843"/>
      <c r="J41" s="847">
        <f>H41/DAY(B2)</f>
        <v>-1027.6107692307694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59129</v>
      </c>
      <c r="F42" s="916">
        <v>59128.163</v>
      </c>
      <c r="G42" s="844">
        <f t="shared" si="3"/>
        <v>-0.83699999999953434</v>
      </c>
      <c r="H42" s="845">
        <f>G42+'25'!H42</f>
        <v>2.9999999969732016E-3</v>
      </c>
      <c r="I42" s="843"/>
      <c r="J42" s="847">
        <f>H42/DAY(B2)</f>
        <v>1.1538461526820007E-4</v>
      </c>
      <c r="K42" s="863"/>
      <c r="L42" s="822"/>
      <c r="N42" s="1013">
        <f>3450-G42</f>
        <v>3450.8369999999995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886491.19</v>
      </c>
      <c r="F43" s="916">
        <v>888848.79</v>
      </c>
      <c r="G43" s="844">
        <f t="shared" si="3"/>
        <v>2357.6000000000931</v>
      </c>
      <c r="H43" s="845">
        <f>G43+'25'!H43</f>
        <v>-13199.209999999963</v>
      </c>
      <c r="I43" s="843"/>
      <c r="J43" s="847">
        <f>H43/DAY(B2)</f>
        <v>-507.66192307692165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187</v>
      </c>
      <c r="I46" s="843"/>
      <c r="J46" s="847">
        <f>H46/DAY(B2)</f>
        <v>7.1923076923076925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19070.373000000072</v>
      </c>
      <c r="H47" s="845">
        <f>G47+'25'!H47</f>
        <v>-97281.367000000027</v>
      </c>
      <c r="I47" s="843"/>
      <c r="J47" s="847">
        <f>H47/DAY(B2)</f>
        <v>-3741.5910384615395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0.13000000000465661</v>
      </c>
      <c r="I49" s="843"/>
      <c r="J49" s="847">
        <f>H49/DAY(B2)</f>
        <v>5.0000000001791008E-3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433811.35</v>
      </c>
      <c r="F50" s="916">
        <v>435250.57</v>
      </c>
      <c r="G50" s="844">
        <f t="shared" si="4"/>
        <v>1439.2200000000303</v>
      </c>
      <c r="H50" s="845">
        <f>G50+'25'!H50</f>
        <v>-7175.429999999993</v>
      </c>
      <c r="I50" s="843"/>
      <c r="J50" s="847">
        <f>H50/DAY(B2)</f>
        <v>-275.97807692307663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-1549.1300000000047</v>
      </c>
      <c r="I51" s="843"/>
      <c r="J51" s="847">
        <f>H51/DAY(B2)</f>
        <v>-59.581923076923253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-2047.9300000000512</v>
      </c>
      <c r="I52" s="843"/>
      <c r="J52" s="847">
        <f>H52/DAY(B2)</f>
        <v>-78.766538461540435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400041.87</v>
      </c>
      <c r="F53" s="916">
        <v>400243.51</v>
      </c>
      <c r="G53" s="844">
        <f t="shared" si="4"/>
        <v>201.64000000001397</v>
      </c>
      <c r="H53" s="845">
        <f>G53+'25'!H53</f>
        <v>-5205.4899999999907</v>
      </c>
      <c r="I53" s="843"/>
      <c r="J53" s="847">
        <f>H53/DAY(B2)</f>
        <v>-200.21115384615348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8733.17</v>
      </c>
      <c r="F54" s="916">
        <v>8808.4500000000007</v>
      </c>
      <c r="G54" s="844">
        <f t="shared" si="4"/>
        <v>75.280000000000655</v>
      </c>
      <c r="H54" s="845">
        <f>G54+'25'!H54</f>
        <v>2651.4900000000016</v>
      </c>
      <c r="I54" s="843"/>
      <c r="J54" s="847">
        <f>H54/DAY(B2)</f>
        <v>101.98038461538468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208980.55</v>
      </c>
      <c r="F55" s="916">
        <v>208980.55</v>
      </c>
      <c r="G55" s="844">
        <f t="shared" si="4"/>
        <v>0</v>
      </c>
      <c r="H55" s="845">
        <f>G55+'25'!H55</f>
        <v>-12115.450000000012</v>
      </c>
      <c r="I55" s="843"/>
      <c r="J55" s="847">
        <f>H55/DAY(B2)</f>
        <v>-465.97884615384658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588921.79</v>
      </c>
      <c r="F56" s="916">
        <v>588931.43000000005</v>
      </c>
      <c r="G56" s="844">
        <f t="shared" si="4"/>
        <v>9.6400000000139698</v>
      </c>
      <c r="H56" s="845">
        <f>G56+'25'!H56</f>
        <v>-35.569999999948777</v>
      </c>
      <c r="I56" s="843"/>
      <c r="J56" s="847">
        <f>H56/DAY(B2)</f>
        <v>-1.368076923074953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40464.65</v>
      </c>
      <c r="F58" s="916">
        <v>40630.879999999997</v>
      </c>
      <c r="G58" s="844">
        <f t="shared" si="4"/>
        <v>166.22999999999593</v>
      </c>
      <c r="H58" s="845">
        <f>G58+'25'!H58</f>
        <v>-1112.1200000000026</v>
      </c>
      <c r="I58" s="843"/>
      <c r="J58" s="847">
        <f>H58/DAY(B2)</f>
        <v>-42.773846153846257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1892.0100000000548</v>
      </c>
      <c r="H59" s="845">
        <f>G59+'25'!H59</f>
        <v>-26589.500000000029</v>
      </c>
      <c r="I59" s="843">
        <f>G7-G60</f>
        <v>397.61699999987468</v>
      </c>
      <c r="J59" s="847">
        <f>H59/DAY(B2)</f>
        <v>-1022.673076923078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20962.383000000125</v>
      </c>
      <c r="H60" s="845">
        <f>G60+'25'!H60</f>
        <v>-109701.86700000009</v>
      </c>
      <c r="I60" s="843">
        <f>G13-G60</f>
        <v>-257.46300000014162</v>
      </c>
      <c r="J60" s="847">
        <f>H60/DAY(B2)</f>
        <v>-4219.3025769230799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1.9999999967694748E-3</v>
      </c>
      <c r="I62" s="927"/>
      <c r="J62" s="847">
        <f>H62/DAY(B2)</f>
        <v>7.6923076798825961E-5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2024.2</v>
      </c>
      <c r="F63" s="926">
        <v>2035.57</v>
      </c>
      <c r="G63" s="844">
        <f t="shared" si="5"/>
        <v>11.369999999999891</v>
      </c>
      <c r="H63" s="845">
        <f>G63+'25'!H63</f>
        <v>-60.430000000000064</v>
      </c>
      <c r="I63" s="927"/>
      <c r="J63" s="847">
        <f>H63/DAY(B2)</f>
        <v>-2.3242307692307715</v>
      </c>
      <c r="K63" s="863"/>
      <c r="L63" s="822"/>
      <c r="O63" s="849"/>
    </row>
    <row r="64" spans="1:15" ht="20.100000000000001" customHeight="1">
      <c r="A64" s="1523" t="s">
        <v>99</v>
      </c>
      <c r="B64" s="1524"/>
      <c r="C64" s="1525"/>
      <c r="D64" s="842" t="s">
        <v>187</v>
      </c>
      <c r="E64" s="843">
        <f>'25'!F64</f>
        <v>136381.76000000001</v>
      </c>
      <c r="F64" s="873">
        <v>136848.32000000001</v>
      </c>
      <c r="G64" s="844">
        <f t="shared" si="5"/>
        <v>466.55999999999767</v>
      </c>
      <c r="H64" s="845">
        <f>G64+'25'!H64</f>
        <v>-2331.679999999993</v>
      </c>
      <c r="I64" s="864"/>
      <c r="J64" s="847">
        <f>H64/DAY(B2)</f>
        <v>-89.679999999999737</v>
      </c>
      <c r="K64" s="863"/>
      <c r="L64" s="822"/>
      <c r="O64" s="849"/>
    </row>
    <row r="65" spans="1:15" ht="20.100000000000001" customHeight="1">
      <c r="A65" s="1523" t="s">
        <v>100</v>
      </c>
      <c r="B65" s="1524"/>
      <c r="C65" s="1525"/>
      <c r="D65" s="842" t="s">
        <v>187</v>
      </c>
      <c r="E65" s="843">
        <f>'25'!F65</f>
        <v>141936.20000000001</v>
      </c>
      <c r="F65" s="873">
        <v>142299.97</v>
      </c>
      <c r="G65" s="844">
        <f t="shared" si="5"/>
        <v>363.76999999998952</v>
      </c>
      <c r="H65" s="845">
        <f>G65+'25'!H65</f>
        <v>-1905.0299999999988</v>
      </c>
      <c r="I65" s="882"/>
      <c r="J65" s="847">
        <f>H65/DAY(B2)</f>
        <v>-73.270384615384572</v>
      </c>
      <c r="K65" s="863"/>
      <c r="L65" s="822"/>
      <c r="O65" s="849"/>
    </row>
    <row r="66" spans="1:15" ht="20.100000000000001" customHeight="1">
      <c r="A66" s="1523" t="s">
        <v>101</v>
      </c>
      <c r="B66" s="1524"/>
      <c r="C66" s="1525"/>
      <c r="D66" s="842" t="s">
        <v>187</v>
      </c>
      <c r="E66" s="843">
        <f>'25'!F66</f>
        <v>34708.26</v>
      </c>
      <c r="F66" s="873">
        <v>35123</v>
      </c>
      <c r="G66" s="844">
        <f t="shared" si="5"/>
        <v>414.73999999999796</v>
      </c>
      <c r="H66" s="845">
        <f>G66+'25'!H66</f>
        <v>-2085</v>
      </c>
      <c r="I66" s="864"/>
      <c r="J66" s="847">
        <f>H66/DAY(B2)</f>
        <v>-80.192307692307693</v>
      </c>
      <c r="K66" s="863"/>
      <c r="L66" s="822"/>
      <c r="O66" s="849"/>
    </row>
    <row r="67" spans="1:15" ht="20.100000000000001" customHeight="1">
      <c r="A67" s="1523" t="s">
        <v>102</v>
      </c>
      <c r="B67" s="1524"/>
      <c r="C67" s="1525"/>
      <c r="D67" s="842" t="s">
        <v>187</v>
      </c>
      <c r="E67" s="843">
        <f>'25'!F67</f>
        <v>225049.51</v>
      </c>
      <c r="F67" s="873">
        <v>225771.03</v>
      </c>
      <c r="G67" s="844">
        <f t="shared" si="5"/>
        <v>721.51999999998952</v>
      </c>
      <c r="H67" s="845">
        <f>G67+'25'!H67</f>
        <v>-3328.9700000000012</v>
      </c>
      <c r="I67" s="882"/>
      <c r="J67" s="847">
        <f>H67/DAY(B2)</f>
        <v>-128.03730769230773</v>
      </c>
      <c r="K67" s="870"/>
      <c r="L67" s="822"/>
      <c r="O67" s="849"/>
    </row>
    <row r="68" spans="1:15" ht="20.100000000000001" customHeight="1">
      <c r="A68" s="1523" t="s">
        <v>103</v>
      </c>
      <c r="B68" s="1524"/>
      <c r="C68" s="1525"/>
      <c r="D68" s="842" t="s">
        <v>187</v>
      </c>
      <c r="E68" s="843">
        <f>'25'!F68</f>
        <v>81121.5</v>
      </c>
      <c r="F68" s="873">
        <v>81473.039999999994</v>
      </c>
      <c r="G68" s="844">
        <f t="shared" si="5"/>
        <v>351.5399999999936</v>
      </c>
      <c r="H68" s="845">
        <f>G68+'25'!H68</f>
        <v>7603.1100000000006</v>
      </c>
      <c r="I68" s="928"/>
      <c r="J68" s="847">
        <f>H68/DAY(B2)</f>
        <v>292.42730769230769</v>
      </c>
      <c r="K68" s="929"/>
      <c r="L68" s="822"/>
      <c r="O68" s="849"/>
    </row>
    <row r="69" spans="1:15" ht="20.100000000000001" customHeight="1">
      <c r="A69" s="1523" t="s">
        <v>104</v>
      </c>
      <c r="B69" s="1524"/>
      <c r="C69" s="1525"/>
      <c r="D69" s="842" t="s">
        <v>187</v>
      </c>
      <c r="E69" s="843">
        <f>'25'!F69</f>
        <v>72439.78</v>
      </c>
      <c r="F69" s="873">
        <v>72760.070000000007</v>
      </c>
      <c r="G69" s="844">
        <f t="shared" si="5"/>
        <v>320.29000000000815</v>
      </c>
      <c r="H69" s="845">
        <f>G69+'25'!H69</f>
        <v>-1568.929999999993</v>
      </c>
      <c r="I69" s="928"/>
      <c r="J69" s="847">
        <f>H69/DAY(B2)</f>
        <v>-60.34346153846127</v>
      </c>
      <c r="K69" s="930"/>
      <c r="L69" s="822"/>
      <c r="O69" s="849"/>
    </row>
    <row r="70" spans="1:15" ht="20.100000000000001" customHeight="1">
      <c r="A70" s="1532" t="s">
        <v>189</v>
      </c>
      <c r="B70" s="1533"/>
      <c r="C70" s="153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529" t="s">
        <v>190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929"/>
      <c r="L71" s="822"/>
      <c r="O71" s="849"/>
    </row>
    <row r="72" spans="1:15" ht="20.100000000000001" customHeight="1">
      <c r="A72" s="1523" t="s">
        <v>191</v>
      </c>
      <c r="B72" s="1524"/>
      <c r="C72" s="1525"/>
      <c r="D72" s="842" t="s">
        <v>187</v>
      </c>
      <c r="E72" s="843">
        <f>'25'!F72</f>
        <v>852817</v>
      </c>
      <c r="F72" s="934">
        <v>852903</v>
      </c>
      <c r="G72" s="844">
        <f t="shared" ref="G72:G84" si="6">F72-E72</f>
        <v>86</v>
      </c>
      <c r="H72" s="845">
        <f>G72+'25'!H72</f>
        <v>-366</v>
      </c>
      <c r="I72" s="864"/>
      <c r="J72" s="847">
        <f>H72/DAY(B2)</f>
        <v>-14.076923076923077</v>
      </c>
      <c r="K72" s="930"/>
      <c r="L72" s="822"/>
      <c r="O72" s="849"/>
    </row>
    <row r="73" spans="1:15" ht="20.100000000000001" customHeight="1">
      <c r="A73" s="1523" t="s">
        <v>192</v>
      </c>
      <c r="B73" s="1524"/>
      <c r="C73" s="1525"/>
      <c r="D73" s="842" t="s">
        <v>187</v>
      </c>
      <c r="E73" s="843">
        <f>'25'!F73</f>
        <v>885792</v>
      </c>
      <c r="F73" s="935">
        <v>885793</v>
      </c>
      <c r="G73" s="844">
        <f t="shared" si="6"/>
        <v>1</v>
      </c>
      <c r="H73" s="845">
        <f>G73+'25'!H73</f>
        <v>-1452</v>
      </c>
      <c r="I73" s="864"/>
      <c r="J73" s="847">
        <f>H73/DAY(B2)</f>
        <v>-55.846153846153847</v>
      </c>
      <c r="K73" s="929"/>
      <c r="L73" s="822"/>
      <c r="O73" s="849"/>
    </row>
    <row r="74" spans="1:15" ht="20.100000000000001" customHeight="1">
      <c r="A74" s="1523" t="s">
        <v>193</v>
      </c>
      <c r="B74" s="1524"/>
      <c r="C74" s="1525"/>
      <c r="D74" s="842" t="s">
        <v>187</v>
      </c>
      <c r="E74" s="843">
        <f>'25'!F74</f>
        <v>1233.67</v>
      </c>
      <c r="F74" s="936">
        <v>1253.3</v>
      </c>
      <c r="G74" s="844">
        <f t="shared" si="6"/>
        <v>19.629999999999882</v>
      </c>
      <c r="H74" s="845">
        <f>G74+'25'!H74</f>
        <v>-116.70000000000005</v>
      </c>
      <c r="I74" s="864"/>
      <c r="J74" s="847">
        <f>H74/DAY(B2)</f>
        <v>-4.4884615384615403</v>
      </c>
      <c r="K74" s="930"/>
      <c r="L74" s="822"/>
      <c r="O74" s="849"/>
    </row>
    <row r="75" spans="1:15" ht="20.100000000000001" customHeight="1">
      <c r="A75" s="1526" t="s">
        <v>194</v>
      </c>
      <c r="B75" s="1527"/>
      <c r="C75" s="1528"/>
      <c r="D75" s="842" t="s">
        <v>187</v>
      </c>
      <c r="E75" s="843">
        <f>'25'!F75</f>
        <v>7660.93</v>
      </c>
      <c r="F75" s="936">
        <v>7834.6</v>
      </c>
      <c r="G75" s="844">
        <f t="shared" si="6"/>
        <v>173.67000000000007</v>
      </c>
      <c r="H75" s="845">
        <f>G75+'25'!H75</f>
        <v>-845.39999999999964</v>
      </c>
      <c r="I75" s="864"/>
      <c r="J75" s="847">
        <f>H75/DAY(B2)</f>
        <v>-32.515384615384605</v>
      </c>
      <c r="K75" s="929"/>
      <c r="L75" s="822"/>
      <c r="O75" s="849"/>
    </row>
    <row r="76" spans="1:15" ht="20.100000000000001" customHeight="1">
      <c r="A76" s="1526" t="s">
        <v>195</v>
      </c>
      <c r="B76" s="1527"/>
      <c r="C76" s="1528"/>
      <c r="D76" s="842" t="s">
        <v>187</v>
      </c>
      <c r="E76" s="843">
        <f>'25'!F76</f>
        <v>3532.07</v>
      </c>
      <c r="F76" s="935">
        <v>3617.28</v>
      </c>
      <c r="G76" s="844">
        <f t="shared" si="6"/>
        <v>85.210000000000036</v>
      </c>
      <c r="H76" s="845">
        <f>G76+'25'!H76</f>
        <v>-2018.7199999999998</v>
      </c>
      <c r="I76" s="907"/>
      <c r="J76" s="847">
        <f>H76/DAY(B2)</f>
        <v>-77.643076923076919</v>
      </c>
      <c r="K76" s="929"/>
      <c r="L76" s="822"/>
      <c r="O76" s="849"/>
    </row>
    <row r="77" spans="1:15" ht="20.100000000000001" customHeight="1">
      <c r="A77" s="1523" t="s">
        <v>196</v>
      </c>
      <c r="B77" s="1524"/>
      <c r="C77" s="1525"/>
      <c r="D77" s="842" t="s">
        <v>187</v>
      </c>
      <c r="E77" s="843">
        <f>'25'!F77</f>
        <v>699912</v>
      </c>
      <c r="F77" s="935">
        <v>699969</v>
      </c>
      <c r="G77" s="844">
        <f t="shared" si="6"/>
        <v>57</v>
      </c>
      <c r="H77" s="845">
        <f>G77+'25'!H77</f>
        <v>-245</v>
      </c>
      <c r="I77" s="907"/>
      <c r="J77" s="847">
        <f>H77/DAY(B2)</f>
        <v>-9.4230769230769234</v>
      </c>
      <c r="K77" s="929"/>
      <c r="L77" s="822"/>
      <c r="O77" s="849"/>
    </row>
    <row r="78" spans="1:15" ht="18.75" customHeight="1">
      <c r="A78" s="937" t="s">
        <v>197</v>
      </c>
      <c r="B78" s="1141"/>
      <c r="C78" s="1141"/>
      <c r="D78" s="842" t="s">
        <v>187</v>
      </c>
      <c r="E78" s="843">
        <f>'25'!F78</f>
        <v>663245</v>
      </c>
      <c r="F78" s="936">
        <v>663652</v>
      </c>
      <c r="G78" s="844">
        <f t="shared" si="6"/>
        <v>407</v>
      </c>
      <c r="H78" s="845">
        <f>G78+'25'!H78</f>
        <v>-1728</v>
      </c>
      <c r="I78" s="907"/>
      <c r="J78" s="847">
        <f>H78/DAY(B2)</f>
        <v>-66.461538461538467</v>
      </c>
      <c r="K78" s="929"/>
      <c r="L78" s="822"/>
      <c r="O78" s="849"/>
    </row>
    <row r="79" spans="1:15" ht="20.100000000000001" customHeight="1">
      <c r="A79" s="1526" t="s">
        <v>92</v>
      </c>
      <c r="B79" s="1527"/>
      <c r="C79" s="1528"/>
      <c r="D79" s="876" t="s">
        <v>187</v>
      </c>
      <c r="E79" s="843">
        <f>'25'!F79</f>
        <v>820089</v>
      </c>
      <c r="F79" s="936">
        <v>820277</v>
      </c>
      <c r="G79" s="844">
        <f t="shared" si="6"/>
        <v>188</v>
      </c>
      <c r="H79" s="845">
        <f>G79+'25'!H79</f>
        <v>-4839</v>
      </c>
      <c r="I79" s="907"/>
      <c r="J79" s="847">
        <f>H79/DAY(B2)</f>
        <v>-186.11538461538461</v>
      </c>
      <c r="K79" s="929"/>
      <c r="L79" s="822"/>
      <c r="O79" s="849"/>
    </row>
    <row r="80" spans="1:15" ht="20.100000000000001" customHeight="1">
      <c r="A80" s="1526" t="s">
        <v>198</v>
      </c>
      <c r="B80" s="1527"/>
      <c r="C80" s="1528"/>
      <c r="D80" s="876" t="s">
        <v>187</v>
      </c>
      <c r="E80" s="843">
        <f>'25'!F80</f>
        <v>503612.52</v>
      </c>
      <c r="F80" s="1236">
        <v>503937.64</v>
      </c>
      <c r="G80" s="844">
        <f t="shared" si="6"/>
        <v>325.11999999999534</v>
      </c>
      <c r="H80" s="845">
        <f>G80+'25'!H80</f>
        <v>1219.640000000014</v>
      </c>
      <c r="I80" s="907"/>
      <c r="J80" s="847">
        <f>H80/DAY(B2)</f>
        <v>46.909230769231307</v>
      </c>
      <c r="K80" s="929"/>
      <c r="L80" s="822"/>
      <c r="O80" s="849"/>
    </row>
    <row r="81" spans="1:15" ht="20.100000000000001" customHeight="1">
      <c r="A81" s="1526" t="s">
        <v>199</v>
      </c>
      <c r="B81" s="1527"/>
      <c r="C81" s="1528"/>
      <c r="D81" s="876" t="s">
        <v>187</v>
      </c>
      <c r="E81" s="843">
        <f>'25'!F81</f>
        <v>628736.84</v>
      </c>
      <c r="F81" s="935">
        <v>628873</v>
      </c>
      <c r="G81" s="844">
        <f t="shared" si="6"/>
        <v>136.1600000000326</v>
      </c>
      <c r="H81" s="845">
        <f>G81+'25'!H81</f>
        <v>-1312</v>
      </c>
      <c r="I81" s="907"/>
      <c r="J81" s="847">
        <f>H81/DAY(B2)</f>
        <v>-50.46153846153846</v>
      </c>
      <c r="K81" s="929"/>
      <c r="L81" s="822"/>
      <c r="O81" s="849"/>
    </row>
    <row r="82" spans="1:15" ht="20.100000000000001" customHeight="1">
      <c r="A82" s="1526" t="s">
        <v>93</v>
      </c>
      <c r="B82" s="1527"/>
      <c r="C82" s="1528"/>
      <c r="D82" s="877" t="s">
        <v>132</v>
      </c>
      <c r="E82" s="843">
        <f>'25'!F82</f>
        <v>106754.76</v>
      </c>
      <c r="F82" s="938">
        <v>106777.63</v>
      </c>
      <c r="G82" s="844">
        <f t="shared" si="6"/>
        <v>22.870000000009895</v>
      </c>
      <c r="H82" s="845">
        <f>G82+'25'!H82</f>
        <v>-117.36999999999534</v>
      </c>
      <c r="I82" s="878"/>
      <c r="J82" s="847">
        <f>H82/DAY(B2)</f>
        <v>-4.5142307692305899</v>
      </c>
      <c r="K82" s="929"/>
      <c r="L82" s="822"/>
      <c r="O82" s="849"/>
    </row>
    <row r="83" spans="1:15" ht="20.100000000000001" customHeight="1">
      <c r="A83" s="1526" t="s">
        <v>200</v>
      </c>
      <c r="B83" s="1527"/>
      <c r="C83" s="1528"/>
      <c r="D83" s="939" t="s">
        <v>132</v>
      </c>
      <c r="E83" s="843">
        <f>'25'!F83</f>
        <v>5276</v>
      </c>
      <c r="F83" s="829">
        <v>5681</v>
      </c>
      <c r="G83" s="844">
        <f t="shared" si="6"/>
        <v>405</v>
      </c>
      <c r="H83" s="845">
        <f>G83+'25'!H83</f>
        <v>-1376</v>
      </c>
      <c r="I83" s="867"/>
      <c r="J83" s="847">
        <f>H83/DAY(B2)</f>
        <v>-52.92307692307692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449723</v>
      </c>
      <c r="F84" s="942">
        <v>450464</v>
      </c>
      <c r="G84" s="844">
        <f t="shared" si="6"/>
        <v>741</v>
      </c>
      <c r="H84" s="845">
        <f>G84+'25'!H84</f>
        <v>-4220</v>
      </c>
      <c r="I84" s="867"/>
      <c r="J84" s="847">
        <f>H84/DAY(B2)</f>
        <v>-162.30769230769232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2647.6600000000381</v>
      </c>
      <c r="H85" s="845">
        <f>G85+'25'!H85</f>
        <v>-13360.549999999974</v>
      </c>
      <c r="I85" s="867"/>
      <c r="J85" s="847">
        <f>H85/DAY(B2)</f>
        <v>-513.86730769230667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453607.84</v>
      </c>
      <c r="F86" s="951">
        <v>453805.56</v>
      </c>
      <c r="G86" s="952">
        <f t="shared" ref="G86:G90" si="7">F86-E86</f>
        <v>197.71999999997206</v>
      </c>
      <c r="H86" s="952">
        <f t="shared" ref="H86:H88" si="8">G86</f>
        <v>197.71999999997206</v>
      </c>
      <c r="I86" s="953"/>
      <c r="J86" s="954">
        <f>H86/DAY(B2)</f>
        <v>7.6046153846143101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79977.399999999994</v>
      </c>
      <c r="F87" s="1288">
        <v>80014.899999999994</v>
      </c>
      <c r="G87" s="952">
        <f t="shared" si="7"/>
        <v>37.5</v>
      </c>
      <c r="H87" s="952">
        <f t="shared" si="8"/>
        <v>37.5</v>
      </c>
      <c r="I87" s="953"/>
      <c r="J87" s="954">
        <f>H87/DAY(B2)</f>
        <v>1.4423076923076923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150186.99</v>
      </c>
      <c r="F88" s="951">
        <v>150282.63</v>
      </c>
      <c r="G88" s="952">
        <f t="shared" si="7"/>
        <v>95.64000000001397</v>
      </c>
      <c r="H88" s="952">
        <f t="shared" si="8"/>
        <v>95.64000000001397</v>
      </c>
      <c r="I88" s="953"/>
      <c r="J88" s="954">
        <f>H88/DAY(B2)</f>
        <v>3.6784615384620758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63292</v>
      </c>
      <c r="F89" s="951">
        <v>63336.4</v>
      </c>
      <c r="G89" s="952">
        <f t="shared" si="7"/>
        <v>44.400000000001455</v>
      </c>
      <c r="H89" s="952">
        <f>G89</f>
        <v>44.400000000001455</v>
      </c>
      <c r="I89" s="953"/>
      <c r="J89" s="954">
        <f>H89/DAY(B2)</f>
        <v>1.7076923076923636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3262.7</v>
      </c>
      <c r="F90" s="951">
        <v>3263.9</v>
      </c>
      <c r="G90" s="952">
        <f t="shared" si="7"/>
        <v>1.2000000000002728</v>
      </c>
      <c r="H90" s="952">
        <f>G90</f>
        <v>1.2000000000002728</v>
      </c>
      <c r="I90" s="953"/>
      <c r="J90" s="954">
        <f>H90/DAY(B2)</f>
        <v>4.6153846153856648E-2</v>
      </c>
      <c r="K90" s="955"/>
      <c r="L90" s="956"/>
      <c r="N90" s="1016"/>
      <c r="O90" s="849"/>
    </row>
    <row r="91" spans="1:15" s="947" customFormat="1" ht="20.100000000000001" customHeigh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 ht="20.100000000000001" customHeight="1">
      <c r="A92" s="1517" t="s">
        <v>206</v>
      </c>
      <c r="B92" s="1518"/>
      <c r="C92" s="1519"/>
      <c r="D92" s="842" t="s">
        <v>144</v>
      </c>
      <c r="E92" s="843">
        <f>'25'!F92</f>
        <v>241960</v>
      </c>
      <c r="F92" s="873">
        <v>242090</v>
      </c>
      <c r="G92" s="844">
        <f t="shared" ref="G92:G93" si="9">F92-E92</f>
        <v>130</v>
      </c>
      <c r="H92" s="845">
        <f>G92+'25'!H92</f>
        <v>-556</v>
      </c>
      <c r="I92" s="864"/>
      <c r="J92" s="847">
        <f>H92/DAY(B2)</f>
        <v>-21.384615384615383</v>
      </c>
      <c r="K92" s="870"/>
      <c r="L92" s="822"/>
      <c r="O92" s="849"/>
    </row>
    <row r="93" spans="1:15" ht="20.100000000000001" customHeight="1">
      <c r="A93" s="1517" t="s">
        <v>207</v>
      </c>
      <c r="B93" s="1518"/>
      <c r="C93" s="1519"/>
      <c r="D93" s="842" t="s">
        <v>144</v>
      </c>
      <c r="E93" s="843">
        <f>'25'!F93</f>
        <v>178772</v>
      </c>
      <c r="F93" s="873">
        <v>178904</v>
      </c>
      <c r="G93" s="844">
        <f t="shared" si="9"/>
        <v>132</v>
      </c>
      <c r="H93" s="845">
        <f>G93+'25'!H93</f>
        <v>-775</v>
      </c>
      <c r="I93" s="864"/>
      <c r="J93" s="847">
        <f>H93/DAY(B2)</f>
        <v>-29.807692307692307</v>
      </c>
      <c r="K93" s="943"/>
      <c r="L93" s="822"/>
      <c r="O93" s="849"/>
    </row>
    <row r="94" spans="1:15" ht="20.100000000000001" customHeight="1">
      <c r="A94" s="1509" t="s">
        <v>208</v>
      </c>
      <c r="B94" s="1510"/>
      <c r="C94" s="1511"/>
      <c r="D94" s="842"/>
      <c r="E94" s="843">
        <f>'25'!F94</f>
        <v>0</v>
      </c>
      <c r="F94" s="873"/>
      <c r="G94" s="844">
        <f>G92+G93</f>
        <v>262</v>
      </c>
      <c r="H94" s="845">
        <f>G94+'25'!H94</f>
        <v>-1550</v>
      </c>
      <c r="I94" s="864"/>
      <c r="J94" s="847">
        <f>H94/DAY(B2)</f>
        <v>-59.615384615384613</v>
      </c>
      <c r="K94" s="943"/>
      <c r="L94" s="822"/>
      <c r="O94" s="849"/>
    </row>
    <row r="95" spans="1:15" ht="20.100000000000001" customHeight="1">
      <c r="A95" s="1517" t="s">
        <v>209</v>
      </c>
      <c r="B95" s="1518"/>
      <c r="C95" s="1519"/>
      <c r="D95" s="842" t="s">
        <v>144</v>
      </c>
      <c r="E95" s="843">
        <f>'25'!F95</f>
        <v>410252</v>
      </c>
      <c r="F95" s="873">
        <v>410360</v>
      </c>
      <c r="G95" s="844">
        <f t="shared" ref="G95:G100" si="10">F95-E95</f>
        <v>108</v>
      </c>
      <c r="H95" s="845">
        <f>G95+'25'!H95</f>
        <v>-425</v>
      </c>
      <c r="I95" s="864"/>
      <c r="J95" s="847">
        <f>H95/DAY(B2)</f>
        <v>-16.346153846153847</v>
      </c>
      <c r="K95" s="943"/>
      <c r="L95" s="822"/>
      <c r="O95" s="849"/>
    </row>
    <row r="96" spans="1:15" ht="20.100000000000001" customHeight="1">
      <c r="A96" s="871" t="s">
        <v>210</v>
      </c>
      <c r="B96" s="872"/>
      <c r="C96" s="872"/>
      <c r="D96" s="842" t="s">
        <v>144</v>
      </c>
      <c r="E96" s="843">
        <f>'25'!F96</f>
        <v>101716</v>
      </c>
      <c r="F96" s="873">
        <v>101734</v>
      </c>
      <c r="G96" s="844">
        <f t="shared" si="10"/>
        <v>18</v>
      </c>
      <c r="H96" s="845">
        <f>G96+'25'!H96</f>
        <v>-97</v>
      </c>
      <c r="I96" s="864"/>
      <c r="J96" s="847">
        <f>H96/DAY(B2)</f>
        <v>-3.7307692307692308</v>
      </c>
      <c r="K96" s="839"/>
      <c r="L96" s="822"/>
      <c r="O96" s="849"/>
    </row>
    <row r="97" spans="1:15" ht="20.100000000000001" customHeight="1">
      <c r="A97" s="871" t="s">
        <v>211</v>
      </c>
      <c r="B97" s="872"/>
      <c r="C97" s="872"/>
      <c r="D97" s="842" t="s">
        <v>144</v>
      </c>
      <c r="E97" s="843">
        <f>'25'!F97</f>
        <v>96773</v>
      </c>
      <c r="F97" s="873">
        <v>96792</v>
      </c>
      <c r="G97" s="844">
        <f t="shared" si="10"/>
        <v>19</v>
      </c>
      <c r="H97" s="845">
        <f>G97+'25'!H97</f>
        <v>-136</v>
      </c>
      <c r="I97" s="864"/>
      <c r="J97" s="847">
        <f>H97/DAY(B2)</f>
        <v>-5.2307692307692308</v>
      </c>
      <c r="K97" s="959"/>
      <c r="L97" s="822"/>
      <c r="O97" s="849"/>
    </row>
    <row r="98" spans="1:15" ht="20.100000000000001" customHeight="1">
      <c r="A98" s="871" t="s">
        <v>212</v>
      </c>
      <c r="B98" s="872"/>
      <c r="C98" s="872"/>
      <c r="D98" s="842" t="s">
        <v>144</v>
      </c>
      <c r="E98" s="843">
        <f>'25'!F98</f>
        <v>148706</v>
      </c>
      <c r="F98" s="873">
        <v>148750</v>
      </c>
      <c r="G98" s="844">
        <f t="shared" si="10"/>
        <v>44</v>
      </c>
      <c r="H98" s="845">
        <f>G98+'25'!H98</f>
        <v>-159</v>
      </c>
      <c r="I98" s="864"/>
      <c r="J98" s="847">
        <f>H98/DAY(B2)</f>
        <v>-6.115384615384615</v>
      </c>
      <c r="K98" s="943"/>
      <c r="L98" s="822"/>
      <c r="O98" s="849"/>
    </row>
    <row r="99" spans="1:15" ht="20.100000000000001" customHeight="1">
      <c r="A99" s="871" t="s">
        <v>213</v>
      </c>
      <c r="B99" s="872"/>
      <c r="C99" s="872"/>
      <c r="D99" s="842" t="s">
        <v>144</v>
      </c>
      <c r="E99" s="843">
        <f>'25'!F99</f>
        <v>6736</v>
      </c>
      <c r="F99" s="873">
        <v>6750</v>
      </c>
      <c r="G99" s="844">
        <f t="shared" si="10"/>
        <v>14</v>
      </c>
      <c r="H99" s="845">
        <f>G99+'25'!H99</f>
        <v>-105</v>
      </c>
      <c r="I99" s="864"/>
      <c r="J99" s="847">
        <f>H99/DAY(B2)</f>
        <v>-4.0384615384615383</v>
      </c>
      <c r="K99" s="943"/>
      <c r="L99" s="822"/>
      <c r="O99" s="849"/>
    </row>
    <row r="100" spans="1:15" ht="20.100000000000001" customHeight="1">
      <c r="A100" s="871" t="s">
        <v>214</v>
      </c>
      <c r="B100" s="872"/>
      <c r="C100" s="872"/>
      <c r="D100" s="842" t="s">
        <v>144</v>
      </c>
      <c r="E100" s="843">
        <f>'25'!F100</f>
        <v>4853</v>
      </c>
      <c r="F100" s="873">
        <v>4885</v>
      </c>
      <c r="G100" s="844">
        <f t="shared" si="10"/>
        <v>32</v>
      </c>
      <c r="H100" s="845">
        <f>G100+'25'!H100</f>
        <v>-58</v>
      </c>
      <c r="I100" s="864"/>
      <c r="J100" s="847">
        <f>H100/DAY(B2)</f>
        <v>-2.2307692307692308</v>
      </c>
      <c r="K100" s="943"/>
      <c r="L100" s="822"/>
      <c r="O100" s="849"/>
    </row>
    <row r="101" spans="1:15" ht="20.100000000000001" customHeight="1">
      <c r="A101" s="1509" t="s">
        <v>216</v>
      </c>
      <c r="B101" s="1510"/>
      <c r="C101" s="1511"/>
      <c r="D101" s="876"/>
      <c r="E101" s="876"/>
      <c r="F101" s="876"/>
      <c r="G101" s="960">
        <f>SUM(G95:G100)</f>
        <v>235</v>
      </c>
      <c r="H101" s="845">
        <f>G101+'25'!H101</f>
        <v>-980</v>
      </c>
      <c r="I101" s="961"/>
      <c r="J101" s="847">
        <f>H101/DAY(B2)</f>
        <v>-37.692307692307693</v>
      </c>
      <c r="K101" s="943"/>
      <c r="L101" s="822"/>
      <c r="O101" s="849"/>
    </row>
    <row r="102" spans="1:15" s="894" customFormat="1" ht="25.5" customHeigh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 ht="21.75" customHeight="1">
      <c r="A103" s="1506" t="s">
        <v>218</v>
      </c>
      <c r="B103" s="1507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 ht="21.75" customHeight="1">
      <c r="A104" s="1500" t="s">
        <v>219</v>
      </c>
      <c r="B104" s="1501"/>
      <c r="C104" s="976"/>
      <c r="D104" s="972" t="s">
        <v>144</v>
      </c>
      <c r="E104" s="973">
        <f>'25'!F104</f>
        <v>7287</v>
      </c>
      <c r="F104" s="973">
        <v>7287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2.2692307692307692</v>
      </c>
      <c r="N104" s="1012"/>
      <c r="O104" s="849"/>
    </row>
    <row r="105" spans="1:15" s="894" customFormat="1" ht="21.75" customHeight="1">
      <c r="A105" s="1500" t="s">
        <v>77</v>
      </c>
      <c r="B105" s="1501"/>
      <c r="C105" s="976"/>
      <c r="D105" s="972" t="s">
        <v>144</v>
      </c>
      <c r="E105" s="973">
        <f>'25'!F105</f>
        <v>35601</v>
      </c>
      <c r="F105" s="977">
        <v>35608</v>
      </c>
      <c r="G105" s="973">
        <f t="shared" ref="G105:G106" si="11">F105-E105</f>
        <v>7</v>
      </c>
      <c r="H105" s="974">
        <f>SUM(G105+'1'!G77)</f>
        <v>57</v>
      </c>
      <c r="I105" s="973"/>
      <c r="J105" s="975">
        <f>H105/DAY(B2)</f>
        <v>2.1923076923076925</v>
      </c>
      <c r="N105" s="1012"/>
      <c r="O105" s="849"/>
    </row>
    <row r="106" spans="1:15" s="894" customFormat="1" ht="21.75" customHeight="1">
      <c r="A106" s="1500" t="s">
        <v>78</v>
      </c>
      <c r="B106" s="1508"/>
      <c r="C106" s="1501"/>
      <c r="D106" s="972" t="s">
        <v>144</v>
      </c>
      <c r="E106" s="973">
        <f>'25'!F106</f>
        <v>19386</v>
      </c>
      <c r="F106" s="973">
        <v>19391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15.384615384615385</v>
      </c>
      <c r="N106" s="1012"/>
      <c r="O106" s="849"/>
    </row>
    <row r="107" spans="1:15" s="894" customFormat="1" ht="21.75" customHeight="1">
      <c r="A107" s="1502" t="s">
        <v>202</v>
      </c>
      <c r="B107" s="1503"/>
      <c r="C107" s="976"/>
      <c r="D107" s="972"/>
      <c r="E107" s="973">
        <f>'25'!F107</f>
        <v>0</v>
      </c>
      <c r="F107" s="973"/>
      <c r="G107" s="973">
        <f>SUM(G104:G106)</f>
        <v>12</v>
      </c>
      <c r="H107" s="974">
        <f>SUM(G107+'1'!G79)</f>
        <v>206</v>
      </c>
      <c r="I107" s="973"/>
      <c r="J107" s="975">
        <f>H107/DAY(B2)</f>
        <v>7.9230769230769234</v>
      </c>
      <c r="N107" s="1012"/>
      <c r="O107" s="849"/>
    </row>
    <row r="108" spans="1:15" s="894" customFormat="1" ht="21.75" customHeight="1">
      <c r="A108" s="1498" t="s">
        <v>79</v>
      </c>
      <c r="B108" s="1499"/>
      <c r="C108" s="976"/>
      <c r="D108" s="972" t="s">
        <v>144</v>
      </c>
      <c r="E108" s="973">
        <f>'25'!F108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 ht="21.75" customHeight="1">
      <c r="A109" s="1500" t="s">
        <v>220</v>
      </c>
      <c r="B109" s="1501"/>
      <c r="C109" s="976"/>
      <c r="D109" s="972" t="s">
        <v>144</v>
      </c>
      <c r="E109" s="973">
        <f>'25'!F109</f>
        <v>58254</v>
      </c>
      <c r="F109" s="973">
        <v>58378</v>
      </c>
      <c r="G109" s="973">
        <f>F109-E109</f>
        <v>124</v>
      </c>
      <c r="H109" s="974">
        <f>SUM(G109+'1'!G81)</f>
        <v>322</v>
      </c>
      <c r="I109" s="973"/>
      <c r="J109" s="975">
        <f>H109/DAY(B2)</f>
        <v>12.384615384615385</v>
      </c>
      <c r="N109" s="1012"/>
      <c r="O109" s="849"/>
    </row>
    <row r="110" spans="1:15" s="894" customFormat="1" ht="21.75" customHeight="1">
      <c r="A110" s="1500" t="s">
        <v>221</v>
      </c>
      <c r="B110" s="1501"/>
      <c r="C110" s="976"/>
      <c r="D110" s="972" t="s">
        <v>144</v>
      </c>
      <c r="E110" s="973">
        <f>'25'!F110</f>
        <v>31507</v>
      </c>
      <c r="F110" s="973">
        <v>31507</v>
      </c>
      <c r="G110" s="973">
        <f t="shared" ref="G110:G111" si="12">F110-E110</f>
        <v>0</v>
      </c>
      <c r="H110" s="974">
        <f>SUM(G110+'1'!G82)</f>
        <v>23</v>
      </c>
      <c r="I110" s="973"/>
      <c r="J110" s="975">
        <f>H110/DAY(B2)</f>
        <v>0.88461538461538458</v>
      </c>
      <c r="N110" s="1012"/>
      <c r="O110" s="849"/>
    </row>
    <row r="111" spans="1:15" s="894" customFormat="1" ht="21.75" customHeight="1">
      <c r="A111" s="1500" t="s">
        <v>222</v>
      </c>
      <c r="B111" s="1501"/>
      <c r="C111" s="976"/>
      <c r="D111" s="972" t="s">
        <v>144</v>
      </c>
      <c r="E111" s="973">
        <f>'25'!F111</f>
        <v>4130</v>
      </c>
      <c r="F111" s="973">
        <v>4130</v>
      </c>
      <c r="G111" s="973">
        <f t="shared" si="12"/>
        <v>0</v>
      </c>
      <c r="H111" s="974">
        <f>SUM(G111+'1'!G83)</f>
        <v>239</v>
      </c>
      <c r="I111" s="973"/>
      <c r="J111" s="975">
        <f>H111/DAY(B2)</f>
        <v>9.1923076923076916</v>
      </c>
      <c r="N111" s="1012"/>
      <c r="O111" s="849"/>
    </row>
    <row r="112" spans="1:15" s="894" customFormat="1" ht="21.75" customHeight="1">
      <c r="A112" s="1504" t="s">
        <v>110</v>
      </c>
      <c r="B112" s="1505"/>
      <c r="C112" s="976"/>
      <c r="D112" s="972"/>
      <c r="E112" s="973">
        <f>'25'!F112</f>
        <v>0</v>
      </c>
      <c r="F112" s="973"/>
      <c r="G112" s="973">
        <f>SUM(G109:G111)</f>
        <v>124</v>
      </c>
      <c r="H112" s="974">
        <f>SUM(G112+'1'!G84)</f>
        <v>1039</v>
      </c>
      <c r="I112" s="973"/>
      <c r="J112" s="975">
        <f>H112/DAY(B2)</f>
        <v>39.96153846153846</v>
      </c>
      <c r="N112" s="1012"/>
      <c r="O112" s="849"/>
    </row>
    <row r="113" spans="1:15" s="894" customFormat="1" ht="21.75" customHeight="1">
      <c r="A113" s="1498" t="s">
        <v>223</v>
      </c>
      <c r="B113" s="1499"/>
      <c r="C113" s="976"/>
      <c r="D113" s="972"/>
      <c r="E113" s="973">
        <f>'25'!F113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 ht="21.75" customHeight="1">
      <c r="A114" s="1500" t="s">
        <v>224</v>
      </c>
      <c r="B114" s="1501"/>
      <c r="C114" s="978"/>
      <c r="D114" s="972" t="s">
        <v>144</v>
      </c>
      <c r="E114" s="973">
        <f>'25'!F114</f>
        <v>10717</v>
      </c>
      <c r="F114" s="977">
        <v>10736</v>
      </c>
      <c r="G114" s="977">
        <f>F114-E114</f>
        <v>19</v>
      </c>
      <c r="H114" s="974">
        <f>SUM(G114+'1'!G91)</f>
        <v>19</v>
      </c>
      <c r="I114" s="973"/>
      <c r="J114" s="975">
        <f>H114/DAY(B2)</f>
        <v>0.73076923076923073</v>
      </c>
      <c r="N114" s="1012"/>
      <c r="O114" s="849"/>
    </row>
    <row r="115" spans="1:15" s="894" customFormat="1" ht="21.75" customHeight="1">
      <c r="A115" s="1500" t="s">
        <v>225</v>
      </c>
      <c r="B115" s="1501"/>
      <c r="C115" s="978"/>
      <c r="D115" s="972" t="s">
        <v>144</v>
      </c>
      <c r="E115" s="973">
        <f>'25'!F115</f>
        <v>7903</v>
      </c>
      <c r="F115" s="977">
        <v>7936</v>
      </c>
      <c r="G115" s="977">
        <f t="shared" ref="G115:G116" si="13">F115-E115</f>
        <v>33</v>
      </c>
      <c r="H115" s="974">
        <f>SUM(G115+'1'!G92)</f>
        <v>125</v>
      </c>
      <c r="I115" s="973"/>
      <c r="J115" s="975">
        <f>H115/DAY(B2)</f>
        <v>4.8076923076923075</v>
      </c>
      <c r="N115" s="1012"/>
      <c r="O115" s="849"/>
    </row>
    <row r="116" spans="1:15" s="894" customFormat="1" ht="21.75" customHeight="1">
      <c r="A116" s="1500" t="s">
        <v>226</v>
      </c>
      <c r="B116" s="1501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4.884615384615385</v>
      </c>
      <c r="N116" s="1012"/>
      <c r="O116" s="849"/>
    </row>
    <row r="117" spans="1:15" s="980" customFormat="1">
      <c r="A117" s="1502" t="s">
        <v>202</v>
      </c>
      <c r="B117" s="1503"/>
      <c r="C117" s="978"/>
      <c r="D117" s="979"/>
      <c r="E117" s="977"/>
      <c r="F117" s="977"/>
      <c r="G117" s="977">
        <f>SUM(G114:G116)</f>
        <v>52</v>
      </c>
      <c r="H117" s="974">
        <f>SUM(G117+'1'!G95)</f>
        <v>129</v>
      </c>
      <c r="I117" s="977"/>
      <c r="J117" s="975">
        <f>H117/DAY(B2)</f>
        <v>4.9615384615384617</v>
      </c>
      <c r="N117" s="1017"/>
      <c r="O117" s="849"/>
    </row>
    <row r="118" spans="1:15" s="772" customFormat="1">
      <c r="A118" s="1494" t="s">
        <v>227</v>
      </c>
      <c r="B118" s="1495"/>
      <c r="C118" s="981"/>
      <c r="D118" s="982" t="s">
        <v>144</v>
      </c>
      <c r="E118" s="983"/>
      <c r="F118" s="984"/>
      <c r="G118" s="984">
        <f>SUM(G19+G92)</f>
        <v>183</v>
      </c>
      <c r="H118" s="974">
        <f>SUM(G118+'1'!G96)</f>
        <v>200</v>
      </c>
      <c r="I118" s="983"/>
      <c r="J118" s="985">
        <f>H118/DAY(B2)</f>
        <v>7.6923076923076925</v>
      </c>
      <c r="N118" s="1018"/>
      <c r="O118" s="849"/>
    </row>
    <row r="119" spans="1:15" s="772" customFormat="1">
      <c r="A119" s="1494" t="s">
        <v>228</v>
      </c>
      <c r="B119" s="1495"/>
      <c r="C119" s="981"/>
      <c r="D119" s="982" t="s">
        <v>144</v>
      </c>
      <c r="E119" s="983"/>
      <c r="F119" s="984"/>
      <c r="G119" s="984">
        <f>SUM(G95,G96,G97,G99,G100)</f>
        <v>191</v>
      </c>
      <c r="H119" s="974">
        <f>SUM(G119+'1'!G98)</f>
        <v>219</v>
      </c>
      <c r="I119" s="983"/>
      <c r="J119" s="985">
        <f>H119/DAY(B2)</f>
        <v>8.4230769230769234</v>
      </c>
      <c r="N119" s="1018"/>
      <c r="O119" s="849"/>
    </row>
    <row r="120" spans="1:15" s="772" customFormat="1">
      <c r="A120" s="1494" t="s">
        <v>229</v>
      </c>
      <c r="B120" s="1495"/>
      <c r="C120" s="981"/>
      <c r="D120" s="982" t="s">
        <v>144</v>
      </c>
      <c r="E120" s="983"/>
      <c r="F120" s="977"/>
      <c r="G120" s="977">
        <f>SUM(G112)</f>
        <v>124</v>
      </c>
      <c r="H120" s="974">
        <f>SUM(G120+'1'!G100)</f>
        <v>130</v>
      </c>
      <c r="I120" s="983"/>
      <c r="J120" s="985">
        <f>H120/DAY(B2)</f>
        <v>5</v>
      </c>
      <c r="N120" s="1018"/>
      <c r="O120" s="849"/>
    </row>
    <row r="121" spans="1:15" s="894" customFormat="1" ht="18.75" customHeight="1">
      <c r="A121" s="1496"/>
      <c r="B121" s="149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 ht="20.100000000000001" customHeight="1">
      <c r="A122" s="1512" t="s">
        <v>230</v>
      </c>
      <c r="B122" s="1513"/>
      <c r="C122" s="1514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 ht="22.5" customHeight="1">
      <c r="A123" s="871" t="s">
        <v>231</v>
      </c>
      <c r="B123" s="872"/>
      <c r="C123" s="872"/>
      <c r="D123" s="842" t="s">
        <v>141</v>
      </c>
      <c r="E123" s="843">
        <f>'25'!F123</f>
        <v>817246</v>
      </c>
      <c r="F123" s="861">
        <v>817526.91</v>
      </c>
      <c r="G123" s="844">
        <f t="shared" ref="G123:G127" si="14">F123-E123</f>
        <v>280.9100000000326</v>
      </c>
      <c r="H123" s="845">
        <f>G123+'25'!H123</f>
        <v>-1283.0899999999674</v>
      </c>
      <c r="I123" s="961"/>
      <c r="J123" s="847">
        <f>H123/DAY(B2)</f>
        <v>-49.349615384614133</v>
      </c>
      <c r="K123" s="943"/>
      <c r="L123" s="822"/>
      <c r="O123" s="849"/>
    </row>
    <row r="124" spans="1:15" ht="22.5" customHeight="1">
      <c r="A124" s="871" t="s">
        <v>232</v>
      </c>
      <c r="B124" s="872"/>
      <c r="C124" s="872"/>
      <c r="D124" s="842" t="s">
        <v>141</v>
      </c>
      <c r="E124" s="843">
        <f>'25'!F124</f>
        <v>73583.399999999994</v>
      </c>
      <c r="F124" s="989">
        <v>73583.100000000006</v>
      </c>
      <c r="G124" s="844">
        <f t="shared" si="14"/>
        <v>-0.29999999998835847</v>
      </c>
      <c r="H124" s="845">
        <f>G124+'25'!H124</f>
        <v>-0.29999999998835847</v>
      </c>
      <c r="I124" s="961"/>
      <c r="J124" s="847">
        <f>H124/DAY(B2)</f>
        <v>-1.1538461538013788E-2</v>
      </c>
      <c r="K124" s="943"/>
      <c r="L124" s="822"/>
      <c r="O124" s="849"/>
    </row>
    <row r="125" spans="1:15" ht="22.5" customHeight="1">
      <c r="A125" s="1523" t="s">
        <v>233</v>
      </c>
      <c r="B125" s="1524"/>
      <c r="C125" s="1525"/>
      <c r="D125" s="842" t="s">
        <v>141</v>
      </c>
      <c r="E125" s="843">
        <f>'25'!F125</f>
        <v>141621.81</v>
      </c>
      <c r="F125" s="861">
        <v>141682.82</v>
      </c>
      <c r="G125" s="844">
        <f t="shared" si="14"/>
        <v>61.010000000009313</v>
      </c>
      <c r="H125" s="845">
        <f>G125+'25'!H125</f>
        <v>-453.17999999999302</v>
      </c>
      <c r="I125" s="961"/>
      <c r="J125" s="847">
        <f>H125/DAY(B2)</f>
        <v>-17.42999999999973</v>
      </c>
      <c r="K125" s="943"/>
      <c r="L125" s="822"/>
      <c r="O125" s="849"/>
    </row>
    <row r="126" spans="1:15" ht="20.100000000000001" customHeight="1">
      <c r="A126" s="990" t="s">
        <v>234</v>
      </c>
      <c r="B126" s="872"/>
      <c r="C126" s="872"/>
      <c r="D126" s="842" t="s">
        <v>141</v>
      </c>
      <c r="E126" s="843">
        <f>'25'!F126</f>
        <v>59853.599999999999</v>
      </c>
      <c r="F126" s="989">
        <v>59875.4</v>
      </c>
      <c r="G126" s="844">
        <f t="shared" si="14"/>
        <v>21.80000000000291</v>
      </c>
      <c r="H126" s="845">
        <f>G126+'25'!H126</f>
        <v>28556.7</v>
      </c>
      <c r="I126" s="961"/>
      <c r="J126" s="847">
        <f>H126/DAY(B2)</f>
        <v>1098.3346153846155</v>
      </c>
      <c r="K126" s="943"/>
      <c r="L126" s="822"/>
      <c r="O126" s="849"/>
    </row>
    <row r="127" spans="1:15" ht="20.100000000000001" customHeight="1">
      <c r="A127" s="990" t="s">
        <v>235</v>
      </c>
      <c r="B127" s="872"/>
      <c r="C127" s="872"/>
      <c r="D127" s="842" t="s">
        <v>141</v>
      </c>
      <c r="E127" s="843">
        <f>'25'!F127</f>
        <v>8945.7999999999993</v>
      </c>
      <c r="F127" s="989">
        <v>8947.4</v>
      </c>
      <c r="G127" s="844">
        <f t="shared" si="14"/>
        <v>1.6000000000003638</v>
      </c>
      <c r="H127" s="845">
        <f>G127+'25'!H127</f>
        <v>-14.600000000000364</v>
      </c>
      <c r="I127" s="864"/>
      <c r="J127" s="847">
        <f>H127/DAY(B2)</f>
        <v>-0.56153846153847553</v>
      </c>
      <c r="K127" s="943"/>
      <c r="L127" s="822"/>
      <c r="O127" s="849"/>
    </row>
    <row r="128" spans="1:15" ht="21.75" customHeight="1">
      <c r="A128" s="990" t="s">
        <v>236</v>
      </c>
      <c r="B128" s="872"/>
      <c r="C128" s="872"/>
      <c r="D128" s="842"/>
      <c r="E128" s="843"/>
      <c r="F128" s="861"/>
      <c r="G128" s="844">
        <f>G15-SUM(G123:G127)</f>
        <v>504.24799999986681</v>
      </c>
      <c r="H128" s="845">
        <f>G128+'25'!H128</f>
        <v>5373.8819999998432</v>
      </c>
      <c r="I128" s="864"/>
      <c r="J128" s="847">
        <f>H128/DAY(B2)</f>
        <v>206.68776923076319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'25'!F130</f>
        <v>0</v>
      </c>
      <c r="F130" s="873">
        <v>0</v>
      </c>
      <c r="G130" s="844">
        <f t="shared" ref="G130:G140" si="15">F130-E130</f>
        <v>0</v>
      </c>
      <c r="H130" s="845">
        <f>G130+'25'!H130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si="15"/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'25'!F132</f>
        <v>39389.03</v>
      </c>
      <c r="F132" s="994">
        <v>39413.33</v>
      </c>
      <c r="G132" s="844">
        <f t="shared" si="15"/>
        <v>24.30000000000291</v>
      </c>
      <c r="H132" s="845">
        <f>G132+'25'!H132</f>
        <v>-129</v>
      </c>
      <c r="I132" s="864"/>
      <c r="J132" s="847">
        <f>H132/DAY(B2)</f>
        <v>-4.9615384615384617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'25'!F133</f>
        <v>299.52</v>
      </c>
      <c r="F133" s="994">
        <v>299.52</v>
      </c>
      <c r="G133" s="844">
        <f t="shared" si="15"/>
        <v>0</v>
      </c>
      <c r="H133" s="845">
        <f>G133+'25'!H133</f>
        <v>-0.48000000000001819</v>
      </c>
      <c r="I133" s="864">
        <f>G130+G131+G132+G133</f>
        <v>24.30000000000291</v>
      </c>
      <c r="J133" s="847">
        <f>H133/DAY(B2)</f>
        <v>-1.8461538461539161E-2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'25'!F134</f>
        <v>40802</v>
      </c>
      <c r="F134" s="994">
        <v>40802</v>
      </c>
      <c r="G134" s="844">
        <f t="shared" si="15"/>
        <v>0</v>
      </c>
      <c r="H134" s="845">
        <f>G134+'25'!H134</f>
        <v>24</v>
      </c>
      <c r="I134" s="864"/>
      <c r="J134" s="847">
        <f>H134/DAY(B2)</f>
        <v>0.92307692307692313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'25'!F135</f>
        <v>32582.93</v>
      </c>
      <c r="F135" s="994">
        <v>32582.93</v>
      </c>
      <c r="G135" s="844">
        <f t="shared" si="15"/>
        <v>0</v>
      </c>
      <c r="H135" s="845">
        <f>G135+'25'!H135</f>
        <v>13</v>
      </c>
      <c r="I135" s="864"/>
      <c r="J135" s="847">
        <f>H135/DAY(B2)</f>
        <v>0.5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'25'!F136</f>
        <v>22432.400000000001</v>
      </c>
      <c r="F136" s="994">
        <v>22441.24</v>
      </c>
      <c r="G136" s="844">
        <f t="shared" si="15"/>
        <v>8.8400000000001455</v>
      </c>
      <c r="H136" s="845">
        <f>G136+'25'!H136</f>
        <v>-47.409999999999854</v>
      </c>
      <c r="I136" s="864">
        <f>G134+G135+G136</f>
        <v>8.8400000000001455</v>
      </c>
      <c r="J136" s="847">
        <f>H136/DAY(B2)</f>
        <v>-1.8234615384615329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'25'!F137</f>
        <v>25048.97</v>
      </c>
      <c r="F137" s="994">
        <v>25048.97</v>
      </c>
      <c r="G137" s="844">
        <f t="shared" si="15"/>
        <v>0</v>
      </c>
      <c r="H137" s="845">
        <f>G137+'25'!H137</f>
        <v>12.659999999999854</v>
      </c>
      <c r="I137" s="864"/>
      <c r="J137" s="847">
        <f>H137/DAY(B2)</f>
        <v>0.48692307692307135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'25'!F138</f>
        <v>70238.070000000007</v>
      </c>
      <c r="F138" s="994">
        <v>70238.78</v>
      </c>
      <c r="G138" s="844">
        <f t="shared" si="15"/>
        <v>0.70999999999185093</v>
      </c>
      <c r="H138" s="845">
        <f>G138+'25'!H138</f>
        <v>15.779999999998836</v>
      </c>
      <c r="I138" s="864">
        <f>G137+G138</f>
        <v>0.70999999999185093</v>
      </c>
      <c r="J138" s="847">
        <f>H138/DAY(B2)</f>
        <v>0.60692307692303216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'25'!F139</f>
        <v>1536.52</v>
      </c>
      <c r="F139" s="873">
        <v>1536.252</v>
      </c>
      <c r="G139" s="844">
        <f t="shared" si="15"/>
        <v>-0.2680000000000291</v>
      </c>
      <c r="H139" s="845">
        <f>G139+'25'!H139</f>
        <v>-0.2680000000000291</v>
      </c>
      <c r="I139" s="995"/>
      <c r="J139" s="847">
        <f>H139/DAY(B2)</f>
        <v>-1.0307692307693427E-2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'25'!F140</f>
        <v>4417.28</v>
      </c>
      <c r="F140" s="873">
        <v>4426.45</v>
      </c>
      <c r="G140" s="844">
        <f t="shared" si="15"/>
        <v>9.1700000000000728</v>
      </c>
      <c r="H140" s="845">
        <f>G140+'25'!H140</f>
        <v>-42.090000000000146</v>
      </c>
      <c r="I140" s="995"/>
      <c r="J140" s="847">
        <f>H140/DAY(B2)</f>
        <v>-1.6188461538461594</v>
      </c>
      <c r="O140" s="849"/>
    </row>
    <row r="141" spans="1:15">
      <c r="A141" s="1515" t="s">
        <v>250</v>
      </c>
      <c r="B141" s="1516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17" t="s">
        <v>251</v>
      </c>
      <c r="B142" s="1518"/>
      <c r="C142" s="1519"/>
      <c r="D142" s="842" t="s">
        <v>132</v>
      </c>
      <c r="E142" s="842"/>
      <c r="F142" s="842"/>
      <c r="G142" s="845">
        <f>G35+G43+G49+G57</f>
        <v>5700.0800000000745</v>
      </c>
      <c r="H142" s="845">
        <f>G142+'25'!H142</f>
        <v>-32772.530000000028</v>
      </c>
      <c r="I142" s="864"/>
      <c r="J142" s="847">
        <f>H142/DAY(B2)</f>
        <v>-1260.4819230769242</v>
      </c>
      <c r="K142" s="943"/>
      <c r="L142" s="822"/>
      <c r="O142" s="849"/>
    </row>
    <row r="143" spans="1:15">
      <c r="A143" s="1517" t="s">
        <v>252</v>
      </c>
      <c r="B143" s="1518"/>
      <c r="C143" s="1519"/>
      <c r="D143" s="842" t="s">
        <v>24</v>
      </c>
      <c r="E143" s="829"/>
      <c r="F143" s="829"/>
      <c r="G143" s="996">
        <f>G142/G7</f>
        <v>0.26685767790262521</v>
      </c>
      <c r="H143" s="845">
        <f>G143+'25'!H143</f>
        <v>6.96742573365617</v>
      </c>
      <c r="I143" s="997"/>
      <c r="J143" s="847">
        <f>H143/DAY(B2)</f>
        <v>0.2679779128329296</v>
      </c>
      <c r="K143" s="943"/>
      <c r="L143" s="822"/>
      <c r="O143" s="849"/>
    </row>
    <row r="144" spans="1:15">
      <c r="A144" s="1517" t="s">
        <v>253</v>
      </c>
      <c r="B144" s="1518"/>
      <c r="C144" s="1519"/>
      <c r="D144" s="842" t="s">
        <v>132</v>
      </c>
      <c r="E144" s="843"/>
      <c r="F144" s="843"/>
      <c r="G144" s="845">
        <f>G41+G42+G55+G56</f>
        <v>4900.4330000000045</v>
      </c>
      <c r="H144" s="845">
        <f>G144+'25'!H144</f>
        <v>-33869.896999999968</v>
      </c>
      <c r="I144" s="864"/>
      <c r="J144" s="847">
        <f>H144/DAY(B2)</f>
        <v>-1302.688346153845</v>
      </c>
      <c r="K144" s="943"/>
      <c r="L144" s="822"/>
      <c r="O144" s="849"/>
    </row>
    <row r="145" spans="1:15" ht="20.100000000000001" customHeight="1">
      <c r="A145" s="1517" t="s">
        <v>254</v>
      </c>
      <c r="B145" s="1518"/>
      <c r="C145" s="1519"/>
      <c r="D145" s="842" t="s">
        <v>24</v>
      </c>
      <c r="E145" s="843"/>
      <c r="F145" s="843"/>
      <c r="G145" s="996">
        <f>G144/G7</f>
        <v>0.22942102059925115</v>
      </c>
      <c r="H145" s="845">
        <f>G145+'25'!H145</f>
        <v>6.6883602991525448</v>
      </c>
      <c r="I145" s="997"/>
      <c r="J145" s="847">
        <f>H145/DAY(B2)</f>
        <v>0.2572446268904825</v>
      </c>
      <c r="K145" s="943"/>
      <c r="L145" s="822"/>
      <c r="O145" s="849"/>
    </row>
    <row r="146" spans="1:15" ht="20.100000000000001" customHeight="1">
      <c r="A146" s="1517" t="s">
        <v>255</v>
      </c>
      <c r="B146" s="1518"/>
      <c r="C146" s="1519"/>
      <c r="D146" s="842" t="s">
        <v>132</v>
      </c>
      <c r="E146" s="843"/>
      <c r="F146" s="843"/>
      <c r="G146" s="845">
        <f>G39+G53</f>
        <v>4355.5100000000239</v>
      </c>
      <c r="H146" s="845">
        <f>G146+'25'!H146</f>
        <v>-21019.599999999977</v>
      </c>
      <c r="I146" s="998"/>
      <c r="J146" s="847">
        <f>H146/DAY(B2)</f>
        <v>-808.44615384615292</v>
      </c>
      <c r="K146" s="943"/>
      <c r="L146" s="822"/>
      <c r="O146" s="849"/>
    </row>
    <row r="147" spans="1:15" ht="20.100000000000001" customHeight="1">
      <c r="A147" s="1517" t="s">
        <v>256</v>
      </c>
      <c r="B147" s="1518"/>
      <c r="C147" s="1519"/>
      <c r="D147" s="842" t="s">
        <v>24</v>
      </c>
      <c r="E147" s="843"/>
      <c r="F147" s="843"/>
      <c r="G147" s="996">
        <f>G146/G7</f>
        <v>0.20390964419475768</v>
      </c>
      <c r="H147" s="845">
        <f>G147+'25'!H147</f>
        <v>5.1079401395311237</v>
      </c>
      <c r="I147" s="998"/>
      <c r="J147" s="847">
        <f>H147/DAY(B2)</f>
        <v>0.19645923613581245</v>
      </c>
      <c r="O147" s="849"/>
    </row>
    <row r="148" spans="1:15" ht="20.100000000000001" customHeight="1">
      <c r="A148" s="1517" t="s">
        <v>257</v>
      </c>
      <c r="B148" s="1518"/>
      <c r="C148" s="1519"/>
      <c r="D148" s="842" t="s">
        <v>183</v>
      </c>
      <c r="E148" s="843"/>
      <c r="F148" s="843"/>
      <c r="G148" s="845">
        <f>G38+G52</f>
        <v>2108.9000000000015</v>
      </c>
      <c r="H148" s="845">
        <f>G148+'25'!H148</f>
        <v>-9283.5300000000498</v>
      </c>
      <c r="I148" s="864"/>
      <c r="J148" s="847">
        <f>H148/DAY(B2)</f>
        <v>-357.05884615384809</v>
      </c>
      <c r="K148" s="999"/>
      <c r="O148" s="849"/>
    </row>
    <row r="149" spans="1:15" ht="20.100000000000001" customHeight="1">
      <c r="A149" s="1517" t="s">
        <v>258</v>
      </c>
      <c r="B149" s="1518"/>
      <c r="C149" s="1519"/>
      <c r="D149" s="842" t="s">
        <v>24</v>
      </c>
      <c r="E149" s="843"/>
      <c r="F149" s="843"/>
      <c r="G149" s="996">
        <f>G148/G7</f>
        <v>9.873127340823977E-2</v>
      </c>
      <c r="H149" s="845">
        <f>G149+'25'!H149</f>
        <v>2.2291767199852401</v>
      </c>
      <c r="I149" s="998"/>
      <c r="J149" s="847">
        <f>H149/DAY(B2)</f>
        <v>8.5737566153278461E-2</v>
      </c>
      <c r="O149" s="849"/>
    </row>
    <row r="150" spans="1:15" ht="20.100000000000001" customHeight="1">
      <c r="A150" s="1517" t="s">
        <v>259</v>
      </c>
      <c r="B150" s="1518"/>
      <c r="C150" s="1519"/>
      <c r="D150" s="842" t="s">
        <v>183</v>
      </c>
      <c r="E150" s="843"/>
      <c r="F150" s="843"/>
      <c r="G150" s="845">
        <f>G36+G50</f>
        <v>2121.3400000000256</v>
      </c>
      <c r="H150" s="845">
        <f>G150+'25'!H150</f>
        <v>-10056.599999999977</v>
      </c>
      <c r="I150" s="998"/>
      <c r="J150" s="847">
        <f>H150/DAY(B2)</f>
        <v>-386.79230769230679</v>
      </c>
      <c r="O150" s="849"/>
    </row>
    <row r="151" spans="1:15" ht="20.100000000000001" customHeight="1">
      <c r="A151" s="1517" t="s">
        <v>260</v>
      </c>
      <c r="B151" s="1518"/>
      <c r="C151" s="1519"/>
      <c r="D151" s="842" t="s">
        <v>24</v>
      </c>
      <c r="E151" s="843"/>
      <c r="F151" s="843"/>
      <c r="G151" s="996">
        <f>G150/G7</f>
        <v>9.9313670411986216E-2</v>
      </c>
      <c r="H151" s="845">
        <f>G151+'25'!H151</f>
        <v>2.3663368254687693</v>
      </c>
      <c r="I151" s="864"/>
      <c r="J151" s="847">
        <f>H151/DAY(B2)</f>
        <v>9.1012954825721901E-2</v>
      </c>
      <c r="O151" s="849"/>
    </row>
    <row r="152" spans="1:15" ht="20.100000000000001" customHeight="1">
      <c r="A152" s="1517" t="s">
        <v>261</v>
      </c>
      <c r="B152" s="1518"/>
      <c r="C152" s="1519"/>
      <c r="D152" s="842" t="s">
        <v>183</v>
      </c>
      <c r="E152" s="843"/>
      <c r="F152" s="843"/>
      <c r="G152" s="845">
        <f>G37+G51</f>
        <v>1534.6100000000006</v>
      </c>
      <c r="H152" s="845">
        <f>G152+'25'!H152</f>
        <v>-7552.0600000000049</v>
      </c>
      <c r="I152" s="864"/>
      <c r="J152" s="847">
        <f>H152/DAY(B2)</f>
        <v>-290.46384615384636</v>
      </c>
      <c r="O152" s="849"/>
    </row>
    <row r="153" spans="1:15" ht="20.100000000000001" customHeight="1" thickBot="1">
      <c r="A153" s="1520" t="s">
        <v>262</v>
      </c>
      <c r="B153" s="1521"/>
      <c r="C153" s="1522"/>
      <c r="D153" s="1000" t="s">
        <v>24</v>
      </c>
      <c r="E153" s="1001"/>
      <c r="F153" s="1001"/>
      <c r="G153" s="1002">
        <f>G152/G7</f>
        <v>7.1845037453183547E-2</v>
      </c>
      <c r="H153" s="845">
        <f>G153+'25'!H153</f>
        <v>1.8311548280128345</v>
      </c>
      <c r="I153" s="1003"/>
      <c r="J153" s="1004">
        <f>H153/DAY(B2)</f>
        <v>7.0429031846647477E-2</v>
      </c>
      <c r="O153" s="849"/>
    </row>
    <row r="154" spans="1:15" ht="44.25" customHeight="1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5" t="s">
        <v>263</v>
      </c>
      <c r="B160" s="995"/>
      <c r="C160" s="995"/>
      <c r="D160" s="829" t="s">
        <v>187</v>
      </c>
      <c r="E160" s="843">
        <f>'25'!F160</f>
        <v>32922.980000000003</v>
      </c>
      <c r="F160" s="1019">
        <v>33009.32</v>
      </c>
      <c r="G160" s="844">
        <f t="shared" ref="G160:G163" si="16">F160-E160</f>
        <v>86.339999999996508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'25'!F161</f>
        <v>66102.66</v>
      </c>
      <c r="F161" s="1019">
        <v>66523.710000000006</v>
      </c>
      <c r="G161" s="844">
        <f t="shared" si="16"/>
        <v>421.05000000000291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'25'!F162</f>
        <v>27723.73</v>
      </c>
      <c r="F162" s="1019">
        <v>28000.453000000001</v>
      </c>
      <c r="G162" s="844">
        <f t="shared" si="16"/>
        <v>276.72300000000178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'25'!F163</f>
        <v>5729.47</v>
      </c>
      <c r="F163" s="1019">
        <v>5737.19</v>
      </c>
      <c r="G163" s="844">
        <f t="shared" si="16"/>
        <v>7.7199999999993452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2024.2</v>
      </c>
      <c r="F165" s="926">
        <f t="shared" ref="F165:F171" si="19">F63</f>
        <v>2035.57</v>
      </c>
      <c r="G165" s="844">
        <f t="shared" si="17"/>
        <v>11.369999999999891</v>
      </c>
    </row>
    <row r="166" spans="1:7" ht="21.75" customHeight="1">
      <c r="A166" s="1493" t="s">
        <v>99</v>
      </c>
      <c r="B166" s="1493"/>
      <c r="C166" s="1493"/>
      <c r="D166" s="842" t="s">
        <v>187</v>
      </c>
      <c r="E166" s="926">
        <f t="shared" si="18"/>
        <v>136381.76000000001</v>
      </c>
      <c r="F166" s="926">
        <f t="shared" si="19"/>
        <v>136848.32000000001</v>
      </c>
      <c r="G166" s="844">
        <f t="shared" si="17"/>
        <v>466.55999999999767</v>
      </c>
    </row>
    <row r="167" spans="1:7" ht="21.75" customHeight="1">
      <c r="A167" s="1493" t="s">
        <v>100</v>
      </c>
      <c r="B167" s="1493"/>
      <c r="C167" s="1493"/>
      <c r="D167" s="842" t="s">
        <v>187</v>
      </c>
      <c r="E167" s="926">
        <f t="shared" si="18"/>
        <v>141936.20000000001</v>
      </c>
      <c r="F167" s="926">
        <f t="shared" si="19"/>
        <v>142299.97</v>
      </c>
      <c r="G167" s="844">
        <f t="shared" si="17"/>
        <v>363.76999999998952</v>
      </c>
    </row>
    <row r="168" spans="1:7" ht="21.75" customHeight="1">
      <c r="A168" s="1493" t="s">
        <v>101</v>
      </c>
      <c r="B168" s="1493"/>
      <c r="C168" s="1493"/>
      <c r="D168" s="842" t="s">
        <v>187</v>
      </c>
      <c r="E168" s="926">
        <f t="shared" si="18"/>
        <v>34708.26</v>
      </c>
      <c r="F168" s="926">
        <f t="shared" si="19"/>
        <v>35123</v>
      </c>
      <c r="G168" s="844">
        <f t="shared" si="17"/>
        <v>414.73999999999796</v>
      </c>
    </row>
    <row r="169" spans="1:7" ht="21.75" customHeight="1">
      <c r="A169" s="1493" t="s">
        <v>102</v>
      </c>
      <c r="B169" s="1493"/>
      <c r="C169" s="1493"/>
      <c r="D169" s="842" t="s">
        <v>187</v>
      </c>
      <c r="E169" s="926">
        <f t="shared" si="18"/>
        <v>225049.51</v>
      </c>
      <c r="F169" s="926">
        <f t="shared" si="19"/>
        <v>225771.03</v>
      </c>
      <c r="G169" s="844">
        <f t="shared" si="17"/>
        <v>721.51999999998952</v>
      </c>
    </row>
    <row r="170" spans="1:7" ht="24" customHeight="1">
      <c r="A170" s="1493" t="s">
        <v>103</v>
      </c>
      <c r="B170" s="1493"/>
      <c r="C170" s="1493"/>
      <c r="D170" s="842" t="s">
        <v>187</v>
      </c>
      <c r="E170" s="926">
        <f t="shared" si="18"/>
        <v>81121.5</v>
      </c>
      <c r="F170" s="926">
        <f t="shared" si="19"/>
        <v>81473.039999999994</v>
      </c>
      <c r="G170" s="844">
        <f t="shared" si="17"/>
        <v>351.5399999999936</v>
      </c>
    </row>
    <row r="171" spans="1:7">
      <c r="A171" s="1493" t="s">
        <v>104</v>
      </c>
      <c r="B171" s="1493"/>
      <c r="C171" s="1493"/>
      <c r="D171" s="842" t="s">
        <v>187</v>
      </c>
      <c r="E171" s="926">
        <f t="shared" si="18"/>
        <v>72439.78</v>
      </c>
      <c r="F171" s="926">
        <f t="shared" si="19"/>
        <v>72760.070000000007</v>
      </c>
      <c r="G171" s="844">
        <f t="shared" si="17"/>
        <v>320.29000000000815</v>
      </c>
    </row>
    <row r="172" spans="1:7">
      <c r="G172" s="1010">
        <f>SUM(G160:G171)</f>
        <v>3441.6229999999769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31" zoomScale="55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575" t="s">
        <v>326</v>
      </c>
      <c r="B2" s="1081">
        <v>43917</v>
      </c>
      <c r="C2" s="1147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7" t="s">
        <v>120</v>
      </c>
      <c r="D3" s="612">
        <v>22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4998502</v>
      </c>
      <c r="F7" s="455">
        <v>5019385</v>
      </c>
      <c r="G7" s="681">
        <f>F7-E7</f>
        <v>20883</v>
      </c>
      <c r="H7" s="682">
        <f>G7+'26'!H7</f>
        <v>-94538</v>
      </c>
      <c r="I7" s="683">
        <f>'1'!I7</f>
        <v>12000</v>
      </c>
      <c r="J7" s="684">
        <f>H7/DAY(B2)</f>
        <v>-3501.4074074074074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5029385</v>
      </c>
      <c r="F8" s="475">
        <v>5050360</v>
      </c>
      <c r="G8" s="692">
        <f>F8-E8</f>
        <v>20975</v>
      </c>
      <c r="H8" s="682">
        <f>G8+'26'!H8</f>
        <v>-94958</v>
      </c>
      <c r="I8" s="689">
        <f>'1'!I8</f>
        <v>12000</v>
      </c>
      <c r="J8" s="684">
        <f>H8/DAY(B2)</f>
        <v>-3516.962962962963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284297.34999999998</v>
      </c>
      <c r="F9" s="478">
        <v>304543.81</v>
      </c>
      <c r="G9" s="705">
        <f t="shared" ref="G9:G12" si="0">F9-E9</f>
        <v>20246.460000000021</v>
      </c>
      <c r="H9" s="682">
        <f>G9+'26'!H9</f>
        <v>-91525.19</v>
      </c>
      <c r="I9" s="693">
        <f>I8-J8</f>
        <v>15516.962962962964</v>
      </c>
      <c r="J9" s="684">
        <f>H9/DAY(B2)</f>
        <v>-3389.821851851852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360229.05000000005</v>
      </c>
      <c r="I10" s="694"/>
      <c r="J10" s="684">
        <f>H10/DAY(B2)</f>
        <v>13341.816666666668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20246.460000000021</v>
      </c>
      <c r="H13" s="682">
        <f>G13+'26'!H13</f>
        <v>247709.86000000004</v>
      </c>
      <c r="I13" s="698">
        <f>G7-G13</f>
        <v>636.53999999997905</v>
      </c>
      <c r="J13" s="684">
        <f>H13/DAY(B2)</f>
        <v>9174.4392592592612</v>
      </c>
      <c r="K13" s="428"/>
      <c r="L13" s="377"/>
      <c r="N13" s="382"/>
    </row>
    <row r="14" spans="1:14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1641970.2709999999</v>
      </c>
      <c r="F15" s="703">
        <v>1642852.852</v>
      </c>
      <c r="G15" s="667">
        <f>(F15-E15)</f>
        <v>882.58100000000559</v>
      </c>
      <c r="H15" s="673">
        <f>G15+'26'!H15</f>
        <v>-3836.1480000000447</v>
      </c>
      <c r="I15" s="674">
        <v>800</v>
      </c>
      <c r="J15" s="1289">
        <f>H15/DAY(B2)</f>
        <v>-142.07955555555722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942.07955555555725</v>
      </c>
      <c r="J16" s="675"/>
      <c r="K16" s="428"/>
      <c r="L16" s="377"/>
      <c r="N16" s="382"/>
    </row>
    <row r="17" spans="1:14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7" t="s">
        <v>143</v>
      </c>
      <c r="B18" s="1478"/>
      <c r="C18" s="1479"/>
      <c r="D18" s="638" t="s">
        <v>144</v>
      </c>
      <c r="E18" s="635">
        <f>'26'!F18</f>
        <v>19</v>
      </c>
      <c r="F18" s="478">
        <v>18</v>
      </c>
      <c r="G18" s="697">
        <f>F18*10</f>
        <v>180</v>
      </c>
      <c r="H18" s="682">
        <f>G18+'26'!H18</f>
        <v>3340</v>
      </c>
      <c r="I18" s="683">
        <f>'1'!I18</f>
        <v>65</v>
      </c>
      <c r="J18" s="684">
        <f>H18/DAY(B2)</f>
        <v>123.70370370370371</v>
      </c>
      <c r="K18" s="428"/>
      <c r="L18" s="377"/>
      <c r="N18" s="382"/>
    </row>
    <row r="19" spans="1:14" ht="27.75">
      <c r="A19" s="1477" t="s">
        <v>71</v>
      </c>
      <c r="B19" s="1478"/>
      <c r="C19" s="1479"/>
      <c r="D19" s="638" t="s">
        <v>144</v>
      </c>
      <c r="E19" s="635">
        <f>'26'!F19</f>
        <v>135831</v>
      </c>
      <c r="F19" s="478">
        <v>135885</v>
      </c>
      <c r="G19" s="692">
        <f t="shared" ref="G19" si="1">F19-E19</f>
        <v>54</v>
      </c>
      <c r="H19" s="682">
        <f>G19+'26'!H19</f>
        <v>-205</v>
      </c>
      <c r="I19" s="699"/>
      <c r="J19" s="684">
        <f>H19/DAY(B2)</f>
        <v>-7.5925925925925926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234</v>
      </c>
      <c r="H20" s="682">
        <f>G20+'26'!H20</f>
        <v>3135</v>
      </c>
      <c r="I20" s="701">
        <f>I18-J20</f>
        <v>-51.111111111111114</v>
      </c>
      <c r="J20" s="684">
        <f>H20/DAY(B2)</f>
        <v>116.11111111111111</v>
      </c>
      <c r="K20" s="428"/>
      <c r="L20" s="377"/>
      <c r="N20" s="382"/>
    </row>
    <row r="21" spans="1:14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20975</v>
      </c>
      <c r="F27" s="501">
        <v>9</v>
      </c>
      <c r="G27" s="502">
        <f>E27*F27</f>
        <v>188775</v>
      </c>
      <c r="H27" s="460">
        <f>G27+'26'!H27</f>
        <v>-854622</v>
      </c>
      <c r="I27" s="503"/>
      <c r="J27" s="552">
        <f>H27/DAY(B2)</f>
        <v>-31652.666666666668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882.58100000000559</v>
      </c>
      <c r="F28" s="501">
        <v>51.45</v>
      </c>
      <c r="G28" s="502">
        <f>E28*F28</f>
        <v>45408.792450000292</v>
      </c>
      <c r="H28" s="460">
        <f>G28+'26'!H28</f>
        <v>-197369.81460000225</v>
      </c>
      <c r="I28" s="505"/>
      <c r="J28" s="552">
        <f>H28/DAY(B2)</f>
        <v>-7309.9931333334171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460">
        <f>G30+'26'!H30</f>
        <v>-26102</v>
      </c>
      <c r="I30" s="505"/>
      <c r="J30" s="552">
        <f>H30/DAY(B2)</f>
        <v>-966.74074074074076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180</v>
      </c>
      <c r="F31" s="501">
        <v>80</v>
      </c>
      <c r="G31" s="502">
        <f>E31*F31</f>
        <v>14400</v>
      </c>
      <c r="H31" s="460">
        <f>G31+'26'!H31</f>
        <v>267200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255819.7924500003</v>
      </c>
      <c r="H32" s="460">
        <f>G32+'26'!H32</f>
        <v>-721883.81460000237</v>
      </c>
      <c r="I32" s="509"/>
      <c r="J32" s="552">
        <f>H32/DAY(B2)</f>
        <v>-26736.437577777866</v>
      </c>
      <c r="K32" s="373"/>
      <c r="L32" s="443"/>
      <c r="N32" s="382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781131.19</v>
      </c>
      <c r="F35" s="510">
        <v>784373.83</v>
      </c>
      <c r="G35" s="473">
        <f t="shared" ref="G35:G46" si="3">F35-E35</f>
        <v>3242.640000000014</v>
      </c>
      <c r="H35" s="460">
        <f>G35+'26'!H35</f>
        <v>-14015.170000000042</v>
      </c>
      <c r="I35" s="455"/>
      <c r="J35" s="552">
        <f>H35/DAY(B2)</f>
        <v>-519.08037037037195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313360.83</v>
      </c>
      <c r="F36" s="510">
        <v>314095.69</v>
      </c>
      <c r="G36" s="473">
        <f t="shared" si="3"/>
        <v>734.85999999998603</v>
      </c>
      <c r="H36" s="460">
        <f>G36+'26'!H36</f>
        <v>-3340.3099999999977</v>
      </c>
      <c r="I36" s="455"/>
      <c r="J36" s="552">
        <f>H36/DAY(B2)</f>
        <v>-123.71518518518509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47245.07</v>
      </c>
      <c r="F37" s="510">
        <v>48786.64</v>
      </c>
      <c r="G37" s="473">
        <f t="shared" si="3"/>
        <v>1541.5699999999997</v>
      </c>
      <c r="H37" s="460">
        <f>G37+'26'!H37</f>
        <v>-6010.3600000000006</v>
      </c>
      <c r="I37" s="455"/>
      <c r="J37" s="552">
        <f>H37/DAY(B2)</f>
        <v>-222.60592592592596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63026.400000000001</v>
      </c>
      <c r="F38" s="469">
        <v>64913.08</v>
      </c>
      <c r="G38" s="473">
        <f t="shared" si="3"/>
        <v>1886.6800000000003</v>
      </c>
      <c r="H38" s="460">
        <f>G38+'26'!H38</f>
        <v>-7394.9199999999983</v>
      </c>
      <c r="I38" s="455"/>
      <c r="J38" s="552">
        <f>H38/DAY(B2)</f>
        <v>-273.88592592592585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132822.89000000001</v>
      </c>
      <c r="F39" s="510">
        <v>136898.14000000001</v>
      </c>
      <c r="G39" s="473">
        <f t="shared" si="3"/>
        <v>4075.25</v>
      </c>
      <c r="H39" s="460">
        <f>G39+'26'!H39</f>
        <v>-15923.859999999986</v>
      </c>
      <c r="I39" s="455"/>
      <c r="J39" s="552">
        <f>H39/DAY(B2)</f>
        <v>-589.7725925925921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0.34</v>
      </c>
      <c r="I40" s="455"/>
      <c r="J40" s="552">
        <f>H40/DAY(B2)</f>
        <v>1.2592592592592593E-2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106423.12</v>
      </c>
      <c r="F41" s="510">
        <v>111418.14</v>
      </c>
      <c r="G41" s="473">
        <f t="shared" si="3"/>
        <v>4995.0200000000041</v>
      </c>
      <c r="H41" s="460">
        <f>G41+'26'!H41</f>
        <v>-21722.86</v>
      </c>
      <c r="I41" s="455"/>
      <c r="J41" s="552">
        <f>H41/DAY(B2)</f>
        <v>-804.55037037037039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59128.163</v>
      </c>
      <c r="G42" s="473">
        <f t="shared" si="3"/>
        <v>0</v>
      </c>
      <c r="H42" s="460">
        <f>G42+'26'!H42</f>
        <v>2.9999999969732016E-3</v>
      </c>
      <c r="I42" s="455"/>
      <c r="J42" s="552">
        <f>H42/DAY(B2)</f>
        <v>1.1111111099900747E-4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888848.79</v>
      </c>
      <c r="F43" s="510">
        <v>891119.19</v>
      </c>
      <c r="G43" s="473">
        <f t="shared" si="3"/>
        <v>2270.3999999999069</v>
      </c>
      <c r="H43" s="460">
        <f>G43+'26'!H43</f>
        <v>-10928.810000000056</v>
      </c>
      <c r="I43" s="455"/>
      <c r="J43" s="552">
        <f>H43/DAY(B2)</f>
        <v>-404.77074074074284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187</v>
      </c>
      <c r="I46" s="455"/>
      <c r="J46" s="552">
        <f>H46/DAY(B2)</f>
        <v>6.9259259259259256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18746.419999999911</v>
      </c>
      <c r="H47" s="460">
        <f>G47+'26'!H47</f>
        <v>-78534.947000000117</v>
      </c>
      <c r="I47" s="455"/>
      <c r="J47" s="552">
        <f>H47/DAY(B2)</f>
        <v>-2908.7017407407452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435250.57</v>
      </c>
      <c r="F50" s="510">
        <v>436557.63</v>
      </c>
      <c r="G50" s="473">
        <f t="shared" si="4"/>
        <v>1307.0599999999977</v>
      </c>
      <c r="H50" s="460">
        <f>G50+'26'!H50</f>
        <v>-5868.3699999999953</v>
      </c>
      <c r="I50" s="455"/>
      <c r="J50" s="552">
        <f>H50/DAY(B2)</f>
        <v>-217.34703703703687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-1549.1300000000047</v>
      </c>
      <c r="I51" s="455"/>
      <c r="J51" s="552">
        <f>H51/DAY(B2)</f>
        <v>-57.375185185185359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-2047.9300000000512</v>
      </c>
      <c r="I52" s="455"/>
      <c r="J52" s="552">
        <f>H52/DAY(B2)</f>
        <v>-75.84925925926116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400243.51</v>
      </c>
      <c r="F53" s="510">
        <v>400443.81</v>
      </c>
      <c r="G53" s="473">
        <f t="shared" si="4"/>
        <v>200.29999999998836</v>
      </c>
      <c r="H53" s="460">
        <f>G53+'26'!H53</f>
        <v>-5005.1900000000023</v>
      </c>
      <c r="I53" s="455"/>
      <c r="J53" s="552">
        <f>H53/DAY(B2)</f>
        <v>-185.3774074074075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8808.4500000000007</v>
      </c>
      <c r="F54" s="510">
        <v>8881.6</v>
      </c>
      <c r="G54" s="473">
        <f t="shared" si="4"/>
        <v>73.149999999999636</v>
      </c>
      <c r="H54" s="460">
        <f>G54+'26'!H54</f>
        <v>2724.6400000000012</v>
      </c>
      <c r="I54" s="455"/>
      <c r="J54" s="552">
        <f>H54/DAY(B2)</f>
        <v>100.91259259259265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208980.55</v>
      </c>
      <c r="F55" s="656">
        <v>208980.55</v>
      </c>
      <c r="G55" s="655">
        <f t="shared" si="4"/>
        <v>0</v>
      </c>
      <c r="H55" s="708">
        <f>G55+'26'!H55</f>
        <v>-12115.450000000012</v>
      </c>
      <c r="I55" s="709"/>
      <c r="J55" s="710">
        <f>H55/DAY(B2)</f>
        <v>-448.7203703703708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588931.43000000005</v>
      </c>
      <c r="F56" s="656">
        <v>588940.71</v>
      </c>
      <c r="G56" s="473">
        <f t="shared" si="4"/>
        <v>9.2799999999115244</v>
      </c>
      <c r="H56" s="460">
        <f>G56+'26'!H56</f>
        <v>-26.290000000037253</v>
      </c>
      <c r="I56" s="455"/>
      <c r="J56" s="552">
        <f>H56/DAY(B2)</f>
        <v>-0.97370370370508341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40630.879999999997</v>
      </c>
      <c r="F58" s="656">
        <v>40808.275000000001</v>
      </c>
      <c r="G58" s="473">
        <f t="shared" si="4"/>
        <v>177.39500000000407</v>
      </c>
      <c r="H58" s="460">
        <f>G58+'26'!H58</f>
        <v>-934.72499999999854</v>
      </c>
      <c r="I58" s="455"/>
      <c r="J58" s="552">
        <f>H58/DAY(B2)</f>
        <v>-34.61944444444439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1767.1849999999013</v>
      </c>
      <c r="H59" s="460">
        <f>G59+'26'!H59</f>
        <v>-24822.315000000126</v>
      </c>
      <c r="I59" s="455">
        <f>G7-G60</f>
        <v>369.39500000018597</v>
      </c>
      <c r="J59" s="552">
        <f>H59/DAY(B2)</f>
        <v>-919.34500000000469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20513.604999999814</v>
      </c>
      <c r="H60" s="460">
        <f>G60+'26'!H60</f>
        <v>-89188.262000000279</v>
      </c>
      <c r="I60" s="455">
        <f>G13-G60</f>
        <v>-267.14499999979307</v>
      </c>
      <c r="J60" s="552">
        <f>H60/DAY(B2)</f>
        <v>-3303.2689629629731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2035.57</v>
      </c>
      <c r="F63" s="514">
        <v>2046.98</v>
      </c>
      <c r="G63" s="473">
        <f t="shared" si="5"/>
        <v>11.410000000000082</v>
      </c>
      <c r="H63" s="460">
        <f>G63+'26'!H63</f>
        <v>-49.019999999999982</v>
      </c>
      <c r="I63" s="515"/>
      <c r="J63" s="552">
        <f>H63/DAY(B2)</f>
        <v>-1.8155555555555549</v>
      </c>
      <c r="K63" s="428"/>
      <c r="L63" s="377"/>
      <c r="N63" s="382"/>
    </row>
    <row r="64" spans="1:14" ht="27.75">
      <c r="A64" s="1416" t="s">
        <v>99</v>
      </c>
      <c r="B64" s="1417"/>
      <c r="C64" s="1418"/>
      <c r="D64" s="523" t="s">
        <v>187</v>
      </c>
      <c r="E64" s="514">
        <f>'26'!F64</f>
        <v>136848.32000000001</v>
      </c>
      <c r="F64" s="478">
        <v>137314.51999999999</v>
      </c>
      <c r="G64" s="473">
        <f t="shared" si="5"/>
        <v>466.19999999998254</v>
      </c>
      <c r="H64" s="460">
        <f>G64+'26'!H64</f>
        <v>-1865.4800000000105</v>
      </c>
      <c r="I64" s="480"/>
      <c r="J64" s="552">
        <f>H64/DAY(B2)</f>
        <v>-69.09185185185224</v>
      </c>
      <c r="K64" s="428"/>
      <c r="L64" s="377"/>
      <c r="N64" s="382"/>
    </row>
    <row r="65" spans="1:14" ht="27.75">
      <c r="A65" s="1416" t="s">
        <v>100</v>
      </c>
      <c r="B65" s="1417"/>
      <c r="C65" s="1418"/>
      <c r="D65" s="523" t="s">
        <v>187</v>
      </c>
      <c r="E65" s="514">
        <f>'26'!F65</f>
        <v>142299.97</v>
      </c>
      <c r="F65" s="654">
        <v>142669.78</v>
      </c>
      <c r="G65" s="473">
        <f t="shared" si="5"/>
        <v>369.80999999999767</v>
      </c>
      <c r="H65" s="460">
        <f>G65+'26'!H65</f>
        <v>-1535.2200000000012</v>
      </c>
      <c r="I65" s="489"/>
      <c r="J65" s="552">
        <f>H65/DAY(B2)</f>
        <v>-56.860000000000042</v>
      </c>
      <c r="K65" s="428"/>
      <c r="L65" s="377"/>
      <c r="N65" s="382"/>
    </row>
    <row r="66" spans="1:14" ht="27.75">
      <c r="A66" s="1416" t="s">
        <v>101</v>
      </c>
      <c r="B66" s="1417"/>
      <c r="C66" s="1418"/>
      <c r="D66" s="523" t="s">
        <v>187</v>
      </c>
      <c r="E66" s="514">
        <f>'26'!F66</f>
        <v>35123</v>
      </c>
      <c r="F66" s="478">
        <v>35561.18</v>
      </c>
      <c r="G66" s="473">
        <f t="shared" si="5"/>
        <v>438.18000000000029</v>
      </c>
      <c r="H66" s="460">
        <f>G66+'26'!H66</f>
        <v>-1646.8199999999997</v>
      </c>
      <c r="I66" s="480"/>
      <c r="J66" s="552">
        <f>H66/DAY(B2)</f>
        <v>-60.993333333333325</v>
      </c>
      <c r="K66" s="428"/>
      <c r="L66" s="377"/>
      <c r="N66" s="382"/>
    </row>
    <row r="67" spans="1:14" ht="27.75">
      <c r="A67" s="1416" t="s">
        <v>102</v>
      </c>
      <c r="B67" s="1417"/>
      <c r="C67" s="1418"/>
      <c r="D67" s="523" t="s">
        <v>187</v>
      </c>
      <c r="E67" s="514">
        <f>'26'!F67</f>
        <v>225771.03</v>
      </c>
      <c r="F67" s="478">
        <v>226470.37</v>
      </c>
      <c r="G67" s="473">
        <f t="shared" si="5"/>
        <v>699.33999999999651</v>
      </c>
      <c r="H67" s="460">
        <f>G67+'26'!H67</f>
        <v>-2629.6300000000047</v>
      </c>
      <c r="I67" s="489"/>
      <c r="J67" s="552">
        <f>H67/DAY(B2)</f>
        <v>-97.393703703703878</v>
      </c>
      <c r="K67" s="429"/>
      <c r="L67" s="377"/>
      <c r="N67" s="382"/>
    </row>
    <row r="68" spans="1:14" ht="27.75">
      <c r="A68" s="1416" t="s">
        <v>103</v>
      </c>
      <c r="B68" s="1417"/>
      <c r="C68" s="1418"/>
      <c r="D68" s="523" t="s">
        <v>187</v>
      </c>
      <c r="E68" s="514">
        <f>'26'!F68</f>
        <v>81473.039999999994</v>
      </c>
      <c r="F68" s="478">
        <v>81794.167000000001</v>
      </c>
      <c r="G68" s="473">
        <f t="shared" si="5"/>
        <v>321.12700000000768</v>
      </c>
      <c r="H68" s="460">
        <f>G68+'26'!H68</f>
        <v>7924.2370000000083</v>
      </c>
      <c r="I68" s="516"/>
      <c r="J68" s="552">
        <f>H68/DAY(B2)</f>
        <v>293.49025925925957</v>
      </c>
      <c r="K68" s="430"/>
      <c r="L68" s="377"/>
      <c r="N68" s="382"/>
    </row>
    <row r="69" spans="1:14" ht="27.75">
      <c r="A69" s="1416" t="s">
        <v>104</v>
      </c>
      <c r="B69" s="1417"/>
      <c r="C69" s="1418"/>
      <c r="D69" s="523" t="s">
        <v>187</v>
      </c>
      <c r="E69" s="514">
        <f>'26'!F69</f>
        <v>72760.070000000007</v>
      </c>
      <c r="F69" s="478">
        <v>73071.710000000006</v>
      </c>
      <c r="G69" s="473">
        <f t="shared" si="5"/>
        <v>311.63999999999942</v>
      </c>
      <c r="H69" s="460">
        <f>G69+'26'!H69</f>
        <v>-1257.2899999999936</v>
      </c>
      <c r="I69" s="516"/>
      <c r="J69" s="552">
        <f>H69/DAY(B2)</f>
        <v>-46.566296296296059</v>
      </c>
      <c r="K69" s="431"/>
      <c r="L69" s="377"/>
      <c r="N69" s="382"/>
    </row>
    <row r="70" spans="1:14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382"/>
    </row>
    <row r="72" spans="1:14" ht="27.75">
      <c r="A72" s="1416" t="s">
        <v>191</v>
      </c>
      <c r="B72" s="1417"/>
      <c r="C72" s="1418"/>
      <c r="D72" s="523" t="s">
        <v>187</v>
      </c>
      <c r="E72" s="519">
        <f>'26'!F72</f>
        <v>852903</v>
      </c>
      <c r="F72" s="657">
        <v>852958</v>
      </c>
      <c r="G72" s="473">
        <f t="shared" ref="G72:G84" si="6">F72-E72</f>
        <v>55</v>
      </c>
      <c r="H72" s="460">
        <f>G72+'26'!H72</f>
        <v>-311</v>
      </c>
      <c r="I72" s="480"/>
      <c r="J72" s="552">
        <f>H72/DAY(B2)</f>
        <v>-11.518518518518519</v>
      </c>
      <c r="K72" s="431"/>
      <c r="L72" s="377"/>
      <c r="N72" s="382"/>
    </row>
    <row r="73" spans="1:14" ht="27.75">
      <c r="A73" s="1416" t="s">
        <v>192</v>
      </c>
      <c r="B73" s="1417"/>
      <c r="C73" s="1418"/>
      <c r="D73" s="523" t="s">
        <v>187</v>
      </c>
      <c r="E73" s="519">
        <f>'26'!F73</f>
        <v>885793</v>
      </c>
      <c r="F73" s="658">
        <v>885795</v>
      </c>
      <c r="G73" s="655">
        <f t="shared" si="6"/>
        <v>2</v>
      </c>
      <c r="H73" s="460">
        <f>G73+'26'!H73</f>
        <v>-1450</v>
      </c>
      <c r="I73" s="480"/>
      <c r="J73" s="552">
        <f>H73/DAY(B2)</f>
        <v>-53.703703703703702</v>
      </c>
      <c r="K73" s="430"/>
      <c r="L73" s="377"/>
      <c r="N73" s="382"/>
    </row>
    <row r="74" spans="1:14" ht="27.75">
      <c r="A74" s="1416" t="s">
        <v>193</v>
      </c>
      <c r="B74" s="1417"/>
      <c r="C74" s="1418"/>
      <c r="D74" s="523" t="s">
        <v>187</v>
      </c>
      <c r="E74" s="519">
        <f>'26'!F74</f>
        <v>1253.3</v>
      </c>
      <c r="F74" s="658">
        <v>1272.93</v>
      </c>
      <c r="G74" s="473">
        <f t="shared" si="6"/>
        <v>19.630000000000109</v>
      </c>
      <c r="H74" s="460">
        <f>G74+'26'!H74</f>
        <v>-97.069999999999936</v>
      </c>
      <c r="I74" s="480"/>
      <c r="J74" s="552">
        <f>H74/DAY(B2)</f>
        <v>-3.595185185185183</v>
      </c>
      <c r="K74" s="431"/>
      <c r="L74" s="377"/>
      <c r="N74" s="382"/>
    </row>
    <row r="75" spans="1:14" ht="27.75">
      <c r="A75" s="1413" t="s">
        <v>194</v>
      </c>
      <c r="B75" s="1414"/>
      <c r="C75" s="1415"/>
      <c r="D75" s="523" t="s">
        <v>187</v>
      </c>
      <c r="E75" s="519">
        <f>'26'!F75</f>
        <v>7834.6</v>
      </c>
      <c r="F75" s="657">
        <v>8042.74</v>
      </c>
      <c r="G75" s="473">
        <f t="shared" si="6"/>
        <v>208.13999999999942</v>
      </c>
      <c r="H75" s="460">
        <f>G75+'26'!H75</f>
        <v>-637.26000000000022</v>
      </c>
      <c r="I75" s="480"/>
      <c r="J75" s="552">
        <f>H75/DAY(B2)</f>
        <v>-23.602222222222231</v>
      </c>
      <c r="K75" s="430"/>
      <c r="L75" s="377"/>
      <c r="N75" s="382"/>
    </row>
    <row r="76" spans="1:14" ht="27.75">
      <c r="A76" s="1413" t="s">
        <v>195</v>
      </c>
      <c r="B76" s="1414"/>
      <c r="C76" s="1415"/>
      <c r="D76" s="523" t="s">
        <v>187</v>
      </c>
      <c r="E76" s="519">
        <f>'26'!F76</f>
        <v>3617.28</v>
      </c>
      <c r="F76" s="658">
        <v>3696.3</v>
      </c>
      <c r="G76" s="473">
        <f t="shared" si="6"/>
        <v>79.019999999999982</v>
      </c>
      <c r="H76" s="460">
        <f>G76+'26'!H76</f>
        <v>-1939.6999999999998</v>
      </c>
      <c r="I76" s="505"/>
      <c r="J76" s="552">
        <f>H76/DAY(B2)</f>
        <v>-71.840740740740728</v>
      </c>
      <c r="K76" s="430"/>
      <c r="L76" s="377"/>
      <c r="N76" s="382"/>
    </row>
    <row r="77" spans="1:14" ht="27.75">
      <c r="A77" s="1416" t="s">
        <v>196</v>
      </c>
      <c r="B77" s="1417"/>
      <c r="C77" s="1418"/>
      <c r="D77" s="523" t="s">
        <v>187</v>
      </c>
      <c r="E77" s="519">
        <f>'26'!F77</f>
        <v>699969</v>
      </c>
      <c r="F77" s="658">
        <v>700018</v>
      </c>
      <c r="G77" s="655">
        <f t="shared" si="6"/>
        <v>49</v>
      </c>
      <c r="H77" s="460">
        <f>G77+'26'!H77</f>
        <v>-196</v>
      </c>
      <c r="I77" s="505"/>
      <c r="J77" s="552">
        <f>H77/DAY(B2)</f>
        <v>-7.2592592592592595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'26'!F78</f>
        <v>663652</v>
      </c>
      <c r="F78" s="657">
        <v>664028</v>
      </c>
      <c r="G78" s="473">
        <f t="shared" si="6"/>
        <v>376</v>
      </c>
      <c r="H78" s="460">
        <f>G78+'26'!H78</f>
        <v>-1352</v>
      </c>
      <c r="I78" s="505"/>
      <c r="J78" s="552">
        <f>H78/DAY(B2)</f>
        <v>-50.074074074074076</v>
      </c>
      <c r="K78" s="430"/>
      <c r="L78" s="377"/>
      <c r="N78" s="382"/>
    </row>
    <row r="79" spans="1:14" ht="27.75">
      <c r="A79" s="1413" t="s">
        <v>92</v>
      </c>
      <c r="B79" s="1414"/>
      <c r="C79" s="1415"/>
      <c r="D79" s="524" t="s">
        <v>187</v>
      </c>
      <c r="E79" s="519">
        <f>'26'!F79</f>
        <v>820277</v>
      </c>
      <c r="F79" s="657">
        <v>820467</v>
      </c>
      <c r="G79" s="473">
        <f t="shared" si="6"/>
        <v>190</v>
      </c>
      <c r="H79" s="460">
        <f>G79+'26'!H79</f>
        <v>-4649</v>
      </c>
      <c r="I79" s="505"/>
      <c r="J79" s="552">
        <f>H79/DAY(B2)</f>
        <v>-172.18518518518519</v>
      </c>
      <c r="K79" s="430"/>
      <c r="L79" s="377"/>
      <c r="N79" s="382"/>
    </row>
    <row r="80" spans="1:14" ht="27.75">
      <c r="A80" s="1413" t="s">
        <v>198</v>
      </c>
      <c r="B80" s="1414"/>
      <c r="C80" s="1415"/>
      <c r="D80" s="524" t="s">
        <v>187</v>
      </c>
      <c r="E80" s="519">
        <f>'26'!F80</f>
        <v>503937.64</v>
      </c>
      <c r="F80" s="658">
        <v>504299.56</v>
      </c>
      <c r="G80" s="473">
        <f t="shared" si="6"/>
        <v>361.9199999999837</v>
      </c>
      <c r="H80" s="460">
        <f>G80+'26'!H80</f>
        <v>1581.5599999999977</v>
      </c>
      <c r="I80" s="505"/>
      <c r="J80" s="552">
        <f>H80/DAY(B2)</f>
        <v>58.576296296296213</v>
      </c>
      <c r="K80" s="430"/>
      <c r="L80" s="377"/>
      <c r="N80" s="382"/>
    </row>
    <row r="81" spans="1:15" ht="27.75">
      <c r="A81" s="1413" t="s">
        <v>199</v>
      </c>
      <c r="B81" s="1414"/>
      <c r="C81" s="1415"/>
      <c r="D81" s="524" t="s">
        <v>187</v>
      </c>
      <c r="E81" s="519">
        <f>'26'!F81</f>
        <v>628873</v>
      </c>
      <c r="F81" s="658">
        <v>629062.80000000005</v>
      </c>
      <c r="G81" s="473">
        <f t="shared" si="6"/>
        <v>189.80000000004657</v>
      </c>
      <c r="H81" s="460">
        <f>G81+'26'!H81</f>
        <v>-1122.1999999999534</v>
      </c>
      <c r="I81" s="505"/>
      <c r="J81" s="552">
        <f>H81/DAY(B2)</f>
        <v>-41.562962962961237</v>
      </c>
      <c r="K81" s="430"/>
      <c r="L81" s="377"/>
      <c r="N81" s="382"/>
    </row>
    <row r="82" spans="1:15" ht="27.75">
      <c r="A82" s="1413" t="s">
        <v>93</v>
      </c>
      <c r="B82" s="1414"/>
      <c r="C82" s="1415"/>
      <c r="D82" s="485" t="s">
        <v>132</v>
      </c>
      <c r="E82" s="519">
        <f>'26'!F82</f>
        <v>106777.63</v>
      </c>
      <c r="F82" s="654">
        <v>106798.34</v>
      </c>
      <c r="G82" s="473">
        <f t="shared" si="6"/>
        <v>20.709999999991851</v>
      </c>
      <c r="H82" s="460">
        <f>G82+'26'!H82</f>
        <v>-96.660000000003492</v>
      </c>
      <c r="I82" s="486"/>
      <c r="J82" s="552">
        <f>H82/DAY(B2)</f>
        <v>-3.5800000000001293</v>
      </c>
      <c r="K82" s="430"/>
      <c r="L82" s="377"/>
      <c r="N82" s="382"/>
    </row>
    <row r="83" spans="1:15" ht="27.75">
      <c r="A83" s="1413" t="s">
        <v>200</v>
      </c>
      <c r="B83" s="1414"/>
      <c r="C83" s="1415"/>
      <c r="D83" s="620" t="s">
        <v>132</v>
      </c>
      <c r="E83" s="519">
        <f>'26'!F83</f>
        <v>5681</v>
      </c>
      <c r="F83" s="620">
        <v>5947</v>
      </c>
      <c r="G83" s="473">
        <f t="shared" si="6"/>
        <v>266</v>
      </c>
      <c r="H83" s="460">
        <f>G83+'26'!H83</f>
        <v>-1110</v>
      </c>
      <c r="I83" s="481"/>
      <c r="J83" s="552">
        <f>H83/DAY(B2)</f>
        <v>-41.111111111111114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'26'!F84</f>
        <v>450464</v>
      </c>
      <c r="F84" s="524">
        <v>451158</v>
      </c>
      <c r="G84" s="473">
        <f t="shared" si="6"/>
        <v>694</v>
      </c>
      <c r="H84" s="460">
        <f>G84+'26'!H84</f>
        <v>-3526</v>
      </c>
      <c r="I84" s="481"/>
      <c r="J84" s="552">
        <f>H84/DAY(B2)</f>
        <v>-130.59259259259258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2511.2200000000216</v>
      </c>
      <c r="H85" s="460">
        <f>G85+'26'!H85</f>
        <v>-10849.329999999953</v>
      </c>
      <c r="I85" s="481"/>
      <c r="J85" s="552">
        <f>H85/DAY(B2)</f>
        <v>-401.82703703703527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453805.56</v>
      </c>
      <c r="F86" s="650">
        <v>453971.16</v>
      </c>
      <c r="G86" s="708">
        <f>F86-E86</f>
        <v>165.59999999997672</v>
      </c>
      <c r="H86" s="708">
        <f t="shared" ref="H86:H88" si="7">G86</f>
        <v>165.59999999997672</v>
      </c>
      <c r="I86" s="655"/>
      <c r="J86" s="710">
        <f>H86/DAY(B2)</f>
        <v>6.1333333333324713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80014.899999999994</v>
      </c>
      <c r="F87" s="650">
        <v>80039.5</v>
      </c>
      <c r="G87" s="708">
        <f t="shared" ref="G87:G90" si="8">F87-E87</f>
        <v>24.600000000005821</v>
      </c>
      <c r="H87" s="708">
        <f t="shared" si="7"/>
        <v>24.600000000005821</v>
      </c>
      <c r="I87" s="655"/>
      <c r="J87" s="710">
        <f>H87/DAY(B2)</f>
        <v>0.9111111111113267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150282.63</v>
      </c>
      <c r="F88" s="650">
        <v>150336.29</v>
      </c>
      <c r="G88" s="708">
        <f t="shared" si="8"/>
        <v>53.660000000003492</v>
      </c>
      <c r="H88" s="708">
        <f t="shared" si="7"/>
        <v>53.660000000003492</v>
      </c>
      <c r="I88" s="655"/>
      <c r="J88" s="710">
        <f>H88/DAY(B2)</f>
        <v>1.9874074074075367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63336.4</v>
      </c>
      <c r="F89" s="650">
        <v>63379.8</v>
      </c>
      <c r="G89" s="708">
        <f t="shared" si="8"/>
        <v>43.400000000001455</v>
      </c>
      <c r="H89" s="708">
        <f>G89</f>
        <v>43.400000000001455</v>
      </c>
      <c r="I89" s="655"/>
      <c r="J89" s="710">
        <f>H89/DAY(B2)</f>
        <v>1.6074074074074614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3263.9</v>
      </c>
      <c r="F90" s="650">
        <v>3265</v>
      </c>
      <c r="G90" s="708">
        <f t="shared" si="8"/>
        <v>1.0999999999999091</v>
      </c>
      <c r="H90" s="708">
        <f>G90</f>
        <v>1.0999999999999091</v>
      </c>
      <c r="I90" s="655"/>
      <c r="J90" s="710">
        <f>H90/DAY(B2)</f>
        <v>4.0740740740737372E-2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7" t="s">
        <v>206</v>
      </c>
      <c r="B92" s="1438"/>
      <c r="C92" s="1439"/>
      <c r="D92" s="523" t="s">
        <v>144</v>
      </c>
      <c r="E92" s="484">
        <f>'26'!F92</f>
        <v>242090</v>
      </c>
      <c r="F92" s="478">
        <v>242203</v>
      </c>
      <c r="G92" s="473">
        <f t="shared" ref="G92:G93" si="9">F92-E92</f>
        <v>113</v>
      </c>
      <c r="H92" s="460">
        <f>G92+'26'!H92</f>
        <v>-443</v>
      </c>
      <c r="I92" s="480"/>
      <c r="J92" s="552">
        <f>H92/DAY(B2)</f>
        <v>-16.407407407407408</v>
      </c>
      <c r="K92" s="429"/>
      <c r="L92" s="377"/>
      <c r="N92" s="382"/>
    </row>
    <row r="93" spans="1:15" ht="27.75">
      <c r="A93" s="1437" t="s">
        <v>207</v>
      </c>
      <c r="B93" s="1438"/>
      <c r="C93" s="1439"/>
      <c r="D93" s="523" t="s">
        <v>144</v>
      </c>
      <c r="E93" s="484">
        <f>'26'!F93</f>
        <v>178904</v>
      </c>
      <c r="F93" s="485">
        <v>179054</v>
      </c>
      <c r="G93" s="473">
        <f t="shared" si="9"/>
        <v>150</v>
      </c>
      <c r="H93" s="460">
        <f>G93+'26'!H93</f>
        <v>-625</v>
      </c>
      <c r="I93" s="480"/>
      <c r="J93" s="552">
        <f>H93/DAY(B2)</f>
        <v>-23.148148148148149</v>
      </c>
      <c r="K93" s="380"/>
      <c r="L93" s="377"/>
      <c r="N93" s="382"/>
    </row>
    <row r="94" spans="1:15">
      <c r="A94" s="1465" t="s">
        <v>208</v>
      </c>
      <c r="B94" s="1466"/>
      <c r="C94" s="1467"/>
      <c r="D94" s="523"/>
      <c r="E94" s="484">
        <f>'26'!F94</f>
        <v>0</v>
      </c>
      <c r="F94" s="478"/>
      <c r="G94" s="473">
        <f>G92+G93</f>
        <v>263</v>
      </c>
      <c r="H94" s="460">
        <f>G94+'26'!H94</f>
        <v>-1287</v>
      </c>
      <c r="I94" s="480"/>
      <c r="J94" s="552">
        <f>H94/DAY(B2)</f>
        <v>-47.666666666666664</v>
      </c>
      <c r="K94" s="380"/>
      <c r="L94" s="377"/>
      <c r="N94" s="382"/>
    </row>
    <row r="95" spans="1:15" ht="27.75">
      <c r="A95" s="1437" t="s">
        <v>209</v>
      </c>
      <c r="B95" s="1438"/>
      <c r="C95" s="1439"/>
      <c r="D95" s="523" t="s">
        <v>144</v>
      </c>
      <c r="E95" s="484">
        <f>'26'!F95</f>
        <v>410360</v>
      </c>
      <c r="F95" s="478">
        <v>410447</v>
      </c>
      <c r="G95" s="473">
        <f t="shared" ref="G95:G100" si="10">F95-E95</f>
        <v>87</v>
      </c>
      <c r="H95" s="460">
        <f>G95+'26'!H95</f>
        <v>-338</v>
      </c>
      <c r="I95" s="480"/>
      <c r="J95" s="552">
        <f>H95/DAY(B2)</f>
        <v>-12.518518518518519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'26'!F96</f>
        <v>101734</v>
      </c>
      <c r="F96" s="478">
        <v>101755</v>
      </c>
      <c r="G96" s="473">
        <f t="shared" si="10"/>
        <v>21</v>
      </c>
      <c r="H96" s="460">
        <f>G96+'26'!H96</f>
        <v>-76</v>
      </c>
      <c r="I96" s="480"/>
      <c r="J96" s="552">
        <f>H96/DAY(B2)</f>
        <v>-2.8148148148148149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'26'!F97</f>
        <v>96792</v>
      </c>
      <c r="F97" s="478">
        <v>96815</v>
      </c>
      <c r="G97" s="473">
        <f t="shared" si="10"/>
        <v>23</v>
      </c>
      <c r="H97" s="460">
        <f>G97+'26'!H97</f>
        <v>-113</v>
      </c>
      <c r="I97" s="480"/>
      <c r="J97" s="552">
        <f>H97/DAY(B2)</f>
        <v>-4.1851851851851851</v>
      </c>
      <c r="K97" s="432"/>
      <c r="L97" s="377"/>
      <c r="N97" s="808"/>
    </row>
    <row r="98" spans="1:14" ht="27.75">
      <c r="A98" s="1145" t="s">
        <v>212</v>
      </c>
      <c r="B98" s="1146"/>
      <c r="C98" s="1146"/>
      <c r="D98" s="523" t="s">
        <v>144</v>
      </c>
      <c r="E98" s="484">
        <f>'26'!F98</f>
        <v>148750</v>
      </c>
      <c r="F98" s="478">
        <v>148782</v>
      </c>
      <c r="G98" s="473">
        <f t="shared" si="10"/>
        <v>32</v>
      </c>
      <c r="H98" s="460">
        <f>G98+'26'!H98</f>
        <v>-127</v>
      </c>
      <c r="I98" s="480"/>
      <c r="J98" s="552">
        <f>H98/DAY(B2)</f>
        <v>-4.7037037037037033</v>
      </c>
      <c r="K98" s="380"/>
      <c r="L98" s="377"/>
      <c r="N98" s="1033"/>
    </row>
    <row r="99" spans="1:14" ht="27.75">
      <c r="A99" s="1145" t="s">
        <v>213</v>
      </c>
      <c r="B99" s="1146"/>
      <c r="C99" s="1146"/>
      <c r="D99" s="523" t="s">
        <v>144</v>
      </c>
      <c r="E99" s="484">
        <f>'26'!F99</f>
        <v>6750</v>
      </c>
      <c r="F99" s="478">
        <v>6774</v>
      </c>
      <c r="G99" s="473">
        <f t="shared" si="10"/>
        <v>24</v>
      </c>
      <c r="H99" s="460">
        <f>G99+'26'!H99</f>
        <v>-81</v>
      </c>
      <c r="I99" s="480"/>
      <c r="J99" s="552">
        <f>H99/DAY(B2)</f>
        <v>-3</v>
      </c>
      <c r="K99" s="380"/>
      <c r="L99" s="377"/>
      <c r="N99" s="808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'26'!F100</f>
        <v>4885</v>
      </c>
      <c r="F100" s="478">
        <v>4897</v>
      </c>
      <c r="G100" s="473">
        <f t="shared" si="10"/>
        <v>12</v>
      </c>
      <c r="H100" s="460">
        <f>G100+'26'!H100</f>
        <v>-46</v>
      </c>
      <c r="I100" s="480"/>
      <c r="J100" s="552">
        <f>H100/DAY(B2)</f>
        <v>-1.7037037037037037</v>
      </c>
      <c r="K100" s="380"/>
      <c r="L100" s="377"/>
      <c r="N100" s="808"/>
    </row>
    <row r="101" spans="1:14">
      <c r="A101" s="1465" t="s">
        <v>216</v>
      </c>
      <c r="B101" s="1466"/>
      <c r="C101" s="1467"/>
      <c r="D101" s="524"/>
      <c r="E101" s="524"/>
      <c r="F101" s="524"/>
      <c r="G101" s="525">
        <f>SUM(G95:G100)</f>
        <v>199</v>
      </c>
      <c r="H101" s="460">
        <f>G101+'26'!H101</f>
        <v>-781</v>
      </c>
      <c r="I101" s="526"/>
      <c r="J101" s="552">
        <f>H101/DAY(B2)</f>
        <v>-28.925925925925927</v>
      </c>
      <c r="K101" s="380"/>
      <c r="L101" s="377"/>
      <c r="N101" s="808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468" t="s">
        <v>218</v>
      </c>
      <c r="B103" s="1469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429" t="s">
        <v>219</v>
      </c>
      <c r="B104" s="1430"/>
      <c r="C104" s="1144"/>
      <c r="D104" s="622" t="s">
        <v>144</v>
      </c>
      <c r="E104" s="532">
        <f>'26'!F104</f>
        <v>7287</v>
      </c>
      <c r="F104" s="661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2.1851851851851851</v>
      </c>
      <c r="N104" s="382"/>
    </row>
    <row r="105" spans="1:14" s="442" customFormat="1" ht="27.75">
      <c r="A105" s="1429" t="s">
        <v>77</v>
      </c>
      <c r="B105" s="1430"/>
      <c r="C105" s="1144"/>
      <c r="D105" s="622" t="s">
        <v>144</v>
      </c>
      <c r="E105" s="532">
        <f>'26'!F105</f>
        <v>35608</v>
      </c>
      <c r="F105" s="807">
        <v>35617</v>
      </c>
      <c r="G105" s="532">
        <f t="shared" ref="G105:G106" si="11">F105-E105</f>
        <v>9</v>
      </c>
      <c r="H105" s="533">
        <f>SUM(G105+'1'!G77)</f>
        <v>59</v>
      </c>
      <c r="I105" s="532"/>
      <c r="J105" s="558">
        <f>H105/DAY(B2)</f>
        <v>2.1851851851851851</v>
      </c>
      <c r="N105" s="382"/>
    </row>
    <row r="106" spans="1:14" s="442" customFormat="1" ht="27.75">
      <c r="A106" s="1429" t="s">
        <v>78</v>
      </c>
      <c r="B106" s="1470"/>
      <c r="C106" s="1430"/>
      <c r="D106" s="622" t="s">
        <v>144</v>
      </c>
      <c r="E106" s="532">
        <f>'26'!F106</f>
        <v>19391</v>
      </c>
      <c r="F106" s="662">
        <v>19395</v>
      </c>
      <c r="G106" s="532">
        <f t="shared" si="11"/>
        <v>4</v>
      </c>
      <c r="H106" s="533">
        <f>SUM(G106+'1'!G78)</f>
        <v>399</v>
      </c>
      <c r="I106" s="532"/>
      <c r="J106" s="558">
        <f>H106/DAY(B2)</f>
        <v>14.777777777777779</v>
      </c>
      <c r="N106" s="382"/>
    </row>
    <row r="107" spans="1:14" s="442" customFormat="1" ht="27.75">
      <c r="A107" s="1431" t="s">
        <v>202</v>
      </c>
      <c r="B107" s="1432"/>
      <c r="C107" s="1144"/>
      <c r="D107" s="622"/>
      <c r="E107" s="532">
        <f>'26'!F107</f>
        <v>0</v>
      </c>
      <c r="F107" s="662"/>
      <c r="G107" s="532">
        <f>SUM(G104:G106)</f>
        <v>13</v>
      </c>
      <c r="H107" s="533">
        <f>SUM(G107+'1'!G79)</f>
        <v>207</v>
      </c>
      <c r="I107" s="532"/>
      <c r="J107" s="558">
        <f>H107/DAY(B2)</f>
        <v>7.666666666666667</v>
      </c>
      <c r="N107" s="382"/>
    </row>
    <row r="108" spans="1:14" s="442" customFormat="1" ht="27.75">
      <c r="A108" s="1435" t="s">
        <v>79</v>
      </c>
      <c r="B108" s="1436"/>
      <c r="C108" s="1144"/>
      <c r="D108" s="622" t="s">
        <v>144</v>
      </c>
      <c r="E108" s="532">
        <f>'26'!F108</f>
        <v>0</v>
      </c>
      <c r="F108" s="662"/>
      <c r="G108" s="532"/>
      <c r="H108" s="533"/>
      <c r="I108" s="532"/>
      <c r="J108" s="558"/>
      <c r="N108" s="382"/>
    </row>
    <row r="109" spans="1:14" s="442" customFormat="1" ht="27.75">
      <c r="A109" s="1429" t="s">
        <v>220</v>
      </c>
      <c r="B109" s="1430"/>
      <c r="C109" s="1144"/>
      <c r="D109" s="622" t="s">
        <v>144</v>
      </c>
      <c r="E109" s="532">
        <f>'26'!F109</f>
        <v>58378</v>
      </c>
      <c r="F109" s="807">
        <v>58460</v>
      </c>
      <c r="G109" s="532">
        <f>F109-E109</f>
        <v>82</v>
      </c>
      <c r="H109" s="533">
        <f>SUM(G109+'1'!G81)</f>
        <v>280</v>
      </c>
      <c r="I109" s="532"/>
      <c r="J109" s="558">
        <f>H109/DAY(B2)</f>
        <v>10.37037037037037</v>
      </c>
      <c r="N109" s="382"/>
    </row>
    <row r="110" spans="1:14" s="442" customFormat="1" ht="27.75">
      <c r="A110" s="1429" t="s">
        <v>221</v>
      </c>
      <c r="B110" s="1430"/>
      <c r="C110" s="1144"/>
      <c r="D110" s="622" t="s">
        <v>144</v>
      </c>
      <c r="E110" s="532">
        <f>'26'!F110</f>
        <v>31507</v>
      </c>
      <c r="F110" s="807">
        <v>31507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0.85185185185185186</v>
      </c>
      <c r="N110" s="382"/>
    </row>
    <row r="111" spans="1:14" s="442" customFormat="1" ht="27.75">
      <c r="A111" s="1429" t="s">
        <v>222</v>
      </c>
      <c r="B111" s="1430"/>
      <c r="C111" s="1144"/>
      <c r="D111" s="622" t="s">
        <v>144</v>
      </c>
      <c r="E111" s="532">
        <f>'26'!F111</f>
        <v>4130</v>
      </c>
      <c r="F111" s="662">
        <v>4146</v>
      </c>
      <c r="G111" s="534">
        <f t="shared" si="12"/>
        <v>16</v>
      </c>
      <c r="H111" s="533">
        <f>SUM(G111+'1'!G83)</f>
        <v>255</v>
      </c>
      <c r="I111" s="532"/>
      <c r="J111" s="558">
        <f>H111/DAY(B2)</f>
        <v>9.4444444444444446</v>
      </c>
      <c r="N111" s="382"/>
    </row>
    <row r="112" spans="1:14" s="442" customFormat="1" ht="27.75">
      <c r="A112" s="1431" t="s">
        <v>110</v>
      </c>
      <c r="B112" s="1432"/>
      <c r="C112" s="1144"/>
      <c r="D112" s="622"/>
      <c r="E112" s="532">
        <f>'26'!F112</f>
        <v>0</v>
      </c>
      <c r="F112" s="662"/>
      <c r="G112" s="532">
        <f>SUM(G109:G111)</f>
        <v>98</v>
      </c>
      <c r="H112" s="533">
        <f>SUM(G112+'1'!G84)</f>
        <v>1013</v>
      </c>
      <c r="I112" s="532"/>
      <c r="J112" s="558">
        <f>H112/DAY(B2)</f>
        <v>37.518518518518519</v>
      </c>
      <c r="N112" s="382"/>
    </row>
    <row r="113" spans="1:14" s="442" customFormat="1" ht="27.75">
      <c r="A113" s="1435" t="s">
        <v>223</v>
      </c>
      <c r="B113" s="1436"/>
      <c r="C113" s="1144"/>
      <c r="D113" s="622"/>
      <c r="E113" s="532">
        <f>'26'!F113</f>
        <v>0</v>
      </c>
      <c r="F113" s="662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429" t="s">
        <v>224</v>
      </c>
      <c r="B114" s="1430"/>
      <c r="C114" s="574"/>
      <c r="D114" s="622" t="s">
        <v>144</v>
      </c>
      <c r="E114" s="532">
        <f>'26'!F114</f>
        <v>10736</v>
      </c>
      <c r="F114" s="662">
        <v>10763</v>
      </c>
      <c r="G114" s="534">
        <f>F114-E114</f>
        <v>27</v>
      </c>
      <c r="H114" s="533">
        <f>SUM(G114+'1'!G91)</f>
        <v>27</v>
      </c>
      <c r="I114" s="532"/>
      <c r="J114" s="558">
        <f>H114/DAY(B2)</f>
        <v>1</v>
      </c>
      <c r="N114" s="382"/>
    </row>
    <row r="115" spans="1:14" s="442" customFormat="1" ht="27.75">
      <c r="A115" s="1429" t="s">
        <v>225</v>
      </c>
      <c r="B115" s="1430"/>
      <c r="C115" s="574"/>
      <c r="D115" s="622" t="s">
        <v>144</v>
      </c>
      <c r="E115" s="532">
        <f>'26'!F115</f>
        <v>7936</v>
      </c>
      <c r="F115" s="662">
        <v>7941</v>
      </c>
      <c r="G115" s="534">
        <f t="shared" ref="G115:G116" si="13">F115-E115</f>
        <v>5</v>
      </c>
      <c r="H115" s="533">
        <f>SUM(G115+'1'!G92)</f>
        <v>97</v>
      </c>
      <c r="I115" s="532"/>
      <c r="J115" s="558">
        <f>H115/DAY(B2)</f>
        <v>3.5925925925925926</v>
      </c>
      <c r="N115" s="382"/>
    </row>
    <row r="116" spans="1:14" s="442" customFormat="1" ht="27.75">
      <c r="A116" s="1429" t="s">
        <v>226</v>
      </c>
      <c r="B116" s="143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4.7037037037037033</v>
      </c>
      <c r="N116" s="382"/>
    </row>
    <row r="117" spans="1:14" s="445" customFormat="1" ht="27.75">
      <c r="A117" s="1431" t="s">
        <v>202</v>
      </c>
      <c r="B117" s="1432"/>
      <c r="C117" s="574"/>
      <c r="D117" s="623"/>
      <c r="E117" s="534"/>
      <c r="F117" s="662"/>
      <c r="G117" s="534">
        <f>SUM(G114:G116)</f>
        <v>32</v>
      </c>
      <c r="H117" s="533">
        <f>SUM(G117+'1'!G95)</f>
        <v>109</v>
      </c>
      <c r="I117" s="534"/>
      <c r="J117" s="558">
        <f>H117/DAY(B2)</f>
        <v>4.0370370370370372</v>
      </c>
      <c r="N117" s="382"/>
    </row>
    <row r="118" spans="1:14" s="446" customFormat="1" ht="27.75">
      <c r="A118" s="1425" t="s">
        <v>227</v>
      </c>
      <c r="B118" s="1426"/>
      <c r="C118" s="1142"/>
      <c r="D118" s="624" t="s">
        <v>144</v>
      </c>
      <c r="E118" s="536"/>
      <c r="F118" s="663"/>
      <c r="G118" s="536">
        <f>SUM(G19+G92)</f>
        <v>167</v>
      </c>
      <c r="H118" s="533">
        <f>SUM(G118+'1'!G96)</f>
        <v>184</v>
      </c>
      <c r="I118" s="535"/>
      <c r="J118" s="559">
        <f>H118/DAY(B2)</f>
        <v>6.8148148148148149</v>
      </c>
      <c r="N118" s="382"/>
    </row>
    <row r="119" spans="1:14" s="446" customFormat="1" ht="27.75">
      <c r="A119" s="1425" t="s">
        <v>228</v>
      </c>
      <c r="B119" s="1426"/>
      <c r="C119" s="1142"/>
      <c r="D119" s="624" t="s">
        <v>144</v>
      </c>
      <c r="E119" s="536"/>
      <c r="F119" s="663"/>
      <c r="G119" s="536">
        <f>SUM(G95,G96,G97,G99,G100)</f>
        <v>167</v>
      </c>
      <c r="H119" s="533">
        <f>SUM(G119+'1'!G98)</f>
        <v>195</v>
      </c>
      <c r="I119" s="535"/>
      <c r="J119" s="559">
        <f>H119/DAY(B2)</f>
        <v>7.2222222222222223</v>
      </c>
      <c r="N119" s="382"/>
    </row>
    <row r="120" spans="1:14" s="446" customFormat="1" ht="27.75">
      <c r="A120" s="1425" t="s">
        <v>229</v>
      </c>
      <c r="B120" s="1426"/>
      <c r="C120" s="1142"/>
      <c r="D120" s="624" t="s">
        <v>144</v>
      </c>
      <c r="E120" s="534"/>
      <c r="F120" s="662"/>
      <c r="G120" s="534">
        <f>SUM(G112)</f>
        <v>98</v>
      </c>
      <c r="H120" s="533">
        <f>SUM(G120+'1'!G100)</f>
        <v>104</v>
      </c>
      <c r="I120" s="535"/>
      <c r="J120" s="559">
        <f>H120/DAY(B2)</f>
        <v>3.8518518518518516</v>
      </c>
      <c r="N120" s="382"/>
    </row>
    <row r="121" spans="1:14" s="442" customFormat="1" ht="27.75">
      <c r="A121" s="1427"/>
      <c r="B121" s="1428"/>
      <c r="C121" s="1143"/>
      <c r="D121" s="560"/>
      <c r="E121" s="560"/>
      <c r="F121" s="664"/>
      <c r="G121" s="560"/>
      <c r="H121" s="561"/>
      <c r="I121" s="560"/>
      <c r="J121" s="562"/>
      <c r="N121" s="382"/>
    </row>
    <row r="122" spans="1:14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'26'!F123</f>
        <v>817526.91</v>
      </c>
      <c r="F123" s="478">
        <v>817810.67</v>
      </c>
      <c r="G123" s="473">
        <f t="shared" ref="G123:G127" si="14">F123-E123</f>
        <v>283.76000000000931</v>
      </c>
      <c r="H123" s="460">
        <f>G123+'26'!H123</f>
        <v>-999.32999999995809</v>
      </c>
      <c r="I123" s="526">
        <f>G123/5</f>
        <v>56.752000000001864</v>
      </c>
      <c r="J123" s="552">
        <f>H123/DAY(B2)</f>
        <v>-37.012222222220672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6" t="s">
        <v>233</v>
      </c>
      <c r="B125" s="1417"/>
      <c r="C125" s="1418"/>
      <c r="D125" s="523" t="s">
        <v>141</v>
      </c>
      <c r="E125" s="478">
        <f>'26'!F125</f>
        <v>141682.82</v>
      </c>
      <c r="F125" s="485">
        <v>141770.96</v>
      </c>
      <c r="G125" s="473">
        <f t="shared" si="14"/>
        <v>88.139999999984866</v>
      </c>
      <c r="H125" s="460">
        <f>G125+'26'!H125</f>
        <v>-365.04000000000815</v>
      </c>
      <c r="I125" s="526"/>
      <c r="J125" s="552">
        <f>H125/DAY(B2)</f>
        <v>-13.520000000000302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478">
        <f>'26'!F126</f>
        <v>59875.4</v>
      </c>
      <c r="F126" s="626">
        <v>59882.1</v>
      </c>
      <c r="G126" s="473">
        <f t="shared" si="14"/>
        <v>6.6999999999970896</v>
      </c>
      <c r="H126" s="460">
        <f>G126+'26'!H126</f>
        <v>28563.399999999998</v>
      </c>
      <c r="I126" s="526"/>
      <c r="J126" s="552">
        <f>H126/DAY(B2)</f>
        <v>1057.9037037037035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478">
        <f>'26'!F127</f>
        <v>8947.4</v>
      </c>
      <c r="F127" s="626">
        <v>8951.4</v>
      </c>
      <c r="G127" s="473">
        <f t="shared" si="14"/>
        <v>4</v>
      </c>
      <c r="H127" s="460">
        <f>G127+'26'!H127</f>
        <v>-10.600000000000364</v>
      </c>
      <c r="I127" s="480"/>
      <c r="J127" s="552">
        <f>H127/DAY(B2)</f>
        <v>-0.39259259259260609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499.68100000002596</v>
      </c>
      <c r="H128" s="460">
        <f>G128+'26'!H128</f>
        <v>5873.5629999998691</v>
      </c>
      <c r="I128" s="480"/>
      <c r="J128" s="552">
        <f>H128/DAY(B2)</f>
        <v>217.53937037036553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484">
        <f>'26'!F132</f>
        <v>39413.33</v>
      </c>
      <c r="F132" s="485">
        <v>39437.32</v>
      </c>
      <c r="G132" s="473">
        <f t="shared" si="15"/>
        <v>23.989999999997963</v>
      </c>
      <c r="H132" s="460">
        <f>G132+'26'!H132</f>
        <v>-105.01000000000204</v>
      </c>
      <c r="I132" s="480"/>
      <c r="J132" s="552">
        <f>H132/DAY(B2)</f>
        <v>-3.8892592592593349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484">
        <f>'26'!F133</f>
        <v>299.52</v>
      </c>
      <c r="F133" s="654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23.989999999997963</v>
      </c>
      <c r="J133" s="552">
        <f>H133/DAY(B2)</f>
        <v>-1.7777777777778451E-2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484">
        <f>'26'!F134</f>
        <v>40802</v>
      </c>
      <c r="F134" s="485">
        <v>40802</v>
      </c>
      <c r="G134" s="473">
        <f t="shared" si="15"/>
        <v>0</v>
      </c>
      <c r="H134" s="460">
        <f>G134+'26'!H134</f>
        <v>24</v>
      </c>
      <c r="I134" s="480"/>
      <c r="J134" s="552">
        <f>H134/DAY(B2)</f>
        <v>0.88888888888888884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484">
        <f>'26'!F136</f>
        <v>22441.24</v>
      </c>
      <c r="F136" s="485">
        <v>22450.5</v>
      </c>
      <c r="G136" s="473">
        <f t="shared" si="15"/>
        <v>9.2599999999983993</v>
      </c>
      <c r="H136" s="460">
        <f>G136+'26'!H136</f>
        <v>-38.150000000001455</v>
      </c>
      <c r="I136" s="480">
        <f>G134+G135+G136</f>
        <v>9.2599999999983993</v>
      </c>
      <c r="J136" s="552">
        <f>H136/DAY(B2)</f>
        <v>-1.4129629629630169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484">
        <f>'26'!F137</f>
        <v>25048.97</v>
      </c>
      <c r="F137" s="654">
        <v>25048.97</v>
      </c>
      <c r="G137" s="473">
        <f t="shared" si="15"/>
        <v>0</v>
      </c>
      <c r="H137" s="460">
        <f>G137+'26'!H137</f>
        <v>12.659999999999854</v>
      </c>
      <c r="I137" s="480"/>
      <c r="J137" s="552">
        <f>H137/DAY(B2)</f>
        <v>0.46888888888888353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484">
        <f>'26'!F138</f>
        <v>70238.78</v>
      </c>
      <c r="F138" s="485">
        <v>70240.600000000006</v>
      </c>
      <c r="G138" s="473">
        <f t="shared" si="15"/>
        <v>1.8200000000069849</v>
      </c>
      <c r="H138" s="460">
        <f>G138+'26'!H138</f>
        <v>17.600000000005821</v>
      </c>
      <c r="I138" s="480">
        <f>G137+G138</f>
        <v>1.8200000000069849</v>
      </c>
      <c r="J138" s="552">
        <f>H138/DAY(B2)</f>
        <v>0.6518518518520674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484">
        <f>'26'!F139</f>
        <v>1536.252</v>
      </c>
      <c r="F139" s="485">
        <v>1536.52</v>
      </c>
      <c r="G139" s="473">
        <f t="shared" si="15"/>
        <v>0.2680000000000291</v>
      </c>
      <c r="H139" s="460">
        <f>G139+'26'!H139</f>
        <v>0</v>
      </c>
      <c r="I139" s="542"/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'26'!F140</f>
        <v>4426.45</v>
      </c>
      <c r="F140" s="478">
        <v>4435.78</v>
      </c>
      <c r="G140" s="473">
        <f t="shared" si="15"/>
        <v>9.3299999999999272</v>
      </c>
      <c r="H140" s="460">
        <f>G140+'26'!H140</f>
        <v>-32.760000000000218</v>
      </c>
      <c r="I140" s="542"/>
      <c r="J140" s="552">
        <f>H140/DAY(B2)</f>
        <v>-1.2133333333333414</v>
      </c>
      <c r="N140" s="382"/>
    </row>
    <row r="141" spans="1:14">
      <c r="A141" s="1443" t="s">
        <v>250</v>
      </c>
      <c r="B141" s="1444"/>
      <c r="C141" s="1151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5513.0399999999208</v>
      </c>
      <c r="H142" s="460">
        <f>G142+'26'!H142</f>
        <v>-27259.490000000107</v>
      </c>
      <c r="I142" s="480"/>
      <c r="J142" s="552">
        <f>H142/DAY(B2)</f>
        <v>-1009.6107407407447</v>
      </c>
      <c r="K142" s="380"/>
      <c r="L142" s="377"/>
      <c r="N142" s="382"/>
    </row>
    <row r="143" spans="1:14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0.26399655221950491</v>
      </c>
      <c r="H143" s="460">
        <f>G143+'26'!H143</f>
        <v>7.2314222858756754</v>
      </c>
      <c r="I143" s="544"/>
      <c r="J143" s="552">
        <f>H143/DAY(B2)</f>
        <v>0.26783045503243241</v>
      </c>
      <c r="K143" s="380"/>
      <c r="L143" s="377"/>
      <c r="N143" s="382"/>
    </row>
    <row r="144" spans="1:14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5004.2999999999156</v>
      </c>
      <c r="H144" s="460">
        <f>G144+'26'!H144</f>
        <v>-28865.597000000053</v>
      </c>
      <c r="I144" s="480"/>
      <c r="J144" s="552">
        <f>H144/DAY(B2)</f>
        <v>-1069.0961851851871</v>
      </c>
      <c r="K144" s="380"/>
      <c r="L144" s="377"/>
      <c r="N144" s="382"/>
    </row>
    <row r="145" spans="1:14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0.23963510989799913</v>
      </c>
      <c r="H145" s="460">
        <f>G145+'26'!H145</f>
        <v>6.9279954090505438</v>
      </c>
      <c r="I145" s="544"/>
      <c r="J145" s="552">
        <f>H145/DAY(B2)</f>
        <v>0.25659242255742754</v>
      </c>
      <c r="K145" s="380"/>
      <c r="L145" s="377"/>
      <c r="N145" s="382"/>
    </row>
    <row r="146" spans="1:14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4275.5499999999884</v>
      </c>
      <c r="H146" s="460">
        <f>G146+'26'!H146</f>
        <v>-16744.049999999988</v>
      </c>
      <c r="I146" s="545"/>
      <c r="J146" s="552">
        <f>H146/DAY(B2)</f>
        <v>-620.14999999999952</v>
      </c>
      <c r="K146" s="380"/>
      <c r="L146" s="377"/>
      <c r="N146" s="382"/>
    </row>
    <row r="147" spans="1:14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0.20473830388354108</v>
      </c>
      <c r="H147" s="460">
        <f>G147+'26'!H147</f>
        <v>5.312678443414665</v>
      </c>
      <c r="I147" s="545"/>
      <c r="J147" s="552">
        <f>H147/DAY(B2)</f>
        <v>0.19676586827461723</v>
      </c>
      <c r="N147" s="382"/>
    </row>
    <row r="148" spans="1:14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1886.6800000000003</v>
      </c>
      <c r="H148" s="460">
        <f>G148+'26'!H148</f>
        <v>-7396.8500000000495</v>
      </c>
      <c r="I148" s="480"/>
      <c r="J148" s="552">
        <f>H148/DAY(B2)</f>
        <v>-273.95740740740922</v>
      </c>
      <c r="K148" s="381"/>
      <c r="N148" s="382"/>
    </row>
    <row r="149" spans="1:14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9.0345256907532451E-2</v>
      </c>
      <c r="H149" s="460">
        <f>G149+'26'!H149</f>
        <v>2.3195219768927724</v>
      </c>
      <c r="I149" s="545"/>
      <c r="J149" s="552">
        <f>H149/DAY(B2)</f>
        <v>8.5908221366398974E-2</v>
      </c>
      <c r="N149" s="382"/>
    </row>
    <row r="150" spans="1:14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2041.9199999999837</v>
      </c>
      <c r="H150" s="460">
        <f>G150+'26'!H150</f>
        <v>-8014.679999999993</v>
      </c>
      <c r="I150" s="545"/>
      <c r="J150" s="552">
        <f>H150/DAY(B2)</f>
        <v>-296.83999999999975</v>
      </c>
      <c r="N150" s="382"/>
    </row>
    <row r="151" spans="1:14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9.7779054733514517E-2</v>
      </c>
      <c r="H151" s="460">
        <f>G151+'26'!H151</f>
        <v>2.464115880202284</v>
      </c>
      <c r="I151" s="480"/>
      <c r="J151" s="552">
        <f>H151/DAY(B2)</f>
        <v>9.1263551118603112E-2</v>
      </c>
      <c r="N151" s="382"/>
    </row>
    <row r="152" spans="1:14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1541.5699999999997</v>
      </c>
      <c r="H152" s="460">
        <f>G152+'26'!H152</f>
        <v>-6010.4900000000052</v>
      </c>
      <c r="I152" s="480"/>
      <c r="J152" s="552">
        <f>H152/DAY(B2)</f>
        <v>-222.61074074074094</v>
      </c>
      <c r="N152" s="382"/>
    </row>
    <row r="153" spans="1:14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7.3819374610927538E-2</v>
      </c>
      <c r="H153" s="460">
        <f>G153+'26'!H153</f>
        <v>1.9049742026237619</v>
      </c>
      <c r="I153" s="568"/>
      <c r="J153" s="569">
        <f>H153/DAY(B2)</f>
        <v>7.0554600097176373E-2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60" spans="1:14">
      <c r="A160" s="788" t="s">
        <v>263</v>
      </c>
      <c r="B160" s="789"/>
      <c r="C160" s="789"/>
      <c r="D160" s="511" t="s">
        <v>187</v>
      </c>
      <c r="E160" s="541">
        <f>'26'!F160</f>
        <v>33009.32</v>
      </c>
      <c r="F160" s="661">
        <v>33094.04</v>
      </c>
      <c r="G160" s="473">
        <f t="shared" ref="G160:G163" si="16">F160-E160</f>
        <v>84.720000000001164</v>
      </c>
    </row>
    <row r="161" spans="1:7">
      <c r="A161" s="788" t="s">
        <v>264</v>
      </c>
      <c r="B161" s="789"/>
      <c r="C161" s="789"/>
      <c r="D161" s="511" t="s">
        <v>187</v>
      </c>
      <c r="E161" s="541">
        <f>'26'!F161</f>
        <v>66523.710000000006</v>
      </c>
      <c r="F161" s="661">
        <v>66946.23</v>
      </c>
      <c r="G161" s="473">
        <f t="shared" si="16"/>
        <v>422.51999999998952</v>
      </c>
    </row>
    <row r="162" spans="1:7">
      <c r="A162" s="788" t="s">
        <v>265</v>
      </c>
      <c r="B162" s="789"/>
      <c r="C162" s="789"/>
      <c r="D162" s="511" t="s">
        <v>187</v>
      </c>
      <c r="E162" s="541">
        <f>'26'!F162</f>
        <v>28000.453000000001</v>
      </c>
      <c r="F162" s="661">
        <v>28260.2</v>
      </c>
      <c r="G162" s="473">
        <f t="shared" si="16"/>
        <v>259.74699999999939</v>
      </c>
    </row>
    <row r="163" spans="1:7">
      <c r="A163" s="788" t="s">
        <v>266</v>
      </c>
      <c r="B163" s="789"/>
      <c r="C163" s="789"/>
      <c r="D163" s="511" t="s">
        <v>187</v>
      </c>
      <c r="E163" s="541">
        <f>'26'!F163</f>
        <v>5737.19</v>
      </c>
      <c r="F163" s="661">
        <v>5748.29</v>
      </c>
      <c r="G163" s="473">
        <f t="shared" si="16"/>
        <v>11.100000000000364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8">E63</f>
        <v>2035.57</v>
      </c>
      <c r="F165" s="514">
        <f t="shared" ref="F165:F171" si="19">F63</f>
        <v>2046.98</v>
      </c>
      <c r="G165" s="473">
        <f t="shared" si="17"/>
        <v>11.410000000000082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si="18"/>
        <v>136848.32000000001</v>
      </c>
      <c r="F166" s="514">
        <f t="shared" si="19"/>
        <v>137314.51999999999</v>
      </c>
      <c r="G166" s="473">
        <f t="shared" si="17"/>
        <v>466.19999999998254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si="18"/>
        <v>142299.97</v>
      </c>
      <c r="F167" s="514">
        <f t="shared" si="19"/>
        <v>142669.78</v>
      </c>
      <c r="G167" s="473">
        <f t="shared" si="17"/>
        <v>369.80999999999767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si="18"/>
        <v>35123</v>
      </c>
      <c r="F168" s="514">
        <f t="shared" si="19"/>
        <v>35561.18</v>
      </c>
      <c r="G168" s="473">
        <f t="shared" si="17"/>
        <v>438.18000000000029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si="18"/>
        <v>225771.03</v>
      </c>
      <c r="F169" s="514">
        <f t="shared" si="19"/>
        <v>226470.37</v>
      </c>
      <c r="G169" s="473">
        <f t="shared" si="17"/>
        <v>699.33999999999651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si="18"/>
        <v>81473.039999999994</v>
      </c>
      <c r="F170" s="514">
        <f t="shared" si="19"/>
        <v>81794.167000000001</v>
      </c>
      <c r="G170" s="473">
        <f t="shared" si="17"/>
        <v>321.12700000000768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si="18"/>
        <v>72760.070000000007</v>
      </c>
      <c r="F171" s="514">
        <f t="shared" si="19"/>
        <v>73071.710000000006</v>
      </c>
      <c r="G171" s="473">
        <f t="shared" si="17"/>
        <v>311.63999999999942</v>
      </c>
    </row>
    <row r="172" spans="1:7">
      <c r="G172" s="539">
        <f>SUM(G160:G171)</f>
        <v>3395.7939999999744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25" zoomScale="55" zoomScaleNormal="80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6" customWidth="1"/>
    <col min="15" max="17" width="22.33203125" style="773"/>
    <col min="18" max="16384" width="22.33203125" style="376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575" t="s">
        <v>327</v>
      </c>
      <c r="B2" s="1389">
        <v>43918</v>
      </c>
      <c r="C2" s="1147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6"/>
      <c r="O2" s="773"/>
      <c r="P2" s="773"/>
      <c r="Q2" s="773"/>
    </row>
    <row r="3" spans="1:17" s="281" customFormat="1" ht="27">
      <c r="A3" s="570"/>
      <c r="B3" s="614"/>
      <c r="C3" s="1147" t="s">
        <v>120</v>
      </c>
      <c r="D3" s="612">
        <v>23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1106"/>
      <c r="O3" s="773"/>
      <c r="P3" s="773"/>
      <c r="Q3" s="773"/>
    </row>
    <row r="4" spans="1:17" s="281" customFormat="1" ht="27">
      <c r="A4" s="576"/>
      <c r="B4" s="616"/>
      <c r="C4" s="1147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6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448" t="s">
        <v>130</v>
      </c>
      <c r="B6" s="1449"/>
      <c r="C6" s="1450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5019385</v>
      </c>
      <c r="F7" s="460">
        <v>5042972</v>
      </c>
      <c r="G7" s="681">
        <f>F7-E7</f>
        <v>23587</v>
      </c>
      <c r="H7" s="682">
        <f>G7+'27'!H7</f>
        <v>-70951</v>
      </c>
      <c r="I7" s="683">
        <f>'1'!I7</f>
        <v>12000</v>
      </c>
      <c r="J7" s="684">
        <f>H7/DAY(B2)</f>
        <v>-2533.9642857142858</v>
      </c>
      <c r="K7" s="549"/>
      <c r="L7" s="377"/>
      <c r="N7" s="1107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5050360</v>
      </c>
      <c r="F8" s="740">
        <v>5074030</v>
      </c>
      <c r="G8" s="692">
        <f>F8-E8</f>
        <v>23670</v>
      </c>
      <c r="H8" s="682">
        <f>G8+'27'!H8</f>
        <v>-71288</v>
      </c>
      <c r="I8" s="689">
        <f>'1'!I8</f>
        <v>12000</v>
      </c>
      <c r="J8" s="684">
        <f>H8/DAY(B2)</f>
        <v>-2546</v>
      </c>
      <c r="K8" s="549"/>
      <c r="L8" s="425">
        <v>1375467</v>
      </c>
      <c r="M8" s="440">
        <v>1703438</v>
      </c>
      <c r="N8" s="1107"/>
    </row>
    <row r="9" spans="1:17">
      <c r="A9" s="690" t="s">
        <v>134</v>
      </c>
      <c r="B9" s="691"/>
      <c r="C9" s="691"/>
      <c r="D9" s="638" t="s">
        <v>132</v>
      </c>
      <c r="E9" s="682">
        <f>'27'!F9</f>
        <v>304543.81</v>
      </c>
      <c r="F9" s="741">
        <v>327410.71000000002</v>
      </c>
      <c r="G9" s="705">
        <f t="shared" ref="G9:G12" si="0">F9-E9</f>
        <v>22866.900000000023</v>
      </c>
      <c r="H9" s="682">
        <f>G9+'27'!H9</f>
        <v>-68658.289999999979</v>
      </c>
      <c r="I9" s="693">
        <f>I8-J8</f>
        <v>14546</v>
      </c>
      <c r="J9" s="684">
        <f>H9/DAY(B2)</f>
        <v>-2452.0817857142852</v>
      </c>
      <c r="K9" s="428"/>
      <c r="L9" s="377"/>
      <c r="N9" s="1107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360229.05000000005</v>
      </c>
      <c r="I10" s="694"/>
      <c r="J10" s="684">
        <f>H10/DAY(B2)</f>
        <v>12865.323214285716</v>
      </c>
      <c r="K10" s="428"/>
      <c r="L10" s="377"/>
      <c r="M10" s="376">
        <f>170</f>
        <v>170</v>
      </c>
      <c r="N10" s="1107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7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7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22866.900000000023</v>
      </c>
      <c r="H13" s="682">
        <f>G13+'27'!H13</f>
        <v>270576.76000000007</v>
      </c>
      <c r="I13" s="698">
        <f>G7-G13</f>
        <v>720.09999999997672</v>
      </c>
      <c r="J13" s="684">
        <f>H13/DAY(B2)</f>
        <v>9663.4557142857175</v>
      </c>
      <c r="K13" s="428"/>
      <c r="L13" s="377"/>
      <c r="N13" s="1107"/>
    </row>
    <row r="14" spans="1:17">
      <c r="A14" s="1451" t="s">
        <v>139</v>
      </c>
      <c r="B14" s="1452"/>
      <c r="C14" s="1453"/>
      <c r="D14" s="472"/>
      <c r="E14" s="742"/>
      <c r="F14" s="742"/>
      <c r="G14" s="483"/>
      <c r="H14" s="472"/>
      <c r="I14" s="472"/>
      <c r="J14" s="551"/>
      <c r="K14" s="429"/>
      <c r="L14" s="377"/>
      <c r="N14" s="1107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1642852.852</v>
      </c>
      <c r="F15" s="743">
        <v>1643786.48</v>
      </c>
      <c r="G15" s="667">
        <f>(F15-E15)</f>
        <v>933.62800000002608</v>
      </c>
      <c r="H15" s="1092">
        <f>G15+'27'!H15</f>
        <v>-2902.5200000000186</v>
      </c>
      <c r="I15" s="1093">
        <v>800</v>
      </c>
      <c r="J15" s="1094">
        <f>H15/DAY(B2)</f>
        <v>-103.66142857142924</v>
      </c>
      <c r="K15" s="428"/>
      <c r="L15" s="377"/>
      <c r="N15" s="1107"/>
    </row>
    <row r="16" spans="1:17">
      <c r="A16" s="676"/>
      <c r="B16" s="677"/>
      <c r="C16" s="677"/>
      <c r="D16" s="670"/>
      <c r="E16" s="760"/>
      <c r="F16" s="743"/>
      <c r="G16" s="672"/>
      <c r="H16" s="1092"/>
      <c r="I16" s="1095">
        <f>I15-J15</f>
        <v>903.66142857142927</v>
      </c>
      <c r="J16" s="1094"/>
      <c r="K16" s="428"/>
      <c r="L16" s="377"/>
      <c r="N16" s="1107"/>
    </row>
    <row r="17" spans="1:17">
      <c r="A17" s="1451" t="s">
        <v>142</v>
      </c>
      <c r="B17" s="1452"/>
      <c r="C17" s="1453"/>
      <c r="D17" s="472"/>
      <c r="E17" s="742"/>
      <c r="F17" s="742"/>
      <c r="G17" s="488"/>
      <c r="H17" s="472"/>
      <c r="I17" s="472"/>
      <c r="J17" s="551"/>
      <c r="K17" s="428"/>
      <c r="L17" s="377"/>
      <c r="N17" s="1107"/>
    </row>
    <row r="18" spans="1:17" ht="27.75">
      <c r="A18" s="1477" t="s">
        <v>143</v>
      </c>
      <c r="B18" s="1478"/>
      <c r="C18" s="1479"/>
      <c r="D18" s="638" t="s">
        <v>144</v>
      </c>
      <c r="E18" s="761">
        <f>'27'!F18</f>
        <v>18</v>
      </c>
      <c r="F18" s="741">
        <v>18</v>
      </c>
      <c r="G18" s="697">
        <f>F18*10</f>
        <v>180</v>
      </c>
      <c r="H18" s="682">
        <f>G18+'27'!H18</f>
        <v>3520</v>
      </c>
      <c r="I18" s="683">
        <f>'1'!I18</f>
        <v>65</v>
      </c>
      <c r="J18" s="684">
        <f>H18/DAY(B2)</f>
        <v>125.71428571428571</v>
      </c>
      <c r="K18" s="428"/>
      <c r="L18" s="377"/>
      <c r="N18" s="1107"/>
    </row>
    <row r="19" spans="1:17" ht="27.75">
      <c r="A19" s="1477" t="s">
        <v>71</v>
      </c>
      <c r="B19" s="1478"/>
      <c r="C19" s="1479"/>
      <c r="D19" s="638" t="s">
        <v>144</v>
      </c>
      <c r="E19" s="761">
        <f>'27'!F19</f>
        <v>135885</v>
      </c>
      <c r="F19" s="741">
        <v>135937</v>
      </c>
      <c r="G19" s="692">
        <f t="shared" ref="G19" si="1">F19-E19</f>
        <v>52</v>
      </c>
      <c r="H19" s="682">
        <f>G19+'27'!H19</f>
        <v>-153</v>
      </c>
      <c r="I19" s="699"/>
      <c r="J19" s="684">
        <f>H19/DAY(B2)</f>
        <v>-5.4642857142857144</v>
      </c>
      <c r="K19" s="428"/>
      <c r="L19" s="377"/>
      <c r="N19" s="1107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232</v>
      </c>
      <c r="H20" s="682">
        <f>G20+'27'!H20</f>
        <v>3367</v>
      </c>
      <c r="I20" s="701">
        <f>I18-J20</f>
        <v>-55.25</v>
      </c>
      <c r="J20" s="684">
        <f>H20/DAY(B2)</f>
        <v>120.25</v>
      </c>
      <c r="K20" s="428"/>
      <c r="L20" s="377"/>
      <c r="N20" s="1107"/>
    </row>
    <row r="21" spans="1:17">
      <c r="A21" s="1451" t="s">
        <v>146</v>
      </c>
      <c r="B21" s="1452"/>
      <c r="C21" s="1453"/>
      <c r="D21" s="472"/>
      <c r="E21" s="742"/>
      <c r="F21" s="742"/>
      <c r="G21" s="483"/>
      <c r="H21" s="472"/>
      <c r="I21" s="472"/>
      <c r="J21" s="551"/>
      <c r="K21" s="428"/>
      <c r="L21" s="377"/>
      <c r="N21" s="1107"/>
    </row>
    <row r="22" spans="1:17">
      <c r="A22" s="1145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7"/>
    </row>
    <row r="23" spans="1:17">
      <c r="A23" s="1145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7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7"/>
    </row>
    <row r="25" spans="1:17" s="442" customFormat="1" ht="27">
      <c r="A25" s="1456" t="s">
        <v>151</v>
      </c>
      <c r="B25" s="1457"/>
      <c r="C25" s="1458"/>
      <c r="D25" s="471"/>
      <c r="E25" s="495"/>
      <c r="F25" s="495"/>
      <c r="G25" s="494"/>
      <c r="H25" s="495"/>
      <c r="I25" s="496"/>
      <c r="J25" s="554"/>
      <c r="K25" s="373"/>
      <c r="L25" s="443"/>
      <c r="N25" s="1107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7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23670</v>
      </c>
      <c r="F27" s="501">
        <v>9</v>
      </c>
      <c r="G27" s="502">
        <f>E27*F27</f>
        <v>213030</v>
      </c>
      <c r="H27" s="460">
        <f>G27+'27'!H27</f>
        <v>-641592</v>
      </c>
      <c r="I27" s="503"/>
      <c r="J27" s="552">
        <f>H27/DAY(B2)</f>
        <v>-22914</v>
      </c>
      <c r="K27" s="373"/>
      <c r="L27" s="443"/>
      <c r="N27" s="1107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933.62800000002608</v>
      </c>
      <c r="F28" s="501">
        <v>51.45</v>
      </c>
      <c r="G28" s="502">
        <f>E28*F28</f>
        <v>48035.160600001342</v>
      </c>
      <c r="H28" s="460">
        <f>G28+'27'!H28</f>
        <v>-149334.65400000091</v>
      </c>
      <c r="I28" s="505"/>
      <c r="J28" s="552">
        <f>H28/DAY(B2)</f>
        <v>-5333.380500000033</v>
      </c>
      <c r="K28" s="373"/>
      <c r="L28" s="443"/>
      <c r="N28" s="1107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7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52</v>
      </c>
      <c r="F30" s="702">
        <v>134</v>
      </c>
      <c r="G30" s="502">
        <f>E30*F30</f>
        <v>6968</v>
      </c>
      <c r="H30" s="460">
        <f>G30+'27'!H30</f>
        <v>-19134</v>
      </c>
      <c r="I30" s="505"/>
      <c r="J30" s="552">
        <f>H30/DAY(B2)</f>
        <v>-683.35714285714289</v>
      </c>
      <c r="K30" s="373"/>
      <c r="L30" s="443"/>
      <c r="N30" s="1107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180</v>
      </c>
      <c r="F31" s="702">
        <v>80</v>
      </c>
      <c r="G31" s="502">
        <f>E31*F31</f>
        <v>14400</v>
      </c>
      <c r="H31" s="460">
        <f>G31+'27'!H31</f>
        <v>281600</v>
      </c>
      <c r="I31" s="505"/>
      <c r="J31" s="552"/>
      <c r="K31" s="373"/>
      <c r="L31" s="443"/>
      <c r="N31" s="1107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282433.16060000134</v>
      </c>
      <c r="H32" s="460">
        <f>G32+'27'!H32</f>
        <v>-439450.65400000103</v>
      </c>
      <c r="I32" s="509"/>
      <c r="J32" s="552">
        <f>H32/DAY(B2)</f>
        <v>-15694.666214285751</v>
      </c>
      <c r="K32" s="373"/>
      <c r="L32" s="443"/>
      <c r="N32" s="1107"/>
      <c r="O32" s="773"/>
      <c r="P32" s="773"/>
      <c r="Q32" s="773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1107"/>
    </row>
    <row r="34" spans="1:14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  <c r="N34" s="1107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784373.83</v>
      </c>
      <c r="F35" s="745">
        <v>787982.39</v>
      </c>
      <c r="G35" s="473">
        <f t="shared" ref="G35:G46" si="3">F35-E35</f>
        <v>3608.5600000000559</v>
      </c>
      <c r="H35" s="460">
        <f>G35+'27'!H35</f>
        <v>-10406.609999999986</v>
      </c>
      <c r="I35" s="455"/>
      <c r="J35" s="552">
        <f>H35/DAY(B2)</f>
        <v>-371.66464285714238</v>
      </c>
      <c r="K35" s="428"/>
      <c r="L35" s="377"/>
      <c r="N35" s="1107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314095.69</v>
      </c>
      <c r="F36" s="745">
        <v>314825.73</v>
      </c>
      <c r="G36" s="473">
        <f t="shared" si="3"/>
        <v>730.03999999997905</v>
      </c>
      <c r="H36" s="460">
        <f>G36+'27'!H36</f>
        <v>-2610.2700000000186</v>
      </c>
      <c r="I36" s="455"/>
      <c r="J36" s="552">
        <f>H36/DAY(B2)</f>
        <v>-93.223928571429241</v>
      </c>
      <c r="K36" s="428"/>
      <c r="L36" s="377"/>
      <c r="N36" s="1107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48786.64</v>
      </c>
      <c r="F37" s="745">
        <v>50329.599999999999</v>
      </c>
      <c r="G37" s="473">
        <f t="shared" si="3"/>
        <v>1542.9599999999991</v>
      </c>
      <c r="H37" s="460">
        <f>G37+'27'!H37</f>
        <v>-4467.4000000000015</v>
      </c>
      <c r="I37" s="455"/>
      <c r="J37" s="552">
        <f>H37/DAY(B2)</f>
        <v>-159.55000000000004</v>
      </c>
      <c r="K37" s="428"/>
      <c r="L37" s="377"/>
      <c r="N37" s="1107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64913.08</v>
      </c>
      <c r="F38" s="470">
        <v>66806.67</v>
      </c>
      <c r="G38" s="473">
        <f t="shared" si="3"/>
        <v>1893.5899999999965</v>
      </c>
      <c r="H38" s="460">
        <f>G38+'27'!H38</f>
        <v>-5501.3300000000017</v>
      </c>
      <c r="I38" s="455"/>
      <c r="J38" s="552">
        <f>H38/DAY(B2)</f>
        <v>-196.47607142857149</v>
      </c>
      <c r="K38" s="428"/>
      <c r="L38" s="377"/>
      <c r="N38" s="1107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136898.14000000001</v>
      </c>
      <c r="F39" s="745">
        <v>140931.17000000001</v>
      </c>
      <c r="G39" s="473">
        <f>F39-E39</f>
        <v>4033.0299999999988</v>
      </c>
      <c r="H39" s="460">
        <f>G39+'27'!H39</f>
        <v>-11890.829999999987</v>
      </c>
      <c r="I39" s="455"/>
      <c r="J39" s="552">
        <f>H39/DAY(B2)</f>
        <v>-424.67249999999956</v>
      </c>
      <c r="K39" s="428"/>
      <c r="L39" s="377"/>
      <c r="N39" s="1107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0.34</v>
      </c>
      <c r="I40" s="455"/>
      <c r="J40" s="552">
        <f>H40/DAY(B2)</f>
        <v>1.2142857142857144E-2</v>
      </c>
      <c r="K40" s="429"/>
      <c r="L40" s="377"/>
      <c r="N40" s="1107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111418.14</v>
      </c>
      <c r="F41" s="745">
        <v>116805.15</v>
      </c>
      <c r="G41" s="473">
        <f t="shared" si="3"/>
        <v>5387.0099999999948</v>
      </c>
      <c r="H41" s="460">
        <f>G41+'27'!H41</f>
        <v>-16335.850000000006</v>
      </c>
      <c r="I41" s="455"/>
      <c r="J41" s="552">
        <f>H41/DAY(B2)</f>
        <v>-583.42321428571449</v>
      </c>
      <c r="K41" s="428"/>
      <c r="L41" s="377"/>
      <c r="N41" s="1107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59128.163</v>
      </c>
      <c r="F42" s="745">
        <v>59128.160000000003</v>
      </c>
      <c r="G42" s="473">
        <f t="shared" si="3"/>
        <v>-2.9999999969732016E-3</v>
      </c>
      <c r="H42" s="460">
        <f>G42+'27'!H42</f>
        <v>0</v>
      </c>
      <c r="I42" s="455"/>
      <c r="J42" s="552">
        <f>H42/DAY(B2)</f>
        <v>0</v>
      </c>
      <c r="K42" s="428"/>
      <c r="L42" s="377"/>
      <c r="N42" s="1107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891119.19</v>
      </c>
      <c r="F43" s="745">
        <v>893785.91</v>
      </c>
      <c r="G43" s="473">
        <f t="shared" si="3"/>
        <v>2666.7200000000885</v>
      </c>
      <c r="H43" s="460">
        <f>G43+'27'!H43</f>
        <v>-8262.0899999999674</v>
      </c>
      <c r="I43" s="455"/>
      <c r="J43" s="552">
        <f>H43/DAY(B2)</f>
        <v>-295.07464285714167</v>
      </c>
      <c r="K43" s="428"/>
      <c r="L43" s="377"/>
      <c r="N43" s="1107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7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7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187</v>
      </c>
      <c r="I46" s="455"/>
      <c r="J46" s="552">
        <f>H46/DAY(B2)</f>
        <v>6.6785714285714288</v>
      </c>
      <c r="K46" s="428"/>
      <c r="L46" s="377"/>
      <c r="N46" s="1107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19861.907000000116</v>
      </c>
      <c r="H47" s="460">
        <f>G47+'27'!H47</f>
        <v>-58673.04</v>
      </c>
      <c r="I47" s="455"/>
      <c r="J47" s="552">
        <f>H47/DAY(B2)</f>
        <v>-2095.4657142857145</v>
      </c>
      <c r="K47" s="428"/>
      <c r="L47" s="377"/>
      <c r="N47" s="1107"/>
    </row>
    <row r="48" spans="1:14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  <c r="N48" s="1107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7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436557.63</v>
      </c>
      <c r="F50" s="745">
        <v>437848.71</v>
      </c>
      <c r="G50" s="473">
        <f t="shared" si="4"/>
        <v>1291.0800000000163</v>
      </c>
      <c r="H50" s="460">
        <f>G50+'27'!H50</f>
        <v>-4577.289999999979</v>
      </c>
      <c r="I50" s="455"/>
      <c r="J50" s="552">
        <f>H50/DAY(B2)</f>
        <v>-163.4746428571421</v>
      </c>
      <c r="K50" s="428"/>
      <c r="L50" s="377"/>
      <c r="N50" s="1107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-1549.1300000000047</v>
      </c>
      <c r="I51" s="455"/>
      <c r="J51" s="552">
        <f>H51/DAY(B2)</f>
        <v>-55.326071428571595</v>
      </c>
      <c r="K51" s="428"/>
      <c r="L51" s="377"/>
      <c r="N51" s="1107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</v>
      </c>
      <c r="G52" s="473">
        <f t="shared" si="4"/>
        <v>-6.9999999948777258E-2</v>
      </c>
      <c r="H52" s="460">
        <f>G52+'27'!H52</f>
        <v>-2048</v>
      </c>
      <c r="I52" s="455"/>
      <c r="J52" s="552">
        <f>H52/DAY(B2)</f>
        <v>-73.142857142857139</v>
      </c>
      <c r="K52" s="428"/>
      <c r="L52" s="377"/>
      <c r="N52" s="1107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400443.81</v>
      </c>
      <c r="F53" s="745">
        <v>400642.39</v>
      </c>
      <c r="G53" s="473">
        <f t="shared" si="4"/>
        <v>198.5800000000163</v>
      </c>
      <c r="H53" s="460">
        <f>G53+'27'!H53</f>
        <v>-4806.609999999986</v>
      </c>
      <c r="I53" s="455"/>
      <c r="J53" s="552">
        <f>H53/DAY(B2)</f>
        <v>-171.66464285714235</v>
      </c>
      <c r="K53" s="428"/>
      <c r="L53" s="377"/>
      <c r="N53" s="1107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8881.6</v>
      </c>
      <c r="F54" s="745">
        <v>8952.82</v>
      </c>
      <c r="G54" s="473">
        <f t="shared" si="4"/>
        <v>71.219999999999345</v>
      </c>
      <c r="H54" s="460">
        <f>G54+'27'!H54</f>
        <v>2795.8600000000006</v>
      </c>
      <c r="I54" s="455"/>
      <c r="J54" s="552">
        <f>H54/DAY(B2)</f>
        <v>99.85214285714288</v>
      </c>
      <c r="K54" s="428"/>
      <c r="L54" s="377"/>
      <c r="N54" s="1107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208980.55</v>
      </c>
      <c r="F55" s="746">
        <v>210597.71</v>
      </c>
      <c r="G55" s="655">
        <f t="shared" si="4"/>
        <v>1617.1600000000035</v>
      </c>
      <c r="H55" s="708">
        <f>G55+'27'!H55</f>
        <v>-10498.290000000008</v>
      </c>
      <c r="I55" s="709"/>
      <c r="J55" s="710">
        <f>H55/DAY(B2)</f>
        <v>-374.93892857142885</v>
      </c>
      <c r="K55" s="428"/>
      <c r="L55" s="377"/>
      <c r="N55" s="1107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588940.71</v>
      </c>
      <c r="F56" s="746">
        <v>588949.67000000004</v>
      </c>
      <c r="G56" s="473">
        <f t="shared" si="4"/>
        <v>8.9600000000791624</v>
      </c>
      <c r="H56" s="460">
        <f>G56+'27'!H56</f>
        <v>-17.32999999995809</v>
      </c>
      <c r="I56" s="455"/>
      <c r="J56" s="552">
        <f>H56/DAY(B2)</f>
        <v>-0.61892857142707469</v>
      </c>
      <c r="K56" s="427"/>
      <c r="L56" s="377"/>
      <c r="N56" s="1107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</v>
      </c>
      <c r="G57" s="473">
        <f t="shared" si="4"/>
        <v>0</v>
      </c>
      <c r="H57" s="460">
        <f>G57+'27'!H57</f>
        <v>0</v>
      </c>
      <c r="I57" s="455"/>
      <c r="J57" s="552">
        <f>H57/DAY(B2)</f>
        <v>0</v>
      </c>
      <c r="K57" s="428"/>
      <c r="L57" s="377"/>
      <c r="N57" s="1107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40808.275000000001</v>
      </c>
      <c r="F58" s="1237">
        <v>40985.08</v>
      </c>
      <c r="G58" s="473">
        <f t="shared" si="4"/>
        <v>176.80500000000029</v>
      </c>
      <c r="H58" s="460">
        <f>G58+'27'!H58</f>
        <v>-757.91999999999825</v>
      </c>
      <c r="I58" s="455"/>
      <c r="J58" s="552">
        <f>H58/DAY(B2)</f>
        <v>-27.068571428571367</v>
      </c>
      <c r="K58" s="428"/>
      <c r="L58" s="377"/>
      <c r="N58" s="1107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3363.7350000001661</v>
      </c>
      <c r="H59" s="460">
        <f>G59+'27'!H59</f>
        <v>-21458.579999999958</v>
      </c>
      <c r="I59" s="455">
        <f>G7-G60</f>
        <v>361.35799999971641</v>
      </c>
      <c r="J59" s="552">
        <f>H59/DAY(B2)</f>
        <v>-766.37785714285565</v>
      </c>
      <c r="K59" s="428"/>
      <c r="L59" s="377"/>
      <c r="N59" s="1107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23225.642000000284</v>
      </c>
      <c r="H60" s="460">
        <f>G60+'27'!H60</f>
        <v>-65962.62</v>
      </c>
      <c r="I60" s="455">
        <f>G13-G60</f>
        <v>-358.7420000002603</v>
      </c>
      <c r="J60" s="552">
        <f>H60/DAY(B2)</f>
        <v>-2355.8078571428568</v>
      </c>
      <c r="K60" s="428"/>
      <c r="L60" s="377"/>
      <c r="N60" s="1107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7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7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2046.98</v>
      </c>
      <c r="F63" s="514">
        <v>2059</v>
      </c>
      <c r="G63" s="473">
        <f t="shared" si="5"/>
        <v>12.019999999999982</v>
      </c>
      <c r="H63" s="460">
        <f>G63+'27'!H63</f>
        <v>-37</v>
      </c>
      <c r="I63" s="515"/>
      <c r="J63" s="552">
        <f>H63/DAY(B2)</f>
        <v>-1.3214285714285714</v>
      </c>
      <c r="K63" s="428"/>
      <c r="L63" s="377"/>
      <c r="N63" s="1107"/>
    </row>
    <row r="64" spans="1:14" ht="27.75">
      <c r="A64" s="1416" t="s">
        <v>99</v>
      </c>
      <c r="B64" s="1417"/>
      <c r="C64" s="1418"/>
      <c r="D64" s="523" t="s">
        <v>187</v>
      </c>
      <c r="E64" s="514">
        <f>'27'!F64</f>
        <v>137314.51999999999</v>
      </c>
      <c r="F64" s="741">
        <v>137777.04</v>
      </c>
      <c r="G64" s="473">
        <f t="shared" si="5"/>
        <v>462.52000000001863</v>
      </c>
      <c r="H64" s="460">
        <f>G64+'27'!H64</f>
        <v>-1402.9599999999919</v>
      </c>
      <c r="I64" s="480"/>
      <c r="J64" s="552">
        <f>H64/DAY(B2)</f>
        <v>-50.105714285713994</v>
      </c>
      <c r="K64" s="428"/>
      <c r="L64" s="377"/>
      <c r="N64" s="1107"/>
    </row>
    <row r="65" spans="1:14" ht="27.75">
      <c r="A65" s="1416" t="s">
        <v>100</v>
      </c>
      <c r="B65" s="1417"/>
      <c r="C65" s="1418"/>
      <c r="D65" s="523" t="s">
        <v>187</v>
      </c>
      <c r="E65" s="514">
        <f>'27'!F65</f>
        <v>142669.78</v>
      </c>
      <c r="F65" s="748">
        <v>143059.66</v>
      </c>
      <c r="G65" s="473">
        <f t="shared" si="5"/>
        <v>389.88000000000466</v>
      </c>
      <c r="H65" s="460">
        <f>G65+'27'!H65</f>
        <v>-1145.3399999999965</v>
      </c>
      <c r="I65" s="489"/>
      <c r="J65" s="552">
        <f>H65/DAY(B2)</f>
        <v>-40.904999999999873</v>
      </c>
      <c r="K65" s="428"/>
      <c r="L65" s="377"/>
      <c r="N65" s="1107"/>
    </row>
    <row r="66" spans="1:14" ht="27.75">
      <c r="A66" s="1416" t="s">
        <v>101</v>
      </c>
      <c r="B66" s="1417"/>
      <c r="C66" s="1418"/>
      <c r="D66" s="523" t="s">
        <v>187</v>
      </c>
      <c r="E66" s="514">
        <f>'27'!F66</f>
        <v>35561.18</v>
      </c>
      <c r="F66" s="741">
        <v>35987.120000000003</v>
      </c>
      <c r="G66" s="473">
        <f t="shared" si="5"/>
        <v>425.94000000000233</v>
      </c>
      <c r="H66" s="460">
        <f>G66+'27'!H66</f>
        <v>-1220.8799999999974</v>
      </c>
      <c r="I66" s="480"/>
      <c r="J66" s="552">
        <f>H66/DAY(B2)</f>
        <v>-43.602857142857047</v>
      </c>
      <c r="K66" s="428"/>
      <c r="L66" s="377"/>
      <c r="N66" s="1107"/>
    </row>
    <row r="67" spans="1:14" ht="27.75">
      <c r="A67" s="1416" t="s">
        <v>102</v>
      </c>
      <c r="B67" s="1417"/>
      <c r="C67" s="1418"/>
      <c r="D67" s="523" t="s">
        <v>187</v>
      </c>
      <c r="E67" s="514">
        <f>'27'!F67</f>
        <v>226470.37</v>
      </c>
      <c r="F67" s="741">
        <v>227148.81</v>
      </c>
      <c r="G67" s="473">
        <f t="shared" si="5"/>
        <v>678.44000000000233</v>
      </c>
      <c r="H67" s="460">
        <f>G67+'27'!H67</f>
        <v>-1951.1900000000023</v>
      </c>
      <c r="I67" s="489"/>
      <c r="J67" s="552">
        <f>H67/DAY(B2)</f>
        <v>-69.685357142857228</v>
      </c>
      <c r="K67" s="429"/>
      <c r="L67" s="377"/>
      <c r="N67" s="1107"/>
    </row>
    <row r="68" spans="1:14" ht="27.75">
      <c r="A68" s="1416" t="s">
        <v>103</v>
      </c>
      <c r="B68" s="1417"/>
      <c r="C68" s="1418"/>
      <c r="D68" s="523" t="s">
        <v>187</v>
      </c>
      <c r="E68" s="514">
        <f>'27'!F68</f>
        <v>81794.167000000001</v>
      </c>
      <c r="F68" s="741">
        <v>82107.83</v>
      </c>
      <c r="G68" s="473">
        <f t="shared" si="5"/>
        <v>313.66300000000047</v>
      </c>
      <c r="H68" s="460">
        <f>G68+'27'!H68</f>
        <v>8237.9000000000087</v>
      </c>
      <c r="I68" s="516"/>
      <c r="J68" s="552">
        <f>H68/DAY(B2)</f>
        <v>294.21071428571457</v>
      </c>
      <c r="K68" s="430"/>
      <c r="L68" s="377"/>
      <c r="N68" s="1107"/>
    </row>
    <row r="69" spans="1:14" ht="27.75">
      <c r="A69" s="1416" t="s">
        <v>104</v>
      </c>
      <c r="B69" s="1417"/>
      <c r="C69" s="1418"/>
      <c r="D69" s="523" t="s">
        <v>187</v>
      </c>
      <c r="E69" s="514">
        <f>'27'!F69</f>
        <v>73071.710000000006</v>
      </c>
      <c r="F69" s="741">
        <v>73394.27</v>
      </c>
      <c r="G69" s="473">
        <f t="shared" si="5"/>
        <v>322.55999999999767</v>
      </c>
      <c r="H69" s="460">
        <f>G69+'27'!H69</f>
        <v>-934.72999999999593</v>
      </c>
      <c r="I69" s="516"/>
      <c r="J69" s="552">
        <f>H69/DAY(B2)</f>
        <v>-33.383214285714139</v>
      </c>
      <c r="K69" s="431"/>
      <c r="L69" s="377"/>
      <c r="N69" s="1107"/>
    </row>
    <row r="70" spans="1:14" ht="27.75">
      <c r="A70" s="1422" t="s">
        <v>189</v>
      </c>
      <c r="B70" s="1423"/>
      <c r="C70" s="1424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7"/>
    </row>
    <row r="71" spans="1:14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1107"/>
    </row>
    <row r="72" spans="1:14" ht="27.75">
      <c r="A72" s="1416" t="s">
        <v>191</v>
      </c>
      <c r="B72" s="1417"/>
      <c r="C72" s="1418"/>
      <c r="D72" s="523" t="s">
        <v>187</v>
      </c>
      <c r="E72" s="766">
        <f>'27'!F72</f>
        <v>852958</v>
      </c>
      <c r="F72" s="750">
        <v>852976</v>
      </c>
      <c r="G72" s="473">
        <f t="shared" ref="G72:G84" si="6">F72-E72</f>
        <v>18</v>
      </c>
      <c r="H72" s="460">
        <f>G72+'27'!H72</f>
        <v>-293</v>
      </c>
      <c r="I72" s="480"/>
      <c r="J72" s="552">
        <f>H72/DAY(B2)</f>
        <v>-10.464285714285714</v>
      </c>
      <c r="K72" s="431"/>
      <c r="L72" s="377"/>
      <c r="N72" s="1107"/>
    </row>
    <row r="73" spans="1:14" ht="27.75">
      <c r="A73" s="1416" t="s">
        <v>192</v>
      </c>
      <c r="B73" s="1417"/>
      <c r="C73" s="1418"/>
      <c r="D73" s="523" t="s">
        <v>187</v>
      </c>
      <c r="E73" s="766">
        <f>'27'!F73</f>
        <v>885795</v>
      </c>
      <c r="F73" s="751">
        <v>885796</v>
      </c>
      <c r="G73" s="655">
        <f t="shared" si="6"/>
        <v>1</v>
      </c>
      <c r="H73" s="460">
        <f>G73+'27'!H73</f>
        <v>-1449</v>
      </c>
      <c r="I73" s="480"/>
      <c r="J73" s="552">
        <f>H73/DAY(B2)</f>
        <v>-51.75</v>
      </c>
      <c r="K73" s="430"/>
      <c r="L73" s="377"/>
      <c r="N73" s="1107"/>
    </row>
    <row r="74" spans="1:14" ht="27.75">
      <c r="A74" s="1416" t="s">
        <v>193</v>
      </c>
      <c r="B74" s="1417"/>
      <c r="C74" s="1418"/>
      <c r="D74" s="523" t="s">
        <v>187</v>
      </c>
      <c r="E74" s="766">
        <f>'27'!F74</f>
        <v>1272.93</v>
      </c>
      <c r="F74" s="751">
        <v>1304.56</v>
      </c>
      <c r="G74" s="473">
        <f t="shared" si="6"/>
        <v>31.629999999999882</v>
      </c>
      <c r="H74" s="460">
        <f>G74+'27'!H74</f>
        <v>-65.440000000000055</v>
      </c>
      <c r="I74" s="480"/>
      <c r="J74" s="552">
        <f>H74/DAY(B2)</f>
        <v>-2.337142857142859</v>
      </c>
      <c r="K74" s="431"/>
      <c r="L74" s="377"/>
      <c r="N74" s="1107"/>
    </row>
    <row r="75" spans="1:14" ht="27.75">
      <c r="A75" s="1413" t="s">
        <v>194</v>
      </c>
      <c r="B75" s="1414"/>
      <c r="C75" s="1415"/>
      <c r="D75" s="523" t="s">
        <v>187</v>
      </c>
      <c r="E75" s="766">
        <f>'27'!F75</f>
        <v>8042.74</v>
      </c>
      <c r="F75" s="751">
        <v>8209.75</v>
      </c>
      <c r="G75" s="473">
        <f t="shared" si="6"/>
        <v>167.01000000000022</v>
      </c>
      <c r="H75" s="460">
        <f>G75+'27'!H75</f>
        <v>-470.25</v>
      </c>
      <c r="I75" s="480"/>
      <c r="J75" s="552">
        <f>H75/DAY(B2)</f>
        <v>-16.794642857142858</v>
      </c>
      <c r="K75" s="430"/>
      <c r="L75" s="377"/>
      <c r="N75" s="1107"/>
    </row>
    <row r="76" spans="1:14" ht="27.75">
      <c r="A76" s="1413" t="s">
        <v>195</v>
      </c>
      <c r="B76" s="1414"/>
      <c r="C76" s="1415"/>
      <c r="D76" s="523" t="s">
        <v>187</v>
      </c>
      <c r="E76" s="766">
        <f>'27'!F76</f>
        <v>3696.3</v>
      </c>
      <c r="F76" s="751">
        <v>3778.24</v>
      </c>
      <c r="G76" s="473">
        <f t="shared" si="6"/>
        <v>81.9399999999996</v>
      </c>
      <c r="H76" s="460">
        <f>G76+'27'!H76</f>
        <v>-1857.7600000000002</v>
      </c>
      <c r="I76" s="505"/>
      <c r="J76" s="552">
        <f>H76/DAY(B2)</f>
        <v>-66.348571428571432</v>
      </c>
      <c r="K76" s="430"/>
      <c r="L76" s="377"/>
      <c r="N76" s="1107"/>
    </row>
    <row r="77" spans="1:14" ht="27.75">
      <c r="A77" s="1416" t="s">
        <v>196</v>
      </c>
      <c r="B77" s="1417"/>
      <c r="C77" s="1418"/>
      <c r="D77" s="523" t="s">
        <v>187</v>
      </c>
      <c r="E77" s="766">
        <f>'27'!F77</f>
        <v>700018</v>
      </c>
      <c r="F77" s="751">
        <v>700064</v>
      </c>
      <c r="G77" s="655">
        <f t="shared" si="6"/>
        <v>46</v>
      </c>
      <c r="H77" s="460">
        <f>G77+'27'!H77</f>
        <v>-150</v>
      </c>
      <c r="I77" s="505"/>
      <c r="J77" s="552">
        <f>H77/DAY(B2)</f>
        <v>-5.3571428571428568</v>
      </c>
      <c r="K77" s="430"/>
      <c r="L77" s="377"/>
      <c r="N77" s="1107"/>
    </row>
    <row r="78" spans="1:14" ht="27.75">
      <c r="A78" s="1148" t="s">
        <v>197</v>
      </c>
      <c r="B78" s="1121"/>
      <c r="C78" s="1121"/>
      <c r="D78" s="523" t="s">
        <v>187</v>
      </c>
      <c r="E78" s="766">
        <f>'27'!F78</f>
        <v>664028</v>
      </c>
      <c r="F78" s="751">
        <v>664395</v>
      </c>
      <c r="G78" s="655">
        <f t="shared" si="6"/>
        <v>367</v>
      </c>
      <c r="H78" s="460">
        <f>G78+'27'!H78</f>
        <v>-985</v>
      </c>
      <c r="I78" s="505"/>
      <c r="J78" s="552">
        <f>H78/DAY(B2)</f>
        <v>-35.178571428571431</v>
      </c>
      <c r="K78" s="430"/>
      <c r="L78" s="377"/>
      <c r="N78" s="1107"/>
    </row>
    <row r="79" spans="1:14" ht="27.75">
      <c r="A79" s="1413" t="s">
        <v>92</v>
      </c>
      <c r="B79" s="1414"/>
      <c r="C79" s="1415"/>
      <c r="D79" s="524" t="s">
        <v>187</v>
      </c>
      <c r="E79" s="766">
        <f>'27'!F79</f>
        <v>820467</v>
      </c>
      <c r="F79" s="752">
        <v>820652</v>
      </c>
      <c r="G79" s="473">
        <f t="shared" si="6"/>
        <v>185</v>
      </c>
      <c r="H79" s="460">
        <f>G79+'27'!H79</f>
        <v>-4464</v>
      </c>
      <c r="I79" s="505"/>
      <c r="J79" s="552">
        <f>H79/DAY(B2)</f>
        <v>-159.42857142857142</v>
      </c>
      <c r="K79" s="430"/>
      <c r="L79" s="377"/>
      <c r="N79" s="1107"/>
    </row>
    <row r="80" spans="1:14" ht="27.75">
      <c r="A80" s="1413" t="s">
        <v>198</v>
      </c>
      <c r="B80" s="1414"/>
      <c r="C80" s="1415"/>
      <c r="D80" s="524" t="s">
        <v>187</v>
      </c>
      <c r="E80" s="766">
        <f>'27'!F80</f>
        <v>504299.56</v>
      </c>
      <c r="F80" s="751">
        <v>504635.04</v>
      </c>
      <c r="G80" s="473">
        <f t="shared" si="6"/>
        <v>335.47999999998137</v>
      </c>
      <c r="H80" s="460">
        <f>G80+'27'!H80</f>
        <v>1917.039999999979</v>
      </c>
      <c r="I80" s="505"/>
      <c r="J80" s="552">
        <f>H80/DAY(B2)</f>
        <v>68.465714285713531</v>
      </c>
      <c r="K80" s="430"/>
      <c r="L80" s="377"/>
      <c r="N80" s="1107"/>
    </row>
    <row r="81" spans="1:17" ht="27.75">
      <c r="A81" s="1413" t="s">
        <v>199</v>
      </c>
      <c r="B81" s="1414"/>
      <c r="C81" s="1415"/>
      <c r="D81" s="524" t="s">
        <v>187</v>
      </c>
      <c r="E81" s="766">
        <f>'27'!F81</f>
        <v>629062.80000000005</v>
      </c>
      <c r="F81" s="751">
        <v>629349.96</v>
      </c>
      <c r="G81" s="473">
        <f t="shared" si="6"/>
        <v>287.15999999991618</v>
      </c>
      <c r="H81" s="460">
        <f>G81+'27'!H81</f>
        <v>-835.04000000003725</v>
      </c>
      <c r="I81" s="505"/>
      <c r="J81" s="552">
        <f>H81/DAY(B2)</f>
        <v>-29.822857142858474</v>
      </c>
      <c r="K81" s="430"/>
      <c r="L81" s="377"/>
      <c r="N81" s="1107"/>
    </row>
    <row r="82" spans="1:17" ht="27.75">
      <c r="A82" s="1413" t="s">
        <v>93</v>
      </c>
      <c r="B82" s="1414"/>
      <c r="C82" s="1415"/>
      <c r="D82" s="485" t="s">
        <v>132</v>
      </c>
      <c r="E82" s="766">
        <f>'27'!F82</f>
        <v>106798.34</v>
      </c>
      <c r="F82" s="748">
        <v>106820.91</v>
      </c>
      <c r="G82" s="473">
        <f t="shared" si="6"/>
        <v>22.570000000006985</v>
      </c>
      <c r="H82" s="460">
        <f>G82+'27'!H82</f>
        <v>-74.089999999996508</v>
      </c>
      <c r="I82" s="486"/>
      <c r="J82" s="552">
        <f>H82/DAY(B2)</f>
        <v>-2.6460714285713038</v>
      </c>
      <c r="K82" s="430"/>
      <c r="L82" s="377"/>
      <c r="N82" s="1107"/>
    </row>
    <row r="83" spans="1:17" ht="27.75">
      <c r="A83" s="1413" t="s">
        <v>200</v>
      </c>
      <c r="B83" s="1414"/>
      <c r="C83" s="1415"/>
      <c r="D83" s="620" t="s">
        <v>132</v>
      </c>
      <c r="E83" s="766">
        <f>'27'!F83</f>
        <v>5947</v>
      </c>
      <c r="F83" s="470">
        <v>6230</v>
      </c>
      <c r="G83" s="473">
        <f t="shared" si="6"/>
        <v>283</v>
      </c>
      <c r="H83" s="460">
        <f>G83+'27'!H83</f>
        <v>-827</v>
      </c>
      <c r="I83" s="481"/>
      <c r="J83" s="552">
        <f>H83/DAY(B2)</f>
        <v>-29.535714285714285</v>
      </c>
      <c r="K83" s="429"/>
      <c r="L83" s="377"/>
      <c r="N83" s="1107"/>
    </row>
    <row r="84" spans="1:17">
      <c r="A84" s="1149" t="s">
        <v>201</v>
      </c>
      <c r="B84" s="571"/>
      <c r="C84" s="571"/>
      <c r="D84" s="478" t="s">
        <v>132</v>
      </c>
      <c r="E84" s="766">
        <f>'27'!F84</f>
        <v>451158</v>
      </c>
      <c r="F84" s="708">
        <v>452004</v>
      </c>
      <c r="G84" s="473">
        <f t="shared" si="6"/>
        <v>846</v>
      </c>
      <c r="H84" s="460">
        <f>G84+'27'!H84</f>
        <v>-2680</v>
      </c>
      <c r="I84" s="481"/>
      <c r="J84" s="552">
        <f>H84/DAY(B2)</f>
        <v>-95.714285714285708</v>
      </c>
      <c r="K84" s="380"/>
      <c r="L84" s="377"/>
      <c r="N84" s="1107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2671.7899999999045</v>
      </c>
      <c r="H85" s="460">
        <f>G85+'27'!H85</f>
        <v>-8177.5400000000482</v>
      </c>
      <c r="I85" s="481"/>
      <c r="J85" s="552">
        <f>H85/DAY(B2)</f>
        <v>-292.05500000000171</v>
      </c>
      <c r="K85" s="380"/>
      <c r="L85" s="378"/>
      <c r="N85" s="1107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453971.16</v>
      </c>
      <c r="F86" s="753">
        <v>454087.44</v>
      </c>
      <c r="G86" s="708">
        <f t="shared" ref="G86:G88" si="7">F86-E86</f>
        <v>116.28000000002794</v>
      </c>
      <c r="H86" s="708">
        <f t="shared" ref="H86:H88" si="8">G86</f>
        <v>116.28000000002794</v>
      </c>
      <c r="I86" s="655"/>
      <c r="J86" s="710">
        <f>H86/DAY(B2)</f>
        <v>4.1528571428581404</v>
      </c>
      <c r="K86" s="736"/>
      <c r="L86" s="737"/>
      <c r="N86" s="1107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80039.5</v>
      </c>
      <c r="F87" s="753">
        <v>80070.5</v>
      </c>
      <c r="G87" s="708">
        <f t="shared" si="7"/>
        <v>31</v>
      </c>
      <c r="H87" s="708">
        <f t="shared" si="8"/>
        <v>31</v>
      </c>
      <c r="I87" s="655"/>
      <c r="J87" s="710">
        <f>H87/DAY(B2)</f>
        <v>1.1071428571428572</v>
      </c>
      <c r="K87" s="736"/>
      <c r="L87" s="737"/>
      <c r="N87" s="1107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150336.29</v>
      </c>
      <c r="F88" s="753">
        <v>150368.45000000001</v>
      </c>
      <c r="G88" s="708">
        <f t="shared" si="7"/>
        <v>32.160000000003492</v>
      </c>
      <c r="H88" s="708">
        <f t="shared" si="8"/>
        <v>32.160000000003492</v>
      </c>
      <c r="I88" s="655"/>
      <c r="J88" s="710">
        <f>H88/DAY(B2)</f>
        <v>1.1485714285715534</v>
      </c>
      <c r="K88" s="736"/>
      <c r="L88" s="737"/>
      <c r="N88" s="1107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63379.8</v>
      </c>
      <c r="F89" s="753">
        <v>63424.7</v>
      </c>
      <c r="G89" s="708">
        <f t="shared" ref="G89:G90" si="9">F89-E89</f>
        <v>44.899999999994179</v>
      </c>
      <c r="H89" s="708">
        <f t="shared" ref="H89:H90" si="10">G89</f>
        <v>44.899999999994179</v>
      </c>
      <c r="I89" s="655"/>
      <c r="J89" s="710">
        <f>H89/DAY(B2)</f>
        <v>1.6035714285712206</v>
      </c>
      <c r="K89" s="736"/>
      <c r="L89" s="737"/>
      <c r="N89" s="1107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3265</v>
      </c>
      <c r="F90" s="753">
        <v>3266.2</v>
      </c>
      <c r="G90" s="708">
        <f t="shared" si="9"/>
        <v>1.1999999999998181</v>
      </c>
      <c r="H90" s="708">
        <f t="shared" si="10"/>
        <v>1.1999999999998181</v>
      </c>
      <c r="I90" s="655"/>
      <c r="J90" s="710">
        <f>H90/DAY(B2)</f>
        <v>4.2857142857136363E-2</v>
      </c>
      <c r="K90" s="736"/>
      <c r="L90" s="737"/>
      <c r="N90" s="1107"/>
      <c r="O90" s="382"/>
    </row>
    <row r="91" spans="1:17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1107"/>
      <c r="O91" s="773"/>
      <c r="P91" s="773"/>
      <c r="Q91" s="773"/>
    </row>
    <row r="92" spans="1:17" ht="27.75">
      <c r="A92" s="1437" t="s">
        <v>206</v>
      </c>
      <c r="B92" s="1438"/>
      <c r="C92" s="1439"/>
      <c r="D92" s="523" t="s">
        <v>144</v>
      </c>
      <c r="E92" s="762">
        <f>'27'!F92</f>
        <v>242203</v>
      </c>
      <c r="F92" s="741">
        <v>242328</v>
      </c>
      <c r="G92" s="473">
        <f t="shared" ref="G92:G93" si="11">F92-E92</f>
        <v>125</v>
      </c>
      <c r="H92" s="460">
        <f>G92+'27'!H92</f>
        <v>-318</v>
      </c>
      <c r="I92" s="480"/>
      <c r="J92" s="552">
        <f>H92/DAY(B2)</f>
        <v>-11.357142857142858</v>
      </c>
      <c r="K92" s="429"/>
      <c r="L92" s="377"/>
      <c r="N92" s="1107"/>
    </row>
    <row r="93" spans="1:17" ht="27.75">
      <c r="A93" s="1437" t="s">
        <v>207</v>
      </c>
      <c r="B93" s="1438"/>
      <c r="C93" s="1439"/>
      <c r="D93" s="523" t="s">
        <v>144</v>
      </c>
      <c r="E93" s="762">
        <f>'27'!F93</f>
        <v>179054</v>
      </c>
      <c r="F93" s="741">
        <v>179209</v>
      </c>
      <c r="G93" s="473">
        <f t="shared" si="11"/>
        <v>155</v>
      </c>
      <c r="H93" s="460">
        <f>G93+'27'!H93</f>
        <v>-470</v>
      </c>
      <c r="I93" s="480"/>
      <c r="J93" s="552">
        <f>H93/DAY(B2)</f>
        <v>-16.785714285714285</v>
      </c>
      <c r="K93" s="380"/>
      <c r="L93" s="377"/>
      <c r="N93" s="1107"/>
    </row>
    <row r="94" spans="1:17">
      <c r="A94" s="1465" t="s">
        <v>208</v>
      </c>
      <c r="B94" s="1466"/>
      <c r="C94" s="1467"/>
      <c r="D94" s="523"/>
      <c r="E94" s="762">
        <f>'27'!F94</f>
        <v>0</v>
      </c>
      <c r="F94" s="741"/>
      <c r="G94" s="473">
        <f>G92+G93</f>
        <v>280</v>
      </c>
      <c r="H94" s="460">
        <f>G94+'27'!H94</f>
        <v>-1007</v>
      </c>
      <c r="I94" s="480"/>
      <c r="J94" s="552">
        <f>H94/DAY(B2)</f>
        <v>-35.964285714285715</v>
      </c>
      <c r="K94" s="380"/>
      <c r="L94" s="377"/>
      <c r="N94" s="1107"/>
    </row>
    <row r="95" spans="1:17" ht="27.75">
      <c r="A95" s="1437" t="s">
        <v>209</v>
      </c>
      <c r="B95" s="1438"/>
      <c r="C95" s="1439"/>
      <c r="D95" s="523" t="s">
        <v>144</v>
      </c>
      <c r="E95" s="762">
        <f>'27'!F95</f>
        <v>410447</v>
      </c>
      <c r="F95" s="741">
        <v>410545</v>
      </c>
      <c r="G95" s="473">
        <f t="shared" ref="G95:G100" si="12">F95-E95</f>
        <v>98</v>
      </c>
      <c r="H95" s="460">
        <f>G95+'27'!H95</f>
        <v>-240</v>
      </c>
      <c r="I95" s="480"/>
      <c r="J95" s="552">
        <f>H95/DAY(B2)</f>
        <v>-8.5714285714285712</v>
      </c>
      <c r="K95" s="380"/>
      <c r="L95" s="377"/>
      <c r="N95" s="1107"/>
    </row>
    <row r="96" spans="1:17" ht="27.75">
      <c r="A96" s="1145" t="s">
        <v>210</v>
      </c>
      <c r="B96" s="1146"/>
      <c r="C96" s="1146"/>
      <c r="D96" s="523" t="s">
        <v>144</v>
      </c>
      <c r="E96" s="762">
        <f>'27'!F96</f>
        <v>101755</v>
      </c>
      <c r="F96" s="741">
        <v>101780</v>
      </c>
      <c r="G96" s="473">
        <f t="shared" si="12"/>
        <v>25</v>
      </c>
      <c r="H96" s="460">
        <f>G96+'27'!H96</f>
        <v>-51</v>
      </c>
      <c r="I96" s="480"/>
      <c r="J96" s="552">
        <f>H96/DAY(B2)</f>
        <v>-1.8214285714285714</v>
      </c>
      <c r="K96" s="427"/>
      <c r="L96" s="377"/>
      <c r="N96" s="1107"/>
    </row>
    <row r="97" spans="1:17" ht="27.75">
      <c r="A97" s="1145" t="s">
        <v>211</v>
      </c>
      <c r="B97" s="1146"/>
      <c r="C97" s="1146"/>
      <c r="D97" s="523" t="s">
        <v>144</v>
      </c>
      <c r="E97" s="762">
        <f>'27'!F97</f>
        <v>96815</v>
      </c>
      <c r="F97" s="741">
        <v>96851</v>
      </c>
      <c r="G97" s="473">
        <f t="shared" si="12"/>
        <v>36</v>
      </c>
      <c r="H97" s="460">
        <f>G97+'27'!H97</f>
        <v>-77</v>
      </c>
      <c r="I97" s="480"/>
      <c r="J97" s="552">
        <f>H97/DAY(B2)</f>
        <v>-2.75</v>
      </c>
      <c r="K97" s="432"/>
      <c r="L97" s="377"/>
      <c r="N97" s="1107"/>
    </row>
    <row r="98" spans="1:17" ht="27.75">
      <c r="A98" s="1145" t="s">
        <v>212</v>
      </c>
      <c r="B98" s="1146"/>
      <c r="C98" s="1146"/>
      <c r="D98" s="523" t="s">
        <v>144</v>
      </c>
      <c r="E98" s="762">
        <f>'27'!F98</f>
        <v>148782</v>
      </c>
      <c r="F98" s="741">
        <v>148833</v>
      </c>
      <c r="G98" s="473">
        <f t="shared" si="12"/>
        <v>51</v>
      </c>
      <c r="H98" s="460">
        <f>G98+'27'!H98</f>
        <v>-76</v>
      </c>
      <c r="I98" s="480"/>
      <c r="J98" s="552">
        <f>H98/DAY(B2)</f>
        <v>-2.7142857142857144</v>
      </c>
      <c r="K98" s="380"/>
      <c r="L98" s="377"/>
      <c r="N98" s="1107"/>
    </row>
    <row r="99" spans="1:17" ht="27.75">
      <c r="A99" s="1145" t="s">
        <v>213</v>
      </c>
      <c r="B99" s="1146"/>
      <c r="C99" s="1146"/>
      <c r="D99" s="523" t="s">
        <v>144</v>
      </c>
      <c r="E99" s="762">
        <f>'27'!F99</f>
        <v>6774</v>
      </c>
      <c r="F99" s="741">
        <v>6793</v>
      </c>
      <c r="G99" s="473">
        <f t="shared" si="12"/>
        <v>19</v>
      </c>
      <c r="H99" s="460">
        <f>G99+'27'!H99</f>
        <v>-62</v>
      </c>
      <c r="I99" s="480"/>
      <c r="J99" s="552">
        <f>H99/DAY(B2)</f>
        <v>-2.2142857142857144</v>
      </c>
      <c r="K99" s="380"/>
      <c r="L99" s="377"/>
      <c r="N99" s="1107"/>
    </row>
    <row r="100" spans="1:17" ht="27.75">
      <c r="A100" s="1145" t="s">
        <v>214</v>
      </c>
      <c r="B100" s="1146"/>
      <c r="C100" s="1146"/>
      <c r="D100" s="523" t="s">
        <v>144</v>
      </c>
      <c r="E100" s="762">
        <f>'27'!F100</f>
        <v>4897</v>
      </c>
      <c r="F100" s="741">
        <v>4915</v>
      </c>
      <c r="G100" s="473">
        <f t="shared" si="12"/>
        <v>18</v>
      </c>
      <c r="H100" s="460">
        <f>G100+'27'!H100</f>
        <v>-28</v>
      </c>
      <c r="I100" s="480"/>
      <c r="J100" s="552">
        <f>H100/DAY(B2)</f>
        <v>-1</v>
      </c>
      <c r="K100" s="380"/>
      <c r="L100" s="377"/>
      <c r="N100" s="1107"/>
    </row>
    <row r="101" spans="1:17">
      <c r="A101" s="1465" t="s">
        <v>216</v>
      </c>
      <c r="B101" s="1466"/>
      <c r="C101" s="1467"/>
      <c r="D101" s="524"/>
      <c r="E101" s="486"/>
      <c r="F101" s="486"/>
      <c r="G101" s="525">
        <f>SUM(G95:G100)</f>
        <v>247</v>
      </c>
      <c r="H101" s="460">
        <f>G101+'27'!H101</f>
        <v>-534</v>
      </c>
      <c r="I101" s="526"/>
      <c r="J101" s="552">
        <f>H101/DAY(B2)</f>
        <v>-19.071428571428573</v>
      </c>
      <c r="K101" s="380"/>
      <c r="L101" s="377"/>
      <c r="N101" s="1107"/>
    </row>
    <row r="102" spans="1:17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1107"/>
      <c r="O102" s="773"/>
      <c r="P102" s="773"/>
      <c r="Q102" s="773"/>
    </row>
    <row r="103" spans="1:17" s="442" customFormat="1" ht="27">
      <c r="A103" s="1468" t="s">
        <v>218</v>
      </c>
      <c r="B103" s="1469"/>
      <c r="C103" s="573"/>
      <c r="D103" s="622"/>
      <c r="E103" s="533"/>
      <c r="F103" s="755"/>
      <c r="G103" s="532"/>
      <c r="H103" s="533"/>
      <c r="I103" s="532"/>
      <c r="J103" s="558"/>
      <c r="N103" s="1107"/>
      <c r="O103" s="773"/>
      <c r="P103" s="773"/>
      <c r="Q103" s="773"/>
    </row>
    <row r="104" spans="1:17" s="442" customFormat="1" ht="27">
      <c r="A104" s="1429" t="s">
        <v>219</v>
      </c>
      <c r="B104" s="1430"/>
      <c r="C104" s="1144"/>
      <c r="D104" s="622" t="s">
        <v>144</v>
      </c>
      <c r="E104" s="533">
        <f>'27'!F104</f>
        <v>7287</v>
      </c>
      <c r="F104" s="755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2.1071428571428572</v>
      </c>
      <c r="N104" s="1107"/>
      <c r="O104" s="773"/>
      <c r="P104" s="773"/>
      <c r="Q104" s="773"/>
    </row>
    <row r="105" spans="1:17" s="442" customFormat="1" ht="27">
      <c r="A105" s="1429" t="s">
        <v>77</v>
      </c>
      <c r="B105" s="1430"/>
      <c r="C105" s="1144"/>
      <c r="D105" s="622" t="s">
        <v>144</v>
      </c>
      <c r="E105" s="533">
        <f>'27'!F105</f>
        <v>35617</v>
      </c>
      <c r="F105" s="663">
        <v>35629</v>
      </c>
      <c r="G105" s="532">
        <f t="shared" ref="G105" si="13">F105-E105</f>
        <v>12</v>
      </c>
      <c r="H105" s="533">
        <f>SUM(G105+'1'!G77)</f>
        <v>62</v>
      </c>
      <c r="I105" s="532"/>
      <c r="J105" s="558">
        <f>H105/DAY(B2)</f>
        <v>2.2142857142857144</v>
      </c>
      <c r="N105" s="1107"/>
      <c r="O105" s="773"/>
      <c r="P105" s="773"/>
      <c r="Q105" s="773"/>
    </row>
    <row r="106" spans="1:17" s="442" customFormat="1" ht="27">
      <c r="A106" s="1429" t="s">
        <v>78</v>
      </c>
      <c r="B106" s="1470"/>
      <c r="C106" s="1430"/>
      <c r="D106" s="622" t="s">
        <v>144</v>
      </c>
      <c r="E106" s="533">
        <f>'27'!F106</f>
        <v>19395</v>
      </c>
      <c r="F106" s="663">
        <v>19400</v>
      </c>
      <c r="G106" s="532">
        <f>F106-E106</f>
        <v>5</v>
      </c>
      <c r="H106" s="533">
        <f>SUM(G106+'1'!G78)</f>
        <v>400</v>
      </c>
      <c r="I106" s="532"/>
      <c r="J106" s="558">
        <f>H106/DAY(B2)</f>
        <v>14.285714285714286</v>
      </c>
      <c r="N106" s="1107"/>
      <c r="O106" s="773"/>
      <c r="P106" s="773"/>
      <c r="Q106" s="773"/>
    </row>
    <row r="107" spans="1:17" s="442" customFormat="1" ht="27">
      <c r="A107" s="1431" t="s">
        <v>202</v>
      </c>
      <c r="B107" s="1432"/>
      <c r="C107" s="1144"/>
      <c r="D107" s="622"/>
      <c r="E107" s="533">
        <f>'27'!F107</f>
        <v>0</v>
      </c>
      <c r="F107" s="663"/>
      <c r="G107" s="532">
        <f>SUM(G104:G106)</f>
        <v>17</v>
      </c>
      <c r="H107" s="533">
        <f>SUM(G107+'1'!G79)</f>
        <v>211</v>
      </c>
      <c r="I107" s="532"/>
      <c r="J107" s="558">
        <f>H107/DAY(B2)</f>
        <v>7.5357142857142856</v>
      </c>
      <c r="N107" s="1107"/>
      <c r="O107" s="773"/>
      <c r="P107" s="773"/>
      <c r="Q107" s="773"/>
    </row>
    <row r="108" spans="1:17" s="442" customFormat="1" ht="27">
      <c r="A108" s="1435" t="s">
        <v>79</v>
      </c>
      <c r="B108" s="1436"/>
      <c r="C108" s="1144"/>
      <c r="D108" s="622" t="s">
        <v>144</v>
      </c>
      <c r="E108" s="533">
        <f>'27'!F108</f>
        <v>0</v>
      </c>
      <c r="F108" s="663"/>
      <c r="G108" s="532"/>
      <c r="H108" s="533"/>
      <c r="I108" s="532"/>
      <c r="J108" s="558"/>
      <c r="N108" s="1107"/>
      <c r="O108" s="773"/>
      <c r="P108" s="773"/>
      <c r="Q108" s="773"/>
    </row>
    <row r="109" spans="1:17" s="442" customFormat="1" ht="27">
      <c r="A109" s="1429" t="s">
        <v>220</v>
      </c>
      <c r="B109" s="1430"/>
      <c r="C109" s="1144"/>
      <c r="D109" s="622" t="s">
        <v>144</v>
      </c>
      <c r="E109" s="533">
        <f>'27'!F109</f>
        <v>58460</v>
      </c>
      <c r="F109" s="663">
        <v>58558</v>
      </c>
      <c r="G109" s="532">
        <f>F109-E109</f>
        <v>98</v>
      </c>
      <c r="H109" s="533">
        <f>SUM(G109+'1'!G81)</f>
        <v>296</v>
      </c>
      <c r="I109" s="532"/>
      <c r="J109" s="558">
        <f>H109/DAY(B2)</f>
        <v>10.571428571428571</v>
      </c>
      <c r="N109" s="1107"/>
      <c r="O109" s="773"/>
      <c r="P109" s="773"/>
      <c r="Q109" s="773"/>
    </row>
    <row r="110" spans="1:17" s="442" customFormat="1" ht="27">
      <c r="A110" s="1429" t="s">
        <v>221</v>
      </c>
      <c r="B110" s="1430"/>
      <c r="C110" s="1144"/>
      <c r="D110" s="622" t="s">
        <v>144</v>
      </c>
      <c r="E110" s="533">
        <f>'27'!F110</f>
        <v>31507</v>
      </c>
      <c r="F110" s="663">
        <v>31555</v>
      </c>
      <c r="G110" s="532">
        <f t="shared" ref="G110:G111" si="14">F110-E110</f>
        <v>48</v>
      </c>
      <c r="H110" s="533">
        <f>SUM(G110+'1'!G82)</f>
        <v>71</v>
      </c>
      <c r="I110" s="532"/>
      <c r="J110" s="558">
        <f>H110/DAY(B2)</f>
        <v>2.5357142857142856</v>
      </c>
      <c r="N110" s="1107"/>
      <c r="O110" s="773"/>
      <c r="P110" s="773"/>
      <c r="Q110" s="773"/>
    </row>
    <row r="111" spans="1:17" s="442" customFormat="1" ht="27">
      <c r="A111" s="1429" t="s">
        <v>222</v>
      </c>
      <c r="B111" s="1430"/>
      <c r="C111" s="1144"/>
      <c r="D111" s="622" t="s">
        <v>144</v>
      </c>
      <c r="E111" s="533">
        <f>'27'!F111</f>
        <v>4146</v>
      </c>
      <c r="F111" s="663">
        <v>4146</v>
      </c>
      <c r="G111" s="534">
        <f t="shared" si="14"/>
        <v>0</v>
      </c>
      <c r="H111" s="533">
        <f>SUM(G111+'1'!G83)</f>
        <v>239</v>
      </c>
      <c r="I111" s="532"/>
      <c r="J111" s="558">
        <f>H111/DAY(B2)</f>
        <v>8.5357142857142865</v>
      </c>
      <c r="N111" s="1107"/>
      <c r="O111" s="773"/>
      <c r="P111" s="773"/>
      <c r="Q111" s="773"/>
    </row>
    <row r="112" spans="1:17" s="442" customFormat="1" ht="27">
      <c r="A112" s="1431" t="s">
        <v>110</v>
      </c>
      <c r="B112" s="1432"/>
      <c r="C112" s="1144"/>
      <c r="D112" s="622"/>
      <c r="E112" s="533">
        <f>'27'!F112</f>
        <v>0</v>
      </c>
      <c r="F112" s="663"/>
      <c r="G112" s="532">
        <f>SUM(G109:G111)</f>
        <v>146</v>
      </c>
      <c r="H112" s="533">
        <f>SUM(G112+'1'!G84)</f>
        <v>1061</v>
      </c>
      <c r="I112" s="532"/>
      <c r="J112" s="558">
        <f>H112/DAY(B2)</f>
        <v>37.892857142857146</v>
      </c>
      <c r="N112" s="1107"/>
      <c r="O112" s="773"/>
      <c r="P112" s="773"/>
      <c r="Q112" s="773"/>
    </row>
    <row r="113" spans="1:17" s="442" customFormat="1" ht="27">
      <c r="A113" s="1435" t="s">
        <v>223</v>
      </c>
      <c r="B113" s="1436"/>
      <c r="C113" s="1144"/>
      <c r="D113" s="622"/>
      <c r="E113" s="533">
        <f>'27'!F113</f>
        <v>0</v>
      </c>
      <c r="F113" s="663"/>
      <c r="G113" s="532"/>
      <c r="H113" s="533"/>
      <c r="I113" s="532"/>
      <c r="J113" s="558">
        <f>H113/DAY(B2)</f>
        <v>0</v>
      </c>
      <c r="N113" s="1107"/>
      <c r="O113" s="773"/>
      <c r="P113" s="773"/>
      <c r="Q113" s="773"/>
    </row>
    <row r="114" spans="1:17" s="442" customFormat="1" ht="27">
      <c r="A114" s="1429" t="s">
        <v>224</v>
      </c>
      <c r="B114" s="1430"/>
      <c r="C114" s="574"/>
      <c r="D114" s="622" t="s">
        <v>144</v>
      </c>
      <c r="E114" s="533">
        <f>'27'!F114</f>
        <v>10763</v>
      </c>
      <c r="F114" s="663">
        <v>10786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0.8214285714285714</v>
      </c>
      <c r="N114" s="1107"/>
      <c r="O114" s="773"/>
      <c r="P114" s="773"/>
      <c r="Q114" s="773"/>
    </row>
    <row r="115" spans="1:17" s="442" customFormat="1" ht="27">
      <c r="A115" s="1429" t="s">
        <v>225</v>
      </c>
      <c r="B115" s="1430"/>
      <c r="C115" s="574"/>
      <c r="D115" s="622" t="s">
        <v>144</v>
      </c>
      <c r="E115" s="533">
        <f>'27'!F115</f>
        <v>7941</v>
      </c>
      <c r="F115" s="663">
        <v>7950</v>
      </c>
      <c r="G115" s="534">
        <f t="shared" ref="G115:G116" si="15">F115-E115</f>
        <v>9</v>
      </c>
      <c r="H115" s="533">
        <f>SUM(G115+'1'!G92)</f>
        <v>101</v>
      </c>
      <c r="I115" s="532"/>
      <c r="J115" s="558">
        <f>H115/DAY(B2)</f>
        <v>3.6071428571428572</v>
      </c>
      <c r="N115" s="1107"/>
      <c r="O115" s="773"/>
      <c r="P115" s="773"/>
      <c r="Q115" s="773"/>
    </row>
    <row r="116" spans="1:17" s="442" customFormat="1" ht="27">
      <c r="A116" s="1429" t="s">
        <v>226</v>
      </c>
      <c r="B116" s="1430"/>
      <c r="C116" s="574"/>
      <c r="D116" s="622" t="s">
        <v>144</v>
      </c>
      <c r="E116" s="536"/>
      <c r="F116" s="663"/>
      <c r="G116" s="534">
        <f t="shared" si="15"/>
        <v>0</v>
      </c>
      <c r="H116" s="533">
        <f>SUM(G116+'1'!G93)</f>
        <v>127</v>
      </c>
      <c r="I116" s="532"/>
      <c r="J116" s="558">
        <f>H116/DAY(B2)</f>
        <v>4.5357142857142856</v>
      </c>
      <c r="N116" s="1107"/>
      <c r="O116" s="773"/>
      <c r="P116" s="773"/>
      <c r="Q116" s="773"/>
    </row>
    <row r="117" spans="1:17" s="445" customFormat="1" ht="27">
      <c r="A117" s="1431" t="s">
        <v>202</v>
      </c>
      <c r="B117" s="1432"/>
      <c r="C117" s="574"/>
      <c r="D117" s="623"/>
      <c r="E117" s="536"/>
      <c r="F117" s="663"/>
      <c r="G117" s="534">
        <f>SUM(G114:G116)</f>
        <v>32</v>
      </c>
      <c r="H117" s="533">
        <f>SUM(G117+'1'!G95)</f>
        <v>109</v>
      </c>
      <c r="I117" s="534"/>
      <c r="J117" s="558">
        <f>H117/DAY(B2)</f>
        <v>3.8928571428571428</v>
      </c>
      <c r="N117" s="1107"/>
      <c r="O117" s="773"/>
      <c r="P117" s="773"/>
      <c r="Q117" s="774"/>
    </row>
    <row r="118" spans="1:17" s="446" customFormat="1" ht="27">
      <c r="A118" s="1425" t="s">
        <v>227</v>
      </c>
      <c r="B118" s="1426"/>
      <c r="C118" s="1142"/>
      <c r="D118" s="624" t="s">
        <v>144</v>
      </c>
      <c r="E118" s="536"/>
      <c r="F118" s="663"/>
      <c r="G118" s="536">
        <f>SUM(G19+G92)</f>
        <v>177</v>
      </c>
      <c r="H118" s="533">
        <f>SUM(G118+'1'!G96)</f>
        <v>194</v>
      </c>
      <c r="I118" s="535"/>
      <c r="J118" s="559">
        <f>H118/DAY(B2)</f>
        <v>6.9285714285714288</v>
      </c>
      <c r="N118" s="1107"/>
      <c r="O118" s="773"/>
      <c r="P118" s="773"/>
      <c r="Q118" s="774"/>
    </row>
    <row r="119" spans="1:17" s="446" customFormat="1" ht="27">
      <c r="A119" s="1425" t="s">
        <v>228</v>
      </c>
      <c r="B119" s="1426"/>
      <c r="C119" s="1142"/>
      <c r="D119" s="624" t="s">
        <v>144</v>
      </c>
      <c r="E119" s="536"/>
      <c r="F119" s="663"/>
      <c r="G119" s="536">
        <f>SUM(G95,G96,G97,G99,G100)</f>
        <v>196</v>
      </c>
      <c r="H119" s="533">
        <f>SUM(G119+'1'!G98)</f>
        <v>224</v>
      </c>
      <c r="I119" s="535"/>
      <c r="J119" s="559">
        <f>H119/DAY(B2)</f>
        <v>8</v>
      </c>
      <c r="N119" s="1107"/>
      <c r="O119" s="773"/>
      <c r="P119" s="773"/>
      <c r="Q119" s="774"/>
    </row>
    <row r="120" spans="1:17" s="446" customFormat="1" ht="27">
      <c r="A120" s="1425" t="s">
        <v>229</v>
      </c>
      <c r="B120" s="1426"/>
      <c r="C120" s="1142"/>
      <c r="D120" s="624" t="s">
        <v>144</v>
      </c>
      <c r="E120" s="536"/>
      <c r="F120" s="663"/>
      <c r="G120" s="534">
        <f>SUM(G112)</f>
        <v>146</v>
      </c>
      <c r="H120" s="533">
        <f>SUM(G120+'1'!G100)</f>
        <v>152</v>
      </c>
      <c r="I120" s="535"/>
      <c r="J120" s="559">
        <f>H120/DAY(B2)</f>
        <v>5.4285714285714288</v>
      </c>
      <c r="N120" s="1107"/>
      <c r="O120" s="773"/>
      <c r="P120" s="773"/>
      <c r="Q120" s="774"/>
    </row>
    <row r="121" spans="1:17" s="442" customFormat="1" ht="27">
      <c r="A121" s="1427"/>
      <c r="B121" s="1428"/>
      <c r="C121" s="1143"/>
      <c r="D121" s="560"/>
      <c r="E121" s="769"/>
      <c r="F121" s="756"/>
      <c r="G121" s="560"/>
      <c r="H121" s="561"/>
      <c r="I121" s="560"/>
      <c r="J121" s="562"/>
      <c r="N121" s="1107"/>
      <c r="O121" s="773"/>
      <c r="P121" s="773"/>
      <c r="Q121" s="773"/>
    </row>
    <row r="122" spans="1:17">
      <c r="A122" s="1462" t="s">
        <v>230</v>
      </c>
      <c r="B122" s="1463"/>
      <c r="C122" s="1464"/>
      <c r="D122" s="472"/>
      <c r="E122" s="742"/>
      <c r="F122" s="742"/>
      <c r="G122" s="483"/>
      <c r="H122" s="483"/>
      <c r="I122" s="483"/>
      <c r="J122" s="563"/>
      <c r="K122" s="380"/>
      <c r="L122" s="377"/>
      <c r="N122" s="1107"/>
    </row>
    <row r="123" spans="1:17" ht="27.75">
      <c r="A123" s="1145" t="s">
        <v>231</v>
      </c>
      <c r="B123" s="1146"/>
      <c r="C123" s="1146"/>
      <c r="D123" s="523" t="s">
        <v>141</v>
      </c>
      <c r="E123" s="741">
        <f>'27'!F123</f>
        <v>817810.67</v>
      </c>
      <c r="F123" s="741">
        <v>818063.48</v>
      </c>
      <c r="G123" s="473">
        <f t="shared" ref="G123:G127" si="16">F123-E123</f>
        <v>252.80999999993946</v>
      </c>
      <c r="H123" s="460">
        <f>G123+'27'!H123</f>
        <v>-746.52000000001863</v>
      </c>
      <c r="I123" s="526"/>
      <c r="J123" s="552">
        <f>H123/DAY(B2)</f>
        <v>-26.661428571429237</v>
      </c>
      <c r="K123" s="380"/>
      <c r="L123" s="377"/>
      <c r="N123" s="1107"/>
    </row>
    <row r="124" spans="1:17" ht="27.75">
      <c r="A124" s="1145" t="s">
        <v>232</v>
      </c>
      <c r="B124" s="1146"/>
      <c r="C124" s="1146"/>
      <c r="D124" s="523" t="s">
        <v>141</v>
      </c>
      <c r="E124" s="741">
        <f>'27'!F124</f>
        <v>73583.399999999994</v>
      </c>
      <c r="F124" s="757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7"/>
    </row>
    <row r="125" spans="1:17" ht="27.75">
      <c r="A125" s="1416" t="s">
        <v>233</v>
      </c>
      <c r="B125" s="1417"/>
      <c r="C125" s="1418"/>
      <c r="D125" s="523" t="s">
        <v>141</v>
      </c>
      <c r="E125" s="741">
        <f>'27'!F125</f>
        <v>141770.96</v>
      </c>
      <c r="F125" s="741">
        <v>141848.72</v>
      </c>
      <c r="G125" s="473">
        <f t="shared" si="16"/>
        <v>77.760000000009313</v>
      </c>
      <c r="H125" s="460">
        <f>G125+'27'!H125</f>
        <v>-287.27999999999884</v>
      </c>
      <c r="I125" s="526"/>
      <c r="J125" s="552">
        <f>H125/DAY(B2)</f>
        <v>-10.259999999999959</v>
      </c>
      <c r="K125" s="380"/>
      <c r="L125" s="377"/>
      <c r="N125" s="1107"/>
    </row>
    <row r="126" spans="1:17" ht="27.75">
      <c r="A126" s="609" t="s">
        <v>234</v>
      </c>
      <c r="B126" s="1146"/>
      <c r="C126" s="1146"/>
      <c r="D126" s="523" t="s">
        <v>141</v>
      </c>
      <c r="E126" s="741">
        <f>'27'!F126</f>
        <v>59882.1</v>
      </c>
      <c r="F126" s="757">
        <v>59885.8</v>
      </c>
      <c r="G126" s="473">
        <f t="shared" si="16"/>
        <v>3.7000000000043656</v>
      </c>
      <c r="H126" s="460">
        <f>G126+'27'!H126</f>
        <v>28567.100000000002</v>
      </c>
      <c r="I126" s="526"/>
      <c r="J126" s="552">
        <f>H126/DAY(B2)</f>
        <v>1020.2535714285715</v>
      </c>
      <c r="K126" s="380"/>
      <c r="L126" s="377"/>
      <c r="N126" s="1107"/>
    </row>
    <row r="127" spans="1:17" ht="27.75">
      <c r="A127" s="609" t="s">
        <v>235</v>
      </c>
      <c r="B127" s="1146"/>
      <c r="C127" s="1146"/>
      <c r="D127" s="523" t="s">
        <v>141</v>
      </c>
      <c r="E127" s="741">
        <f>'27'!F127</f>
        <v>8951.4</v>
      </c>
      <c r="F127" s="757">
        <v>8952.9</v>
      </c>
      <c r="G127" s="473">
        <f t="shared" si="16"/>
        <v>1.5</v>
      </c>
      <c r="H127" s="460">
        <f>G127+'27'!H127</f>
        <v>-9.1000000000003638</v>
      </c>
      <c r="I127" s="480"/>
      <c r="J127" s="552">
        <f>H127/DAY(B2)</f>
        <v>-0.325000000000013</v>
      </c>
      <c r="K127" s="380"/>
      <c r="L127" s="377"/>
      <c r="N127" s="1107"/>
    </row>
    <row r="128" spans="1:17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597.85800000007293</v>
      </c>
      <c r="H128" s="460"/>
      <c r="I128" s="480"/>
      <c r="J128" s="552"/>
      <c r="K128" s="364"/>
      <c r="L128" s="292"/>
      <c r="N128" s="1107"/>
      <c r="O128" s="773"/>
      <c r="P128" s="773"/>
      <c r="Q128" s="773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5" t="s">
        <v>238</v>
      </c>
      <c r="B130" s="1146"/>
      <c r="C130" s="1146"/>
      <c r="D130" s="523" t="s">
        <v>239</v>
      </c>
      <c r="E130" s="762">
        <f>'27'!F130</f>
        <v>0</v>
      </c>
      <c r="F130" s="741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5" t="s">
        <v>240</v>
      </c>
      <c r="B131" s="1146"/>
      <c r="C131" s="1146"/>
      <c r="D131" s="523" t="s">
        <v>239</v>
      </c>
      <c r="E131" s="762">
        <f>'27'!F131</f>
        <v>0</v>
      </c>
      <c r="F131" s="741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5" t="s">
        <v>241</v>
      </c>
      <c r="B132" s="1146"/>
      <c r="C132" s="1146"/>
      <c r="D132" s="523" t="s">
        <v>239</v>
      </c>
      <c r="E132" s="771">
        <f>'27'!F132</f>
        <v>39437.32</v>
      </c>
      <c r="F132" s="757">
        <v>39461</v>
      </c>
      <c r="G132" s="473">
        <f t="shared" si="17"/>
        <v>23.680000000000291</v>
      </c>
      <c r="H132" s="460">
        <f>G132+'27'!H132</f>
        <v>-81.330000000001746</v>
      </c>
      <c r="I132" s="480"/>
      <c r="J132" s="552">
        <f>H132/DAY(B2)</f>
        <v>-2.9046428571429197</v>
      </c>
    </row>
    <row r="133" spans="1:15" ht="27.75">
      <c r="A133" s="1145" t="s">
        <v>242</v>
      </c>
      <c r="B133" s="1146"/>
      <c r="C133" s="1146"/>
      <c r="D133" s="523" t="s">
        <v>239</v>
      </c>
      <c r="E133" s="771">
        <f>'27'!F133</f>
        <v>299.52</v>
      </c>
      <c r="F133" s="757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24.160000000000309</v>
      </c>
      <c r="J133" s="552">
        <f>H133/DAY(B2)</f>
        <v>0</v>
      </c>
    </row>
    <row r="134" spans="1:15" ht="27.75">
      <c r="A134" s="1145" t="s">
        <v>243</v>
      </c>
      <c r="B134" s="1146"/>
      <c r="C134" s="1146"/>
      <c r="D134" s="523" t="s">
        <v>239</v>
      </c>
      <c r="E134" s="771">
        <f>'27'!F134</f>
        <v>40802</v>
      </c>
      <c r="F134" s="757">
        <v>40810.51</v>
      </c>
      <c r="G134" s="473">
        <f t="shared" si="17"/>
        <v>8.5100000000020373</v>
      </c>
      <c r="H134" s="460">
        <f>G134+'27'!H134</f>
        <v>32.510000000002037</v>
      </c>
      <c r="I134" s="480"/>
      <c r="J134" s="552">
        <f>H134/DAY(B2)</f>
        <v>1.1610714285715014</v>
      </c>
      <c r="O134" s="773">
        <f>9-24</f>
        <v>-15</v>
      </c>
    </row>
    <row r="135" spans="1:15" ht="27.75">
      <c r="A135" s="1145" t="s">
        <v>244</v>
      </c>
      <c r="B135" s="1146"/>
      <c r="C135" s="1146"/>
      <c r="D135" s="523" t="s">
        <v>239</v>
      </c>
      <c r="E135" s="770">
        <f>'27'!F135</f>
        <v>32582.93</v>
      </c>
      <c r="F135" s="748">
        <v>32583</v>
      </c>
      <c r="G135" s="473">
        <f t="shared" si="17"/>
        <v>6.9999999999708962E-2</v>
      </c>
      <c r="H135" s="460">
        <f>G135+'27'!H135</f>
        <v>13.069999999999709</v>
      </c>
      <c r="I135" s="480"/>
      <c r="J135" s="552">
        <f>H135/DAY(B2)</f>
        <v>0.46678571428570387</v>
      </c>
    </row>
    <row r="136" spans="1:15" ht="27.75">
      <c r="A136" s="1145" t="s">
        <v>245</v>
      </c>
      <c r="B136" s="1146"/>
      <c r="C136" s="1146"/>
      <c r="D136" s="523" t="s">
        <v>239</v>
      </c>
      <c r="E136" s="770">
        <f>'27'!F136</f>
        <v>22450.5</v>
      </c>
      <c r="F136" s="748">
        <v>22457.94</v>
      </c>
      <c r="G136" s="473">
        <f t="shared" si="17"/>
        <v>7.4399999999986903</v>
      </c>
      <c r="H136" s="460">
        <f>G136+'27'!H136</f>
        <v>-30.710000000002765</v>
      </c>
      <c r="I136" s="480">
        <f>G134+G135+G136</f>
        <v>16.020000000000437</v>
      </c>
      <c r="J136" s="552">
        <f>H136/DAY(B2)</f>
        <v>-1.0967857142858131</v>
      </c>
    </row>
    <row r="137" spans="1:15" ht="27.75">
      <c r="A137" s="1145" t="s">
        <v>246</v>
      </c>
      <c r="B137" s="1146"/>
      <c r="C137" s="1146"/>
      <c r="D137" s="523" t="s">
        <v>239</v>
      </c>
      <c r="E137" s="770">
        <f>'27'!F137</f>
        <v>25048.97</v>
      </c>
      <c r="F137" s="748">
        <v>25048.97</v>
      </c>
      <c r="G137" s="473">
        <f t="shared" si="17"/>
        <v>0</v>
      </c>
      <c r="H137" s="460">
        <f>G137+'27'!H137</f>
        <v>12.659999999999854</v>
      </c>
      <c r="I137" s="480"/>
      <c r="J137" s="552">
        <f>H137/DAY(B2)</f>
        <v>0.45214285714285196</v>
      </c>
    </row>
    <row r="138" spans="1:15" ht="27.75">
      <c r="A138" s="1145" t="s">
        <v>247</v>
      </c>
      <c r="B138" s="1146"/>
      <c r="C138" s="1146"/>
      <c r="D138" s="523" t="s">
        <v>239</v>
      </c>
      <c r="E138" s="770">
        <f>'27'!F138</f>
        <v>70240.600000000006</v>
      </c>
      <c r="F138" s="748">
        <v>70244.98</v>
      </c>
      <c r="G138" s="473">
        <f t="shared" si="17"/>
        <v>4.3799999999901047</v>
      </c>
      <c r="H138" s="460">
        <f>G138+'27'!H138</f>
        <v>21.979999999995925</v>
      </c>
      <c r="I138" s="480">
        <f>G137+G138</f>
        <v>4.3799999999901047</v>
      </c>
      <c r="J138" s="552">
        <f>H138/DAY(B2)</f>
        <v>0.78499999999985448</v>
      </c>
    </row>
    <row r="139" spans="1:15" ht="27.75">
      <c r="A139" s="1145" t="s">
        <v>248</v>
      </c>
      <c r="B139" s="1146"/>
      <c r="C139" s="1146"/>
      <c r="D139" s="523" t="s">
        <v>239</v>
      </c>
      <c r="E139" s="771">
        <f>'27'!F139</f>
        <v>1536.52</v>
      </c>
      <c r="F139" s="757">
        <v>1536.52</v>
      </c>
      <c r="G139" s="473">
        <f t="shared" si="17"/>
        <v>0</v>
      </c>
      <c r="H139" s="460">
        <f>G139+'27'!H139</f>
        <v>0</v>
      </c>
      <c r="I139" s="542"/>
      <c r="J139" s="552">
        <f>H139/DAY(B2)</f>
        <v>0</v>
      </c>
    </row>
    <row r="140" spans="1:15" ht="27.75">
      <c r="A140" s="1145" t="s">
        <v>249</v>
      </c>
      <c r="B140" s="1146"/>
      <c r="C140" s="1146"/>
      <c r="D140" s="523" t="s">
        <v>239</v>
      </c>
      <c r="E140" s="770">
        <f>'27'!F140</f>
        <v>4435.78</v>
      </c>
      <c r="F140" s="741">
        <v>4440.07</v>
      </c>
      <c r="G140" s="473">
        <f t="shared" si="17"/>
        <v>4.2899999999999636</v>
      </c>
      <c r="H140" s="460">
        <f>G140+'27'!H140</f>
        <v>-28.470000000000255</v>
      </c>
      <c r="I140" s="542"/>
      <c r="J140" s="552">
        <f>H140/DAY(B2)</f>
        <v>-1.0167857142857233</v>
      </c>
    </row>
    <row r="141" spans="1:15">
      <c r="A141" s="1443" t="s">
        <v>250</v>
      </c>
      <c r="B141" s="1444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5" ht="27.75">
      <c r="A142" s="1437" t="s">
        <v>251</v>
      </c>
      <c r="B142" s="1438"/>
      <c r="C142" s="1439"/>
      <c r="D142" s="523" t="s">
        <v>132</v>
      </c>
      <c r="E142" s="460"/>
      <c r="F142" s="460"/>
      <c r="G142" s="460">
        <f>G35+G43+G49+G57</f>
        <v>6275.2800000001444</v>
      </c>
      <c r="H142" s="460">
        <f>G142+'27'!H142</f>
        <v>-20984.209999999963</v>
      </c>
      <c r="I142" s="480"/>
      <c r="J142" s="552">
        <f>H142/DAY(B2)</f>
        <v>-749.43607142857013</v>
      </c>
      <c r="K142" s="380"/>
      <c r="L142" s="377"/>
    </row>
    <row r="143" spans="1:15" ht="27.75">
      <c r="A143" s="1437" t="s">
        <v>252</v>
      </c>
      <c r="B143" s="1438"/>
      <c r="C143" s="1439"/>
      <c r="D143" s="523" t="s">
        <v>24</v>
      </c>
      <c r="E143" s="470"/>
      <c r="F143" s="470"/>
      <c r="G143" s="543">
        <f>G142/G7</f>
        <v>0.26604824691568002</v>
      </c>
      <c r="H143" s="460">
        <f>G143+'27'!H143</f>
        <v>7.4974705327913558</v>
      </c>
      <c r="I143" s="544"/>
      <c r="J143" s="552">
        <f>H143/DAY(B2)</f>
        <v>0.26776680474254844</v>
      </c>
      <c r="K143" s="380"/>
      <c r="L143" s="377"/>
    </row>
    <row r="144" spans="1:15" ht="27.75">
      <c r="A144" s="1437" t="s">
        <v>253</v>
      </c>
      <c r="B144" s="1438"/>
      <c r="C144" s="1439"/>
      <c r="D144" s="523" t="s">
        <v>132</v>
      </c>
      <c r="E144" s="460"/>
      <c r="F144" s="460"/>
      <c r="G144" s="460">
        <f>G41+G42+G55+G56</f>
        <v>7013.1270000000804</v>
      </c>
      <c r="H144" s="460">
        <f>G144+'27'!H144</f>
        <v>-21852.469999999972</v>
      </c>
      <c r="I144" s="480"/>
      <c r="J144" s="552">
        <f>H144/DAY(B2)</f>
        <v>-780.4453571428561</v>
      </c>
      <c r="K144" s="380"/>
      <c r="L144" s="377"/>
    </row>
    <row r="145" spans="1:12" ht="27.75">
      <c r="A145" s="1437" t="s">
        <v>254</v>
      </c>
      <c r="B145" s="1438"/>
      <c r="C145" s="1439"/>
      <c r="D145" s="523" t="s">
        <v>24</v>
      </c>
      <c r="E145" s="460"/>
      <c r="F145" s="460"/>
      <c r="G145" s="543">
        <f>G144/G7</f>
        <v>0.2973301818798525</v>
      </c>
      <c r="H145" s="460">
        <f>G145+'27'!H145</f>
        <v>7.2253255909303959</v>
      </c>
      <c r="I145" s="544"/>
      <c r="J145" s="552">
        <f>H145/DAY(B2)</f>
        <v>0.25804734253322842</v>
      </c>
      <c r="K145" s="380"/>
      <c r="L145" s="377"/>
    </row>
    <row r="146" spans="1:12" ht="27.75">
      <c r="A146" s="1437" t="s">
        <v>255</v>
      </c>
      <c r="B146" s="1438"/>
      <c r="C146" s="1439"/>
      <c r="D146" s="523" t="s">
        <v>132</v>
      </c>
      <c r="E146" s="460"/>
      <c r="F146" s="460"/>
      <c r="G146" s="460">
        <f>G39+G53</f>
        <v>4231.6100000000151</v>
      </c>
      <c r="H146" s="460">
        <f>G146+'27'!H146</f>
        <v>-12512.439999999973</v>
      </c>
      <c r="I146" s="545"/>
      <c r="J146" s="552">
        <f>H146/DAY(B2)</f>
        <v>-446.87285714285616</v>
      </c>
      <c r="K146" s="380"/>
      <c r="L146" s="377"/>
    </row>
    <row r="147" spans="1:12" ht="27.75">
      <c r="A147" s="1437" t="s">
        <v>256</v>
      </c>
      <c r="B147" s="1438"/>
      <c r="C147" s="1439"/>
      <c r="D147" s="523" t="s">
        <v>24</v>
      </c>
      <c r="E147" s="460"/>
      <c r="F147" s="460"/>
      <c r="G147" s="543">
        <f>G146/G7</f>
        <v>0.17940433289523955</v>
      </c>
      <c r="H147" s="460">
        <f>G147+'27'!H147</f>
        <v>5.4920827763099043</v>
      </c>
      <c r="I147" s="545"/>
      <c r="J147" s="552">
        <f>H147/DAY(B2)</f>
        <v>0.19614581343963944</v>
      </c>
    </row>
    <row r="148" spans="1:12" ht="27.75">
      <c r="A148" s="1437" t="s">
        <v>257</v>
      </c>
      <c r="B148" s="1438"/>
      <c r="C148" s="1439"/>
      <c r="D148" s="523" t="s">
        <v>183</v>
      </c>
      <c r="E148" s="460"/>
      <c r="F148" s="460"/>
      <c r="G148" s="460">
        <f>G38+G52</f>
        <v>1893.5200000000477</v>
      </c>
      <c r="H148" s="460">
        <f>G148+'27'!H148</f>
        <v>-5503.3300000000017</v>
      </c>
      <c r="I148" s="480"/>
      <c r="J148" s="552">
        <f>H148/DAY(B2)</f>
        <v>-196.54750000000007</v>
      </c>
      <c r="K148" s="381"/>
    </row>
    <row r="149" spans="1:12" ht="27.75">
      <c r="A149" s="1437" t="s">
        <v>258</v>
      </c>
      <c r="B149" s="1438"/>
      <c r="C149" s="1439"/>
      <c r="D149" s="523" t="s">
        <v>24</v>
      </c>
      <c r="E149" s="460"/>
      <c r="F149" s="460"/>
      <c r="G149" s="543">
        <f>G148/G7</f>
        <v>8.0278119303007919E-2</v>
      </c>
      <c r="H149" s="460">
        <f>G149+'27'!H149</f>
        <v>2.3998000961957802</v>
      </c>
      <c r="I149" s="545"/>
      <c r="J149" s="552">
        <f>H149/DAY(B2)</f>
        <v>8.570714629270644E-2</v>
      </c>
    </row>
    <row r="150" spans="1:12" ht="27.75">
      <c r="A150" s="1437" t="s">
        <v>259</v>
      </c>
      <c r="B150" s="1438"/>
      <c r="C150" s="1439"/>
      <c r="D150" s="523" t="s">
        <v>183</v>
      </c>
      <c r="E150" s="460"/>
      <c r="F150" s="460"/>
      <c r="G150" s="460">
        <f>G36+G50</f>
        <v>2021.1199999999953</v>
      </c>
      <c r="H150" s="460">
        <f>G150+'27'!H150</f>
        <v>-5993.5599999999977</v>
      </c>
      <c r="I150" s="545"/>
      <c r="J150" s="552">
        <f>H150/DAY(B2)</f>
        <v>-214.0557142857142</v>
      </c>
    </row>
    <row r="151" spans="1:12" ht="27.75">
      <c r="A151" s="1437" t="s">
        <v>260</v>
      </c>
      <c r="B151" s="1438"/>
      <c r="C151" s="1439"/>
      <c r="D151" s="523" t="s">
        <v>24</v>
      </c>
      <c r="E151" s="460"/>
      <c r="F151" s="460"/>
      <c r="G151" s="543">
        <f>G150/G7</f>
        <v>8.5687878916352031E-2</v>
      </c>
      <c r="H151" s="460">
        <f>G151+'27'!H151</f>
        <v>2.5498037591186362</v>
      </c>
      <c r="I151" s="480"/>
      <c r="J151" s="552">
        <f>H151/DAY(B2)</f>
        <v>9.1064419968522728E-2</v>
      </c>
    </row>
    <row r="152" spans="1:12" ht="27.75">
      <c r="A152" s="1437" t="s">
        <v>261</v>
      </c>
      <c r="B152" s="1438"/>
      <c r="C152" s="1439"/>
      <c r="D152" s="523" t="s">
        <v>183</v>
      </c>
      <c r="E152" s="460"/>
      <c r="F152" s="460"/>
      <c r="G152" s="460">
        <f>G37+G51</f>
        <v>1542.9599999999991</v>
      </c>
      <c r="H152" s="460">
        <f>G152+'27'!H152</f>
        <v>-4467.5300000000061</v>
      </c>
      <c r="I152" s="480"/>
      <c r="J152" s="552">
        <f>H152/DAY(B2)</f>
        <v>-159.55464285714308</v>
      </c>
    </row>
    <row r="153" spans="1:12" ht="28.5" thickBot="1">
      <c r="A153" s="1440" t="s">
        <v>262</v>
      </c>
      <c r="B153" s="1441"/>
      <c r="C153" s="1442"/>
      <c r="D153" s="625" t="s">
        <v>24</v>
      </c>
      <c r="E153" s="567"/>
      <c r="F153" s="567"/>
      <c r="G153" s="566">
        <f>G152/G7</f>
        <v>6.5415695086276301E-2</v>
      </c>
      <c r="H153" s="460">
        <f>G153+'27'!H153</f>
        <v>1.9703898977100383</v>
      </c>
      <c r="I153" s="568"/>
      <c r="J153" s="569">
        <f>H153/DAY(B2)</f>
        <v>7.0371067775358509E-2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88" t="s">
        <v>263</v>
      </c>
      <c r="B160" s="789"/>
      <c r="C160" s="789"/>
      <c r="D160" s="511" t="s">
        <v>187</v>
      </c>
      <c r="E160" s="770">
        <f>'27'!F160</f>
        <v>33094.04</v>
      </c>
      <c r="F160" s="661">
        <v>33179.910000000003</v>
      </c>
      <c r="G160" s="473">
        <f t="shared" ref="G160:G163" si="18">F160-E160</f>
        <v>85.870000000002619</v>
      </c>
    </row>
    <row r="161" spans="1:7">
      <c r="A161" s="788" t="s">
        <v>264</v>
      </c>
      <c r="B161" s="789"/>
      <c r="C161" s="789"/>
      <c r="D161" s="511" t="s">
        <v>187</v>
      </c>
      <c r="E161" s="770">
        <f>'27'!F161</f>
        <v>66946.23</v>
      </c>
      <c r="F161" s="661">
        <v>67357.03</v>
      </c>
      <c r="G161" s="473">
        <f t="shared" si="18"/>
        <v>410.80000000000291</v>
      </c>
    </row>
    <row r="162" spans="1:7">
      <c r="A162" s="788" t="s">
        <v>265</v>
      </c>
      <c r="B162" s="789"/>
      <c r="C162" s="789"/>
      <c r="D162" s="511" t="s">
        <v>187</v>
      </c>
      <c r="E162" s="770">
        <f>'27'!F162</f>
        <v>28260.2</v>
      </c>
      <c r="F162" s="661">
        <v>28521.38</v>
      </c>
      <c r="G162" s="473">
        <f t="shared" si="18"/>
        <v>261.18000000000029</v>
      </c>
    </row>
    <row r="163" spans="1:7">
      <c r="A163" s="788" t="s">
        <v>266</v>
      </c>
      <c r="B163" s="789"/>
      <c r="C163" s="789"/>
      <c r="D163" s="511" t="s">
        <v>187</v>
      </c>
      <c r="E163" s="770">
        <f>'27'!F163</f>
        <v>5748.29</v>
      </c>
      <c r="F163" s="661">
        <v>5757.85</v>
      </c>
      <c r="G163" s="473">
        <f t="shared" si="18"/>
        <v>9.5600000000004002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0">E63</f>
        <v>2046.98</v>
      </c>
      <c r="F165" s="514">
        <f t="shared" ref="F165:F171" si="21">F63</f>
        <v>2059</v>
      </c>
      <c r="G165" s="473">
        <f t="shared" si="19"/>
        <v>12.019999999999982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si="20"/>
        <v>137314.51999999999</v>
      </c>
      <c r="F166" s="514">
        <f t="shared" si="21"/>
        <v>137777.04</v>
      </c>
      <c r="G166" s="473">
        <f t="shared" si="19"/>
        <v>462.52000000001863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si="20"/>
        <v>142669.78</v>
      </c>
      <c r="F167" s="514">
        <f t="shared" si="21"/>
        <v>143059.66</v>
      </c>
      <c r="G167" s="473">
        <f t="shared" si="19"/>
        <v>389.88000000000466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si="20"/>
        <v>35561.18</v>
      </c>
      <c r="F168" s="514">
        <f t="shared" si="21"/>
        <v>35987.120000000003</v>
      </c>
      <c r="G168" s="473">
        <f t="shared" si="19"/>
        <v>425.94000000000233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si="20"/>
        <v>226470.37</v>
      </c>
      <c r="F169" s="514">
        <f t="shared" si="21"/>
        <v>227148.81</v>
      </c>
      <c r="G169" s="473">
        <f t="shared" si="19"/>
        <v>678.44000000000233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si="20"/>
        <v>81794.167000000001</v>
      </c>
      <c r="F170" s="514">
        <f t="shared" si="21"/>
        <v>82107.83</v>
      </c>
      <c r="G170" s="473">
        <f t="shared" si="19"/>
        <v>313.66300000000047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si="20"/>
        <v>73071.710000000006</v>
      </c>
      <c r="F171" s="514">
        <f t="shared" si="21"/>
        <v>73394.27</v>
      </c>
      <c r="G171" s="473">
        <f t="shared" si="19"/>
        <v>322.55999999999767</v>
      </c>
    </row>
    <row r="172" spans="1:7">
      <c r="G172" s="539">
        <f>SUM(G160:G171)</f>
        <v>3372.4330000000323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7" zoomScale="55" zoomScaleNormal="78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54" s="281" customFormat="1" ht="27">
      <c r="A2" s="575" t="s">
        <v>278</v>
      </c>
      <c r="B2" s="1117">
        <v>43919</v>
      </c>
      <c r="C2" s="1147" t="s">
        <v>69</v>
      </c>
      <c r="D2" s="611">
        <v>0.66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7" t="s">
        <v>120</v>
      </c>
      <c r="D3" s="612">
        <v>24</v>
      </c>
      <c r="E3" s="1454" t="s">
        <v>121</v>
      </c>
      <c r="F3" s="1455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7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448" t="s">
        <v>130</v>
      </c>
      <c r="B6" s="1449"/>
      <c r="C6" s="1450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5042972</v>
      </c>
      <c r="F7" s="460">
        <v>5066638</v>
      </c>
      <c r="G7" s="681">
        <f>F7-E7</f>
        <v>23666</v>
      </c>
      <c r="H7" s="682">
        <f>G7+'28'!H7</f>
        <v>-47285</v>
      </c>
      <c r="I7" s="683">
        <f>'1'!I7</f>
        <v>12000</v>
      </c>
      <c r="J7" s="684">
        <f>H7/DAY(B2)</f>
        <v>-1630.5172413793102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5074030</v>
      </c>
      <c r="F8" s="740">
        <v>5097788</v>
      </c>
      <c r="G8" s="692">
        <f>F8-E8</f>
        <v>23758</v>
      </c>
      <c r="H8" s="682">
        <f>G8+'28'!H8</f>
        <v>-47530</v>
      </c>
      <c r="I8" s="689"/>
      <c r="J8" s="684">
        <f>H8/DAY(B2)</f>
        <v>-1638.9655172413793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327410.71000000002</v>
      </c>
      <c r="F9" s="741">
        <v>350353.59</v>
      </c>
      <c r="G9" s="705">
        <f t="shared" ref="G9:G12" si="0">F9-E9</f>
        <v>22942.880000000005</v>
      </c>
      <c r="H9" s="682">
        <f>G9+'28'!H9</f>
        <v>-45715.409999999974</v>
      </c>
      <c r="I9" s="693">
        <f>I7-J7</f>
        <v>13630.51724137931</v>
      </c>
      <c r="J9" s="684">
        <f>H9/DAY(B2)</f>
        <v>-1576.3934482758611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360229.05000000005</v>
      </c>
      <c r="I10" s="694"/>
      <c r="J10" s="684">
        <f>H10/DAY(B2)</f>
        <v>12421.691379310347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2" t="s">
        <v>132</v>
      </c>
      <c r="E12" s="1096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2"/>
      <c r="E13" s="1096"/>
      <c r="F13" s="460"/>
      <c r="G13" s="697">
        <f>G9+G10+G11+G12</f>
        <v>22942.880000000005</v>
      </c>
      <c r="H13" s="1096">
        <f>G13+'28'!H13</f>
        <v>293519.64000000007</v>
      </c>
      <c r="I13" s="1097">
        <f>G7-G13</f>
        <v>723.11999999999534</v>
      </c>
      <c r="J13" s="1098">
        <f>H13/DAY(B2)</f>
        <v>10121.366896551726</v>
      </c>
      <c r="K13" s="428"/>
      <c r="L13" s="377"/>
    </row>
    <row r="14" spans="1:54">
      <c r="A14" s="1451" t="s">
        <v>139</v>
      </c>
      <c r="B14" s="1452"/>
      <c r="C14" s="1453"/>
      <c r="D14" s="1099"/>
      <c r="E14" s="1103"/>
      <c r="F14" s="742"/>
      <c r="G14" s="483"/>
      <c r="H14" s="1099"/>
      <c r="I14" s="1099"/>
      <c r="J14" s="1100"/>
      <c r="K14" s="429"/>
      <c r="L14" s="377"/>
    </row>
    <row r="15" spans="1:54">
      <c r="A15" s="668" t="s">
        <v>140</v>
      </c>
      <c r="B15" s="669"/>
      <c r="C15" s="669"/>
      <c r="D15" s="1104" t="s">
        <v>141</v>
      </c>
      <c r="E15" s="1105">
        <f>'28'!F15</f>
        <v>1643786.48</v>
      </c>
      <c r="F15" s="743">
        <v>1644727.97</v>
      </c>
      <c r="G15" s="667">
        <f>(F15-E15)</f>
        <v>941.48999999999069</v>
      </c>
      <c r="H15" s="1092">
        <f>G15+'28'!H15</f>
        <v>-1961.0300000000279</v>
      </c>
      <c r="I15" s="1093">
        <f>'1'!I15</f>
        <v>800</v>
      </c>
      <c r="J15" s="1094">
        <f>H15/DAY(B2)</f>
        <v>-67.621724137931992</v>
      </c>
      <c r="K15" s="428"/>
      <c r="L15" s="377"/>
    </row>
    <row r="16" spans="1:54">
      <c r="A16" s="676"/>
      <c r="B16" s="677"/>
      <c r="C16" s="677"/>
      <c r="D16" s="1104"/>
      <c r="E16" s="1105"/>
      <c r="F16" s="743"/>
      <c r="G16" s="672"/>
      <c r="H16" s="1092"/>
      <c r="I16" s="1095">
        <f>I15-J15</f>
        <v>867.62172413793201</v>
      </c>
      <c r="J16" s="1094"/>
      <c r="K16" s="428"/>
      <c r="L16" s="377"/>
    </row>
    <row r="17" spans="1:15">
      <c r="A17" s="1451" t="s">
        <v>142</v>
      </c>
      <c r="B17" s="1452"/>
      <c r="C17" s="1453"/>
      <c r="D17" s="1099"/>
      <c r="E17" s="1103"/>
      <c r="F17" s="742"/>
      <c r="G17" s="488"/>
      <c r="H17" s="1099"/>
      <c r="I17" s="1099"/>
      <c r="J17" s="1100"/>
      <c r="K17" s="428"/>
      <c r="L17" s="377"/>
    </row>
    <row r="18" spans="1:15" ht="27.75">
      <c r="A18" s="1477" t="s">
        <v>143</v>
      </c>
      <c r="B18" s="1478"/>
      <c r="C18" s="1479"/>
      <c r="D18" s="638" t="s">
        <v>144</v>
      </c>
      <c r="E18" s="761">
        <f>'28'!F18</f>
        <v>18</v>
      </c>
      <c r="F18" s="741">
        <v>16</v>
      </c>
      <c r="G18" s="697">
        <f>F18*10</f>
        <v>160</v>
      </c>
      <c r="H18" s="1096">
        <f>G18+'28'!H18</f>
        <v>3680</v>
      </c>
      <c r="I18" s="1101">
        <f>'1'!I18</f>
        <v>65</v>
      </c>
      <c r="J18" s="1098">
        <f>H18/DAY(B2)</f>
        <v>126.89655172413794</v>
      </c>
      <c r="K18" s="428"/>
      <c r="L18" s="377"/>
    </row>
    <row r="19" spans="1:15" ht="27.75">
      <c r="A19" s="1477" t="s">
        <v>71</v>
      </c>
      <c r="B19" s="1478"/>
      <c r="C19" s="1479"/>
      <c r="D19" s="638" t="s">
        <v>144</v>
      </c>
      <c r="E19" s="761">
        <f>'28'!F19</f>
        <v>135937</v>
      </c>
      <c r="F19" s="741">
        <v>135990</v>
      </c>
      <c r="G19" s="692">
        <f t="shared" ref="G19" si="1">F19-E19</f>
        <v>53</v>
      </c>
      <c r="H19" s="682">
        <f>G19+'28'!H19</f>
        <v>-100</v>
      </c>
      <c r="I19" s="699"/>
      <c r="J19" s="684">
        <f>H19/DAY(B2)</f>
        <v>-3.4482758620689653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213</v>
      </c>
      <c r="H20" s="682">
        <f>G20+'28'!H20</f>
        <v>3580</v>
      </c>
      <c r="I20" s="701">
        <f>I18-J20</f>
        <v>-58.448275862068968</v>
      </c>
      <c r="J20" s="684">
        <f>H20/DAY(B2)</f>
        <v>123.44827586206897</v>
      </c>
      <c r="K20" s="428"/>
      <c r="L20" s="377"/>
    </row>
    <row r="21" spans="1:15">
      <c r="A21" s="1451" t="s">
        <v>146</v>
      </c>
      <c r="B21" s="1452"/>
      <c r="C21" s="1453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5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5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456" t="s">
        <v>151</v>
      </c>
      <c r="B25" s="1457"/>
      <c r="C25" s="1458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23758</v>
      </c>
      <c r="F27" s="501">
        <v>9</v>
      </c>
      <c r="G27" s="502">
        <f>E27*F27</f>
        <v>213822</v>
      </c>
      <c r="H27" s="460">
        <f>G27+'28'!H27</f>
        <v>-427770</v>
      </c>
      <c r="I27" s="503"/>
      <c r="J27" s="552">
        <f>H27/DAY(B2)</f>
        <v>-14750.689655172413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941.48999999999069</v>
      </c>
      <c r="F28" s="501">
        <v>51.45</v>
      </c>
      <c r="G28" s="502">
        <f>E28*F28</f>
        <v>48439.660499999525</v>
      </c>
      <c r="H28" s="460">
        <f>G28+'28'!H28</f>
        <v>-100894.99350000138</v>
      </c>
      <c r="I28" s="505"/>
      <c r="J28" s="552">
        <f>H28/DAY(B2)</f>
        <v>-3479.1377068965994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53</v>
      </c>
      <c r="F30" s="702">
        <v>134</v>
      </c>
      <c r="G30" s="502">
        <f>E30*F30</f>
        <v>7102</v>
      </c>
      <c r="H30" s="460">
        <f>G30+'28'!H30</f>
        <v>-12032</v>
      </c>
      <c r="I30" s="505"/>
      <c r="J30" s="552">
        <f>H30/DAY(B2)</f>
        <v>-414.89655172413791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160</v>
      </c>
      <c r="F31" s="702">
        <v>80</v>
      </c>
      <c r="G31" s="502">
        <f>E31*F31</f>
        <v>12800</v>
      </c>
      <c r="H31" s="460">
        <f>G31+'28'!H31</f>
        <v>294400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282163.66049999953</v>
      </c>
      <c r="H32" s="460">
        <f>G32+'28'!H32</f>
        <v>-157286.9935000015</v>
      </c>
      <c r="I32" s="509"/>
      <c r="J32" s="552">
        <f>H32/DAY(B2)</f>
        <v>-5423.6894310345342</v>
      </c>
      <c r="K32" s="373"/>
      <c r="L32" s="443"/>
      <c r="N32" s="773"/>
      <c r="O32" s="77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</row>
    <row r="34" spans="1:15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787982.39</v>
      </c>
      <c r="F35" s="745">
        <v>791369.83</v>
      </c>
      <c r="G35" s="473">
        <f t="shared" ref="G35:G46" si="3">F35-E35</f>
        <v>3387.4399999999441</v>
      </c>
      <c r="H35" s="460">
        <f>G35+'28'!H35</f>
        <v>-7019.1700000000419</v>
      </c>
      <c r="I35" s="455"/>
      <c r="J35" s="552">
        <f>H35/DAY(B2)</f>
        <v>-242.04034482758766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314825.73</v>
      </c>
      <c r="F36" s="745">
        <v>315643.65000000002</v>
      </c>
      <c r="G36" s="473">
        <f t="shared" si="3"/>
        <v>817.92000000004191</v>
      </c>
      <c r="H36" s="460">
        <f>G36+'28'!H36</f>
        <v>-1792.3499999999767</v>
      </c>
      <c r="I36" s="455"/>
      <c r="J36" s="552">
        <f>H36/DAY(B2)</f>
        <v>-61.805172413792299</v>
      </c>
      <c r="K36" s="428"/>
      <c r="L36" s="377"/>
    </row>
    <row r="37" spans="1:15" s="441" customFormat="1">
      <c r="A37" s="1108" t="s">
        <v>166</v>
      </c>
      <c r="B37" s="1112"/>
      <c r="C37" s="1112"/>
      <c r="D37" s="627" t="s">
        <v>132</v>
      </c>
      <c r="E37" s="746">
        <f>'28'!F37</f>
        <v>50329.599999999999</v>
      </c>
      <c r="F37" s="746">
        <v>51806.41</v>
      </c>
      <c r="G37" s="655">
        <f t="shared" si="3"/>
        <v>1476.8100000000049</v>
      </c>
      <c r="H37" s="708">
        <f>G37+'28'!H37</f>
        <v>-2990.5899999999965</v>
      </c>
      <c r="I37" s="709"/>
      <c r="J37" s="710">
        <f>H37/DAY(B2)</f>
        <v>-103.12379310344815</v>
      </c>
      <c r="K37" s="1110"/>
      <c r="L37" s="1111"/>
      <c r="N37" s="774"/>
      <c r="O37" s="774"/>
    </row>
    <row r="38" spans="1:15" s="441" customFormat="1">
      <c r="A38" s="1108" t="s">
        <v>167</v>
      </c>
      <c r="B38" s="1112"/>
      <c r="C38" s="1112"/>
      <c r="D38" s="627" t="s">
        <v>132</v>
      </c>
      <c r="E38" s="746">
        <f>'28'!F38</f>
        <v>66806.67</v>
      </c>
      <c r="F38" s="1113">
        <v>68599.78</v>
      </c>
      <c r="G38" s="655">
        <f t="shared" si="3"/>
        <v>1793.1100000000006</v>
      </c>
      <c r="H38" s="708">
        <f>G38+'28'!H38</f>
        <v>-3708.2200000000012</v>
      </c>
      <c r="I38" s="709"/>
      <c r="J38" s="710">
        <f>H38/DAY(B2)</f>
        <v>-127.86965517241383</v>
      </c>
      <c r="K38" s="1110"/>
      <c r="L38" s="1111"/>
      <c r="N38" s="774"/>
      <c r="O38" s="774"/>
    </row>
    <row r="39" spans="1:15" s="441" customFormat="1">
      <c r="A39" s="1108" t="s">
        <v>168</v>
      </c>
      <c r="B39" s="1112"/>
      <c r="C39" s="1112"/>
      <c r="D39" s="627" t="s">
        <v>132</v>
      </c>
      <c r="E39" s="746">
        <f>'28'!F39</f>
        <v>140931.17000000001</v>
      </c>
      <c r="F39" s="746">
        <v>144784.9</v>
      </c>
      <c r="G39" s="655">
        <f t="shared" si="3"/>
        <v>3853.7299999999814</v>
      </c>
      <c r="H39" s="708">
        <f>G39+'28'!H39</f>
        <v>-8037.1000000000058</v>
      </c>
      <c r="I39" s="709"/>
      <c r="J39" s="710">
        <f>H39/DAY(B2)</f>
        <v>-277.14137931034503</v>
      </c>
      <c r="K39" s="1110"/>
      <c r="L39" s="1111"/>
      <c r="N39" s="774"/>
      <c r="O39" s="774"/>
    </row>
    <row r="40" spans="1:15" s="441" customFormat="1">
      <c r="A40" s="1114" t="s">
        <v>169</v>
      </c>
      <c r="B40" s="1115"/>
      <c r="C40" s="1115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0.34</v>
      </c>
      <c r="I40" s="709"/>
      <c r="J40" s="710">
        <f>H40/DAY(B2)</f>
        <v>1.1724137931034483E-2</v>
      </c>
      <c r="K40" s="1116"/>
      <c r="L40" s="1111"/>
      <c r="N40" s="774"/>
      <c r="O40" s="774"/>
    </row>
    <row r="41" spans="1:15" s="441" customFormat="1">
      <c r="A41" s="1108" t="s">
        <v>170</v>
      </c>
      <c r="B41" s="1112"/>
      <c r="C41" s="1112"/>
      <c r="D41" s="627" t="s">
        <v>132</v>
      </c>
      <c r="E41" s="746">
        <f>'28'!F41</f>
        <v>116805.15</v>
      </c>
      <c r="F41" s="746">
        <v>122353.11</v>
      </c>
      <c r="G41" s="655">
        <f>F41-E41</f>
        <v>5547.9600000000064</v>
      </c>
      <c r="H41" s="708">
        <f>G41+'28'!H41</f>
        <v>-10787.89</v>
      </c>
      <c r="I41" s="709"/>
      <c r="J41" s="710">
        <f>H41/DAY(B2)</f>
        <v>-371.99620689655171</v>
      </c>
      <c r="K41" s="1110"/>
      <c r="L41" s="1111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59128.160000000003</v>
      </c>
      <c r="F42" s="745">
        <v>59128.163</v>
      </c>
      <c r="G42" s="473">
        <f t="shared" si="3"/>
        <v>2.9999999969732016E-3</v>
      </c>
      <c r="H42" s="460">
        <f>G42+'28'!H42</f>
        <v>2.9999999969732016E-3</v>
      </c>
      <c r="I42" s="455"/>
      <c r="J42" s="552">
        <f>H42/DAY(B2)</f>
        <v>1.0344827575769661E-4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893785.91</v>
      </c>
      <c r="F43" s="745">
        <v>896545.19</v>
      </c>
      <c r="G43" s="473">
        <f t="shared" si="3"/>
        <v>2759.2799999999115</v>
      </c>
      <c r="H43" s="460">
        <f>G43+'28'!H43</f>
        <v>-5502.8100000000559</v>
      </c>
      <c r="I43" s="455"/>
      <c r="J43" s="552">
        <f>H43/DAY(B2)</f>
        <v>-189.75206896551916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187</v>
      </c>
      <c r="I46" s="455"/>
      <c r="J46" s="552">
        <f>H46/DAY(B2)</f>
        <v>6.4482758620689653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19636.252999999888</v>
      </c>
      <c r="H47" s="460">
        <f>G47+'28'!H47</f>
        <v>-39036.787000000113</v>
      </c>
      <c r="I47" s="455"/>
      <c r="J47" s="552">
        <f>H47/DAY(B2)</f>
        <v>-1346.0961034482798</v>
      </c>
      <c r="K47" s="428"/>
      <c r="L47" s="377"/>
    </row>
    <row r="48" spans="1:15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8" t="s">
        <v>164</v>
      </c>
      <c r="B49" s="1109"/>
      <c r="C49" s="1109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0.13000000000465661</v>
      </c>
      <c r="I49" s="709"/>
      <c r="J49" s="710">
        <f>H49/DAY(B2)</f>
        <v>4.4827586208502279E-3</v>
      </c>
      <c r="K49" s="1110"/>
      <c r="L49" s="1111"/>
      <c r="N49" s="774"/>
      <c r="O49" s="774"/>
    </row>
    <row r="50" spans="1:15" s="441" customFormat="1">
      <c r="A50" s="1108" t="s">
        <v>178</v>
      </c>
      <c r="B50" s="1109" t="s">
        <v>281</v>
      </c>
      <c r="C50" s="1109"/>
      <c r="D50" s="627" t="s">
        <v>132</v>
      </c>
      <c r="E50" s="746">
        <f>'28'!F50</f>
        <v>437848.71</v>
      </c>
      <c r="F50" s="746">
        <v>438899.51</v>
      </c>
      <c r="G50" s="655">
        <f t="shared" si="4"/>
        <v>1050.7999999999884</v>
      </c>
      <c r="H50" s="708">
        <f>G50+'28'!H50</f>
        <v>-3526.4899999999907</v>
      </c>
      <c r="I50" s="709"/>
      <c r="J50" s="710">
        <f>H50/DAY(B2)</f>
        <v>-121.60310344827555</v>
      </c>
      <c r="K50" s="1110"/>
      <c r="L50" s="1111"/>
      <c r="N50" s="774"/>
      <c r="O50" s="774"/>
    </row>
    <row r="51" spans="1:15" s="441" customFormat="1">
      <c r="A51" s="1108" t="s">
        <v>166</v>
      </c>
      <c r="B51" s="1109"/>
      <c r="C51" s="1109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-1549.1300000000047</v>
      </c>
      <c r="I51" s="709"/>
      <c r="J51" s="710">
        <f>H51/DAY(B2)</f>
        <v>-53.418275862069123</v>
      </c>
      <c r="K51" s="1110"/>
      <c r="L51" s="1111"/>
      <c r="N51" s="774"/>
      <c r="O51" s="774"/>
    </row>
    <row r="52" spans="1:15" s="441" customFormat="1">
      <c r="A52" s="1108" t="s">
        <v>179</v>
      </c>
      <c r="B52" s="1109"/>
      <c r="C52" s="1109"/>
      <c r="D52" s="627" t="s">
        <v>132</v>
      </c>
      <c r="E52" s="746">
        <f>'28'!F52</f>
        <v>539606</v>
      </c>
      <c r="F52" s="746">
        <v>539606.06999999995</v>
      </c>
      <c r="G52" s="655">
        <f t="shared" si="4"/>
        <v>6.9999999948777258E-2</v>
      </c>
      <c r="H52" s="708">
        <f>G52+'28'!H52</f>
        <v>-2047.9300000000512</v>
      </c>
      <c r="I52" s="709"/>
      <c r="J52" s="710">
        <f>H52/DAY(B2)</f>
        <v>-70.618275862070732</v>
      </c>
      <c r="K52" s="1110"/>
      <c r="L52" s="1111"/>
      <c r="N52" s="774"/>
      <c r="O52" s="774"/>
    </row>
    <row r="53" spans="1:15" s="441" customFormat="1">
      <c r="A53" s="1108" t="s">
        <v>168</v>
      </c>
      <c r="B53" s="1109"/>
      <c r="C53" s="1109"/>
      <c r="D53" s="627" t="s">
        <v>132</v>
      </c>
      <c r="E53" s="746">
        <f>'28'!F53</f>
        <v>400642.39</v>
      </c>
      <c r="F53" s="746">
        <v>400838.79</v>
      </c>
      <c r="G53" s="655">
        <f t="shared" si="4"/>
        <v>196.39999999996508</v>
      </c>
      <c r="H53" s="708">
        <f>G53+'28'!H53</f>
        <v>-4610.210000000021</v>
      </c>
      <c r="I53" s="709"/>
      <c r="J53" s="710">
        <f>H53/DAY(B2)</f>
        <v>-158.97275862069037</v>
      </c>
      <c r="K53" s="1110"/>
      <c r="L53" s="1111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8952.82</v>
      </c>
      <c r="F54" s="745">
        <v>9025.66</v>
      </c>
      <c r="G54" s="473">
        <f t="shared" si="4"/>
        <v>72.840000000000146</v>
      </c>
      <c r="H54" s="460">
        <f>G54+'28'!H54</f>
        <v>2868.7000000000007</v>
      </c>
      <c r="I54" s="455"/>
      <c r="J54" s="552">
        <f>H54/DAY(B2)</f>
        <v>98.920689655172438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210597.71</v>
      </c>
      <c r="F55" s="746">
        <v>212798.97</v>
      </c>
      <c r="G55" s="655">
        <f t="shared" si="4"/>
        <v>2201.2600000000093</v>
      </c>
      <c r="H55" s="708">
        <f>G55+'28'!H55</f>
        <v>-8297.0299999999988</v>
      </c>
      <c r="I55" s="709"/>
      <c r="J55" s="710">
        <f>H55/DAY(B2)</f>
        <v>-286.10448275862063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588949.67000000004</v>
      </c>
      <c r="F56" s="746">
        <v>588958.71</v>
      </c>
      <c r="G56" s="473">
        <f t="shared" si="4"/>
        <v>9.0399999999208376</v>
      </c>
      <c r="H56" s="460">
        <f>G56+'28'!H56</f>
        <v>-8.2900000000372529</v>
      </c>
      <c r="I56" s="455"/>
      <c r="J56" s="552">
        <f>H56/DAY(B2)</f>
        <v>-0.28586206896680183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</v>
      </c>
      <c r="F57" s="745">
        <v>7711</v>
      </c>
      <c r="G57" s="473">
        <f t="shared" si="4"/>
        <v>0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40985.08</v>
      </c>
      <c r="F58" s="746">
        <v>41169.93</v>
      </c>
      <c r="G58" s="473">
        <f t="shared" si="4"/>
        <v>184.84999999999854</v>
      </c>
      <c r="H58" s="460">
        <f>G58+'28'!H58</f>
        <v>-573.06999999999971</v>
      </c>
      <c r="I58" s="455"/>
      <c r="J58" s="552">
        <f>H58/DAY(B2)</f>
        <v>-19.76103448275861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3715.2599999998311</v>
      </c>
      <c r="H59" s="460">
        <f>G59+'28'!H59</f>
        <v>-17743.320000000127</v>
      </c>
      <c r="I59" s="455">
        <f>G7-G60</f>
        <v>314.48700000028111</v>
      </c>
      <c r="J59" s="552">
        <f>H59/DAY(B2)</f>
        <v>-611.83862068965959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23351.512999999719</v>
      </c>
      <c r="H60" s="460">
        <f>G60+'28'!H60</f>
        <v>-42611.10700000028</v>
      </c>
      <c r="I60" s="455">
        <f>G13-G60</f>
        <v>-408.63299999971423</v>
      </c>
      <c r="J60" s="552">
        <f>H60/DAY(B2)</f>
        <v>-1469.3485172413889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2059</v>
      </c>
      <c r="F63" s="514">
        <v>2072.46</v>
      </c>
      <c r="G63" s="473">
        <f t="shared" si="5"/>
        <v>13.460000000000036</v>
      </c>
      <c r="H63" s="460">
        <f>G63+'28'!H63</f>
        <v>-23.539999999999964</v>
      </c>
      <c r="I63" s="515"/>
      <c r="J63" s="552">
        <f>H63/DAY(B2)</f>
        <v>-0.81172413793103326</v>
      </c>
      <c r="K63" s="428"/>
      <c r="L63" s="377"/>
    </row>
    <row r="64" spans="1:15" ht="27.75">
      <c r="A64" s="1416" t="s">
        <v>99</v>
      </c>
      <c r="B64" s="1417"/>
      <c r="C64" s="1418"/>
      <c r="D64" s="523" t="s">
        <v>187</v>
      </c>
      <c r="E64" s="514">
        <f>'28'!F64</f>
        <v>137777.04</v>
      </c>
      <c r="F64" s="741">
        <v>138229.38</v>
      </c>
      <c r="G64" s="473">
        <f t="shared" si="5"/>
        <v>452.33999999999651</v>
      </c>
      <c r="H64" s="460">
        <f>G64+'28'!H64</f>
        <v>-950.61999999999534</v>
      </c>
      <c r="I64" s="480"/>
      <c r="J64" s="552">
        <f>H64/DAY(B2)</f>
        <v>-32.779999999999838</v>
      </c>
      <c r="K64" s="428"/>
      <c r="L64" s="377"/>
    </row>
    <row r="65" spans="1:12" ht="27.75">
      <c r="A65" s="1416" t="s">
        <v>100</v>
      </c>
      <c r="B65" s="1417"/>
      <c r="C65" s="1418"/>
      <c r="D65" s="523" t="s">
        <v>187</v>
      </c>
      <c r="E65" s="514">
        <f>'28'!F65</f>
        <v>143059.66</v>
      </c>
      <c r="F65" s="748">
        <v>143450.65</v>
      </c>
      <c r="G65" s="473">
        <f t="shared" si="5"/>
        <v>390.98999999999069</v>
      </c>
      <c r="H65" s="460">
        <f>G65+'28'!H65</f>
        <v>-754.35000000000582</v>
      </c>
      <c r="I65" s="489"/>
      <c r="J65" s="552">
        <f>H65/DAY(B2)</f>
        <v>-26.012068965517443</v>
      </c>
      <c r="K65" s="428"/>
      <c r="L65" s="377"/>
    </row>
    <row r="66" spans="1:12" ht="27.75">
      <c r="A66" s="1416" t="s">
        <v>101</v>
      </c>
      <c r="B66" s="1417"/>
      <c r="C66" s="1418"/>
      <c r="D66" s="523" t="s">
        <v>187</v>
      </c>
      <c r="E66" s="514">
        <f>'28'!F66</f>
        <v>35987.120000000003</v>
      </c>
      <c r="F66" s="741">
        <v>36389.43</v>
      </c>
      <c r="G66" s="473">
        <f t="shared" si="5"/>
        <v>402.30999999999767</v>
      </c>
      <c r="H66" s="460">
        <f>G66+'28'!H66</f>
        <v>-818.56999999999971</v>
      </c>
      <c r="I66" s="480"/>
      <c r="J66" s="552">
        <f>H66/DAY(B2)</f>
        <v>-28.22655172413792</v>
      </c>
      <c r="K66" s="428"/>
      <c r="L66" s="377"/>
    </row>
    <row r="67" spans="1:12" ht="27.75">
      <c r="A67" s="1416" t="s">
        <v>102</v>
      </c>
      <c r="B67" s="1417"/>
      <c r="C67" s="1418"/>
      <c r="D67" s="523" t="s">
        <v>187</v>
      </c>
      <c r="E67" s="514">
        <f>'28'!F67</f>
        <v>227148.81</v>
      </c>
      <c r="F67" s="741">
        <v>227772.59</v>
      </c>
      <c r="G67" s="473">
        <f t="shared" si="5"/>
        <v>623.77999999999884</v>
      </c>
      <c r="H67" s="460">
        <f>G67+'28'!H67</f>
        <v>-1327.4100000000035</v>
      </c>
      <c r="I67" s="489"/>
      <c r="J67" s="552">
        <f>H67/DAY(B2)</f>
        <v>-45.772758620689778</v>
      </c>
      <c r="K67" s="429"/>
      <c r="L67" s="377"/>
    </row>
    <row r="68" spans="1:12" ht="27.75">
      <c r="A68" s="1416" t="s">
        <v>103</v>
      </c>
      <c r="B68" s="1417"/>
      <c r="C68" s="1418"/>
      <c r="D68" s="523" t="s">
        <v>187</v>
      </c>
      <c r="E68" s="514">
        <f>'28'!F68</f>
        <v>82107.83</v>
      </c>
      <c r="F68" s="741">
        <v>82393.31</v>
      </c>
      <c r="G68" s="473">
        <f t="shared" si="5"/>
        <v>285.47999999999593</v>
      </c>
      <c r="H68" s="460">
        <f>G68+'28'!H68</f>
        <v>8523.3800000000047</v>
      </c>
      <c r="I68" s="516"/>
      <c r="J68" s="552">
        <f>H68/DAY(B2)</f>
        <v>293.90965517241398</v>
      </c>
      <c r="K68" s="430"/>
      <c r="L68" s="377"/>
    </row>
    <row r="69" spans="1:12" ht="27.75">
      <c r="A69" s="1416" t="s">
        <v>104</v>
      </c>
      <c r="B69" s="1417"/>
      <c r="C69" s="1418"/>
      <c r="D69" s="523" t="s">
        <v>187</v>
      </c>
      <c r="E69" s="514">
        <f>'28'!F69</f>
        <v>73394.27</v>
      </c>
      <c r="F69" s="741">
        <v>73704</v>
      </c>
      <c r="G69" s="473">
        <f t="shared" si="5"/>
        <v>309.72999999999593</v>
      </c>
      <c r="H69" s="460">
        <f>G69+'28'!H69</f>
        <v>-625</v>
      </c>
      <c r="I69" s="516"/>
      <c r="J69" s="552">
        <f>H69/DAY(B2)</f>
        <v>-21.551724137931036</v>
      </c>
      <c r="K69" s="431"/>
      <c r="L69" s="377"/>
    </row>
    <row r="70" spans="1:12" ht="27.75">
      <c r="A70" s="1422" t="s">
        <v>189</v>
      </c>
      <c r="B70" s="1423"/>
      <c r="C70" s="1424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</row>
    <row r="72" spans="1:12" ht="27.75">
      <c r="A72" s="1416" t="s">
        <v>191</v>
      </c>
      <c r="B72" s="1417"/>
      <c r="C72" s="1418"/>
      <c r="D72" s="523" t="s">
        <v>187</v>
      </c>
      <c r="E72" s="766">
        <f>'28'!F72</f>
        <v>852976</v>
      </c>
      <c r="F72" s="750">
        <v>852999</v>
      </c>
      <c r="G72" s="473">
        <f t="shared" ref="G72:G84" si="6">F72-E72</f>
        <v>23</v>
      </c>
      <c r="H72" s="460">
        <f>G72+'28'!H72</f>
        <v>-270</v>
      </c>
      <c r="I72" s="480"/>
      <c r="J72" s="552">
        <f>H72/DAY(B2)</f>
        <v>-9.3103448275862064</v>
      </c>
      <c r="K72" s="431"/>
      <c r="L72" s="377"/>
    </row>
    <row r="73" spans="1:12" ht="27.75">
      <c r="A73" s="1416" t="s">
        <v>192</v>
      </c>
      <c r="B73" s="1417"/>
      <c r="C73" s="1418"/>
      <c r="D73" s="523" t="s">
        <v>187</v>
      </c>
      <c r="E73" s="766">
        <f>'28'!F73</f>
        <v>885796</v>
      </c>
      <c r="F73" s="751">
        <v>885797</v>
      </c>
      <c r="G73" s="655">
        <f>F73-E73</f>
        <v>1</v>
      </c>
      <c r="H73" s="460">
        <f>G73+'28'!H73</f>
        <v>-1448</v>
      </c>
      <c r="I73" s="480"/>
      <c r="J73" s="552">
        <f>H73/DAY(B2)</f>
        <v>-49.931034482758619</v>
      </c>
      <c r="K73" s="430"/>
      <c r="L73" s="377"/>
    </row>
    <row r="74" spans="1:12" ht="27.75">
      <c r="A74" s="1416" t="s">
        <v>193</v>
      </c>
      <c r="B74" s="1417"/>
      <c r="C74" s="1418"/>
      <c r="D74" s="523" t="s">
        <v>187</v>
      </c>
      <c r="E74" s="766">
        <f>'28'!F74</f>
        <v>1304.56</v>
      </c>
      <c r="F74" s="751">
        <v>1326.37</v>
      </c>
      <c r="G74" s="473">
        <f t="shared" si="6"/>
        <v>21.809999999999945</v>
      </c>
      <c r="H74" s="460">
        <f>G74+'28'!H74</f>
        <v>-43.630000000000109</v>
      </c>
      <c r="I74" s="480"/>
      <c r="J74" s="552">
        <f>H74/DAY(B2)</f>
        <v>-1.5044827586206935</v>
      </c>
      <c r="K74" s="431"/>
      <c r="L74" s="377"/>
    </row>
    <row r="75" spans="1:12" ht="27.75">
      <c r="A75" s="1413" t="s">
        <v>194</v>
      </c>
      <c r="B75" s="1414"/>
      <c r="C75" s="1415"/>
      <c r="D75" s="523" t="s">
        <v>187</v>
      </c>
      <c r="E75" s="766">
        <f>'28'!F75</f>
        <v>8209.75</v>
      </c>
      <c r="F75" s="751">
        <v>8374.31</v>
      </c>
      <c r="G75" s="473">
        <f t="shared" si="6"/>
        <v>164.55999999999949</v>
      </c>
      <c r="H75" s="460">
        <f>G75+'28'!H75</f>
        <v>-305.69000000000051</v>
      </c>
      <c r="I75" s="480"/>
      <c r="J75" s="552">
        <f>H75/DAY(B2)</f>
        <v>-10.541034482758638</v>
      </c>
      <c r="K75" s="430"/>
      <c r="L75" s="377"/>
    </row>
    <row r="76" spans="1:12" ht="27.75">
      <c r="A76" s="1413" t="s">
        <v>195</v>
      </c>
      <c r="B76" s="1414"/>
      <c r="C76" s="1415"/>
      <c r="D76" s="523" t="s">
        <v>187</v>
      </c>
      <c r="E76" s="766">
        <f>'28'!F76</f>
        <v>3778.24</v>
      </c>
      <c r="F76" s="751">
        <v>3858.26</v>
      </c>
      <c r="G76" s="473">
        <f t="shared" si="6"/>
        <v>80.020000000000437</v>
      </c>
      <c r="H76" s="460">
        <f>G76+'28'!H76</f>
        <v>-1777.7399999999998</v>
      </c>
      <c r="I76" s="505"/>
      <c r="J76" s="552">
        <f>H76/DAY(B2)</f>
        <v>-61.301379310344821</v>
      </c>
      <c r="K76" s="430"/>
      <c r="L76" s="377"/>
    </row>
    <row r="77" spans="1:12" ht="27.75">
      <c r="A77" s="1416" t="s">
        <v>196</v>
      </c>
      <c r="B77" s="1417"/>
      <c r="C77" s="1418"/>
      <c r="D77" s="523" t="s">
        <v>187</v>
      </c>
      <c r="E77" s="766">
        <f>'28'!F77</f>
        <v>700064</v>
      </c>
      <c r="F77" s="751">
        <v>700112</v>
      </c>
      <c r="G77" s="655">
        <f t="shared" si="6"/>
        <v>48</v>
      </c>
      <c r="H77" s="460">
        <f>G77+'28'!H77</f>
        <v>-102</v>
      </c>
      <c r="I77" s="505"/>
      <c r="J77" s="552">
        <f>H77/DAY(B2)</f>
        <v>-3.5172413793103448</v>
      </c>
      <c r="K77" s="430"/>
      <c r="L77" s="377"/>
    </row>
    <row r="78" spans="1:12" ht="27.75">
      <c r="A78" s="1148" t="s">
        <v>197</v>
      </c>
      <c r="B78" s="1121"/>
      <c r="C78" s="1121"/>
      <c r="D78" s="523" t="s">
        <v>187</v>
      </c>
      <c r="E78" s="766">
        <f>'28'!F78</f>
        <v>664395</v>
      </c>
      <c r="F78" s="751">
        <v>664703</v>
      </c>
      <c r="G78" s="655">
        <f t="shared" si="6"/>
        <v>308</v>
      </c>
      <c r="H78" s="460">
        <f>G78+'28'!H78</f>
        <v>-677</v>
      </c>
      <c r="I78" s="505"/>
      <c r="J78" s="552">
        <f>H78/DAY(B2)</f>
        <v>-23.344827586206897</v>
      </c>
      <c r="K78" s="430"/>
      <c r="L78" s="377"/>
    </row>
    <row r="79" spans="1:12" ht="27.75">
      <c r="A79" s="1413" t="s">
        <v>92</v>
      </c>
      <c r="B79" s="1414"/>
      <c r="C79" s="1415"/>
      <c r="D79" s="524" t="s">
        <v>187</v>
      </c>
      <c r="E79" s="766">
        <f>'28'!F79</f>
        <v>820652</v>
      </c>
      <c r="F79" s="752">
        <v>820833</v>
      </c>
      <c r="G79" s="473">
        <f t="shared" si="6"/>
        <v>181</v>
      </c>
      <c r="H79" s="460">
        <f>G79+'28'!H79</f>
        <v>-4283</v>
      </c>
      <c r="I79" s="505"/>
      <c r="J79" s="552">
        <f>H79/DAY(B2)</f>
        <v>-147.68965517241378</v>
      </c>
      <c r="K79" s="430"/>
      <c r="L79" s="377"/>
    </row>
    <row r="80" spans="1:12" ht="27.75">
      <c r="A80" s="1413" t="s">
        <v>198</v>
      </c>
      <c r="B80" s="1414"/>
      <c r="C80" s="1415"/>
      <c r="D80" s="524" t="s">
        <v>187</v>
      </c>
      <c r="E80" s="766">
        <f>'28'!F80</f>
        <v>504635.04</v>
      </c>
      <c r="F80" s="751">
        <v>504970.76</v>
      </c>
      <c r="G80" s="473">
        <f t="shared" si="6"/>
        <v>335.72000000003027</v>
      </c>
      <c r="H80" s="460">
        <f>G80+'28'!H80</f>
        <v>2252.7600000000093</v>
      </c>
      <c r="I80" s="505"/>
      <c r="J80" s="552">
        <f>H80/DAY(B2)</f>
        <v>77.68137931034515</v>
      </c>
      <c r="K80" s="430"/>
      <c r="L80" s="377"/>
    </row>
    <row r="81" spans="1:15" ht="27.75">
      <c r="A81" s="1413" t="s">
        <v>199</v>
      </c>
      <c r="B81" s="1414"/>
      <c r="C81" s="1415"/>
      <c r="D81" s="524" t="s">
        <v>187</v>
      </c>
      <c r="E81" s="766">
        <f>'28'!F81</f>
        <v>629349.96</v>
      </c>
      <c r="F81" s="751">
        <v>629554.43999999994</v>
      </c>
      <c r="G81" s="473">
        <f t="shared" si="6"/>
        <v>204.47999999998137</v>
      </c>
      <c r="H81" s="460">
        <f>G81+'28'!H81</f>
        <v>-630.56000000005588</v>
      </c>
      <c r="I81" s="505"/>
      <c r="J81" s="552">
        <f>H81/DAY(B2)</f>
        <v>-21.743448275863997</v>
      </c>
      <c r="K81" s="430"/>
      <c r="L81" s="377"/>
    </row>
    <row r="82" spans="1:15" ht="27.75">
      <c r="A82" s="1413" t="s">
        <v>93</v>
      </c>
      <c r="B82" s="1414"/>
      <c r="C82" s="1415"/>
      <c r="D82" s="485" t="s">
        <v>132</v>
      </c>
      <c r="E82" s="766">
        <f>'28'!F82</f>
        <v>106820.91</v>
      </c>
      <c r="F82" s="748">
        <v>106846.94</v>
      </c>
      <c r="G82" s="473">
        <f t="shared" si="6"/>
        <v>26.029999999998836</v>
      </c>
      <c r="H82" s="460">
        <f>G82+'28'!H82</f>
        <v>-48.059999999997672</v>
      </c>
      <c r="I82" s="486"/>
      <c r="J82" s="552">
        <f>H82/DAY(B2)</f>
        <v>-1.6572413793102645</v>
      </c>
      <c r="K82" s="430"/>
      <c r="L82" s="377"/>
    </row>
    <row r="83" spans="1:15" ht="27.75">
      <c r="A83" s="1413" t="s">
        <v>200</v>
      </c>
      <c r="B83" s="1414"/>
      <c r="C83" s="1415"/>
      <c r="D83" s="620" t="s">
        <v>132</v>
      </c>
      <c r="E83" s="766">
        <f>'28'!F83</f>
        <v>6230</v>
      </c>
      <c r="F83" s="470">
        <v>6498</v>
      </c>
      <c r="G83" s="473">
        <f t="shared" si="6"/>
        <v>268</v>
      </c>
      <c r="H83" s="460">
        <f>G83+'28'!H83</f>
        <v>-559</v>
      </c>
      <c r="I83" s="481"/>
      <c r="J83" s="552">
        <f>H83/DAY(B2)</f>
        <v>-19.275862068965516</v>
      </c>
      <c r="K83" s="429"/>
      <c r="L83" s="377"/>
    </row>
    <row r="84" spans="1:15">
      <c r="A84" s="1149" t="s">
        <v>201</v>
      </c>
      <c r="B84" s="571"/>
      <c r="C84" s="571"/>
      <c r="D84" s="478" t="s">
        <v>132</v>
      </c>
      <c r="E84" s="766">
        <f>'28'!F84</f>
        <v>452004</v>
      </c>
      <c r="F84" s="708">
        <v>452909</v>
      </c>
      <c r="G84" s="473">
        <f t="shared" si="6"/>
        <v>905</v>
      </c>
      <c r="H84" s="460">
        <f>G84+'28'!H84</f>
        <v>-1775</v>
      </c>
      <c r="I84" s="481"/>
      <c r="J84" s="552">
        <f>H84/DAY(B2)</f>
        <v>-61.206896551724135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2566.6200000000104</v>
      </c>
      <c r="H85" s="460">
        <f>G85+'28'!H85</f>
        <v>-5610.9200000000383</v>
      </c>
      <c r="I85" s="481"/>
      <c r="J85" s="552">
        <f>H85/DAY(B2)</f>
        <v>-193.48000000000133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454087.44</v>
      </c>
      <c r="F86" s="753">
        <v>454227.64</v>
      </c>
      <c r="G86" s="708">
        <f t="shared" ref="G86:G90" si="7">F86-E86</f>
        <v>140.20000000001164</v>
      </c>
      <c r="H86" s="708">
        <f t="shared" ref="H86:H88" si="8">G86</f>
        <v>140.20000000001164</v>
      </c>
      <c r="I86" s="655"/>
      <c r="J86" s="710">
        <f>H86/DAY(B2)</f>
        <v>4.8344827586210908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80070.5</v>
      </c>
      <c r="F87" s="753">
        <v>80101.399999999994</v>
      </c>
      <c r="G87" s="708">
        <f t="shared" si="7"/>
        <v>30.899999999994179</v>
      </c>
      <c r="H87" s="708">
        <f t="shared" si="8"/>
        <v>30.899999999994179</v>
      </c>
      <c r="I87" s="655"/>
      <c r="J87" s="710">
        <f>H87/DAY(B2)</f>
        <v>1.0655172413791096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150368.45000000001</v>
      </c>
      <c r="F88" s="753">
        <v>150401.85999999999</v>
      </c>
      <c r="G88" s="708">
        <f t="shared" si="7"/>
        <v>33.409999999974389</v>
      </c>
      <c r="H88" s="708">
        <f t="shared" si="8"/>
        <v>33.409999999974389</v>
      </c>
      <c r="I88" s="655"/>
      <c r="J88" s="710">
        <f>H88/DAY(B2)</f>
        <v>1.1520689655163583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63424.7</v>
      </c>
      <c r="F89" s="650">
        <v>63468.800000000003</v>
      </c>
      <c r="G89" s="708">
        <f t="shared" si="7"/>
        <v>44.100000000005821</v>
      </c>
      <c r="H89" s="708">
        <f>G89</f>
        <v>44.100000000005821</v>
      </c>
      <c r="I89" s="655"/>
      <c r="J89" s="710">
        <f>H89/DAY(B2)</f>
        <v>1.5206896551726146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3266.2</v>
      </c>
      <c r="F90" s="650">
        <v>3267.3</v>
      </c>
      <c r="G90" s="708">
        <f t="shared" si="7"/>
        <v>1.1000000000003638</v>
      </c>
      <c r="H90" s="708">
        <f>G90</f>
        <v>1.1000000000003638</v>
      </c>
      <c r="I90" s="655"/>
      <c r="J90" s="710">
        <f>H90/DAY(B2)</f>
        <v>3.7931034482771166E-2</v>
      </c>
      <c r="K90" s="736"/>
      <c r="L90" s="737"/>
    </row>
    <row r="91" spans="1:15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773"/>
      <c r="O91" s="773"/>
    </row>
    <row r="92" spans="1:15" ht="27.75">
      <c r="A92" s="1437" t="s">
        <v>206</v>
      </c>
      <c r="B92" s="1438"/>
      <c r="C92" s="1439"/>
      <c r="D92" s="523" t="s">
        <v>144</v>
      </c>
      <c r="E92" s="762">
        <f>'28'!F92</f>
        <v>242328</v>
      </c>
      <c r="F92" s="741">
        <v>242446</v>
      </c>
      <c r="G92" s="473">
        <f>F92-E92</f>
        <v>118</v>
      </c>
      <c r="H92" s="460">
        <f>G92+'28'!H92</f>
        <v>-200</v>
      </c>
      <c r="I92" s="480"/>
      <c r="J92" s="552">
        <f>H92/DAY(B2)</f>
        <v>-6.8965517241379306</v>
      </c>
      <c r="K92" s="429"/>
      <c r="L92" s="377"/>
    </row>
    <row r="93" spans="1:15" ht="27.75">
      <c r="A93" s="1437" t="s">
        <v>207</v>
      </c>
      <c r="B93" s="1438"/>
      <c r="C93" s="1439"/>
      <c r="D93" s="523" t="s">
        <v>144</v>
      </c>
      <c r="E93" s="762">
        <f>'28'!F93</f>
        <v>179209</v>
      </c>
      <c r="F93" s="741">
        <v>179373</v>
      </c>
      <c r="G93" s="473">
        <f>F93-E93</f>
        <v>164</v>
      </c>
      <c r="H93" s="460">
        <f>G93+'28'!H93</f>
        <v>-306</v>
      </c>
      <c r="I93" s="480"/>
      <c r="J93" s="552">
        <f>H93/DAY(B2)</f>
        <v>-10.551724137931034</v>
      </c>
      <c r="K93" s="380"/>
      <c r="L93" s="377"/>
    </row>
    <row r="94" spans="1:15">
      <c r="A94" s="1465" t="s">
        <v>208</v>
      </c>
      <c r="B94" s="1466"/>
      <c r="C94" s="1467"/>
      <c r="D94" s="523"/>
      <c r="E94" s="762"/>
      <c r="F94" s="741"/>
      <c r="G94" s="473">
        <f>G92+G93</f>
        <v>282</v>
      </c>
      <c r="H94" s="460">
        <f>G94+'28'!H94</f>
        <v>-725</v>
      </c>
      <c r="I94" s="480"/>
      <c r="J94" s="552">
        <f>H94/DAY(B2)</f>
        <v>-25</v>
      </c>
      <c r="K94" s="380"/>
      <c r="L94" s="377"/>
    </row>
    <row r="95" spans="1:15" ht="27.75">
      <c r="A95" s="1437" t="s">
        <v>209</v>
      </c>
      <c r="B95" s="1438"/>
      <c r="C95" s="1439"/>
      <c r="D95" s="523" t="s">
        <v>144</v>
      </c>
      <c r="E95" s="762">
        <f>'28'!F95</f>
        <v>410545</v>
      </c>
      <c r="F95" s="741">
        <v>410614</v>
      </c>
      <c r="G95" s="473">
        <f t="shared" ref="G95:G100" si="9">F95-E95</f>
        <v>69</v>
      </c>
      <c r="H95" s="460">
        <f>G95+'28'!H95</f>
        <v>-171</v>
      </c>
      <c r="I95" s="480"/>
      <c r="J95" s="552">
        <f>H95/DAY(B2)</f>
        <v>-5.8965517241379306</v>
      </c>
      <c r="K95" s="380"/>
      <c r="L95" s="377"/>
    </row>
    <row r="96" spans="1:15" ht="27.75">
      <c r="A96" s="1145" t="s">
        <v>210</v>
      </c>
      <c r="B96" s="1146"/>
      <c r="C96" s="1146"/>
      <c r="D96" s="523" t="s">
        <v>144</v>
      </c>
      <c r="E96" s="762">
        <f>'28'!F96</f>
        <v>101780</v>
      </c>
      <c r="F96" s="741">
        <v>101799</v>
      </c>
      <c r="G96" s="473">
        <f t="shared" si="9"/>
        <v>19</v>
      </c>
      <c r="H96" s="460">
        <f>G96+'28'!H96</f>
        <v>-32</v>
      </c>
      <c r="I96" s="480"/>
      <c r="J96" s="552">
        <f>H96/DAY(B2)</f>
        <v>-1.103448275862069</v>
      </c>
      <c r="K96" s="427"/>
      <c r="L96" s="377"/>
    </row>
    <row r="97" spans="1:15" ht="27.75">
      <c r="A97" s="1145" t="s">
        <v>211</v>
      </c>
      <c r="B97" s="1146"/>
      <c r="C97" s="1146"/>
      <c r="D97" s="523" t="s">
        <v>144</v>
      </c>
      <c r="E97" s="762">
        <f>'28'!F97</f>
        <v>96851</v>
      </c>
      <c r="F97" s="741">
        <v>96886</v>
      </c>
      <c r="G97" s="473">
        <f t="shared" si="9"/>
        <v>35</v>
      </c>
      <c r="H97" s="460">
        <f>G97+'28'!H97</f>
        <v>-42</v>
      </c>
      <c r="I97" s="480"/>
      <c r="J97" s="552">
        <f>H97/DAY(B2)</f>
        <v>-1.4482758620689655</v>
      </c>
      <c r="K97" s="432"/>
      <c r="L97" s="377"/>
    </row>
    <row r="98" spans="1:15" ht="27.75">
      <c r="A98" s="1145" t="s">
        <v>212</v>
      </c>
      <c r="B98" s="1146"/>
      <c r="C98" s="1146"/>
      <c r="D98" s="523" t="s">
        <v>144</v>
      </c>
      <c r="E98" s="762">
        <f>'28'!F98</f>
        <v>148833</v>
      </c>
      <c r="F98" s="741">
        <v>148864</v>
      </c>
      <c r="G98" s="473">
        <f t="shared" si="9"/>
        <v>31</v>
      </c>
      <c r="H98" s="460">
        <f>G98+'28'!H98</f>
        <v>-45</v>
      </c>
      <c r="I98" s="480"/>
      <c r="J98" s="552">
        <f>H98/DAY(B2)</f>
        <v>-1.5517241379310345</v>
      </c>
      <c r="K98" s="380"/>
      <c r="L98" s="377"/>
    </row>
    <row r="99" spans="1:15" ht="27.75">
      <c r="A99" s="1145" t="s">
        <v>213</v>
      </c>
      <c r="B99" s="1146"/>
      <c r="C99" s="1146"/>
      <c r="D99" s="523" t="s">
        <v>144</v>
      </c>
      <c r="E99" s="762">
        <f>'28'!F99</f>
        <v>6793</v>
      </c>
      <c r="F99" s="741">
        <v>6819</v>
      </c>
      <c r="G99" s="473">
        <f t="shared" si="9"/>
        <v>26</v>
      </c>
      <c r="H99" s="460">
        <f>G99+'28'!H99</f>
        <v>-36</v>
      </c>
      <c r="I99" s="480"/>
      <c r="J99" s="552">
        <f>H99/DAY(B2)</f>
        <v>-1.2413793103448276</v>
      </c>
      <c r="K99" s="380"/>
      <c r="L99" s="377"/>
    </row>
    <row r="100" spans="1:15" ht="27.75">
      <c r="A100" s="1145" t="s">
        <v>214</v>
      </c>
      <c r="B100" s="1146"/>
      <c r="C100" s="1146"/>
      <c r="D100" s="523" t="s">
        <v>144</v>
      </c>
      <c r="E100" s="762">
        <f>'28'!F100</f>
        <v>4915</v>
      </c>
      <c r="F100" s="741">
        <v>4928</v>
      </c>
      <c r="G100" s="473">
        <f t="shared" si="9"/>
        <v>13</v>
      </c>
      <c r="H100" s="460">
        <f>G100+'28'!H100</f>
        <v>-15</v>
      </c>
      <c r="I100" s="480"/>
      <c r="J100" s="552">
        <f>H100/DAY(B2)</f>
        <v>-0.51724137931034486</v>
      </c>
      <c r="K100" s="380"/>
      <c r="L100" s="377"/>
    </row>
    <row r="101" spans="1:15">
      <c r="A101" s="1465" t="s">
        <v>216</v>
      </c>
      <c r="B101" s="1466"/>
      <c r="C101" s="1467"/>
      <c r="D101" s="524"/>
      <c r="E101" s="486"/>
      <c r="F101" s="486"/>
      <c r="G101" s="525">
        <f>SUM(G95:G100)</f>
        <v>193</v>
      </c>
      <c r="H101" s="460">
        <f>G101+'28'!H101</f>
        <v>-341</v>
      </c>
      <c r="I101" s="526"/>
      <c r="J101" s="552">
        <f>H101/DAY(B2)</f>
        <v>-11.758620689655173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773"/>
      <c r="O102" s="773"/>
    </row>
    <row r="103" spans="1:15" s="442" customFormat="1" ht="27">
      <c r="A103" s="1468" t="s">
        <v>218</v>
      </c>
      <c r="B103" s="1469"/>
      <c r="C103" s="573"/>
      <c r="D103" s="622"/>
      <c r="E103" s="533"/>
      <c r="F103" s="755"/>
      <c r="G103" s="532"/>
      <c r="H103" s="533"/>
      <c r="I103" s="532"/>
      <c r="J103" s="558"/>
      <c r="N103" s="773"/>
      <c r="O103" s="773"/>
    </row>
    <row r="104" spans="1:15" s="442" customFormat="1" ht="27">
      <c r="A104" s="1429" t="s">
        <v>219</v>
      </c>
      <c r="B104" s="1430"/>
      <c r="C104" s="1144"/>
      <c r="D104" s="622" t="s">
        <v>144</v>
      </c>
      <c r="E104" s="533">
        <f>'28'!F104</f>
        <v>7287</v>
      </c>
      <c r="F104" s="755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2.0344827586206895</v>
      </c>
      <c r="N104" s="773"/>
      <c r="O104" s="773"/>
    </row>
    <row r="105" spans="1:15" s="442" customFormat="1" ht="27">
      <c r="A105" s="1429" t="s">
        <v>77</v>
      </c>
      <c r="B105" s="1430"/>
      <c r="C105" s="1144"/>
      <c r="D105" s="622" t="s">
        <v>144</v>
      </c>
      <c r="E105" s="533">
        <f>'28'!F105</f>
        <v>35629</v>
      </c>
      <c r="F105" s="663">
        <v>35640</v>
      </c>
      <c r="G105" s="532">
        <f t="shared" ref="G105:G106" si="10">F105-E105</f>
        <v>11</v>
      </c>
      <c r="H105" s="533">
        <f>SUM(G105+'1'!G77)</f>
        <v>61</v>
      </c>
      <c r="I105" s="532"/>
      <c r="J105" s="558">
        <f>H105/DAY(B2)</f>
        <v>2.103448275862069</v>
      </c>
      <c r="N105" s="773"/>
      <c r="O105" s="773"/>
    </row>
    <row r="106" spans="1:15" s="442" customFormat="1" ht="27">
      <c r="A106" s="1429" t="s">
        <v>78</v>
      </c>
      <c r="B106" s="1470"/>
      <c r="C106" s="1430"/>
      <c r="D106" s="622" t="s">
        <v>144</v>
      </c>
      <c r="E106" s="533">
        <f>'28'!F106</f>
        <v>19400</v>
      </c>
      <c r="F106" s="663">
        <v>19406</v>
      </c>
      <c r="G106" s="532">
        <f t="shared" si="10"/>
        <v>6</v>
      </c>
      <c r="H106" s="533">
        <f>SUM(G106+'1'!G78)</f>
        <v>401</v>
      </c>
      <c r="I106" s="532"/>
      <c r="J106" s="558">
        <f>H106/DAY(B2)</f>
        <v>13.827586206896552</v>
      </c>
      <c r="N106" s="773"/>
      <c r="O106" s="773"/>
    </row>
    <row r="107" spans="1:15" s="442" customFormat="1" ht="27">
      <c r="A107" s="1431" t="s">
        <v>202</v>
      </c>
      <c r="B107" s="1432"/>
      <c r="C107" s="1144"/>
      <c r="D107" s="622"/>
      <c r="E107" s="533">
        <f>'28'!F107</f>
        <v>0</v>
      </c>
      <c r="F107" s="663"/>
      <c r="G107" s="532">
        <f>SUM(G104:G106)</f>
        <v>17</v>
      </c>
      <c r="H107" s="533">
        <f>SUM(G107+'1'!G79)</f>
        <v>211</v>
      </c>
      <c r="I107" s="532"/>
      <c r="J107" s="558">
        <f>H107/DAY(B2)</f>
        <v>7.2758620689655169</v>
      </c>
      <c r="N107" s="773"/>
      <c r="O107" s="773"/>
    </row>
    <row r="108" spans="1:15" s="442" customFormat="1" ht="27">
      <c r="A108" s="1435" t="s">
        <v>79</v>
      </c>
      <c r="B108" s="1436"/>
      <c r="C108" s="1144"/>
      <c r="D108" s="622" t="s">
        <v>144</v>
      </c>
      <c r="E108" s="533">
        <f>'28'!F108</f>
        <v>0</v>
      </c>
      <c r="F108" s="663"/>
      <c r="G108" s="532"/>
      <c r="H108" s="533"/>
      <c r="I108" s="532"/>
      <c r="J108" s="558"/>
      <c r="N108" s="773"/>
      <c r="O108" s="773"/>
    </row>
    <row r="109" spans="1:15" s="442" customFormat="1" ht="27">
      <c r="A109" s="1429" t="s">
        <v>220</v>
      </c>
      <c r="B109" s="1430"/>
      <c r="C109" s="1144"/>
      <c r="D109" s="622" t="s">
        <v>144</v>
      </c>
      <c r="E109" s="533">
        <f>'28'!F109</f>
        <v>58558</v>
      </c>
      <c r="F109" s="663">
        <v>58680</v>
      </c>
      <c r="G109" s="532">
        <f>F109-E109</f>
        <v>122</v>
      </c>
      <c r="H109" s="533">
        <f>SUM(G109+'1'!G81)</f>
        <v>320</v>
      </c>
      <c r="I109" s="532"/>
      <c r="J109" s="558">
        <f>H109/DAY(B2)</f>
        <v>11.03448275862069</v>
      </c>
      <c r="N109" s="773"/>
      <c r="O109" s="773"/>
    </row>
    <row r="110" spans="1:15" s="442" customFormat="1" ht="27">
      <c r="A110" s="1429" t="s">
        <v>221</v>
      </c>
      <c r="B110" s="1430"/>
      <c r="C110" s="1144"/>
      <c r="D110" s="622" t="s">
        <v>144</v>
      </c>
      <c r="E110" s="533">
        <f>'28'!F110</f>
        <v>31555</v>
      </c>
      <c r="F110" s="663">
        <v>31580</v>
      </c>
      <c r="G110" s="532">
        <f t="shared" ref="G110:G111" si="11">F110-E110</f>
        <v>25</v>
      </c>
      <c r="H110" s="533">
        <f>SUM(G110+'1'!G82)</f>
        <v>48</v>
      </c>
      <c r="I110" s="532"/>
      <c r="J110" s="558">
        <f>H110/DAY(B2)</f>
        <v>1.6551724137931034</v>
      </c>
      <c r="N110" s="773"/>
      <c r="O110" s="773"/>
    </row>
    <row r="111" spans="1:15" s="442" customFormat="1" ht="27">
      <c r="A111" s="1429" t="s">
        <v>222</v>
      </c>
      <c r="B111" s="1430"/>
      <c r="C111" s="1144"/>
      <c r="D111" s="622" t="s">
        <v>144</v>
      </c>
      <c r="E111" s="533">
        <f>'28'!F111</f>
        <v>4146</v>
      </c>
      <c r="F111" s="663">
        <v>4156</v>
      </c>
      <c r="G111" s="534">
        <f t="shared" si="11"/>
        <v>10</v>
      </c>
      <c r="H111" s="533">
        <f>SUM(G111+'1'!G83)</f>
        <v>249</v>
      </c>
      <c r="I111" s="532"/>
      <c r="J111" s="558">
        <f>H111/DAY(B2)</f>
        <v>8.5862068965517242</v>
      </c>
      <c r="N111" s="773"/>
      <c r="O111" s="773"/>
    </row>
    <row r="112" spans="1:15" s="442" customFormat="1" ht="27">
      <c r="A112" s="1431" t="s">
        <v>110</v>
      </c>
      <c r="B112" s="1432"/>
      <c r="C112" s="1144"/>
      <c r="D112" s="622"/>
      <c r="E112" s="533">
        <f>'28'!F112</f>
        <v>0</v>
      </c>
      <c r="F112" s="663"/>
      <c r="G112" s="532">
        <f>SUM(G109:G111)</f>
        <v>157</v>
      </c>
      <c r="H112" s="533">
        <f>SUM(G112+'1'!G84)</f>
        <v>1072</v>
      </c>
      <c r="I112" s="532"/>
      <c r="J112" s="558">
        <f>H112/DAY(B2)</f>
        <v>36.96551724137931</v>
      </c>
      <c r="N112" s="773"/>
      <c r="O112" s="773"/>
    </row>
    <row r="113" spans="1:15" s="442" customFormat="1" ht="27">
      <c r="A113" s="1435" t="s">
        <v>223</v>
      </c>
      <c r="B113" s="1436"/>
      <c r="C113" s="1144"/>
      <c r="D113" s="622"/>
      <c r="E113" s="533">
        <f>'28'!F113</f>
        <v>0</v>
      </c>
      <c r="F113" s="663"/>
      <c r="G113" s="532"/>
      <c r="H113" s="533"/>
      <c r="I113" s="532"/>
      <c r="J113" s="558">
        <f>H113/DAY(B2)</f>
        <v>0</v>
      </c>
      <c r="N113" s="773"/>
      <c r="O113" s="773"/>
    </row>
    <row r="114" spans="1:15" s="442" customFormat="1" ht="27">
      <c r="A114" s="1429" t="s">
        <v>224</v>
      </c>
      <c r="B114" s="1430"/>
      <c r="C114" s="574"/>
      <c r="D114" s="622" t="s">
        <v>144</v>
      </c>
      <c r="E114" s="533">
        <f>'28'!F114</f>
        <v>10786</v>
      </c>
      <c r="F114" s="663">
        <v>10815</v>
      </c>
      <c r="G114" s="534">
        <f>F114-E114</f>
        <v>29</v>
      </c>
      <c r="H114" s="533">
        <f>SUM(G114+'1'!G91)</f>
        <v>29</v>
      </c>
      <c r="I114" s="532"/>
      <c r="J114" s="558">
        <f>H114/DAY(B2)</f>
        <v>1</v>
      </c>
      <c r="N114" s="773"/>
      <c r="O114" s="773"/>
    </row>
    <row r="115" spans="1:15" s="442" customFormat="1" ht="27">
      <c r="A115" s="1429" t="s">
        <v>225</v>
      </c>
      <c r="B115" s="1430"/>
      <c r="C115" s="574"/>
      <c r="D115" s="622" t="s">
        <v>144</v>
      </c>
      <c r="E115" s="533">
        <f>'28'!F115</f>
        <v>7950</v>
      </c>
      <c r="F115" s="663">
        <v>7960</v>
      </c>
      <c r="G115" s="534">
        <f t="shared" ref="G115:G116" si="12">F115-E115</f>
        <v>10</v>
      </c>
      <c r="H115" s="533">
        <f>SUM(G115+'1'!G92)</f>
        <v>102</v>
      </c>
      <c r="I115" s="532"/>
      <c r="J115" s="558">
        <f>H115/DAY(B2)</f>
        <v>3.5172413793103448</v>
      </c>
      <c r="N115" s="773"/>
      <c r="O115" s="773"/>
    </row>
    <row r="116" spans="1:15" s="442" customFormat="1" ht="27">
      <c r="A116" s="1429" t="s">
        <v>226</v>
      </c>
      <c r="B116" s="1430"/>
      <c r="C116" s="574"/>
      <c r="D116" s="622" t="s">
        <v>144</v>
      </c>
      <c r="E116" s="536"/>
      <c r="F116" s="663"/>
      <c r="G116" s="534">
        <f t="shared" si="12"/>
        <v>0</v>
      </c>
      <c r="H116" s="533">
        <f>SUM(G116+'1'!G93)</f>
        <v>127</v>
      </c>
      <c r="I116" s="532"/>
      <c r="J116" s="558">
        <f>H116/DAY(B2)</f>
        <v>4.3793103448275863</v>
      </c>
      <c r="N116" s="773"/>
      <c r="O116" s="773"/>
    </row>
    <row r="117" spans="1:15" s="445" customFormat="1" ht="27">
      <c r="A117" s="1431" t="s">
        <v>202</v>
      </c>
      <c r="B117" s="1432"/>
      <c r="C117" s="574"/>
      <c r="D117" s="623"/>
      <c r="E117" s="536"/>
      <c r="F117" s="663"/>
      <c r="G117" s="534">
        <f>SUM(G114:G116)</f>
        <v>39</v>
      </c>
      <c r="H117" s="533">
        <f>SUM(G117+'1'!G95)</f>
        <v>116</v>
      </c>
      <c r="I117" s="534"/>
      <c r="J117" s="558">
        <f>H117/DAY(B2)</f>
        <v>4</v>
      </c>
      <c r="N117" s="773"/>
      <c r="O117" s="774"/>
    </row>
    <row r="118" spans="1:15" s="446" customFormat="1" ht="27">
      <c r="A118" s="1425" t="s">
        <v>227</v>
      </c>
      <c r="B118" s="1426"/>
      <c r="C118" s="1142"/>
      <c r="D118" s="624" t="s">
        <v>144</v>
      </c>
      <c r="E118" s="536"/>
      <c r="F118" s="663"/>
      <c r="G118" s="536">
        <f>SUM(G19+G92)</f>
        <v>171</v>
      </c>
      <c r="H118" s="533">
        <f>SUM(G118+'1'!G96)</f>
        <v>188</v>
      </c>
      <c r="I118" s="535"/>
      <c r="J118" s="559">
        <f>H118/DAY(B2)</f>
        <v>6.4827586206896548</v>
      </c>
      <c r="N118" s="773"/>
      <c r="O118" s="774"/>
    </row>
    <row r="119" spans="1:15" s="446" customFormat="1" ht="27">
      <c r="A119" s="1425" t="s">
        <v>228</v>
      </c>
      <c r="B119" s="1426"/>
      <c r="C119" s="1142"/>
      <c r="D119" s="624" t="s">
        <v>144</v>
      </c>
      <c r="E119" s="536"/>
      <c r="F119" s="663"/>
      <c r="G119" s="536">
        <f>SUM(G95,G96,G97,G99,G100)</f>
        <v>162</v>
      </c>
      <c r="H119" s="533">
        <f>SUM(G119+'1'!G98)</f>
        <v>190</v>
      </c>
      <c r="I119" s="535"/>
      <c r="J119" s="559">
        <f>H119/DAY(B2)</f>
        <v>6.5517241379310347</v>
      </c>
      <c r="N119" s="773"/>
      <c r="O119" s="774"/>
    </row>
    <row r="120" spans="1:15" s="446" customFormat="1" ht="27">
      <c r="A120" s="1425" t="s">
        <v>229</v>
      </c>
      <c r="B120" s="1426"/>
      <c r="C120" s="1142"/>
      <c r="D120" s="624" t="s">
        <v>144</v>
      </c>
      <c r="E120" s="536"/>
      <c r="F120" s="663"/>
      <c r="G120" s="534">
        <f>SUM(G112)</f>
        <v>157</v>
      </c>
      <c r="H120" s="533">
        <f>SUM(G120+'1'!G100)</f>
        <v>163</v>
      </c>
      <c r="I120" s="535"/>
      <c r="J120" s="559">
        <f>H120/DAY(B2)</f>
        <v>5.6206896551724137</v>
      </c>
      <c r="N120" s="773"/>
      <c r="O120" s="774"/>
    </row>
    <row r="121" spans="1:15" s="442" customFormat="1" ht="27">
      <c r="A121" s="1427"/>
      <c r="B121" s="1428"/>
      <c r="C121" s="1143"/>
      <c r="D121" s="560"/>
      <c r="E121" s="769"/>
      <c r="F121" s="756"/>
      <c r="G121" s="560"/>
      <c r="H121" s="561"/>
      <c r="I121" s="560"/>
      <c r="J121" s="562"/>
      <c r="N121" s="773"/>
      <c r="O121" s="773"/>
    </row>
    <row r="122" spans="1:15">
      <c r="A122" s="1462" t="s">
        <v>230</v>
      </c>
      <c r="B122" s="1463"/>
      <c r="C122" s="1464"/>
      <c r="D122" s="472"/>
      <c r="E122" s="742"/>
      <c r="F122" s="742"/>
      <c r="G122" s="483"/>
      <c r="H122" s="483"/>
      <c r="I122" s="483"/>
      <c r="J122" s="563"/>
      <c r="K122" s="380"/>
      <c r="L122" s="377"/>
    </row>
    <row r="123" spans="1:15" ht="27.75">
      <c r="A123" s="1145" t="s">
        <v>231</v>
      </c>
      <c r="B123" s="1146"/>
      <c r="C123" s="1146"/>
      <c r="D123" s="523" t="s">
        <v>141</v>
      </c>
      <c r="E123" s="741">
        <f>'28'!F123</f>
        <v>818063.48</v>
      </c>
      <c r="F123" s="741">
        <v>818327.4</v>
      </c>
      <c r="G123" s="473">
        <f t="shared" ref="G123:G127" si="13">F123-E123</f>
        <v>263.92000000004191</v>
      </c>
      <c r="H123" s="460">
        <f>G123+'28'!H123</f>
        <v>-482.59999999997672</v>
      </c>
      <c r="I123" s="526"/>
      <c r="J123" s="552">
        <f>H123/DAY(B2)</f>
        <v>-16.641379310344025</v>
      </c>
      <c r="K123" s="380"/>
      <c r="L123" s="377"/>
    </row>
    <row r="124" spans="1:15" ht="27.75">
      <c r="A124" s="1145" t="s">
        <v>232</v>
      </c>
      <c r="B124" s="1146"/>
      <c r="C124" s="1146"/>
      <c r="D124" s="523" t="s">
        <v>141</v>
      </c>
      <c r="E124" s="741">
        <f>'28'!F124</f>
        <v>73583.399999999994</v>
      </c>
      <c r="F124" s="757">
        <v>73583.399999999994</v>
      </c>
      <c r="G124" s="473">
        <f t="shared" si="13"/>
        <v>0</v>
      </c>
      <c r="H124" s="460">
        <f>G124+'28'!H124</f>
        <v>0</v>
      </c>
      <c r="I124" s="526"/>
      <c r="J124" s="552">
        <f>H124/DAY(B2)</f>
        <v>0</v>
      </c>
      <c r="K124" s="380"/>
      <c r="L124" s="377"/>
    </row>
    <row r="125" spans="1:15" ht="27.75">
      <c r="A125" s="1416" t="s">
        <v>233</v>
      </c>
      <c r="B125" s="1417"/>
      <c r="C125" s="1418"/>
      <c r="D125" s="523" t="s">
        <v>141</v>
      </c>
      <c r="E125" s="741">
        <f>'28'!F125</f>
        <v>141848.72</v>
      </c>
      <c r="F125" s="741">
        <v>141932.03</v>
      </c>
      <c r="G125" s="473">
        <f t="shared" si="13"/>
        <v>83.309999999997672</v>
      </c>
      <c r="H125" s="460">
        <f>G125+'28'!H125</f>
        <v>-203.97000000000116</v>
      </c>
      <c r="I125" s="526"/>
      <c r="J125" s="552">
        <f>H125/DAY(B2)</f>
        <v>-7.0334482758621091</v>
      </c>
      <c r="K125" s="380"/>
      <c r="L125" s="377"/>
    </row>
    <row r="126" spans="1:15" ht="27.75">
      <c r="A126" s="609" t="s">
        <v>234</v>
      </c>
      <c r="B126" s="1146"/>
      <c r="C126" s="1146"/>
      <c r="D126" s="523" t="s">
        <v>141</v>
      </c>
      <c r="E126" s="741">
        <f>'28'!F126</f>
        <v>59885.8</v>
      </c>
      <c r="F126" s="757">
        <v>59887.199999999997</v>
      </c>
      <c r="G126" s="473">
        <f t="shared" si="13"/>
        <v>1.3999999999941792</v>
      </c>
      <c r="H126" s="460">
        <f>G126+'28'!H126</f>
        <v>28568.499999999996</v>
      </c>
      <c r="I126" s="526"/>
      <c r="J126" s="552">
        <f>H126/DAY(B2)</f>
        <v>985.12068965517233</v>
      </c>
      <c r="K126" s="380"/>
      <c r="L126" s="377"/>
    </row>
    <row r="127" spans="1:15" ht="27.75">
      <c r="A127" s="609" t="s">
        <v>235</v>
      </c>
      <c r="B127" s="1146"/>
      <c r="C127" s="1146"/>
      <c r="D127" s="523" t="s">
        <v>141</v>
      </c>
      <c r="E127" s="741">
        <f>'28'!F127</f>
        <v>8952.9</v>
      </c>
      <c r="F127" s="757">
        <v>8953.9</v>
      </c>
      <c r="G127" s="473">
        <f t="shared" si="13"/>
        <v>1</v>
      </c>
      <c r="H127" s="460">
        <f>G127+'28'!H127</f>
        <v>-8.1000000000003638</v>
      </c>
      <c r="I127" s="480"/>
      <c r="J127" s="552">
        <f>H127/DAY(B2)</f>
        <v>-0.27931034482759876</v>
      </c>
      <c r="K127" s="380"/>
      <c r="L127" s="377"/>
    </row>
    <row r="128" spans="1:15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591.85999999995693</v>
      </c>
      <c r="H128" s="460"/>
      <c r="I128" s="480"/>
      <c r="J128" s="552"/>
      <c r="K128" s="364"/>
      <c r="L128" s="292"/>
      <c r="N128" s="773"/>
      <c r="O128" s="773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5" t="s">
        <v>238</v>
      </c>
      <c r="B130" s="1146"/>
      <c r="C130" s="1146"/>
      <c r="D130" s="523" t="s">
        <v>239</v>
      </c>
      <c r="E130" s="762">
        <f>'28'!F130</f>
        <v>0</v>
      </c>
      <c r="F130" s="741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5" t="s">
        <v>240</v>
      </c>
      <c r="B131" s="1146"/>
      <c r="C131" s="1146"/>
      <c r="D131" s="523" t="s">
        <v>239</v>
      </c>
      <c r="E131" s="762">
        <f>'28'!F131</f>
        <v>0</v>
      </c>
      <c r="F131" s="741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5" t="s">
        <v>241</v>
      </c>
      <c r="B132" s="1146"/>
      <c r="C132" s="1146"/>
      <c r="D132" s="523" t="s">
        <v>239</v>
      </c>
      <c r="E132" s="771">
        <f>'28'!F132</f>
        <v>39461</v>
      </c>
      <c r="F132" s="757">
        <v>39485.19</v>
      </c>
      <c r="G132" s="473">
        <f t="shared" si="14"/>
        <v>24.190000000002328</v>
      </c>
      <c r="H132" s="460">
        <f>G132+'28'!H132</f>
        <v>-57.139999999999418</v>
      </c>
      <c r="I132" s="480"/>
      <c r="J132" s="552">
        <f>H132/DAY(B2)</f>
        <v>-1.9703448275861868</v>
      </c>
    </row>
    <row r="133" spans="1:12" ht="27.75">
      <c r="A133" s="1145" t="s">
        <v>242</v>
      </c>
      <c r="B133" s="1146"/>
      <c r="C133" s="1146"/>
      <c r="D133" s="523" t="s">
        <v>239</v>
      </c>
      <c r="E133" s="771">
        <f>'28'!F133</f>
        <v>300</v>
      </c>
      <c r="F133" s="757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24.190000000002328</v>
      </c>
      <c r="J133" s="552">
        <f>H133/DAY(B2)</f>
        <v>0</v>
      </c>
    </row>
    <row r="134" spans="1:12" ht="27.75">
      <c r="A134" s="1145" t="s">
        <v>243</v>
      </c>
      <c r="B134" s="1146"/>
      <c r="C134" s="1146"/>
      <c r="D134" s="523" t="s">
        <v>239</v>
      </c>
      <c r="E134" s="771">
        <f>'28'!F134</f>
        <v>40810.51</v>
      </c>
      <c r="F134" s="757">
        <v>40820</v>
      </c>
      <c r="G134" s="473">
        <f t="shared" si="14"/>
        <v>9.4899999999979627</v>
      </c>
      <c r="H134" s="460">
        <f>G134+'28'!H134</f>
        <v>42</v>
      </c>
      <c r="I134" s="480"/>
      <c r="J134" s="552">
        <f>H134/DAY(B2)</f>
        <v>1.4482758620689655</v>
      </c>
    </row>
    <row r="135" spans="1:12" ht="27.75">
      <c r="A135" s="1145" t="s">
        <v>244</v>
      </c>
      <c r="B135" s="1146"/>
      <c r="C135" s="1146"/>
      <c r="D135" s="523" t="s">
        <v>239</v>
      </c>
      <c r="E135" s="767">
        <f>'28'!F135</f>
        <v>32583</v>
      </c>
      <c r="F135" s="744">
        <v>32583</v>
      </c>
      <c r="G135" s="473">
        <f t="shared" si="14"/>
        <v>0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5" t="s">
        <v>245</v>
      </c>
      <c r="B136" s="1146"/>
      <c r="C136" s="1146"/>
      <c r="D136" s="523" t="s">
        <v>239</v>
      </c>
      <c r="E136" s="770">
        <f>'28'!F136</f>
        <v>22457.94</v>
      </c>
      <c r="F136" s="748">
        <v>22467</v>
      </c>
      <c r="G136" s="473">
        <f t="shared" si="14"/>
        <v>9.0600000000013097</v>
      </c>
      <c r="H136" s="460">
        <f>G136+'28'!H136</f>
        <v>-21.650000000001455</v>
      </c>
      <c r="I136" s="480">
        <f>G134+G135+G136</f>
        <v>18.549999999999272</v>
      </c>
      <c r="J136" s="552">
        <f>H136/DAY(B2)</f>
        <v>-0.74655172413798121</v>
      </c>
    </row>
    <row r="137" spans="1:12" ht="27.75">
      <c r="A137" s="1145" t="s">
        <v>246</v>
      </c>
      <c r="B137" s="1146"/>
      <c r="C137" s="1146"/>
      <c r="D137" s="523" t="s">
        <v>239</v>
      </c>
      <c r="E137" s="770">
        <f>'28'!F137</f>
        <v>25048.97</v>
      </c>
      <c r="F137" s="748">
        <v>25048.97</v>
      </c>
      <c r="G137" s="473">
        <f t="shared" si="14"/>
        <v>0</v>
      </c>
      <c r="H137" s="460">
        <f>G137+'28'!H137</f>
        <v>12.659999999999854</v>
      </c>
      <c r="I137" s="480"/>
      <c r="J137" s="552">
        <f>H137/DAY(B2)</f>
        <v>0.43655172413792603</v>
      </c>
    </row>
    <row r="138" spans="1:12" ht="27.75">
      <c r="A138" s="1145" t="s">
        <v>247</v>
      </c>
      <c r="B138" s="1146"/>
      <c r="C138" s="1146"/>
      <c r="D138" s="523" t="s">
        <v>239</v>
      </c>
      <c r="E138" s="770">
        <f>'28'!F138</f>
        <v>70244.98</v>
      </c>
      <c r="F138" s="748">
        <v>70247.789999999994</v>
      </c>
      <c r="G138" s="473">
        <f t="shared" si="14"/>
        <v>2.8099999999976717</v>
      </c>
      <c r="H138" s="460">
        <f>G138+'28'!H138</f>
        <v>24.789999999993597</v>
      </c>
      <c r="I138" s="480">
        <f>G137+G138</f>
        <v>2.8099999999976717</v>
      </c>
      <c r="J138" s="552">
        <f>H138/DAY(B2)</f>
        <v>0.85482758620667576</v>
      </c>
    </row>
    <row r="139" spans="1:12" ht="27.75">
      <c r="A139" s="1145" t="s">
        <v>248</v>
      </c>
      <c r="B139" s="1146"/>
      <c r="C139" s="1146"/>
      <c r="D139" s="523" t="s">
        <v>239</v>
      </c>
      <c r="E139" s="771">
        <f>'28'!F139</f>
        <v>1536.52</v>
      </c>
      <c r="F139" s="757">
        <v>1536.52</v>
      </c>
      <c r="G139" s="473">
        <f t="shared" si="14"/>
        <v>0</v>
      </c>
      <c r="H139" s="460">
        <f>G139+'28'!H139</f>
        <v>0</v>
      </c>
      <c r="I139" s="542"/>
      <c r="J139" s="552">
        <f>H139/DAY(B2)</f>
        <v>0</v>
      </c>
    </row>
    <row r="140" spans="1:12" ht="27.75">
      <c r="A140" s="1145" t="s">
        <v>249</v>
      </c>
      <c r="B140" s="1146"/>
      <c r="C140" s="1146"/>
      <c r="D140" s="523" t="s">
        <v>239</v>
      </c>
      <c r="E140" s="770">
        <f>'28'!F140</f>
        <v>4440.07</v>
      </c>
      <c r="F140" s="741">
        <v>4452.6899999999996</v>
      </c>
      <c r="G140" s="473">
        <f t="shared" si="14"/>
        <v>12.619999999999891</v>
      </c>
      <c r="H140" s="460">
        <f>G140+'28'!H140</f>
        <v>-15.850000000000364</v>
      </c>
      <c r="I140" s="542"/>
      <c r="J140" s="552">
        <f>H140/DAY(B2)</f>
        <v>-0.54655172413794362</v>
      </c>
    </row>
    <row r="141" spans="1:12">
      <c r="A141" s="1443" t="s">
        <v>250</v>
      </c>
      <c r="B141" s="1444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2" ht="27.75">
      <c r="A142" s="1437" t="s">
        <v>251</v>
      </c>
      <c r="B142" s="1438"/>
      <c r="C142" s="1439"/>
      <c r="D142" s="523" t="s">
        <v>132</v>
      </c>
      <c r="E142" s="460"/>
      <c r="F142" s="460"/>
      <c r="G142" s="460">
        <f>G35+G43+G49+G57</f>
        <v>6146.7199999998556</v>
      </c>
      <c r="H142" s="460">
        <f>G142+'28'!H142</f>
        <v>-14837.490000000107</v>
      </c>
      <c r="I142" s="480"/>
      <c r="J142" s="552">
        <f>H142/DAY(B2)</f>
        <v>-511.63758620690027</v>
      </c>
      <c r="K142" s="380"/>
      <c r="L142" s="377"/>
    </row>
    <row r="143" spans="1:12" ht="27.75">
      <c r="A143" s="1437" t="s">
        <v>252</v>
      </c>
      <c r="B143" s="1438"/>
      <c r="C143" s="1439"/>
      <c r="D143" s="523" t="s">
        <v>24</v>
      </c>
      <c r="E143" s="470"/>
      <c r="F143" s="470"/>
      <c r="G143" s="543">
        <f>G142/G7</f>
        <v>0.25972787965857586</v>
      </c>
      <c r="H143" s="460">
        <f>G143+'28'!H143</f>
        <v>7.7571984124499318</v>
      </c>
      <c r="I143" s="544"/>
      <c r="J143" s="552">
        <f>H143/DAY(B2)</f>
        <v>0.26748960042930797</v>
      </c>
      <c r="K143" s="380"/>
      <c r="L143" s="377"/>
    </row>
    <row r="144" spans="1:12" ht="27.75">
      <c r="A144" s="1437" t="s">
        <v>253</v>
      </c>
      <c r="B144" s="1438"/>
      <c r="C144" s="1439"/>
      <c r="D144" s="523" t="s">
        <v>132</v>
      </c>
      <c r="E144" s="460"/>
      <c r="F144" s="460"/>
      <c r="G144" s="460">
        <f>G41+G42+G55+G56</f>
        <v>7758.2629999999335</v>
      </c>
      <c r="H144" s="460">
        <f>G144+'28'!H144</f>
        <v>-14094.207000000039</v>
      </c>
      <c r="I144" s="480"/>
      <c r="J144" s="552">
        <f>H144/DAY(B2)</f>
        <v>-486.0071379310358</v>
      </c>
      <c r="K144" s="380"/>
      <c r="L144" s="377"/>
    </row>
    <row r="145" spans="1:12" ht="27.75">
      <c r="A145" s="1437" t="s">
        <v>254</v>
      </c>
      <c r="B145" s="1438"/>
      <c r="C145" s="1439"/>
      <c r="D145" s="523" t="s">
        <v>24</v>
      </c>
      <c r="E145" s="460"/>
      <c r="F145" s="460"/>
      <c r="G145" s="543">
        <f>G144/G7</f>
        <v>0.32782316403278683</v>
      </c>
      <c r="H145" s="460">
        <f>G145+'28'!H145</f>
        <v>7.5531487549631828</v>
      </c>
      <c r="I145" s="544"/>
      <c r="J145" s="552">
        <f>H145/DAY(B2)</f>
        <v>0.26045340534355804</v>
      </c>
      <c r="K145" s="380"/>
      <c r="L145" s="377"/>
    </row>
    <row r="146" spans="1:12" ht="27.75">
      <c r="A146" s="1437" t="s">
        <v>255</v>
      </c>
      <c r="B146" s="1438"/>
      <c r="C146" s="1439"/>
      <c r="D146" s="523" t="s">
        <v>132</v>
      </c>
      <c r="E146" s="460"/>
      <c r="F146" s="460"/>
      <c r="G146" s="460">
        <f>G39+G53</f>
        <v>4050.1299999999464</v>
      </c>
      <c r="H146" s="460">
        <f>G146+'28'!H146</f>
        <v>-8462.3100000000268</v>
      </c>
      <c r="I146" s="545"/>
      <c r="J146" s="552">
        <f>H146/DAY(B2)</f>
        <v>-291.80379310344921</v>
      </c>
      <c r="K146" s="380"/>
      <c r="L146" s="377"/>
    </row>
    <row r="147" spans="1:12" ht="27.75">
      <c r="A147" s="1437" t="s">
        <v>256</v>
      </c>
      <c r="B147" s="1438"/>
      <c r="C147" s="1439"/>
      <c r="D147" s="523" t="s">
        <v>24</v>
      </c>
      <c r="E147" s="460"/>
      <c r="F147" s="460"/>
      <c r="G147" s="543">
        <f>G146/G7</f>
        <v>0.17113707428378039</v>
      </c>
      <c r="H147" s="460">
        <f>G147+'28'!H147</f>
        <v>5.663219850593685</v>
      </c>
      <c r="I147" s="545"/>
      <c r="J147" s="552">
        <f>H147/DAY(B2)</f>
        <v>0.19528344312392018</v>
      </c>
    </row>
    <row r="148" spans="1:12" ht="27.75">
      <c r="A148" s="1437" t="s">
        <v>257</v>
      </c>
      <c r="B148" s="1438"/>
      <c r="C148" s="1439"/>
      <c r="D148" s="523" t="s">
        <v>183</v>
      </c>
      <c r="E148" s="460"/>
      <c r="F148" s="460"/>
      <c r="G148" s="460">
        <f>G38+G52</f>
        <v>1793.1799999999494</v>
      </c>
      <c r="H148" s="460">
        <f>G148+'28'!H148</f>
        <v>-3710.1500000000524</v>
      </c>
      <c r="I148" s="480"/>
      <c r="J148" s="552">
        <f>H148/DAY(B2)</f>
        <v>-127.93620689655353</v>
      </c>
      <c r="K148" s="381"/>
    </row>
    <row r="149" spans="1:12" ht="27.75">
      <c r="A149" s="1437" t="s">
        <v>258</v>
      </c>
      <c r="B149" s="1438"/>
      <c r="C149" s="1439"/>
      <c r="D149" s="523" t="s">
        <v>24</v>
      </c>
      <c r="E149" s="460"/>
      <c r="F149" s="460"/>
      <c r="G149" s="543">
        <f>G148/G7</f>
        <v>7.5770303388825719E-2</v>
      </c>
      <c r="H149" s="460">
        <f>G149+'28'!H149</f>
        <v>2.4755703995846057</v>
      </c>
      <c r="I149" s="545"/>
      <c r="J149" s="552">
        <f>H149/DAY(B2)</f>
        <v>8.5364496537400192E-2</v>
      </c>
    </row>
    <row r="150" spans="1:12" ht="27.75">
      <c r="A150" s="1437" t="s">
        <v>259</v>
      </c>
      <c r="B150" s="1438"/>
      <c r="C150" s="1439"/>
      <c r="D150" s="523" t="s">
        <v>183</v>
      </c>
      <c r="E150" s="460"/>
      <c r="F150" s="460"/>
      <c r="G150" s="460">
        <f>G36+G50</f>
        <v>1868.7200000000303</v>
      </c>
      <c r="H150" s="460">
        <f>G150+'28'!H150</f>
        <v>-4124.8399999999674</v>
      </c>
      <c r="I150" s="545"/>
      <c r="J150" s="552">
        <f>H150/DAY(B2)</f>
        <v>-142.23586206896439</v>
      </c>
    </row>
    <row r="151" spans="1:12" ht="27.75">
      <c r="A151" s="1437" t="s">
        <v>260</v>
      </c>
      <c r="B151" s="1438"/>
      <c r="C151" s="1439"/>
      <c r="D151" s="523" t="s">
        <v>24</v>
      </c>
      <c r="E151" s="460"/>
      <c r="F151" s="460"/>
      <c r="G151" s="543">
        <f>G150/G7</f>
        <v>7.8962224288009392E-2</v>
      </c>
      <c r="H151" s="460">
        <f>G151+'28'!H151</f>
        <v>2.6287659834066455</v>
      </c>
      <c r="I151" s="480"/>
      <c r="J151" s="552">
        <f>H151/DAY(B2)</f>
        <v>9.0647102876091221E-2</v>
      </c>
    </row>
    <row r="152" spans="1:12" ht="27.75">
      <c r="A152" s="1437" t="s">
        <v>261</v>
      </c>
      <c r="B152" s="1438"/>
      <c r="C152" s="1439"/>
      <c r="D152" s="523" t="s">
        <v>183</v>
      </c>
      <c r="E152" s="460"/>
      <c r="F152" s="460"/>
      <c r="G152" s="460">
        <f>G37+G51</f>
        <v>1476.8100000000049</v>
      </c>
      <c r="H152" s="460">
        <f>G152+'28'!H152</f>
        <v>-2990.7200000000012</v>
      </c>
      <c r="I152" s="480"/>
      <c r="J152" s="552">
        <f>H152/DAY(B2)</f>
        <v>-103.128275862069</v>
      </c>
    </row>
    <row r="153" spans="1:12" ht="28.5" thickBot="1">
      <c r="A153" s="1440" t="s">
        <v>262</v>
      </c>
      <c r="B153" s="1441"/>
      <c r="C153" s="1442"/>
      <c r="D153" s="625" t="s">
        <v>24</v>
      </c>
      <c r="E153" s="567"/>
      <c r="F153" s="567"/>
      <c r="G153" s="566">
        <f>G152/G7</f>
        <v>6.2402180343108467E-2</v>
      </c>
      <c r="H153" s="460">
        <f>G153+'28'!H153</f>
        <v>2.0327920780531468</v>
      </c>
      <c r="I153" s="568"/>
      <c r="J153" s="569">
        <f>H153/DAY(B2)</f>
        <v>7.0096278553556782E-2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98" t="s">
        <v>263</v>
      </c>
      <c r="B160" s="799"/>
      <c r="C160" s="799"/>
      <c r="D160" s="620" t="s">
        <v>187</v>
      </c>
      <c r="E160" s="767">
        <f>'28'!F160</f>
        <v>33179.910000000003</v>
      </c>
      <c r="F160" s="807">
        <v>33263.18</v>
      </c>
      <c r="G160" s="473">
        <f t="shared" ref="G160:G163" si="15">F160-E160</f>
        <v>83.269999999996799</v>
      </c>
    </row>
    <row r="161" spans="1:7">
      <c r="A161" s="798" t="s">
        <v>264</v>
      </c>
      <c r="B161" s="799"/>
      <c r="C161" s="799"/>
      <c r="D161" s="620" t="s">
        <v>187</v>
      </c>
      <c r="E161" s="767">
        <f>'28'!F161</f>
        <v>67357.03</v>
      </c>
      <c r="F161" s="807">
        <v>67766.94</v>
      </c>
      <c r="G161" s="473">
        <f t="shared" si="15"/>
        <v>409.91000000000349</v>
      </c>
    </row>
    <row r="162" spans="1:7">
      <c r="A162" s="798" t="s">
        <v>265</v>
      </c>
      <c r="B162" s="799"/>
      <c r="C162" s="799"/>
      <c r="D162" s="620" t="s">
        <v>187</v>
      </c>
      <c r="E162" s="767">
        <f>'28'!F162</f>
        <v>28521.38</v>
      </c>
      <c r="F162" s="807">
        <v>28784</v>
      </c>
      <c r="G162" s="473">
        <f t="shared" si="15"/>
        <v>262.61999999999898</v>
      </c>
    </row>
    <row r="163" spans="1:7">
      <c r="A163" s="798" t="s">
        <v>266</v>
      </c>
      <c r="B163" s="799"/>
      <c r="C163" s="799"/>
      <c r="D163" s="620" t="s">
        <v>187</v>
      </c>
      <c r="E163" s="767">
        <f>'28'!F163</f>
        <v>5757.85</v>
      </c>
      <c r="F163" s="807">
        <v>5768.7</v>
      </c>
      <c r="G163" s="473">
        <f t="shared" si="15"/>
        <v>10.849999999999454</v>
      </c>
    </row>
    <row r="164" spans="1:7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0" t="s">
        <v>188</v>
      </c>
      <c r="B165" s="801"/>
      <c r="C165" s="801"/>
      <c r="D165" s="620" t="s">
        <v>187</v>
      </c>
      <c r="E165" s="514">
        <f t="shared" ref="E165:E171" si="17">E63</f>
        <v>2059</v>
      </c>
      <c r="F165" s="514">
        <f t="shared" ref="F165:F171" si="18">F63</f>
        <v>2072.46</v>
      </c>
      <c r="G165" s="473">
        <f t="shared" si="16"/>
        <v>13.460000000000036</v>
      </c>
    </row>
    <row r="166" spans="1:7" ht="27.75">
      <c r="A166" s="1480" t="s">
        <v>99</v>
      </c>
      <c r="B166" s="1480"/>
      <c r="C166" s="1480"/>
      <c r="D166" s="524" t="s">
        <v>187</v>
      </c>
      <c r="E166" s="514">
        <f t="shared" si="17"/>
        <v>137777.04</v>
      </c>
      <c r="F166" s="514">
        <f t="shared" si="18"/>
        <v>138229.38</v>
      </c>
      <c r="G166" s="473">
        <f t="shared" si="16"/>
        <v>452.33999999999651</v>
      </c>
    </row>
    <row r="167" spans="1:7" ht="27.75">
      <c r="A167" s="1480" t="s">
        <v>100</v>
      </c>
      <c r="B167" s="1480"/>
      <c r="C167" s="1480"/>
      <c r="D167" s="524" t="s">
        <v>187</v>
      </c>
      <c r="E167" s="514">
        <f t="shared" si="17"/>
        <v>143059.66</v>
      </c>
      <c r="F167" s="514">
        <f t="shared" si="18"/>
        <v>143450.65</v>
      </c>
      <c r="G167" s="473">
        <f t="shared" si="16"/>
        <v>390.98999999999069</v>
      </c>
    </row>
    <row r="168" spans="1:7" ht="27.75">
      <c r="A168" s="1480" t="s">
        <v>101</v>
      </c>
      <c r="B168" s="1480"/>
      <c r="C168" s="1480"/>
      <c r="D168" s="524" t="s">
        <v>187</v>
      </c>
      <c r="E168" s="514">
        <f t="shared" si="17"/>
        <v>35987.120000000003</v>
      </c>
      <c r="F168" s="514">
        <f t="shared" si="18"/>
        <v>36389.43</v>
      </c>
      <c r="G168" s="473">
        <f t="shared" si="16"/>
        <v>402.30999999999767</v>
      </c>
    </row>
    <row r="169" spans="1:7" ht="27.75">
      <c r="A169" s="1480" t="s">
        <v>102</v>
      </c>
      <c r="B169" s="1480"/>
      <c r="C169" s="1480"/>
      <c r="D169" s="524" t="s">
        <v>187</v>
      </c>
      <c r="E169" s="514">
        <f t="shared" si="17"/>
        <v>227148.81</v>
      </c>
      <c r="F169" s="514">
        <f t="shared" si="18"/>
        <v>227772.59</v>
      </c>
      <c r="G169" s="473">
        <f t="shared" si="16"/>
        <v>623.77999999999884</v>
      </c>
    </row>
    <row r="170" spans="1:7" ht="27.75">
      <c r="A170" s="1480" t="s">
        <v>103</v>
      </c>
      <c r="B170" s="1480"/>
      <c r="C170" s="1480"/>
      <c r="D170" s="524" t="s">
        <v>187</v>
      </c>
      <c r="E170" s="514">
        <f t="shared" si="17"/>
        <v>82107.83</v>
      </c>
      <c r="F170" s="514">
        <f t="shared" si="18"/>
        <v>82393.31</v>
      </c>
      <c r="G170" s="473">
        <f t="shared" si="16"/>
        <v>285.47999999999593</v>
      </c>
    </row>
    <row r="171" spans="1:7" ht="27.75">
      <c r="A171" s="1480" t="s">
        <v>104</v>
      </c>
      <c r="B171" s="1480"/>
      <c r="C171" s="1480"/>
      <c r="D171" s="524" t="s">
        <v>187</v>
      </c>
      <c r="E171" s="514">
        <f t="shared" si="17"/>
        <v>73394.27</v>
      </c>
      <c r="F171" s="514">
        <f t="shared" si="18"/>
        <v>73704</v>
      </c>
      <c r="G171" s="473">
        <f t="shared" si="16"/>
        <v>309.72999999999593</v>
      </c>
    </row>
    <row r="172" spans="1:7">
      <c r="A172" s="802"/>
      <c r="B172" s="803"/>
      <c r="C172" s="803"/>
      <c r="D172" s="804"/>
      <c r="E172" s="806"/>
      <c r="F172" s="1034"/>
      <c r="G172" s="806">
        <f>SUM(G160:G171)</f>
        <v>3244.7399999999743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354</v>
      </c>
      <c r="B2" s="1117">
        <v>43920</v>
      </c>
      <c r="C2" s="1147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7" t="s">
        <v>120</v>
      </c>
      <c r="D3" s="612">
        <v>33</v>
      </c>
      <c r="E3" s="1563" t="s">
        <v>121</v>
      </c>
      <c r="F3" s="1563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64" t="s">
        <v>130</v>
      </c>
      <c r="B6" s="1565"/>
      <c r="C6" s="1565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5066638</v>
      </c>
      <c r="F7" s="455">
        <v>5090441</v>
      </c>
      <c r="G7" s="777">
        <f>F7-E7</f>
        <v>23803</v>
      </c>
      <c r="H7" s="460">
        <f>G7+'29'!H7</f>
        <v>-23482</v>
      </c>
      <c r="I7" s="474">
        <f>'1'!I7</f>
        <v>12000</v>
      </c>
      <c r="J7" s="552">
        <f>H7/DAY(B2)</f>
        <v>-782.73333333333335</v>
      </c>
      <c r="K7" s="549">
        <v>1375467</v>
      </c>
      <c r="L7" s="377"/>
      <c r="N7" s="440">
        <f>F7-'1'!E7</f>
        <v>-23482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5097788</v>
      </c>
      <c r="F8" s="475">
        <v>5121713</v>
      </c>
      <c r="G8" s="476">
        <f>F8-E8</f>
        <v>23925</v>
      </c>
      <c r="H8" s="460">
        <f>G8+'29'!H8</f>
        <v>-23605</v>
      </c>
      <c r="I8" s="477"/>
      <c r="J8" s="552">
        <f>H8/DAY(B2)</f>
        <v>-786.83333333333337</v>
      </c>
      <c r="K8" s="549">
        <v>1715917</v>
      </c>
      <c r="L8" s="425">
        <v>1728480</v>
      </c>
      <c r="M8" s="440">
        <f>L8-K8</f>
        <v>12563</v>
      </c>
      <c r="N8" s="440">
        <f>F8-'1'!E8</f>
        <v>-23605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350353.59</v>
      </c>
      <c r="F9" s="478">
        <v>373301</v>
      </c>
      <c r="G9" s="473">
        <f t="shared" ref="G9:G12" si="0">F9-E9</f>
        <v>22947.409999999974</v>
      </c>
      <c r="H9" s="460">
        <f>G9+'29'!H9</f>
        <v>-22768</v>
      </c>
      <c r="I9" s="479">
        <f>I7-J7</f>
        <v>12782.733333333334</v>
      </c>
      <c r="J9" s="552">
        <f>H9/DAY(B2)</f>
        <v>-758.93333333333328</v>
      </c>
      <c r="K9" s="428">
        <f>K8-100</f>
        <v>1715817</v>
      </c>
      <c r="L9" s="377"/>
      <c r="N9" s="440">
        <f>F9-'1'!E9</f>
        <v>-22768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360229.05000000005</v>
      </c>
      <c r="I10" s="480"/>
      <c r="J10" s="552">
        <f>H10/DAY(B2)</f>
        <v>12007.635000000002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22947.409999999974</v>
      </c>
      <c r="H13" s="460">
        <f>G13+'29'!H13</f>
        <v>316467.05000000005</v>
      </c>
      <c r="I13" s="482">
        <f>G7-G13</f>
        <v>855.59000000002561</v>
      </c>
      <c r="J13" s="552">
        <f>H13/DAY(B2)</f>
        <v>10548.901666666668</v>
      </c>
      <c r="K13" s="428"/>
      <c r="L13" s="377"/>
      <c r="N13" s="440">
        <f>F13-'1'!E13</f>
        <v>0</v>
      </c>
      <c r="O13" s="808"/>
    </row>
    <row r="14" spans="1:15" ht="29.25">
      <c r="A14" s="1566" t="s">
        <v>139</v>
      </c>
      <c r="B14" s="1567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'29'!F15</f>
        <v>1644727.97</v>
      </c>
      <c r="F15" s="484">
        <v>1645655</v>
      </c>
      <c r="G15" s="777">
        <f>(F15-E15)</f>
        <v>927.03000000002794</v>
      </c>
      <c r="H15" s="460">
        <f>G15+'29'!H15</f>
        <v>-1034</v>
      </c>
      <c r="I15" s="474">
        <f>'1'!I15</f>
        <v>800</v>
      </c>
      <c r="J15" s="552">
        <f>H15/DAY(B2)</f>
        <v>-34.466666666666669</v>
      </c>
      <c r="K15" s="428"/>
      <c r="L15" s="377"/>
      <c r="N15" s="440">
        <f>F15-'1'!E15</f>
        <v>-1034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834.4666666666667</v>
      </c>
      <c r="J16" s="553"/>
      <c r="K16" s="428"/>
      <c r="L16" s="377"/>
      <c r="N16" s="440">
        <f>F16-'1'!E16</f>
        <v>0</v>
      </c>
      <c r="O16" s="808"/>
    </row>
    <row r="17" spans="1:15" ht="29.25">
      <c r="A17" s="1566" t="s">
        <v>142</v>
      </c>
      <c r="B17" s="1567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561" t="s">
        <v>143</v>
      </c>
      <c r="B18" s="1562"/>
      <c r="C18" s="1562"/>
      <c r="D18" s="523" t="s">
        <v>144</v>
      </c>
      <c r="E18" s="455">
        <f>'29'!F18</f>
        <v>16</v>
      </c>
      <c r="F18" s="484">
        <v>14</v>
      </c>
      <c r="G18" s="481">
        <f>F18*10</f>
        <v>140</v>
      </c>
      <c r="H18" s="460">
        <f>G18+'29'!H18</f>
        <v>3820</v>
      </c>
      <c r="I18" s="474">
        <f>'1'!I18</f>
        <v>65</v>
      </c>
      <c r="J18" s="552">
        <f>H18/DAY(B2)</f>
        <v>127.33333333333333</v>
      </c>
      <c r="K18" s="428"/>
      <c r="L18" s="377"/>
      <c r="N18" s="440">
        <f>F18-'1'!E18</f>
        <v>-1</v>
      </c>
      <c r="O18" s="808"/>
    </row>
    <row r="19" spans="1:15" ht="27.75">
      <c r="A19" s="1561" t="s">
        <v>71</v>
      </c>
      <c r="B19" s="1562"/>
      <c r="C19" s="1562"/>
      <c r="D19" s="523" t="s">
        <v>144</v>
      </c>
      <c r="E19" s="455">
        <f>'29'!F19</f>
        <v>135990</v>
      </c>
      <c r="F19" s="484">
        <v>136043</v>
      </c>
      <c r="G19" s="473">
        <f t="shared" ref="G19" si="1">F19-E19</f>
        <v>53</v>
      </c>
      <c r="H19" s="460">
        <f>G19+'29'!H19</f>
        <v>-47</v>
      </c>
      <c r="I19" s="489"/>
      <c r="J19" s="552">
        <f>H19/DAY(B2)</f>
        <v>-1.5666666666666667</v>
      </c>
      <c r="K19" s="428"/>
      <c r="L19" s="377"/>
      <c r="N19" s="440">
        <f>F19-'1'!E19</f>
        <v>-47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193</v>
      </c>
      <c r="H20" s="460">
        <f>G20+'29'!H20</f>
        <v>3773</v>
      </c>
      <c r="I20" s="492">
        <f>I18-J20</f>
        <v>-60.766666666666666</v>
      </c>
      <c r="J20" s="552">
        <f>H20/DAY(B2)</f>
        <v>125.76666666666667</v>
      </c>
      <c r="K20" s="428"/>
      <c r="L20" s="377"/>
      <c r="N20" s="440">
        <f>F20-'1'!E20</f>
        <v>0</v>
      </c>
      <c r="O20" s="808"/>
    </row>
    <row r="21" spans="1:15" ht="29.25">
      <c r="A21" s="1566" t="s">
        <v>146</v>
      </c>
      <c r="B21" s="1567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5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0</v>
      </c>
      <c r="O22" s="808"/>
    </row>
    <row r="23" spans="1:15" ht="21.95" customHeight="1">
      <c r="A23" s="1145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0</v>
      </c>
      <c r="O24" s="808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23925</v>
      </c>
      <c r="F27" s="501">
        <v>9</v>
      </c>
      <c r="G27" s="1028">
        <f>E27*F27</f>
        <v>215325</v>
      </c>
      <c r="H27" s="460">
        <f>G27+'29'!H27</f>
        <v>-212445</v>
      </c>
      <c r="I27" s="503"/>
      <c r="J27" s="552">
        <f>H27/DAY(B2)</f>
        <v>-7081.5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927.03000000002794</v>
      </c>
      <c r="F28" s="501">
        <v>51.45</v>
      </c>
      <c r="G28" s="1028">
        <f>E28*F28</f>
        <v>47695.693500001442</v>
      </c>
      <c r="H28" s="460">
        <f>G28+'29'!H28</f>
        <v>-53199.299999999937</v>
      </c>
      <c r="I28" s="505"/>
      <c r="J28" s="552">
        <f>H28/DAY(B2)</f>
        <v>-1773.3099999999979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1028">
        <f>E30*F30</f>
        <v>7102</v>
      </c>
      <c r="H30" s="460">
        <f>G30+'29'!H30</f>
        <v>-4930</v>
      </c>
      <c r="I30" s="505"/>
      <c r="J30" s="552">
        <f>H30/DAY(B2)</f>
        <v>-164.33333333333334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8">
        <f>E31*F31</f>
        <v>11200</v>
      </c>
      <c r="H31" s="460">
        <f>G31+'29'!H31</f>
        <v>305600</v>
      </c>
      <c r="I31" s="505"/>
      <c r="J31" s="552">
        <f>H31/DAY(B2)</f>
        <v>10186.666666666666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281322.69350000145</v>
      </c>
      <c r="H32" s="460">
        <f>G32+'29'!H32</f>
        <v>124035.69999999995</v>
      </c>
      <c r="I32" s="509"/>
      <c r="J32" s="552">
        <f>H32/DAY(B2)</f>
        <v>4134.5233333333317</v>
      </c>
      <c r="K32" s="373"/>
      <c r="L32" s="443"/>
      <c r="N32" s="440"/>
      <c r="O32" s="808"/>
    </row>
    <row r="33" spans="1:15" ht="25.5">
      <c r="A33" s="1571" t="s">
        <v>162</v>
      </c>
      <c r="B33" s="1572"/>
      <c r="C33" s="1572"/>
      <c r="D33" s="1572"/>
      <c r="E33" s="1572"/>
      <c r="F33" s="1572"/>
      <c r="G33" s="1572"/>
      <c r="H33" s="1572"/>
      <c r="I33" s="1572"/>
      <c r="J33" s="1573"/>
      <c r="K33" s="428"/>
      <c r="L33" s="377"/>
      <c r="N33" s="440"/>
      <c r="O33" s="808"/>
    </row>
    <row r="34" spans="1:15" ht="21.95" customHeight="1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791369.83</v>
      </c>
      <c r="F35" s="510">
        <v>794864</v>
      </c>
      <c r="G35" s="473">
        <f t="shared" ref="G35:G46" si="3">F35-E35</f>
        <v>3494.1700000000419</v>
      </c>
      <c r="H35" s="460">
        <f>G35+'29'!H35</f>
        <v>-3525</v>
      </c>
      <c r="I35" s="455"/>
      <c r="J35" s="552">
        <f>H35/DAY(B2)</f>
        <v>-117.5</v>
      </c>
      <c r="K35" s="428"/>
      <c r="L35" s="377"/>
      <c r="N35" s="440">
        <f>F35-'1'!E35</f>
        <v>-3525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315643.65000000002</v>
      </c>
      <c r="F36" s="510">
        <v>316526</v>
      </c>
      <c r="G36" s="473">
        <f t="shared" si="3"/>
        <v>882.34999999997672</v>
      </c>
      <c r="H36" s="460">
        <f>G36+'29'!H36</f>
        <v>-910</v>
      </c>
      <c r="I36" s="455"/>
      <c r="J36" s="552">
        <f>H36/DAY(B2)</f>
        <v>-30.333333333333332</v>
      </c>
      <c r="K36" s="428"/>
      <c r="L36" s="377"/>
      <c r="N36" s="440">
        <f>F36-'1'!E36</f>
        <v>-910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51806.41</v>
      </c>
      <c r="F37" s="510">
        <v>53307</v>
      </c>
      <c r="G37" s="473">
        <f t="shared" si="3"/>
        <v>1500.5899999999965</v>
      </c>
      <c r="H37" s="460">
        <f>G37+'29'!H37</f>
        <v>-1490</v>
      </c>
      <c r="I37" s="455"/>
      <c r="J37" s="552">
        <f>H37/DAY(B2)</f>
        <v>-49.666666666666664</v>
      </c>
      <c r="K37" s="428"/>
      <c r="L37" s="377"/>
      <c r="N37" s="440">
        <f>F37-'1'!E37</f>
        <v>-1490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68599.78</v>
      </c>
      <c r="F38" s="469">
        <v>70415</v>
      </c>
      <c r="G38" s="473">
        <f t="shared" si="3"/>
        <v>1815.2200000000012</v>
      </c>
      <c r="H38" s="460">
        <f>G38+'29'!H38</f>
        <v>-1893</v>
      </c>
      <c r="I38" s="455"/>
      <c r="J38" s="552">
        <f>H38/DAY(B2)</f>
        <v>-63.1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144784.9</v>
      </c>
      <c r="F39" s="510">
        <v>148802</v>
      </c>
      <c r="G39" s="473">
        <f t="shared" si="3"/>
        <v>4017.1000000000058</v>
      </c>
      <c r="H39" s="460">
        <f>G39+'29'!H39</f>
        <v>-4020</v>
      </c>
      <c r="I39" s="455"/>
      <c r="J39" s="552">
        <f>H39/DAY(B2)</f>
        <v>-134</v>
      </c>
      <c r="K39" s="428"/>
      <c r="L39" s="377"/>
      <c r="N39" s="440">
        <f>F39-'1'!E39</f>
        <v>-4020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0.34</v>
      </c>
      <c r="I40" s="455"/>
      <c r="J40" s="552">
        <f>H40/DAY(B2)</f>
        <v>1.1333333333333334E-2</v>
      </c>
      <c r="K40" s="429"/>
      <c r="L40" s="377"/>
      <c r="N40" s="440">
        <f>F40-'1'!E40</f>
        <v>0.23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122353.11</v>
      </c>
      <c r="F41" s="510">
        <v>127674</v>
      </c>
      <c r="G41" s="473">
        <f t="shared" si="3"/>
        <v>5320.8899999999994</v>
      </c>
      <c r="H41" s="460">
        <f>G41+'29'!H41</f>
        <v>-5467</v>
      </c>
      <c r="I41" s="455"/>
      <c r="J41" s="552">
        <f>H41/DAY(B2)</f>
        <v>-182.23333333333332</v>
      </c>
      <c r="K41" s="428"/>
      <c r="L41" s="377"/>
      <c r="N41" s="440">
        <f>F41-'1'!E41</f>
        <v>-5467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59128.163</v>
      </c>
      <c r="F42" s="510">
        <v>59128.160000000003</v>
      </c>
      <c r="G42" s="473">
        <f t="shared" si="3"/>
        <v>-2.9999999969732016E-3</v>
      </c>
      <c r="H42" s="460">
        <f>G42+'29'!H42</f>
        <v>0</v>
      </c>
      <c r="I42" s="455"/>
      <c r="J42" s="552">
        <f>H42/DAY(B2)</f>
        <v>0</v>
      </c>
      <c r="K42" s="428"/>
      <c r="L42" s="377"/>
      <c r="N42" s="440">
        <f>F42-'1'!E42</f>
        <v>0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896545.19</v>
      </c>
      <c r="F43" s="510">
        <v>899355</v>
      </c>
      <c r="G43" s="473">
        <f t="shared" si="3"/>
        <v>2809.8100000000559</v>
      </c>
      <c r="H43" s="460">
        <f>G43+'29'!H43</f>
        <v>-2693</v>
      </c>
      <c r="I43" s="455"/>
      <c r="J43" s="552">
        <f>H43/DAY(B2)</f>
        <v>-89.766666666666666</v>
      </c>
      <c r="K43" s="428"/>
      <c r="L43" s="377"/>
      <c r="N43" s="440">
        <f>F43-'1'!E43</f>
        <v>-2693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614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187</v>
      </c>
      <c r="I46" s="455"/>
      <c r="J46" s="552">
        <f>H46/DAY(B2)</f>
        <v>6.2333333333333334</v>
      </c>
      <c r="K46" s="428"/>
      <c r="L46" s="377"/>
      <c r="N46" s="440">
        <f>F46-'1'!E46</f>
        <v>187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19840.12700000008</v>
      </c>
      <c r="H47" s="460">
        <f>G47+'29'!H47</f>
        <v>-19196.660000000033</v>
      </c>
      <c r="I47" s="455"/>
      <c r="J47" s="552">
        <f>H47/DAY(B2)</f>
        <v>-639.88866666666775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438899.51</v>
      </c>
      <c r="F50" s="510">
        <v>440078</v>
      </c>
      <c r="G50" s="473">
        <f t="shared" si="4"/>
        <v>1178.4899999999907</v>
      </c>
      <c r="H50" s="460">
        <f>G50+'29'!H50</f>
        <v>-2348</v>
      </c>
      <c r="I50" s="455"/>
      <c r="J50" s="552">
        <f>H50/DAY(B2)</f>
        <v>-78.266666666666666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-1549</v>
      </c>
      <c r="I51" s="455"/>
      <c r="J51" s="552">
        <f>H51/DAY(B2)</f>
        <v>-51.633333333333333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-2046</v>
      </c>
      <c r="I52" s="455"/>
      <c r="J52" s="552">
        <f>H52/DAY(B2)</f>
        <v>-68.2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400838.79</v>
      </c>
      <c r="F53" s="510">
        <v>401047</v>
      </c>
      <c r="G53" s="473">
        <f t="shared" si="4"/>
        <v>208.21000000002095</v>
      </c>
      <c r="H53" s="460">
        <f>G53+'29'!H53</f>
        <v>-4402</v>
      </c>
      <c r="I53" s="455"/>
      <c r="J53" s="552">
        <f>H53/DAY(B2)</f>
        <v>-146.73333333333332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9025.66</v>
      </c>
      <c r="F54" s="510">
        <v>9094</v>
      </c>
      <c r="G54" s="473">
        <f t="shared" si="4"/>
        <v>68.340000000000146</v>
      </c>
      <c r="H54" s="460">
        <f>G54+'29'!H54</f>
        <v>2937.0400000000009</v>
      </c>
      <c r="I54" s="455"/>
      <c r="J54" s="552">
        <f>H54/DAY(B2)</f>
        <v>97.901333333333369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212798.97</v>
      </c>
      <c r="F55" s="510">
        <v>214641</v>
      </c>
      <c r="G55" s="473">
        <f t="shared" si="4"/>
        <v>1842.0299999999988</v>
      </c>
      <c r="H55" s="460">
        <f>G55+'29'!H55</f>
        <v>-6455</v>
      </c>
      <c r="I55" s="455"/>
      <c r="J55" s="552">
        <f>H55/DAY(B2)</f>
        <v>-215.16666666666666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588958.71</v>
      </c>
      <c r="F56" s="510">
        <v>588967</v>
      </c>
      <c r="G56" s="473">
        <f t="shared" si="4"/>
        <v>8.2900000000372529</v>
      </c>
      <c r="H56" s="460">
        <f>G56+'29'!H56</f>
        <v>0</v>
      </c>
      <c r="I56" s="455"/>
      <c r="J56" s="552">
        <f>H56/DAY(B2)</f>
        <v>0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41169.93</v>
      </c>
      <c r="F58" s="510">
        <v>41348</v>
      </c>
      <c r="G58" s="473">
        <f t="shared" si="4"/>
        <v>178.06999999999971</v>
      </c>
      <c r="H58" s="460">
        <f>G58+'29'!H58</f>
        <v>-395</v>
      </c>
      <c r="I58" s="455"/>
      <c r="J58" s="552">
        <f>H58/DAY(B2)</f>
        <v>-13.166666666666666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3485.4900000001035</v>
      </c>
      <c r="H59" s="460">
        <f>G59+'29'!H59</f>
        <v>-14257.830000000024</v>
      </c>
      <c r="I59" s="455">
        <f>G7-G60</f>
        <v>477.38299999981609</v>
      </c>
      <c r="J59" s="552">
        <f>H59/DAY(B2)</f>
        <v>-475.26100000000076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23325.617000000184</v>
      </c>
      <c r="H60" s="460">
        <f>G60+'29'!H60</f>
        <v>-19285.490000000096</v>
      </c>
      <c r="I60" s="455">
        <f>G13-G60</f>
        <v>-378.20700000020952</v>
      </c>
      <c r="J60" s="552">
        <f>H60/DAY(B2)</f>
        <v>-642.84966666666992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2072.46</v>
      </c>
      <c r="F63" s="514">
        <v>2084</v>
      </c>
      <c r="G63" s="473">
        <f t="shared" si="5"/>
        <v>11.539999999999964</v>
      </c>
      <c r="H63" s="460">
        <f>G63+'29'!H63</f>
        <v>-12</v>
      </c>
      <c r="I63" s="515"/>
      <c r="J63" s="552">
        <f>H63/DAY(B2)</f>
        <v>-0.4</v>
      </c>
      <c r="K63" s="428"/>
      <c r="L63" s="377"/>
      <c r="O63" s="808"/>
    </row>
    <row r="64" spans="1:15" ht="27.75">
      <c r="A64" s="1574" t="s">
        <v>99</v>
      </c>
      <c r="B64" s="1412"/>
      <c r="C64" s="1412"/>
      <c r="D64" s="523" t="s">
        <v>187</v>
      </c>
      <c r="E64" s="455">
        <f>'29'!F64</f>
        <v>138229.38</v>
      </c>
      <c r="F64" s="484">
        <v>138706</v>
      </c>
      <c r="G64" s="473">
        <f t="shared" si="5"/>
        <v>476.61999999999534</v>
      </c>
      <c r="H64" s="460">
        <f>G64+'29'!H64</f>
        <v>-474</v>
      </c>
      <c r="I64" s="480"/>
      <c r="J64" s="552">
        <f>H64/DAY(B2)</f>
        <v>-15.8</v>
      </c>
      <c r="K64" s="428"/>
      <c r="L64" s="377"/>
      <c r="O64" s="808"/>
    </row>
    <row r="65" spans="1:15" ht="27.75">
      <c r="A65" s="1574" t="s">
        <v>100</v>
      </c>
      <c r="B65" s="1412"/>
      <c r="C65" s="1412"/>
      <c r="D65" s="523" t="s">
        <v>187</v>
      </c>
      <c r="E65" s="455">
        <f>'29'!F65</f>
        <v>143450.65</v>
      </c>
      <c r="F65" s="484">
        <v>143826</v>
      </c>
      <c r="G65" s="473">
        <f t="shared" si="5"/>
        <v>375.35000000000582</v>
      </c>
      <c r="H65" s="460">
        <f>G65+'29'!H65</f>
        <v>-379</v>
      </c>
      <c r="I65" s="489"/>
      <c r="J65" s="552">
        <f>H65/DAY(B2)</f>
        <v>-12.633333333333333</v>
      </c>
      <c r="K65" s="428"/>
      <c r="L65" s="377"/>
      <c r="O65" s="808"/>
    </row>
    <row r="66" spans="1:15" ht="27.75">
      <c r="A66" s="1574" t="s">
        <v>101</v>
      </c>
      <c r="B66" s="1412"/>
      <c r="C66" s="1412"/>
      <c r="D66" s="523" t="s">
        <v>187</v>
      </c>
      <c r="E66" s="455">
        <f>'29'!F66</f>
        <v>36389.43</v>
      </c>
      <c r="F66" s="484">
        <v>36803</v>
      </c>
      <c r="G66" s="473">
        <f t="shared" si="5"/>
        <v>413.56999999999971</v>
      </c>
      <c r="H66" s="460">
        <f>G66+'29'!H66</f>
        <v>-405</v>
      </c>
      <c r="I66" s="480"/>
      <c r="J66" s="552">
        <f>H66/DAY(B2)</f>
        <v>-13.5</v>
      </c>
      <c r="K66" s="428"/>
      <c r="L66" s="377"/>
      <c r="O66" s="808"/>
    </row>
    <row r="67" spans="1:15" ht="27.75">
      <c r="A67" s="1574" t="s">
        <v>102</v>
      </c>
      <c r="B67" s="1412"/>
      <c r="C67" s="1412"/>
      <c r="D67" s="523" t="s">
        <v>187</v>
      </c>
      <c r="E67" s="455">
        <f>'29'!F67</f>
        <v>227772.59</v>
      </c>
      <c r="F67" s="484">
        <v>228435</v>
      </c>
      <c r="G67" s="473">
        <f t="shared" si="5"/>
        <v>662.41000000000349</v>
      </c>
      <c r="H67" s="460">
        <f>G67+'29'!H67</f>
        <v>-665</v>
      </c>
      <c r="I67" s="489"/>
      <c r="J67" s="552">
        <f>H67/DAY(B2)</f>
        <v>-22.166666666666668</v>
      </c>
      <c r="K67" s="429"/>
      <c r="L67" s="377"/>
      <c r="O67" s="808"/>
    </row>
    <row r="68" spans="1:15" ht="27.75">
      <c r="A68" s="1574" t="s">
        <v>103</v>
      </c>
      <c r="B68" s="1412"/>
      <c r="C68" s="1412"/>
      <c r="D68" s="523" t="s">
        <v>187</v>
      </c>
      <c r="E68" s="455">
        <f>'29'!F68</f>
        <v>82393.31</v>
      </c>
      <c r="F68" s="484">
        <v>82731</v>
      </c>
      <c r="G68" s="473">
        <f t="shared" si="5"/>
        <v>337.69000000000233</v>
      </c>
      <c r="H68" s="460">
        <f>G68+'29'!H68</f>
        <v>8861.070000000007</v>
      </c>
      <c r="I68" s="516"/>
      <c r="J68" s="552">
        <f>H68/DAY(B2)</f>
        <v>295.36900000000026</v>
      </c>
      <c r="K68" s="430"/>
      <c r="L68" s="377"/>
      <c r="O68" s="808"/>
    </row>
    <row r="69" spans="1:15" ht="27.75">
      <c r="A69" s="1574" t="s">
        <v>104</v>
      </c>
      <c r="B69" s="1412"/>
      <c r="C69" s="1412"/>
      <c r="D69" s="523" t="s">
        <v>187</v>
      </c>
      <c r="E69" s="455">
        <f>'29'!F69</f>
        <v>73704</v>
      </c>
      <c r="F69" s="484">
        <v>74017</v>
      </c>
      <c r="G69" s="473">
        <f t="shared" si="5"/>
        <v>313</v>
      </c>
      <c r="H69" s="460">
        <f>G69+'29'!H69</f>
        <v>-312</v>
      </c>
      <c r="I69" s="516"/>
      <c r="J69" s="552">
        <f>H69/DAY(B2)</f>
        <v>-10.4</v>
      </c>
      <c r="K69" s="431"/>
      <c r="L69" s="377"/>
      <c r="O69" s="808"/>
    </row>
    <row r="70" spans="1:15" ht="27.75">
      <c r="A70" s="1575" t="s">
        <v>189</v>
      </c>
      <c r="B70" s="1480"/>
      <c r="C70" s="1480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568" t="s">
        <v>190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O71" s="808"/>
    </row>
    <row r="72" spans="1:15" ht="27.75">
      <c r="A72" s="1574" t="s">
        <v>191</v>
      </c>
      <c r="B72" s="1412"/>
      <c r="C72" s="1412"/>
      <c r="D72" s="523" t="s">
        <v>187</v>
      </c>
      <c r="E72" s="455">
        <f>'29'!F72</f>
        <v>852999</v>
      </c>
      <c r="F72" s="519">
        <v>853061</v>
      </c>
      <c r="G72" s="473">
        <f t="shared" ref="G72:G84" si="6">F72-E72</f>
        <v>62</v>
      </c>
      <c r="H72" s="460">
        <f>G72+'29'!H72</f>
        <v>-208</v>
      </c>
      <c r="I72" s="480"/>
      <c r="J72" s="552">
        <f>H72/DAY(B2)</f>
        <v>-6.9333333333333336</v>
      </c>
      <c r="K72" s="431"/>
      <c r="L72" s="377"/>
      <c r="O72" s="808"/>
    </row>
    <row r="73" spans="1:15" ht="27.75">
      <c r="A73" s="1574" t="s">
        <v>192</v>
      </c>
      <c r="B73" s="1412"/>
      <c r="C73" s="1412"/>
      <c r="D73" s="523" t="s">
        <v>187</v>
      </c>
      <c r="E73" s="455">
        <f>'29'!F73</f>
        <v>885797</v>
      </c>
      <c r="F73" s="520">
        <v>885799</v>
      </c>
      <c r="G73" s="473">
        <f t="shared" si="6"/>
        <v>2</v>
      </c>
      <c r="H73" s="460">
        <f>G73+'29'!H73</f>
        <v>-1446</v>
      </c>
      <c r="I73" s="480"/>
      <c r="J73" s="552">
        <f>H73/DAY(B2)</f>
        <v>-48.2</v>
      </c>
      <c r="K73" s="430"/>
      <c r="L73" s="377"/>
      <c r="O73" s="808"/>
    </row>
    <row r="74" spans="1:15" ht="27.75">
      <c r="A74" s="1574" t="s">
        <v>193</v>
      </c>
      <c r="B74" s="1412"/>
      <c r="C74" s="1412"/>
      <c r="D74" s="523" t="s">
        <v>187</v>
      </c>
      <c r="E74" s="455">
        <f>'29'!F74</f>
        <v>1326.37</v>
      </c>
      <c r="F74" s="521">
        <v>1349</v>
      </c>
      <c r="G74" s="473">
        <f t="shared" si="6"/>
        <v>22.630000000000109</v>
      </c>
      <c r="H74" s="460">
        <f>G74+'29'!H74</f>
        <v>-21</v>
      </c>
      <c r="I74" s="480"/>
      <c r="J74" s="552">
        <f>H74/DAY(B2)</f>
        <v>-0.7</v>
      </c>
      <c r="K74" s="431"/>
      <c r="L74" s="377"/>
      <c r="O74" s="808"/>
    </row>
    <row r="75" spans="1:15" ht="27.75">
      <c r="A75" s="1576" t="s">
        <v>194</v>
      </c>
      <c r="B75" s="1577"/>
      <c r="C75" s="1577"/>
      <c r="D75" s="523" t="s">
        <v>187</v>
      </c>
      <c r="E75" s="455">
        <f>'29'!F75</f>
        <v>8374.31</v>
      </c>
      <c r="F75" s="521">
        <v>8539</v>
      </c>
      <c r="G75" s="473">
        <f t="shared" si="6"/>
        <v>164.69000000000051</v>
      </c>
      <c r="H75" s="460">
        <f>G75+'29'!H75</f>
        <v>-141</v>
      </c>
      <c r="I75" s="480"/>
      <c r="J75" s="552">
        <f>H75/DAY(B2)</f>
        <v>-4.7</v>
      </c>
      <c r="K75" s="430"/>
      <c r="L75" s="377"/>
      <c r="O75" s="808"/>
    </row>
    <row r="76" spans="1:15" ht="27.75">
      <c r="A76" s="1576" t="s">
        <v>195</v>
      </c>
      <c r="B76" s="1577"/>
      <c r="C76" s="1577"/>
      <c r="D76" s="523" t="s">
        <v>187</v>
      </c>
      <c r="E76" s="455">
        <f>'29'!F76</f>
        <v>3858.26</v>
      </c>
      <c r="F76" s="520">
        <v>3938</v>
      </c>
      <c r="G76" s="473">
        <f t="shared" si="6"/>
        <v>79.739999999999782</v>
      </c>
      <c r="H76" s="460">
        <f>G76+'29'!H76</f>
        <v>-1698</v>
      </c>
      <c r="I76" s="505"/>
      <c r="J76" s="552">
        <f>H76/DAY(B2)</f>
        <v>-56.6</v>
      </c>
      <c r="K76" s="430"/>
      <c r="L76" s="377"/>
      <c r="O76" s="808"/>
    </row>
    <row r="77" spans="1:15" ht="27.75">
      <c r="A77" s="1574" t="s">
        <v>196</v>
      </c>
      <c r="B77" s="1412"/>
      <c r="C77" s="1412"/>
      <c r="D77" s="523" t="s">
        <v>187</v>
      </c>
      <c r="E77" s="455">
        <f>'29'!F77</f>
        <v>700112</v>
      </c>
      <c r="F77" s="521">
        <v>700163</v>
      </c>
      <c r="G77" s="473">
        <f t="shared" si="6"/>
        <v>51</v>
      </c>
      <c r="H77" s="460">
        <f>G77+'29'!H77</f>
        <v>-51</v>
      </c>
      <c r="I77" s="505"/>
      <c r="J77" s="552">
        <f>H77/DAY(B2)</f>
        <v>-1.7</v>
      </c>
      <c r="K77" s="430"/>
      <c r="L77" s="377"/>
      <c r="O77" s="808"/>
    </row>
    <row r="78" spans="1:15" ht="27.75">
      <c r="A78" s="1148" t="s">
        <v>197</v>
      </c>
      <c r="B78" s="1121"/>
      <c r="C78" s="1121"/>
      <c r="D78" s="523" t="s">
        <v>187</v>
      </c>
      <c r="E78" s="455">
        <f>'29'!F78</f>
        <v>664703</v>
      </c>
      <c r="F78" s="521">
        <v>665033</v>
      </c>
      <c r="G78" s="473">
        <f t="shared" si="6"/>
        <v>330</v>
      </c>
      <c r="H78" s="460">
        <f>G78+'29'!H78</f>
        <v>-347</v>
      </c>
      <c r="I78" s="505"/>
      <c r="J78" s="552">
        <f>H78/DAY(B2)</f>
        <v>-11.566666666666666</v>
      </c>
      <c r="K78" s="430"/>
      <c r="L78" s="377"/>
      <c r="O78" s="808"/>
    </row>
    <row r="79" spans="1:15" ht="27.75">
      <c r="A79" s="1576" t="s">
        <v>92</v>
      </c>
      <c r="B79" s="1577"/>
      <c r="C79" s="1577"/>
      <c r="D79" s="524" t="s">
        <v>187</v>
      </c>
      <c r="E79" s="455">
        <f>'29'!F79</f>
        <v>820833</v>
      </c>
      <c r="F79" s="521">
        <v>821019</v>
      </c>
      <c r="G79" s="473">
        <f t="shared" si="6"/>
        <v>186</v>
      </c>
      <c r="H79" s="460">
        <f>G79+'29'!H79</f>
        <v>-4097</v>
      </c>
      <c r="I79" s="505"/>
      <c r="J79" s="552">
        <f>H79/DAY(B2)</f>
        <v>-136.56666666666666</v>
      </c>
      <c r="K79" s="430"/>
      <c r="L79" s="377"/>
      <c r="O79" s="808"/>
    </row>
    <row r="80" spans="1:15" ht="27.75">
      <c r="A80" s="1576" t="s">
        <v>198</v>
      </c>
      <c r="B80" s="1577"/>
      <c r="C80" s="1577"/>
      <c r="D80" s="524" t="s">
        <v>187</v>
      </c>
      <c r="E80" s="455">
        <f>'29'!F80</f>
        <v>504970.76</v>
      </c>
      <c r="F80" s="520">
        <v>505339</v>
      </c>
      <c r="G80" s="473">
        <f t="shared" si="6"/>
        <v>368.23999999999069</v>
      </c>
      <c r="H80" s="460">
        <f>G80+'29'!H80</f>
        <v>2621</v>
      </c>
      <c r="I80" s="505"/>
      <c r="J80" s="552">
        <f>H80/DAY(B2)</f>
        <v>87.36666666666666</v>
      </c>
      <c r="K80" s="430"/>
      <c r="L80" s="377"/>
      <c r="O80" s="808"/>
    </row>
    <row r="81" spans="1:15" ht="27.75">
      <c r="A81" s="1576" t="s">
        <v>199</v>
      </c>
      <c r="B81" s="1577"/>
      <c r="C81" s="1577"/>
      <c r="D81" s="524" t="s">
        <v>187</v>
      </c>
      <c r="E81" s="455">
        <f>'29'!F81</f>
        <v>629554.43999999994</v>
      </c>
      <c r="F81" s="520">
        <v>629950</v>
      </c>
      <c r="G81" s="473">
        <f t="shared" si="6"/>
        <v>395.56000000005588</v>
      </c>
      <c r="H81" s="460">
        <f>G81+'29'!H81</f>
        <v>-235</v>
      </c>
      <c r="I81" s="505"/>
      <c r="J81" s="552">
        <f>H81/DAY(B2)</f>
        <v>-7.833333333333333</v>
      </c>
      <c r="K81" s="430"/>
      <c r="L81" s="377"/>
      <c r="O81" s="808"/>
    </row>
    <row r="82" spans="1:15" ht="27.75">
      <c r="A82" s="1576" t="s">
        <v>93</v>
      </c>
      <c r="B82" s="1577"/>
      <c r="C82" s="1577"/>
      <c r="D82" s="485" t="s">
        <v>132</v>
      </c>
      <c r="E82" s="455">
        <f>'29'!F82</f>
        <v>106846.94</v>
      </c>
      <c r="F82" s="522">
        <v>106874</v>
      </c>
      <c r="G82" s="473">
        <f t="shared" si="6"/>
        <v>27.059999999997672</v>
      </c>
      <c r="H82" s="460">
        <f>G82+'29'!H82</f>
        <v>-21</v>
      </c>
      <c r="I82" s="486"/>
      <c r="J82" s="552">
        <f>H82/DAY(B2)</f>
        <v>-0.7</v>
      </c>
      <c r="K82" s="430"/>
      <c r="L82" s="377"/>
      <c r="O82" s="808"/>
    </row>
    <row r="83" spans="1:15" ht="27.75">
      <c r="A83" s="1576" t="s">
        <v>200</v>
      </c>
      <c r="B83" s="1577"/>
      <c r="C83" s="1577"/>
      <c r="D83" s="620" t="s">
        <v>132</v>
      </c>
      <c r="E83" s="455">
        <f>'29'!F83</f>
        <v>6498</v>
      </c>
      <c r="F83" s="511">
        <v>6767</v>
      </c>
      <c r="G83" s="473">
        <f t="shared" si="6"/>
        <v>269</v>
      </c>
      <c r="H83" s="460">
        <f>G83+'29'!H83</f>
        <v>-290</v>
      </c>
      <c r="I83" s="481"/>
      <c r="J83" s="552">
        <f>H83/DAY(B2)</f>
        <v>-9.6666666666666661</v>
      </c>
      <c r="K83" s="429"/>
      <c r="L83" s="377"/>
      <c r="O83" s="808"/>
    </row>
    <row r="84" spans="1:15" ht="29.25">
      <c r="A84" s="1149" t="s">
        <v>201</v>
      </c>
      <c r="B84" s="571"/>
      <c r="C84" s="571"/>
      <c r="D84" s="478" t="s">
        <v>132</v>
      </c>
      <c r="E84" s="455">
        <f>'29'!F84</f>
        <v>452909</v>
      </c>
      <c r="F84" s="523">
        <v>453831</v>
      </c>
      <c r="G84" s="473">
        <f t="shared" si="6"/>
        <v>922</v>
      </c>
      <c r="H84" s="460">
        <f>G84+'29'!H84</f>
        <v>-853</v>
      </c>
      <c r="I84" s="481"/>
      <c r="J84" s="552">
        <f>H84/DAY(B2)</f>
        <v>-28.433333333333334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2879.9200000000446</v>
      </c>
      <c r="H85" s="460">
        <f>G85+'29'!H85</f>
        <v>-2730.9999999999936</v>
      </c>
      <c r="I85" s="481"/>
      <c r="J85" s="552">
        <f>H85/DAY(B2)</f>
        <v>-91.033333333333118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454227.64</v>
      </c>
      <c r="F86" s="650">
        <v>454411</v>
      </c>
      <c r="G86" s="708">
        <f t="shared" ref="G86:G90" si="7">F86-E86</f>
        <v>183.35999999998603</v>
      </c>
      <c r="H86" s="460">
        <f>G86+'29'!H86</f>
        <v>323.55999999999767</v>
      </c>
      <c r="I86" s="655"/>
      <c r="J86" s="710">
        <f>H86/DAY(B2)</f>
        <v>10.785333333333256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80101.399999999994</v>
      </c>
      <c r="F87" s="650">
        <v>80150</v>
      </c>
      <c r="G87" s="708">
        <f t="shared" si="7"/>
        <v>48.600000000005821</v>
      </c>
      <c r="H87" s="460">
        <f>G87+'29'!H87</f>
        <v>79.5</v>
      </c>
      <c r="I87" s="655"/>
      <c r="J87" s="710">
        <f>H87/DAY(B2)</f>
        <v>2.65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150401.85999999999</v>
      </c>
      <c r="F88" s="650">
        <v>150496</v>
      </c>
      <c r="G88" s="708">
        <f t="shared" si="7"/>
        <v>94.14000000001397</v>
      </c>
      <c r="H88" s="460">
        <f>G88+'29'!H88</f>
        <v>127.54999999998836</v>
      </c>
      <c r="I88" s="655"/>
      <c r="J88" s="710">
        <f>H88/DAY(B2)</f>
        <v>4.2516666666662788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63468.800000000003</v>
      </c>
      <c r="F89" s="650">
        <v>63509</v>
      </c>
      <c r="G89" s="708">
        <f t="shared" si="7"/>
        <v>40.19999999999709</v>
      </c>
      <c r="H89" s="460">
        <f>G89+'29'!H89</f>
        <v>84.30000000000291</v>
      </c>
      <c r="I89" s="655"/>
      <c r="J89" s="710">
        <f>H89/DAY(B2)</f>
        <v>2.8100000000000969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3267.3</v>
      </c>
      <c r="F90" s="650">
        <v>3269</v>
      </c>
      <c r="G90" s="708">
        <f t="shared" si="7"/>
        <v>1.6999999999998181</v>
      </c>
      <c r="H90" s="460">
        <f>G90+'29'!H90</f>
        <v>2.8000000000001819</v>
      </c>
      <c r="I90" s="655"/>
      <c r="J90" s="710">
        <f>H90/DAY(B2)</f>
        <v>9.3333333333339402E-2</v>
      </c>
      <c r="K90" s="736"/>
      <c r="L90" s="737"/>
      <c r="N90" s="781"/>
      <c r="O90" s="808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O91" s="808"/>
    </row>
    <row r="92" spans="1:15" ht="27.75">
      <c r="A92" s="1561" t="s">
        <v>206</v>
      </c>
      <c r="B92" s="1562"/>
      <c r="C92" s="1562"/>
      <c r="D92" s="523" t="s">
        <v>144</v>
      </c>
      <c r="E92" s="455">
        <f>'29'!F92</f>
        <v>242446</v>
      </c>
      <c r="F92" s="484">
        <v>242540</v>
      </c>
      <c r="G92" s="473">
        <f t="shared" ref="G92:G93" si="8">F92-E92</f>
        <v>94</v>
      </c>
      <c r="H92" s="460">
        <f>G92+'29'!H92</f>
        <v>-106</v>
      </c>
      <c r="I92" s="480"/>
      <c r="J92" s="552">
        <f>H92/DAY(B2)</f>
        <v>-3.5333333333333332</v>
      </c>
      <c r="K92" s="429"/>
      <c r="L92" s="377"/>
      <c r="O92" s="808"/>
    </row>
    <row r="93" spans="1:15" ht="27.75">
      <c r="A93" s="1561" t="s">
        <v>207</v>
      </c>
      <c r="B93" s="1562"/>
      <c r="C93" s="1562"/>
      <c r="D93" s="523" t="s">
        <v>144</v>
      </c>
      <c r="E93" s="455">
        <f>'29'!F93</f>
        <v>179373</v>
      </c>
      <c r="F93" s="484">
        <v>179523</v>
      </c>
      <c r="G93" s="473">
        <f t="shared" si="8"/>
        <v>150</v>
      </c>
      <c r="H93" s="460">
        <f>G93+'29'!H93</f>
        <v>-156</v>
      </c>
      <c r="I93" s="480"/>
      <c r="J93" s="552">
        <f>H93/DAY(B2)</f>
        <v>-5.2</v>
      </c>
      <c r="K93" s="380"/>
      <c r="L93" s="377"/>
      <c r="O93" s="808"/>
    </row>
    <row r="94" spans="1:15" ht="29.25">
      <c r="A94" s="1578" t="s">
        <v>208</v>
      </c>
      <c r="B94" s="1579"/>
      <c r="C94" s="1579"/>
      <c r="D94" s="523"/>
      <c r="E94" s="455"/>
      <c r="F94" s="484"/>
      <c r="G94" s="473">
        <f>G92+G93</f>
        <v>244</v>
      </c>
      <c r="H94" s="460">
        <f>G94+'29'!H94</f>
        <v>-481</v>
      </c>
      <c r="I94" s="480"/>
      <c r="J94" s="552">
        <f>H94/DAY(B2)</f>
        <v>-16.033333333333335</v>
      </c>
      <c r="K94" s="380"/>
      <c r="L94" s="377"/>
      <c r="O94" s="808"/>
    </row>
    <row r="95" spans="1:15" ht="27.75">
      <c r="A95" s="1561" t="s">
        <v>209</v>
      </c>
      <c r="B95" s="1562"/>
      <c r="C95" s="1562"/>
      <c r="D95" s="523" t="s">
        <v>144</v>
      </c>
      <c r="E95" s="455">
        <f>'29'!F95</f>
        <v>410614</v>
      </c>
      <c r="F95" s="484">
        <v>410685</v>
      </c>
      <c r="G95" s="473">
        <f t="shared" ref="G95:G99" si="9">F95-E95</f>
        <v>71</v>
      </c>
      <c r="H95" s="460">
        <f>G95+'29'!H95</f>
        <v>-100</v>
      </c>
      <c r="I95" s="480"/>
      <c r="J95" s="552">
        <f>H95/DAY(B2)</f>
        <v>-3.3333333333333335</v>
      </c>
      <c r="K95" s="380"/>
      <c r="L95" s="377"/>
      <c r="O95" s="808"/>
    </row>
    <row r="96" spans="1:15" ht="27.75">
      <c r="A96" s="1145" t="s">
        <v>210</v>
      </c>
      <c r="B96" s="1146"/>
      <c r="C96" s="1146"/>
      <c r="D96" s="523" t="s">
        <v>144</v>
      </c>
      <c r="E96" s="455">
        <f>'29'!F96</f>
        <v>101799</v>
      </c>
      <c r="F96" s="484">
        <v>101814</v>
      </c>
      <c r="G96" s="473">
        <f t="shared" si="9"/>
        <v>15</v>
      </c>
      <c r="H96" s="460">
        <f>G96+'29'!H96</f>
        <v>-17</v>
      </c>
      <c r="I96" s="480"/>
      <c r="J96" s="552">
        <f>H96/DAY(B2)</f>
        <v>-0.56666666666666665</v>
      </c>
      <c r="K96" s="427"/>
      <c r="L96" s="377"/>
      <c r="O96" s="808"/>
    </row>
    <row r="97" spans="1:15" ht="27.75">
      <c r="A97" s="1145" t="s">
        <v>211</v>
      </c>
      <c r="B97" s="1146"/>
      <c r="C97" s="1146"/>
      <c r="D97" s="523" t="s">
        <v>144</v>
      </c>
      <c r="E97" s="455">
        <f>'29'!F97</f>
        <v>96886</v>
      </c>
      <c r="F97" s="484">
        <v>96905</v>
      </c>
      <c r="G97" s="473">
        <f t="shared" si="9"/>
        <v>19</v>
      </c>
      <c r="H97" s="460">
        <f>G97+'29'!H97</f>
        <v>-23</v>
      </c>
      <c r="I97" s="480"/>
      <c r="J97" s="552">
        <f>H97/DAY(B2)</f>
        <v>-0.76666666666666672</v>
      </c>
      <c r="K97" s="432"/>
      <c r="L97" s="377"/>
      <c r="O97" s="808"/>
    </row>
    <row r="98" spans="1:15" ht="27.75">
      <c r="A98" s="1145" t="s">
        <v>212</v>
      </c>
      <c r="B98" s="1146"/>
      <c r="C98" s="1146"/>
      <c r="D98" s="523" t="s">
        <v>144</v>
      </c>
      <c r="E98" s="455">
        <f>'29'!F98</f>
        <v>148864</v>
      </c>
      <c r="F98" s="484">
        <v>148899</v>
      </c>
      <c r="G98" s="473">
        <f t="shared" si="9"/>
        <v>35</v>
      </c>
      <c r="H98" s="460">
        <f>G98+'29'!H98</f>
        <v>-10</v>
      </c>
      <c r="I98" s="480"/>
      <c r="J98" s="552">
        <f>H98/DAY(B2)</f>
        <v>-0.33333333333333331</v>
      </c>
      <c r="K98" s="380"/>
      <c r="L98" s="377"/>
      <c r="O98" s="808"/>
    </row>
    <row r="99" spans="1:15" ht="27.75">
      <c r="A99" s="1145" t="s">
        <v>213</v>
      </c>
      <c r="B99" s="1146"/>
      <c r="C99" s="1146"/>
      <c r="D99" s="523" t="s">
        <v>144</v>
      </c>
      <c r="E99" s="455">
        <f>'29'!F99</f>
        <v>6819</v>
      </c>
      <c r="F99" s="484">
        <v>6842</v>
      </c>
      <c r="G99" s="473">
        <f t="shared" si="9"/>
        <v>23</v>
      </c>
      <c r="H99" s="460">
        <f>G99+'29'!H99</f>
        <v>-13</v>
      </c>
      <c r="I99" s="480"/>
      <c r="J99" s="552">
        <f>H99/DAY(B2)</f>
        <v>-0.43333333333333335</v>
      </c>
      <c r="K99" s="380"/>
      <c r="L99" s="377"/>
      <c r="O99" s="808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'29'!F100</f>
        <v>4928</v>
      </c>
      <c r="F100" s="484">
        <v>4936</v>
      </c>
      <c r="G100" s="473">
        <f>F100-E100</f>
        <v>8</v>
      </c>
      <c r="H100" s="460">
        <f>G100+'29'!H100</f>
        <v>-7</v>
      </c>
      <c r="I100" s="480"/>
      <c r="J100" s="552">
        <f>H100/DAY(B2)</f>
        <v>-0.23333333333333334</v>
      </c>
      <c r="K100" s="380"/>
      <c r="L100" s="377"/>
      <c r="O100" s="808"/>
    </row>
    <row r="101" spans="1:15" ht="29.25">
      <c r="A101" s="1578" t="s">
        <v>216</v>
      </c>
      <c r="B101" s="1579"/>
      <c r="C101" s="1579"/>
      <c r="D101" s="524"/>
      <c r="E101" s="524"/>
      <c r="F101" s="524"/>
      <c r="G101" s="525">
        <f>SUM(G95:G100)</f>
        <v>171</v>
      </c>
      <c r="H101" s="460">
        <f>G101+'29'!H101</f>
        <v>-170</v>
      </c>
      <c r="I101" s="526"/>
      <c r="J101" s="552">
        <f>H101/DAY(B2)</f>
        <v>-5.666666666666667</v>
      </c>
      <c r="K101" s="380"/>
      <c r="L101" s="377"/>
      <c r="O101" s="808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8"/>
    </row>
    <row r="103" spans="1:15" s="442" customFormat="1" ht="27.75">
      <c r="A103" s="1584" t="s">
        <v>218</v>
      </c>
      <c r="B103" s="1585"/>
      <c r="C103" s="573"/>
      <c r="D103" s="622"/>
      <c r="E103" s="532"/>
      <c r="F103" s="532"/>
      <c r="G103" s="532"/>
      <c r="H103" s="533"/>
      <c r="I103" s="532"/>
      <c r="J103" s="558"/>
      <c r="O103" s="808"/>
    </row>
    <row r="104" spans="1:15" s="442" customFormat="1" ht="27.75">
      <c r="A104" s="1559" t="s">
        <v>219</v>
      </c>
      <c r="B104" s="1560"/>
      <c r="C104" s="1143"/>
      <c r="D104" s="622" t="s">
        <v>144</v>
      </c>
      <c r="E104" s="532">
        <f>'29'!F104</f>
        <v>7287</v>
      </c>
      <c r="F104" s="532">
        <v>7314</v>
      </c>
      <c r="G104" s="532">
        <f>F104-E104</f>
        <v>27</v>
      </c>
      <c r="H104" s="460">
        <f>G104+'29'!H104</f>
        <v>86</v>
      </c>
      <c r="I104" s="532"/>
      <c r="J104" s="558">
        <f>H104/DAY(B2)</f>
        <v>2.8666666666666667</v>
      </c>
      <c r="O104" s="808"/>
    </row>
    <row r="105" spans="1:15" s="442" customFormat="1" ht="27.75">
      <c r="A105" s="1559" t="s">
        <v>77</v>
      </c>
      <c r="B105" s="1560"/>
      <c r="C105" s="1143"/>
      <c r="D105" s="622" t="s">
        <v>144</v>
      </c>
      <c r="E105" s="532">
        <f>'29'!F105</f>
        <v>35640</v>
      </c>
      <c r="F105" s="534">
        <v>35645</v>
      </c>
      <c r="G105" s="532">
        <f t="shared" ref="G105:G106" si="10">F105-E105</f>
        <v>5</v>
      </c>
      <c r="H105" s="460">
        <f>G105+'29'!H105</f>
        <v>66</v>
      </c>
      <c r="I105" s="532"/>
      <c r="J105" s="558">
        <f>H105/DAY(B2)</f>
        <v>2.2000000000000002</v>
      </c>
      <c r="O105" s="808"/>
    </row>
    <row r="106" spans="1:15" s="442" customFormat="1" ht="27.75">
      <c r="A106" s="1559" t="s">
        <v>78</v>
      </c>
      <c r="B106" s="1560"/>
      <c r="C106" s="1560"/>
      <c r="D106" s="622" t="s">
        <v>144</v>
      </c>
      <c r="E106" s="532">
        <f>'29'!F106</f>
        <v>19406</v>
      </c>
      <c r="F106" s="532">
        <v>19410</v>
      </c>
      <c r="G106" s="532">
        <f t="shared" si="10"/>
        <v>4</v>
      </c>
      <c r="H106" s="460">
        <f>G106+'29'!H106</f>
        <v>405</v>
      </c>
      <c r="I106" s="532"/>
      <c r="J106" s="558">
        <f>H106/DAY(B2)</f>
        <v>13.5</v>
      </c>
      <c r="O106" s="808"/>
    </row>
    <row r="107" spans="1:15" s="442" customFormat="1" ht="27.75">
      <c r="A107" s="1549" t="s">
        <v>202</v>
      </c>
      <c r="B107" s="1550"/>
      <c r="C107" s="1143"/>
      <c r="D107" s="622"/>
      <c r="E107" s="532"/>
      <c r="F107" s="532"/>
      <c r="G107" s="532">
        <f>SUM(G104:G106)</f>
        <v>36</v>
      </c>
      <c r="H107" s="460">
        <f>G107+'29'!H107</f>
        <v>247</v>
      </c>
      <c r="I107" s="532"/>
      <c r="J107" s="558">
        <f>H107/DAY(B2)</f>
        <v>8.2333333333333325</v>
      </c>
      <c r="O107" s="808"/>
    </row>
    <row r="108" spans="1:15" s="442" customFormat="1" ht="27.75">
      <c r="A108" s="1557" t="s">
        <v>79</v>
      </c>
      <c r="B108" s="1558"/>
      <c r="C108" s="1143"/>
      <c r="D108" s="622" t="s">
        <v>144</v>
      </c>
      <c r="E108" s="532"/>
      <c r="F108" s="532"/>
      <c r="G108" s="532"/>
      <c r="H108" s="533"/>
      <c r="I108" s="532"/>
      <c r="J108" s="558"/>
      <c r="O108" s="808"/>
    </row>
    <row r="109" spans="1:15" s="442" customFormat="1" ht="27.75">
      <c r="A109" s="1559" t="s">
        <v>220</v>
      </c>
      <c r="B109" s="1560"/>
      <c r="C109" s="1143"/>
      <c r="D109" s="622" t="s">
        <v>144</v>
      </c>
      <c r="E109" s="532">
        <f>'29'!F109</f>
        <v>58680</v>
      </c>
      <c r="F109" s="532">
        <v>58757</v>
      </c>
      <c r="G109" s="532">
        <f>F109-E109</f>
        <v>77</v>
      </c>
      <c r="H109" s="460">
        <f>G109+'29'!H109</f>
        <v>397</v>
      </c>
      <c r="I109" s="532"/>
      <c r="J109" s="558">
        <f>H109/DAY(B2)</f>
        <v>13.233333333333333</v>
      </c>
      <c r="O109" s="808"/>
    </row>
    <row r="110" spans="1:15" s="442" customFormat="1" ht="27.75">
      <c r="A110" s="1559" t="s">
        <v>221</v>
      </c>
      <c r="B110" s="1560"/>
      <c r="C110" s="1143"/>
      <c r="D110" s="622" t="s">
        <v>144</v>
      </c>
      <c r="E110" s="532">
        <f>'29'!F110</f>
        <v>31580</v>
      </c>
      <c r="F110" s="532">
        <v>31633</v>
      </c>
      <c r="G110" s="532">
        <f t="shared" ref="G110:G111" si="11">F110-E110</f>
        <v>53</v>
      </c>
      <c r="H110" s="460">
        <f>G110+'29'!H110</f>
        <v>101</v>
      </c>
      <c r="I110" s="532"/>
      <c r="J110" s="558">
        <f>H110/DAY(B2)</f>
        <v>3.3666666666666667</v>
      </c>
      <c r="O110" s="808"/>
    </row>
    <row r="111" spans="1:15" s="442" customFormat="1" ht="27.75">
      <c r="A111" s="1559" t="s">
        <v>222</v>
      </c>
      <c r="B111" s="1560"/>
      <c r="C111" s="1143"/>
      <c r="D111" s="622" t="s">
        <v>144</v>
      </c>
      <c r="E111" s="532">
        <f>'29'!F111</f>
        <v>4156</v>
      </c>
      <c r="F111" s="532">
        <v>4156</v>
      </c>
      <c r="G111" s="532">
        <f t="shared" si="11"/>
        <v>0</v>
      </c>
      <c r="H111" s="460">
        <f>G111+'29'!H111</f>
        <v>249</v>
      </c>
      <c r="I111" s="532"/>
      <c r="J111" s="558">
        <f>H111/DAY(B2)</f>
        <v>8.3000000000000007</v>
      </c>
      <c r="O111" s="808"/>
    </row>
    <row r="112" spans="1:15" s="442" customFormat="1" ht="27.75">
      <c r="A112" s="1555" t="s">
        <v>110</v>
      </c>
      <c r="B112" s="1556"/>
      <c r="C112" s="1143"/>
      <c r="D112" s="622"/>
      <c r="E112" s="532"/>
      <c r="F112" s="532"/>
      <c r="G112" s="532">
        <f>SUM(G109:G111)</f>
        <v>130</v>
      </c>
      <c r="H112" s="460">
        <f>G112+'29'!H112</f>
        <v>1202</v>
      </c>
      <c r="I112" s="532"/>
      <c r="J112" s="558">
        <f>H112/DAY(B2)</f>
        <v>40.06666666666667</v>
      </c>
      <c r="O112" s="808"/>
    </row>
    <row r="113" spans="1:15" s="442" customFormat="1" ht="27.75">
      <c r="A113" s="1557" t="s">
        <v>223</v>
      </c>
      <c r="B113" s="1558"/>
      <c r="C113" s="1143"/>
      <c r="D113" s="622"/>
      <c r="E113" s="532"/>
      <c r="F113" s="532"/>
      <c r="G113" s="532"/>
      <c r="H113" s="533"/>
      <c r="I113" s="532"/>
      <c r="J113" s="558">
        <f>H113/DAY(B2)</f>
        <v>0</v>
      </c>
      <c r="O113" s="808"/>
    </row>
    <row r="114" spans="1:15" s="442" customFormat="1" ht="27.75">
      <c r="A114" s="1559" t="s">
        <v>224</v>
      </c>
      <c r="B114" s="1560"/>
      <c r="C114" s="574"/>
      <c r="D114" s="622" t="s">
        <v>144</v>
      </c>
      <c r="E114" s="532">
        <f>'29'!F114</f>
        <v>10815</v>
      </c>
      <c r="F114" s="534">
        <v>10842</v>
      </c>
      <c r="G114" s="534">
        <f>F114-E114</f>
        <v>27</v>
      </c>
      <c r="H114" s="460">
        <f>G114+'29'!H114</f>
        <v>56</v>
      </c>
      <c r="I114" s="532"/>
      <c r="J114" s="558">
        <f>H114/DAY(B2)</f>
        <v>1.8666666666666667</v>
      </c>
      <c r="O114" s="808"/>
    </row>
    <row r="115" spans="1:15" s="442" customFormat="1" ht="27.75">
      <c r="A115" s="1559" t="s">
        <v>225</v>
      </c>
      <c r="B115" s="1560"/>
      <c r="C115" s="574"/>
      <c r="D115" s="622" t="s">
        <v>144</v>
      </c>
      <c r="E115" s="532">
        <f>'29'!F115</f>
        <v>7960</v>
      </c>
      <c r="F115" s="534">
        <v>7969</v>
      </c>
      <c r="G115" s="534">
        <f t="shared" ref="G115:G116" si="12">F115-E115</f>
        <v>9</v>
      </c>
      <c r="H115" s="460">
        <f>G115+'29'!H115</f>
        <v>111</v>
      </c>
      <c r="I115" s="532"/>
      <c r="J115" s="558">
        <f>H115/DAY(B2)</f>
        <v>3.7</v>
      </c>
      <c r="O115" s="808"/>
    </row>
    <row r="116" spans="1:15" s="442" customFormat="1" ht="27.75">
      <c r="A116" s="1559" t="s">
        <v>226</v>
      </c>
      <c r="B116" s="1560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127</v>
      </c>
      <c r="I116" s="532"/>
      <c r="J116" s="558">
        <f>H116/DAY(B2)</f>
        <v>4.2333333333333334</v>
      </c>
      <c r="O116" s="808"/>
    </row>
    <row r="117" spans="1:15" s="445" customFormat="1" ht="27.75">
      <c r="A117" s="1549" t="s">
        <v>202</v>
      </c>
      <c r="B117" s="1550"/>
      <c r="C117" s="574"/>
      <c r="D117" s="623"/>
      <c r="E117" s="534"/>
      <c r="F117" s="534"/>
      <c r="G117" s="534">
        <f>SUM(G114:G116)</f>
        <v>36</v>
      </c>
      <c r="H117" s="460">
        <f>G117+'29'!H117</f>
        <v>152</v>
      </c>
      <c r="I117" s="534"/>
      <c r="J117" s="558">
        <f>H117/DAY(B2)</f>
        <v>5.0666666666666664</v>
      </c>
      <c r="O117" s="808"/>
    </row>
    <row r="118" spans="1:15" s="446" customFormat="1" ht="27.75">
      <c r="A118" s="1551" t="s">
        <v>227</v>
      </c>
      <c r="B118" s="1552"/>
      <c r="C118" s="1142"/>
      <c r="D118" s="624" t="s">
        <v>144</v>
      </c>
      <c r="E118" s="535"/>
      <c r="F118" s="536"/>
      <c r="G118" s="536">
        <f>SUM(G19+G92)</f>
        <v>147</v>
      </c>
      <c r="H118" s="460">
        <f>G118+'29'!H118</f>
        <v>335</v>
      </c>
      <c r="I118" s="535"/>
      <c r="J118" s="559">
        <f>H118/DAY(B2)</f>
        <v>11.166666666666666</v>
      </c>
      <c r="O118" s="808"/>
    </row>
    <row r="119" spans="1:15" s="446" customFormat="1" ht="27.75">
      <c r="A119" s="1551" t="s">
        <v>228</v>
      </c>
      <c r="B119" s="1552"/>
      <c r="C119" s="1142"/>
      <c r="D119" s="624" t="s">
        <v>144</v>
      </c>
      <c r="E119" s="535"/>
      <c r="F119" s="536"/>
      <c r="G119" s="536">
        <f>SUM(G95,G96,G97,G99,G100)</f>
        <v>136</v>
      </c>
      <c r="H119" s="460">
        <f>G119+'29'!H119</f>
        <v>326</v>
      </c>
      <c r="I119" s="535"/>
      <c r="J119" s="559">
        <f>H119/DAY(B2)</f>
        <v>10.866666666666667</v>
      </c>
      <c r="O119" s="808"/>
    </row>
    <row r="120" spans="1:15" s="446" customFormat="1" ht="27.75">
      <c r="A120" s="1551" t="s">
        <v>229</v>
      </c>
      <c r="B120" s="1552"/>
      <c r="C120" s="1142"/>
      <c r="D120" s="624" t="s">
        <v>144</v>
      </c>
      <c r="E120" s="535"/>
      <c r="F120" s="534"/>
      <c r="G120" s="534">
        <f>SUM(G112)</f>
        <v>130</v>
      </c>
      <c r="H120" s="460">
        <f>G120+'29'!H120</f>
        <v>293</v>
      </c>
      <c r="I120" s="535"/>
      <c r="J120" s="559">
        <f>H120/DAY(B2)</f>
        <v>9.7666666666666675</v>
      </c>
      <c r="O120" s="808"/>
    </row>
    <row r="121" spans="1:15" s="442" customFormat="1" ht="27.75">
      <c r="A121" s="1553"/>
      <c r="B121" s="1554"/>
      <c r="C121" s="1143"/>
      <c r="D121" s="560"/>
      <c r="E121" s="560"/>
      <c r="F121" s="560"/>
      <c r="G121" s="560"/>
      <c r="H121" s="561"/>
      <c r="I121" s="560"/>
      <c r="J121" s="562"/>
      <c r="O121" s="808"/>
    </row>
    <row r="122" spans="1:15" ht="29.25">
      <c r="A122" s="1580" t="s">
        <v>230</v>
      </c>
      <c r="B122" s="1581"/>
      <c r="C122" s="1581"/>
      <c r="D122" s="472"/>
      <c r="E122" s="472"/>
      <c r="F122" s="472"/>
      <c r="G122" s="483"/>
      <c r="H122" s="483"/>
      <c r="I122" s="483"/>
      <c r="J122" s="563"/>
      <c r="K122" s="380"/>
      <c r="L122" s="377"/>
      <c r="O122" s="808"/>
    </row>
    <row r="123" spans="1:15" ht="21.95" customHeight="1">
      <c r="A123" s="1145" t="s">
        <v>231</v>
      </c>
      <c r="B123" s="1146"/>
      <c r="C123" s="1146"/>
      <c r="D123" s="523" t="s">
        <v>141</v>
      </c>
      <c r="E123" s="455">
        <f>'29'!F123</f>
        <v>818327.4</v>
      </c>
      <c r="F123" s="478">
        <v>818562</v>
      </c>
      <c r="G123" s="473">
        <f t="shared" ref="G123:G127" si="13">F123-E123</f>
        <v>234.59999999997672</v>
      </c>
      <c r="H123" s="460">
        <f>G123+'29'!H123</f>
        <v>-248</v>
      </c>
      <c r="I123" s="526"/>
      <c r="J123" s="552">
        <f>H123/DAY(B2)</f>
        <v>-8.2666666666666675</v>
      </c>
      <c r="K123" s="380"/>
      <c r="L123" s="377"/>
      <c r="O123" s="808"/>
    </row>
    <row r="124" spans="1:15" ht="21.95" customHeight="1">
      <c r="A124" s="1145" t="s">
        <v>232</v>
      </c>
      <c r="B124" s="1146"/>
      <c r="C124" s="1146"/>
      <c r="D124" s="523" t="s">
        <v>141</v>
      </c>
      <c r="E124" s="455">
        <f>'29'!F124</f>
        <v>73583.399999999994</v>
      </c>
      <c r="F124" s="478">
        <v>73583.399999999994</v>
      </c>
      <c r="G124" s="473">
        <f t="shared" si="13"/>
        <v>0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574" t="s">
        <v>233</v>
      </c>
      <c r="B125" s="1412"/>
      <c r="C125" s="1412"/>
      <c r="D125" s="523" t="s">
        <v>141</v>
      </c>
      <c r="E125" s="455">
        <f>'29'!F125</f>
        <v>141932.03</v>
      </c>
      <c r="F125" s="478">
        <v>142030</v>
      </c>
      <c r="G125" s="473">
        <f t="shared" si="13"/>
        <v>97.970000000001164</v>
      </c>
      <c r="H125" s="460">
        <f>G125+'29'!H125</f>
        <v>-106</v>
      </c>
      <c r="I125" s="526"/>
      <c r="J125" s="552">
        <f>H125/DAY(B2)</f>
        <v>-3.5333333333333332</v>
      </c>
      <c r="K125" s="380"/>
      <c r="L125" s="377"/>
      <c r="O125" s="808"/>
    </row>
    <row r="126" spans="1:15" ht="21.95" customHeight="1">
      <c r="A126" s="609" t="s">
        <v>234</v>
      </c>
      <c r="B126" s="1146"/>
      <c r="C126" s="1146"/>
      <c r="D126" s="523" t="s">
        <v>141</v>
      </c>
      <c r="E126" s="455">
        <f>'29'!F126</f>
        <v>59887.199999999997</v>
      </c>
      <c r="F126" s="478">
        <v>59888</v>
      </c>
      <c r="G126" s="473">
        <f t="shared" si="13"/>
        <v>0.80000000000291038</v>
      </c>
      <c r="H126" s="460">
        <f>G126+'29'!H126</f>
        <v>28569.3</v>
      </c>
      <c r="I126" s="526"/>
      <c r="J126" s="552">
        <f>H126/DAY(B2)</f>
        <v>952.31</v>
      </c>
      <c r="K126" s="380"/>
      <c r="L126" s="377"/>
      <c r="O126" s="808"/>
    </row>
    <row r="127" spans="1:15" ht="21.95" customHeight="1">
      <c r="A127" s="609" t="s">
        <v>235</v>
      </c>
      <c r="B127" s="1146"/>
      <c r="C127" s="1146"/>
      <c r="D127" s="523" t="s">
        <v>141</v>
      </c>
      <c r="E127" s="455">
        <f>'29'!F127</f>
        <v>8953.9</v>
      </c>
      <c r="F127" s="478">
        <v>8955</v>
      </c>
      <c r="G127" s="473">
        <f t="shared" si="13"/>
        <v>1.1000000000003638</v>
      </c>
      <c r="H127" s="460">
        <f>G127+'29'!H127</f>
        <v>-7</v>
      </c>
      <c r="I127" s="480"/>
      <c r="J127" s="552">
        <f>H127/DAY(B2)</f>
        <v>-0.23333333333333334</v>
      </c>
      <c r="K127" s="380"/>
      <c r="L127" s="377"/>
      <c r="O127" s="808"/>
    </row>
    <row r="128" spans="1:15" s="281" customFormat="1" ht="21.75" customHeight="1">
      <c r="A128" s="609" t="s">
        <v>236</v>
      </c>
      <c r="B128" s="1146"/>
      <c r="C128" s="1146"/>
      <c r="D128" s="523"/>
      <c r="E128" s="455"/>
      <c r="F128" s="478"/>
      <c r="G128" s="473">
        <f>G15-SUM(G123:G127)</f>
        <v>592.56000000004678</v>
      </c>
      <c r="H128" s="460"/>
      <c r="I128" s="480"/>
      <c r="J128" s="552"/>
      <c r="K128" s="364"/>
      <c r="L128" s="292"/>
      <c r="O128" s="808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8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8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'29'!F132</f>
        <v>39485.19</v>
      </c>
      <c r="F132" s="541">
        <v>39509</v>
      </c>
      <c r="G132" s="473">
        <f t="shared" si="14"/>
        <v>23.809999999997672</v>
      </c>
      <c r="H132" s="460">
        <f>G132+'29'!H132</f>
        <v>-33.330000000001746</v>
      </c>
      <c r="I132" s="480"/>
      <c r="J132" s="552">
        <f>H132/DAY(B2)</f>
        <v>-1.1110000000000582</v>
      </c>
      <c r="O132" s="808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23.809999999997672</v>
      </c>
      <c r="J133" s="552">
        <f>H133/DAY(B2)</f>
        <v>0</v>
      </c>
      <c r="O133" s="808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'29'!F134</f>
        <v>40820</v>
      </c>
      <c r="F134" s="541">
        <v>40831.589999999997</v>
      </c>
      <c r="G134" s="473">
        <f t="shared" si="14"/>
        <v>11.589999999996508</v>
      </c>
      <c r="H134" s="460">
        <f>G134+'29'!H134</f>
        <v>53.589999999996508</v>
      </c>
      <c r="I134" s="480"/>
      <c r="J134" s="552">
        <f>H134/DAY(B2)</f>
        <v>1.786333333333217</v>
      </c>
      <c r="O134" s="808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8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'29'!F136</f>
        <v>22467</v>
      </c>
      <c r="F136" s="541">
        <v>22478.03</v>
      </c>
      <c r="G136" s="473">
        <f t="shared" si="14"/>
        <v>11.029999999998836</v>
      </c>
      <c r="H136" s="460">
        <f>G136+'29'!H136</f>
        <v>-10.620000000002619</v>
      </c>
      <c r="I136" s="480">
        <f>G134+G135+G136</f>
        <v>22.619999999995343</v>
      </c>
      <c r="J136" s="552">
        <f>H136/DAY(B2)</f>
        <v>-0.3540000000000873</v>
      </c>
      <c r="O136" s="808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'29'!F137</f>
        <v>25048.97</v>
      </c>
      <c r="F137" s="541">
        <v>25048.97</v>
      </c>
      <c r="G137" s="473">
        <f t="shared" si="14"/>
        <v>0</v>
      </c>
      <c r="H137" s="460">
        <f>G137+'29'!H137</f>
        <v>12.659999999999854</v>
      </c>
      <c r="I137" s="480"/>
      <c r="J137" s="552">
        <f>H137/DAY(B2)</f>
        <v>0.42199999999999516</v>
      </c>
      <c r="O137" s="808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'29'!F138</f>
        <v>70247.789999999994</v>
      </c>
      <c r="F138" s="541">
        <v>70247.789999999994</v>
      </c>
      <c r="G138" s="473">
        <f t="shared" si="14"/>
        <v>0</v>
      </c>
      <c r="H138" s="460">
        <f>G138+'29'!H138</f>
        <v>24.789999999993597</v>
      </c>
      <c r="I138" s="480">
        <f>G137+G138</f>
        <v>0</v>
      </c>
      <c r="J138" s="552">
        <f>H138/DAY(B2)</f>
        <v>0.82633333333311987</v>
      </c>
      <c r="O138" s="808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'29'!F139</f>
        <v>1536.52</v>
      </c>
      <c r="F139" s="484">
        <v>1536.52</v>
      </c>
      <c r="G139" s="473">
        <f t="shared" si="14"/>
        <v>0</v>
      </c>
      <c r="H139" s="460">
        <f>G139+'29'!H139</f>
        <v>0</v>
      </c>
      <c r="I139" s="542"/>
      <c r="J139" s="552">
        <f>H139/DAY(B2)</f>
        <v>0</v>
      </c>
      <c r="O139" s="808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'29'!F140</f>
        <v>4452.6899999999996</v>
      </c>
      <c r="F140" s="484">
        <v>4460.41</v>
      </c>
      <c r="G140" s="473">
        <f t="shared" si="14"/>
        <v>7.7200000000002547</v>
      </c>
      <c r="H140" s="460">
        <f>G140+'29'!H140</f>
        <v>-8.1300000000001091</v>
      </c>
      <c r="I140" s="542"/>
      <c r="J140" s="552">
        <f>H140/DAY(B2)</f>
        <v>-0.27100000000000363</v>
      </c>
      <c r="O140" s="808"/>
    </row>
    <row r="141" spans="1:15" ht="21.95" customHeight="1">
      <c r="A141" s="1582" t="s">
        <v>250</v>
      </c>
      <c r="B141" s="1583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808"/>
    </row>
    <row r="142" spans="1:15" ht="21.95" customHeight="1">
      <c r="A142" s="1561" t="s">
        <v>251</v>
      </c>
      <c r="B142" s="1562"/>
      <c r="C142" s="1562"/>
      <c r="D142" s="523" t="s">
        <v>132</v>
      </c>
      <c r="E142" s="523"/>
      <c r="F142" s="523"/>
      <c r="G142" s="460">
        <f>G35+G43+G49+G57</f>
        <v>6303.9800000000978</v>
      </c>
      <c r="H142" s="460">
        <f>G142+'29'!H142</f>
        <v>-8533.5100000000093</v>
      </c>
      <c r="I142" s="480"/>
      <c r="J142" s="552">
        <f>H142/DAY(B2)</f>
        <v>-284.45033333333362</v>
      </c>
      <c r="K142" s="380"/>
      <c r="L142" s="377"/>
      <c r="O142" s="808"/>
    </row>
    <row r="143" spans="1:15" ht="21.95" customHeight="1">
      <c r="A143" s="1561" t="s">
        <v>252</v>
      </c>
      <c r="B143" s="1562"/>
      <c r="C143" s="1562"/>
      <c r="D143" s="523" t="s">
        <v>24</v>
      </c>
      <c r="E143" s="511"/>
      <c r="F143" s="511"/>
      <c r="G143" s="543">
        <f>G142/G7</f>
        <v>0.26483972608495138</v>
      </c>
      <c r="H143" s="460">
        <f>G143+'29'!H143</f>
        <v>8.0220381385348833</v>
      </c>
      <c r="I143" s="544"/>
      <c r="J143" s="552">
        <f>H143/DAY(B2)</f>
        <v>0.26740127128449609</v>
      </c>
      <c r="K143" s="380"/>
      <c r="L143" s="377"/>
      <c r="O143" s="808"/>
    </row>
    <row r="144" spans="1:15" ht="21.95" customHeight="1">
      <c r="A144" s="1561" t="s">
        <v>253</v>
      </c>
      <c r="B144" s="1562"/>
      <c r="C144" s="1562"/>
      <c r="D144" s="523" t="s">
        <v>132</v>
      </c>
      <c r="E144" s="455"/>
      <c r="F144" s="455"/>
      <c r="G144" s="460">
        <f>G41+G42+G55+G56</f>
        <v>7171.2070000000385</v>
      </c>
      <c r="H144" s="460">
        <f>G144+'29'!H144</f>
        <v>-6923</v>
      </c>
      <c r="I144" s="480"/>
      <c r="J144" s="552">
        <f>H144/DAY(B2)</f>
        <v>-230.76666666666668</v>
      </c>
      <c r="K144" s="380"/>
      <c r="L144" s="377"/>
      <c r="O144" s="808"/>
    </row>
    <row r="145" spans="1:15" ht="21.95" customHeight="1">
      <c r="A145" s="1561" t="s">
        <v>254</v>
      </c>
      <c r="B145" s="1562"/>
      <c r="C145" s="1562"/>
      <c r="D145" s="523" t="s">
        <v>24</v>
      </c>
      <c r="E145" s="455"/>
      <c r="F145" s="455"/>
      <c r="G145" s="543">
        <f>G144/G7</f>
        <v>0.30127324286854762</v>
      </c>
      <c r="H145" s="460">
        <f>G145+'29'!H145</f>
        <v>7.8544219978317305</v>
      </c>
      <c r="I145" s="544"/>
      <c r="J145" s="552">
        <f>H145/DAY(B2)</f>
        <v>0.26181406659439099</v>
      </c>
      <c r="K145" s="380"/>
      <c r="L145" s="377"/>
      <c r="O145" s="808"/>
    </row>
    <row r="146" spans="1:15" ht="21.95" customHeight="1">
      <c r="A146" s="1561" t="s">
        <v>255</v>
      </c>
      <c r="B146" s="1562"/>
      <c r="C146" s="1562"/>
      <c r="D146" s="523" t="s">
        <v>132</v>
      </c>
      <c r="E146" s="455"/>
      <c r="F146" s="455"/>
      <c r="G146" s="460">
        <f>G39+G53</f>
        <v>4225.3100000000268</v>
      </c>
      <c r="H146" s="460">
        <f>G146+'29'!H146</f>
        <v>-4237</v>
      </c>
      <c r="I146" s="545"/>
      <c r="J146" s="552">
        <f>H146/DAY(B2)</f>
        <v>-141.23333333333332</v>
      </c>
      <c r="K146" s="380"/>
      <c r="L146" s="377"/>
      <c r="O146" s="808"/>
    </row>
    <row r="147" spans="1:15" ht="21.95" customHeight="1">
      <c r="A147" s="1561" t="s">
        <v>256</v>
      </c>
      <c r="B147" s="1562"/>
      <c r="C147" s="1562"/>
      <c r="D147" s="523" t="s">
        <v>24</v>
      </c>
      <c r="E147" s="455"/>
      <c r="F147" s="455"/>
      <c r="G147" s="543">
        <f>G146/G7</f>
        <v>0.17751165819434639</v>
      </c>
      <c r="H147" s="460">
        <f>G147+'29'!H147</f>
        <v>5.8407315087880312</v>
      </c>
      <c r="I147" s="545"/>
      <c r="J147" s="552">
        <f>H147/DAY(B2)</f>
        <v>0.19469105029293438</v>
      </c>
      <c r="O147" s="808"/>
    </row>
    <row r="148" spans="1:15" ht="21.95" customHeight="1">
      <c r="A148" s="1561" t="s">
        <v>257</v>
      </c>
      <c r="B148" s="1562"/>
      <c r="C148" s="1562"/>
      <c r="D148" s="523" t="s">
        <v>183</v>
      </c>
      <c r="E148" s="455"/>
      <c r="F148" s="455"/>
      <c r="G148" s="460">
        <f>G38+G52</f>
        <v>1817.1500000000524</v>
      </c>
      <c r="H148" s="460">
        <f>G148+'29'!H148</f>
        <v>-1893</v>
      </c>
      <c r="I148" s="480"/>
      <c r="J148" s="552">
        <f>H148/DAY(B2)</f>
        <v>-63.1</v>
      </c>
      <c r="K148" s="381"/>
      <c r="O148" s="808"/>
    </row>
    <row r="149" spans="1:15" ht="21.95" customHeight="1">
      <c r="A149" s="1561" t="s">
        <v>258</v>
      </c>
      <c r="B149" s="1562"/>
      <c r="C149" s="1562"/>
      <c r="D149" s="523" t="s">
        <v>24</v>
      </c>
      <c r="E149" s="455"/>
      <c r="F149" s="455"/>
      <c r="G149" s="543">
        <f>G148/G7</f>
        <v>7.6341217493595445E-2</v>
      </c>
      <c r="H149" s="460">
        <f>G149+'29'!H149</f>
        <v>2.551911617078201</v>
      </c>
      <c r="I149" s="545"/>
      <c r="J149" s="552">
        <f>H149/DAY(B2)</f>
        <v>8.5063720569273374E-2</v>
      </c>
      <c r="O149" s="808"/>
    </row>
    <row r="150" spans="1:15" ht="21.95" customHeight="1">
      <c r="A150" s="1561" t="s">
        <v>259</v>
      </c>
      <c r="B150" s="1562"/>
      <c r="C150" s="1562"/>
      <c r="D150" s="523" t="s">
        <v>183</v>
      </c>
      <c r="E150" s="455"/>
      <c r="F150" s="455"/>
      <c r="G150" s="460">
        <f>G36+G50</f>
        <v>2060.8399999999674</v>
      </c>
      <c r="H150" s="460">
        <f>G150+'29'!H150</f>
        <v>-2064</v>
      </c>
      <c r="I150" s="545"/>
      <c r="J150" s="552">
        <f>H150/DAY(B2)</f>
        <v>-68.8</v>
      </c>
      <c r="O150" s="808"/>
    </row>
    <row r="151" spans="1:15" ht="21.95" customHeight="1">
      <c r="A151" s="1561" t="s">
        <v>260</v>
      </c>
      <c r="B151" s="1562"/>
      <c r="C151" s="1562"/>
      <c r="D151" s="523" t="s">
        <v>24</v>
      </c>
      <c r="E151" s="455"/>
      <c r="F151" s="455"/>
      <c r="G151" s="543">
        <f>G150/G7</f>
        <v>8.6579002646723829E-2</v>
      </c>
      <c r="H151" s="460">
        <f>G151+'29'!H151</f>
        <v>2.7153449860533692</v>
      </c>
      <c r="I151" s="480"/>
      <c r="J151" s="552">
        <f>H151/DAY(B2)</f>
        <v>9.0511499535112311E-2</v>
      </c>
      <c r="O151" s="808"/>
    </row>
    <row r="152" spans="1:15" ht="27.75">
      <c r="A152" s="1561" t="s">
        <v>261</v>
      </c>
      <c r="B152" s="1562"/>
      <c r="C152" s="1562"/>
      <c r="D152" s="523" t="s">
        <v>183</v>
      </c>
      <c r="E152" s="455"/>
      <c r="F152" s="455"/>
      <c r="G152" s="460">
        <f>G37+G51</f>
        <v>1500.7200000000012</v>
      </c>
      <c r="H152" s="460">
        <f>G152+'29'!H152</f>
        <v>-1490</v>
      </c>
      <c r="I152" s="480"/>
      <c r="J152" s="552">
        <f>H152/DAY(B2)</f>
        <v>-49.666666666666664</v>
      </c>
      <c r="O152" s="808"/>
    </row>
    <row r="153" spans="1:15" ht="28.5" thickBot="1">
      <c r="A153" s="1586" t="s">
        <v>262</v>
      </c>
      <c r="B153" s="1587"/>
      <c r="C153" s="1587"/>
      <c r="D153" s="625" t="s">
        <v>24</v>
      </c>
      <c r="E153" s="565"/>
      <c r="F153" s="565"/>
      <c r="G153" s="566">
        <f>G152/G7</f>
        <v>6.3047515019115291E-2</v>
      </c>
      <c r="H153" s="567">
        <f>G153+'29'!H153</f>
        <v>2.0958395930722622</v>
      </c>
      <c r="I153" s="568"/>
      <c r="J153" s="569">
        <f>H153/DAY(B2)</f>
        <v>6.9861319769075406E-2</v>
      </c>
      <c r="O153" s="808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8" t="s">
        <v>263</v>
      </c>
      <c r="B160" s="789"/>
      <c r="C160" s="789"/>
      <c r="D160" s="511" t="s">
        <v>187</v>
      </c>
      <c r="E160" s="455">
        <f>'29'!F160</f>
        <v>33263.18</v>
      </c>
      <c r="F160" s="661">
        <v>33348</v>
      </c>
      <c r="G160" s="473">
        <f t="shared" ref="G160:G163" si="15">F160-E160</f>
        <v>84.819999999999709</v>
      </c>
    </row>
    <row r="161" spans="1:7" ht="21.95" customHeight="1">
      <c r="A161" s="788" t="s">
        <v>264</v>
      </c>
      <c r="B161" s="789"/>
      <c r="C161" s="789"/>
      <c r="D161" s="511" t="s">
        <v>187</v>
      </c>
      <c r="E161" s="455">
        <f>'29'!F161</f>
        <v>67766.94</v>
      </c>
      <c r="F161" s="661">
        <v>68208</v>
      </c>
      <c r="G161" s="473">
        <f t="shared" si="15"/>
        <v>441.05999999999767</v>
      </c>
    </row>
    <row r="162" spans="1:7" ht="21.95" customHeight="1">
      <c r="A162" s="788" t="s">
        <v>265</v>
      </c>
      <c r="B162" s="789"/>
      <c r="C162" s="789"/>
      <c r="D162" s="511" t="s">
        <v>187</v>
      </c>
      <c r="E162" s="455">
        <f>'29'!F162</f>
        <v>28784</v>
      </c>
      <c r="F162" s="661">
        <v>29063</v>
      </c>
      <c r="G162" s="473">
        <f t="shared" si="15"/>
        <v>279</v>
      </c>
    </row>
    <row r="163" spans="1:7" ht="21.95" customHeight="1">
      <c r="A163" s="788" t="s">
        <v>266</v>
      </c>
      <c r="B163" s="789"/>
      <c r="C163" s="789"/>
      <c r="D163" s="511" t="s">
        <v>187</v>
      </c>
      <c r="E163" s="455">
        <f>'29'!F163</f>
        <v>5768.7</v>
      </c>
      <c r="F163" s="661">
        <v>5779</v>
      </c>
      <c r="G163" s="473">
        <f t="shared" si="15"/>
        <v>10.300000000000182</v>
      </c>
    </row>
    <row r="164" spans="1:7" ht="21.95" customHeight="1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0" t="s">
        <v>188</v>
      </c>
      <c r="B165" s="604"/>
      <c r="C165" s="604"/>
      <c r="D165" s="511" t="s">
        <v>187</v>
      </c>
      <c r="E165" s="514">
        <f t="shared" ref="E165:E171" si="17">E63</f>
        <v>2072.46</v>
      </c>
      <c r="F165" s="514">
        <f t="shared" ref="F165:F171" si="18">F63</f>
        <v>2084</v>
      </c>
      <c r="G165" s="473">
        <f t="shared" si="16"/>
        <v>11.539999999999964</v>
      </c>
    </row>
    <row r="166" spans="1:7" ht="21.95" customHeight="1">
      <c r="A166" s="1412" t="s">
        <v>99</v>
      </c>
      <c r="B166" s="1412"/>
      <c r="C166" s="1412"/>
      <c r="D166" s="523" t="s">
        <v>187</v>
      </c>
      <c r="E166" s="514">
        <f t="shared" si="17"/>
        <v>138229.38</v>
      </c>
      <c r="F166" s="514">
        <f t="shared" si="18"/>
        <v>138706</v>
      </c>
      <c r="G166" s="473">
        <f t="shared" si="16"/>
        <v>476.61999999999534</v>
      </c>
    </row>
    <row r="167" spans="1:7" ht="21.95" customHeight="1">
      <c r="A167" s="1412" t="s">
        <v>100</v>
      </c>
      <c r="B167" s="1412"/>
      <c r="C167" s="1412"/>
      <c r="D167" s="523" t="s">
        <v>187</v>
      </c>
      <c r="E167" s="514">
        <f t="shared" si="17"/>
        <v>143450.65</v>
      </c>
      <c r="F167" s="514">
        <f t="shared" si="18"/>
        <v>143826</v>
      </c>
      <c r="G167" s="473">
        <f t="shared" si="16"/>
        <v>375.35000000000582</v>
      </c>
    </row>
    <row r="168" spans="1:7" ht="21.95" customHeight="1">
      <c r="A168" s="1412" t="s">
        <v>101</v>
      </c>
      <c r="B168" s="1412"/>
      <c r="C168" s="1412"/>
      <c r="D168" s="523" t="s">
        <v>187</v>
      </c>
      <c r="E168" s="514">
        <f t="shared" si="17"/>
        <v>36389.43</v>
      </c>
      <c r="F168" s="514">
        <f t="shared" si="18"/>
        <v>36803</v>
      </c>
      <c r="G168" s="473">
        <f t="shared" si="16"/>
        <v>413.56999999999971</v>
      </c>
    </row>
    <row r="169" spans="1:7" ht="21.95" customHeight="1">
      <c r="A169" s="1412" t="s">
        <v>102</v>
      </c>
      <c r="B169" s="1412"/>
      <c r="C169" s="1412"/>
      <c r="D169" s="523" t="s">
        <v>187</v>
      </c>
      <c r="E169" s="514">
        <f t="shared" si="17"/>
        <v>227772.59</v>
      </c>
      <c r="F169" s="514">
        <f t="shared" si="18"/>
        <v>228435</v>
      </c>
      <c r="G169" s="473">
        <f t="shared" si="16"/>
        <v>662.41000000000349</v>
      </c>
    </row>
    <row r="170" spans="1:7" ht="21.95" customHeight="1">
      <c r="A170" s="1412" t="s">
        <v>103</v>
      </c>
      <c r="B170" s="1412"/>
      <c r="C170" s="1412"/>
      <c r="D170" s="523" t="s">
        <v>187</v>
      </c>
      <c r="E170" s="514">
        <f t="shared" si="17"/>
        <v>82393.31</v>
      </c>
      <c r="F170" s="514">
        <f t="shared" si="18"/>
        <v>82731</v>
      </c>
      <c r="G170" s="473">
        <f t="shared" si="16"/>
        <v>337.69000000000233</v>
      </c>
    </row>
    <row r="171" spans="1:7" ht="21.95" customHeight="1">
      <c r="A171" s="1412" t="s">
        <v>104</v>
      </c>
      <c r="B171" s="1412"/>
      <c r="C171" s="1412"/>
      <c r="D171" s="523" t="s">
        <v>187</v>
      </c>
      <c r="E171" s="514">
        <f t="shared" si="17"/>
        <v>73704</v>
      </c>
      <c r="F171" s="514">
        <f t="shared" si="18"/>
        <v>74017</v>
      </c>
      <c r="G171" s="473">
        <f t="shared" si="16"/>
        <v>313</v>
      </c>
    </row>
    <row r="172" spans="1:7" ht="21.95" customHeight="1">
      <c r="G172" s="538">
        <f>SUM(G160:G171)</f>
        <v>3405.3600000000042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575" t="s">
        <v>354</v>
      </c>
      <c r="B2" s="1117">
        <v>44286</v>
      </c>
      <c r="C2" s="1147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454" t="s">
        <v>121</v>
      </c>
      <c r="F3" s="14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448" t="s">
        <v>130</v>
      </c>
      <c r="B6" s="1449"/>
      <c r="C6" s="14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0</v>
      </c>
      <c r="I7" s="474">
        <f>'1'!I7</f>
        <v>12000</v>
      </c>
      <c r="J7" s="552">
        <f>H7/DAY(B2)</f>
        <v>0</v>
      </c>
      <c r="K7" s="549">
        <v>1375467</v>
      </c>
      <c r="L7" s="377"/>
      <c r="N7" s="440">
        <f>F7-'1'!E7</f>
        <v>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0</v>
      </c>
      <c r="I8" s="477"/>
      <c r="J8" s="552">
        <f>H8/DAY(B2)</f>
        <v>0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0</v>
      </c>
      <c r="I9" s="479">
        <f>I7-J7</f>
        <v>12000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360229.05000000005</v>
      </c>
      <c r="I10" s="480"/>
      <c r="J10" s="552">
        <f>H10/DAY(B2)</f>
        <v>11620.291935483872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339235.05000000005</v>
      </c>
      <c r="I13" s="482">
        <f>G7-G13</f>
        <v>714</v>
      </c>
      <c r="J13" s="552">
        <f>H13/DAY(B2)</f>
        <v>10943.066129032259</v>
      </c>
      <c r="K13" s="428"/>
      <c r="L13" s="377"/>
      <c r="N13" s="440">
        <f>F13-'1'!E13</f>
        <v>0</v>
      </c>
      <c r="O13" s="382"/>
    </row>
    <row r="14" spans="1:15" ht="29.25">
      <c r="A14" s="1451" t="s">
        <v>139</v>
      </c>
      <c r="B14" s="1452"/>
      <c r="C14" s="1453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382"/>
    </row>
    <row r="17" spans="1:15" ht="29.25">
      <c r="A17" s="1451" t="s">
        <v>142</v>
      </c>
      <c r="B17" s="1452"/>
      <c r="C17" s="1453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437" t="s">
        <v>143</v>
      </c>
      <c r="B18" s="1438"/>
      <c r="C18" s="1439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3970</v>
      </c>
      <c r="I18" s="474">
        <f>'1'!I18</f>
        <v>65</v>
      </c>
      <c r="J18" s="552">
        <f>H18/DAY(B2)</f>
        <v>128.06451612903226</v>
      </c>
      <c r="K18" s="428"/>
      <c r="L18" s="377"/>
      <c r="N18" s="440">
        <f>F18-'1'!E18</f>
        <v>0</v>
      </c>
      <c r="O18" s="382"/>
    </row>
    <row r="19" spans="1:15" ht="27.75">
      <c r="A19" s="1437" t="s">
        <v>71</v>
      </c>
      <c r="B19" s="1438"/>
      <c r="C19" s="1439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3970</v>
      </c>
      <c r="I20" s="492">
        <f>I18-J20</f>
        <v>-63.064516129032256</v>
      </c>
      <c r="J20" s="552">
        <f>H20/DAY(B2)</f>
        <v>128.06451612903226</v>
      </c>
      <c r="K20" s="428"/>
      <c r="L20" s="377"/>
      <c r="N20" s="440">
        <f>F20-'1'!E20</f>
        <v>0</v>
      </c>
      <c r="O20" s="382"/>
    </row>
    <row r="21" spans="1:15" ht="29.25">
      <c r="A21" s="1451" t="s">
        <v>146</v>
      </c>
      <c r="B21" s="1452"/>
      <c r="C21" s="1453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5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0</v>
      </c>
      <c r="O22" s="382"/>
    </row>
    <row r="23" spans="1:15" ht="29.25">
      <c r="A23" s="1145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0</v>
      </c>
      <c r="O24" s="382"/>
    </row>
    <row r="25" spans="1:15" s="442" customFormat="1" ht="27">
      <c r="A25" s="1456" t="s">
        <v>151</v>
      </c>
      <c r="B25" s="1457"/>
      <c r="C25" s="1458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0</v>
      </c>
      <c r="G27" s="502">
        <f>E27*F27</f>
        <v>0</v>
      </c>
      <c r="H27" s="460">
        <f>G27+'30'!H27</f>
        <v>-212445</v>
      </c>
      <c r="I27" s="503"/>
      <c r="J27" s="552">
        <f>H27/DAY(B2)</f>
        <v>-6853.0645161290322</v>
      </c>
      <c r="K27" s="373"/>
      <c r="L27" s="443"/>
      <c r="N27" s="440">
        <f>F27-'1'!E27</f>
        <v>-23784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51.45</v>
      </c>
      <c r="G28" s="502">
        <f>E28*F28</f>
        <v>53199.3</v>
      </c>
      <c r="H28" s="460">
        <f>G28+'30'!H28</f>
        <v>6.5483618527650833E-11</v>
      </c>
      <c r="I28" s="505"/>
      <c r="J28" s="552">
        <f>H28/DAY(B2)</f>
        <v>2.1123747912145431E-12</v>
      </c>
      <c r="K28" s="373"/>
      <c r="L28" s="443"/>
      <c r="N28" s="440">
        <f>F28-'1'!E28</f>
        <v>-917.55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1368</v>
      </c>
      <c r="I30" s="505"/>
      <c r="J30" s="552">
        <f>H30/DAY(B2)</f>
        <v>44.12903225806452</v>
      </c>
      <c r="K30" s="373"/>
      <c r="L30" s="443"/>
      <c r="N30" s="440">
        <f>F30-'1'!E30</f>
        <v>81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317600</v>
      </c>
      <c r="I31" s="505"/>
      <c r="J31" s="552">
        <f>H31/DAY(B2)</f>
        <v>10245.161290322581</v>
      </c>
      <c r="K31" s="373"/>
      <c r="L31" s="443"/>
      <c r="N31" s="440">
        <f>F31-'1'!E31</f>
        <v>-60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71497.3</v>
      </c>
      <c r="H32" s="460">
        <f>G32+'30'!H32</f>
        <v>195532.99999999994</v>
      </c>
      <c r="I32" s="509"/>
      <c r="J32" s="552">
        <f>H32/DAY(B2)</f>
        <v>6307.5161290322558</v>
      </c>
      <c r="K32" s="373"/>
      <c r="L32" s="443"/>
      <c r="N32" s="440">
        <f>F32-'1'!E32</f>
        <v>0</v>
      </c>
      <c r="O32" s="382"/>
    </row>
    <row r="33" spans="1:15" ht="25.5" customHeight="1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0.34</v>
      </c>
      <c r="I40" s="455"/>
      <c r="J40" s="552">
        <f>H40/DAY(B2)</f>
        <v>1.0967741935483872E-2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-59128.160000000003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-902048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187</v>
      </c>
      <c r="I46" s="455"/>
      <c r="J46" s="552">
        <f>H46/DAY(B2)</f>
        <v>6.032258064516129</v>
      </c>
      <c r="K46" s="428"/>
      <c r="L46" s="377"/>
      <c r="N46" s="440">
        <f>H46-'1'!E46</f>
        <v>187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801.3399999999674</v>
      </c>
      <c r="I47" s="455"/>
      <c r="J47" s="552">
        <f>H47/DAY(B2)</f>
        <v>25.849677419353789</v>
      </c>
      <c r="K47" s="428"/>
      <c r="L47" s="377"/>
      <c r="N47" s="440">
        <f>H47-'1'!E47</f>
        <v>801.3399999999674</v>
      </c>
      <c r="O47" s="382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-1194</v>
      </c>
      <c r="I50" s="455"/>
      <c r="J50" s="552">
        <f>H50/DAY(B2)</f>
        <v>-38.516129032258064</v>
      </c>
      <c r="K50" s="428"/>
      <c r="L50" s="377"/>
      <c r="N50" s="440">
        <f>H50-'1'!E50</f>
        <v>-442426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-1549</v>
      </c>
      <c r="I51" s="455"/>
      <c r="J51" s="552">
        <f>H51/DAY(B2)</f>
        <v>-49.967741935483872</v>
      </c>
      <c r="K51" s="428"/>
      <c r="L51" s="377"/>
      <c r="N51" s="440">
        <f>H51-'1'!E51</f>
        <v>-146189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-2046</v>
      </c>
      <c r="I52" s="455"/>
      <c r="J52" s="552">
        <f>H52/DAY(B2)</f>
        <v>-66</v>
      </c>
      <c r="K52" s="428"/>
      <c r="L52" s="377"/>
      <c r="N52" s="440">
        <f>H52-'1'!E52</f>
        <v>-541654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-4185</v>
      </c>
      <c r="I53" s="455"/>
      <c r="J53" s="552">
        <f>H53/DAY(B2)</f>
        <v>-135</v>
      </c>
      <c r="K53" s="428"/>
      <c r="L53" s="377"/>
      <c r="N53" s="440">
        <f>H53-'1'!E53</f>
        <v>-405449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3009.0400000000009</v>
      </c>
      <c r="I54" s="455"/>
      <c r="J54" s="552">
        <f>H54/DAY(B2)</f>
        <v>97.065806451612929</v>
      </c>
      <c r="K54" s="428"/>
      <c r="L54" s="377"/>
      <c r="N54" s="440">
        <f>H54-'1'!E54</f>
        <v>-6156.9599999999991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-4999</v>
      </c>
      <c r="I55" s="455"/>
      <c r="J55" s="552">
        <f>H55/DAY(B2)</f>
        <v>-161.25806451612902</v>
      </c>
      <c r="K55" s="428"/>
      <c r="L55" s="377"/>
      <c r="N55" s="440">
        <f>H55-'1'!E55</f>
        <v>-221096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-588967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-196</v>
      </c>
      <c r="I58" s="455"/>
      <c r="J58" s="552">
        <f>H58/DAY(B2)</f>
        <v>-6.32258064516129</v>
      </c>
      <c r="K58" s="428"/>
      <c r="L58" s="377"/>
      <c r="N58" s="440">
        <f>H58-'1'!E58</f>
        <v>-41743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-11159.960000000028</v>
      </c>
      <c r="I59" s="455">
        <f>G7-G60</f>
        <v>386.13000000000466</v>
      </c>
      <c r="J59" s="552">
        <f>H59/DAY(B2)</f>
        <v>-359.99870967742027</v>
      </c>
      <c r="K59" s="428"/>
      <c r="L59" s="377"/>
      <c r="N59" s="440">
        <f>H59-'1'!E59</f>
        <v>-11159.960000000028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3810.3799999998992</v>
      </c>
      <c r="I60" s="455">
        <f>G13-G60</f>
        <v>-327.86999999999534</v>
      </c>
      <c r="J60" s="552">
        <f>H60/DAY(B2)</f>
        <v>122.91548387096449</v>
      </c>
      <c r="K60" s="428"/>
      <c r="L60" s="377"/>
      <c r="N60" s="440">
        <f>H60-'1'!E60</f>
        <v>3810.3799999998992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1.9999999967694748E-3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-2096</v>
      </c>
      <c r="O63" s="382"/>
    </row>
    <row r="64" spans="1:15" ht="27.75">
      <c r="A64" s="1416" t="s">
        <v>99</v>
      </c>
      <c r="B64" s="1417"/>
      <c r="C64" s="1418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-139180</v>
      </c>
      <c r="O64" s="382"/>
    </row>
    <row r="65" spans="1:15" ht="27.75">
      <c r="A65" s="1416" t="s">
        <v>100</v>
      </c>
      <c r="B65" s="1417"/>
      <c r="C65" s="1418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-144205</v>
      </c>
      <c r="O65" s="382"/>
    </row>
    <row r="66" spans="1:15" ht="27.75">
      <c r="A66" s="1416" t="s">
        <v>101</v>
      </c>
      <c r="B66" s="1417"/>
      <c r="C66" s="1418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-37208</v>
      </c>
      <c r="O66" s="382"/>
    </row>
    <row r="67" spans="1:15" ht="27.75">
      <c r="A67" s="1416" t="s">
        <v>102</v>
      </c>
      <c r="B67" s="1417"/>
      <c r="C67" s="1418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-229100</v>
      </c>
      <c r="O67" s="382"/>
    </row>
    <row r="68" spans="1:15" ht="27.75">
      <c r="A68" s="1416" t="s">
        <v>103</v>
      </c>
      <c r="B68" s="1417"/>
      <c r="C68" s="1418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9217.070000000007</v>
      </c>
      <c r="I68" s="516"/>
      <c r="J68" s="552">
        <f>H68/DAY(B2)</f>
        <v>297.32483870967764</v>
      </c>
      <c r="K68" s="430"/>
      <c r="L68" s="377"/>
      <c r="N68" s="440">
        <f>H68-'1'!E68</f>
        <v>-73869.929999999993</v>
      </c>
      <c r="O68" s="382"/>
    </row>
    <row r="69" spans="1:15" ht="27.75">
      <c r="A69" s="1416" t="s">
        <v>104</v>
      </c>
      <c r="B69" s="1417"/>
      <c r="C69" s="1418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-74329</v>
      </c>
      <c r="O69" s="382"/>
    </row>
    <row r="70" spans="1:15" ht="27.75">
      <c r="A70" s="1422" t="s">
        <v>189</v>
      </c>
      <c r="B70" s="1423"/>
      <c r="C70" s="1424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419" t="s">
        <v>190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30"/>
      <c r="L71" s="377"/>
      <c r="N71" s="440">
        <f>H71-'1'!E71</f>
        <v>0</v>
      </c>
      <c r="O71" s="382"/>
    </row>
    <row r="72" spans="1:15" ht="27.75">
      <c r="A72" s="1416" t="s">
        <v>191</v>
      </c>
      <c r="B72" s="1417"/>
      <c r="C72" s="1418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-90</v>
      </c>
      <c r="I72" s="480"/>
      <c r="J72" s="552">
        <f>H72/DAY(B2)</f>
        <v>-2.903225806451613</v>
      </c>
      <c r="K72" s="431"/>
      <c r="L72" s="377"/>
      <c r="N72" s="440">
        <f>H72-'1'!E72</f>
        <v>-853269</v>
      </c>
      <c r="O72" s="382"/>
    </row>
    <row r="73" spans="1:15" ht="27.75">
      <c r="A73" s="1416" t="s">
        <v>192</v>
      </c>
      <c r="B73" s="1417"/>
      <c r="C73" s="1418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-1445</v>
      </c>
      <c r="I73" s="480"/>
      <c r="J73" s="552">
        <f>H73/DAY(B2)</f>
        <v>-46.612903225806448</v>
      </c>
      <c r="K73" s="430"/>
      <c r="L73" s="377"/>
      <c r="N73" s="440">
        <f>H73-'1'!E73</f>
        <v>-887245</v>
      </c>
      <c r="O73" s="382"/>
    </row>
    <row r="74" spans="1:15" ht="27.75">
      <c r="A74" s="1416" t="s">
        <v>193</v>
      </c>
      <c r="B74" s="1417"/>
      <c r="C74" s="1418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-1370</v>
      </c>
      <c r="O74" s="382"/>
    </row>
    <row r="75" spans="1:15" ht="27.75">
      <c r="A75" s="1413" t="s">
        <v>194</v>
      </c>
      <c r="B75" s="1414"/>
      <c r="C75" s="1415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-8680</v>
      </c>
      <c r="O75" s="382"/>
    </row>
    <row r="76" spans="1:15" ht="27.75">
      <c r="A76" s="1413" t="s">
        <v>195</v>
      </c>
      <c r="B76" s="1414"/>
      <c r="C76" s="1415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-1599</v>
      </c>
      <c r="I76" s="505"/>
      <c r="J76" s="552">
        <f>H76/DAY(B2)</f>
        <v>-51.58064516129032</v>
      </c>
      <c r="K76" s="430"/>
      <c r="L76" s="377"/>
      <c r="N76" s="440">
        <f>H76-'1'!E76</f>
        <v>-5636</v>
      </c>
      <c r="O76" s="382"/>
    </row>
    <row r="77" spans="1:15" ht="27.75">
      <c r="A77" s="1416" t="s">
        <v>196</v>
      </c>
      <c r="B77" s="1417"/>
      <c r="C77" s="1418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-700214</v>
      </c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-665380</v>
      </c>
      <c r="O78" s="382"/>
    </row>
    <row r="79" spans="1:15" ht="27.75">
      <c r="A79" s="1413" t="s">
        <v>92</v>
      </c>
      <c r="B79" s="1414"/>
      <c r="C79" s="1415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-3903</v>
      </c>
      <c r="I79" s="505"/>
      <c r="J79" s="552">
        <f>H79/DAY(B2)</f>
        <v>-125.90322580645162</v>
      </c>
      <c r="K79" s="430"/>
      <c r="L79" s="377"/>
      <c r="N79" s="440">
        <f>H79-'1'!E79</f>
        <v>-825116</v>
      </c>
      <c r="O79" s="382"/>
    </row>
    <row r="80" spans="1:15" ht="27.75">
      <c r="A80" s="1413" t="s">
        <v>198</v>
      </c>
      <c r="B80" s="1414"/>
      <c r="C80" s="1415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2981</v>
      </c>
      <c r="I80" s="505"/>
      <c r="J80" s="552">
        <f>H80/DAY(B2)</f>
        <v>96.161290322580641</v>
      </c>
      <c r="K80" s="430"/>
      <c r="L80" s="377"/>
      <c r="N80" s="440">
        <f>H80-'1'!E80</f>
        <v>-502718</v>
      </c>
      <c r="O80" s="382"/>
    </row>
    <row r="81" spans="1:15" ht="27.75">
      <c r="A81" s="1413" t="s">
        <v>199</v>
      </c>
      <c r="B81" s="1414"/>
      <c r="C81" s="1415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-630185</v>
      </c>
      <c r="O81" s="382"/>
    </row>
    <row r="82" spans="1:15" ht="27.75">
      <c r="A82" s="1413" t="s">
        <v>93</v>
      </c>
      <c r="B82" s="1414"/>
      <c r="C82" s="1415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-106895</v>
      </c>
      <c r="O82" s="382"/>
    </row>
    <row r="83" spans="1:15" ht="27.75">
      <c r="A83" s="1413" t="s">
        <v>200</v>
      </c>
      <c r="B83" s="1414"/>
      <c r="C83" s="1415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-7057</v>
      </c>
      <c r="O83" s="382"/>
    </row>
    <row r="84" spans="1:15" ht="29.25">
      <c r="A84" s="1149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-454684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6.3664629124104977E-12</v>
      </c>
      <c r="I85" s="481"/>
      <c r="J85" s="552">
        <f>H85/DAY(B2)</f>
        <v>2.0536977136808056E-13</v>
      </c>
      <c r="K85" s="380"/>
      <c r="L85" s="378"/>
      <c r="N85" s="440">
        <f>H85-'1'!E85</f>
        <v>6.3664629124104977E-12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454411</v>
      </c>
      <c r="F86" s="650">
        <v>454581</v>
      </c>
      <c r="G86" s="708">
        <f t="shared" ref="G86" si="7">F86-E86</f>
        <v>170</v>
      </c>
      <c r="H86" s="460">
        <f>G86+'30'!H86</f>
        <v>493.55999999999767</v>
      </c>
      <c r="I86" s="655"/>
      <c r="J86" s="710">
        <f>H86/DAY(B2)</f>
        <v>15.921290322580569</v>
      </c>
      <c r="K86" s="736"/>
      <c r="L86" s="737"/>
      <c r="N86" s="440">
        <f>H86-'1'!E86</f>
        <v>-454087.44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80150</v>
      </c>
      <c r="F87" s="650">
        <v>80185</v>
      </c>
      <c r="G87" s="708">
        <f t="shared" ref="G87:G90" si="8">F87-E87</f>
        <v>35</v>
      </c>
      <c r="H87" s="460">
        <f>G87+'30'!H87</f>
        <v>114.5</v>
      </c>
      <c r="I87" s="655"/>
      <c r="J87" s="710">
        <f>H87/DAY(B2)</f>
        <v>3.693548387096774</v>
      </c>
      <c r="K87" s="736"/>
      <c r="L87" s="737"/>
      <c r="N87" s="440">
        <f>H87-'1'!E87</f>
        <v>-80070.5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150496</v>
      </c>
      <c r="F88" s="650">
        <v>150599</v>
      </c>
      <c r="G88" s="708">
        <f t="shared" si="8"/>
        <v>103</v>
      </c>
      <c r="H88" s="460">
        <f>G88+'30'!H88</f>
        <v>230.54999999998836</v>
      </c>
      <c r="I88" s="655"/>
      <c r="J88" s="710">
        <f>H88/DAY(B2)</f>
        <v>7.4370967741931731</v>
      </c>
      <c r="K88" s="736"/>
      <c r="L88" s="737"/>
      <c r="N88" s="440">
        <f>H88-'1'!E88</f>
        <v>-150368.45000000001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63509</v>
      </c>
      <c r="F89" s="650">
        <v>63554</v>
      </c>
      <c r="G89" s="708">
        <f t="shared" si="8"/>
        <v>45</v>
      </c>
      <c r="H89" s="460">
        <f>G89+'30'!H89</f>
        <v>129.30000000000291</v>
      </c>
      <c r="I89" s="655"/>
      <c r="J89" s="710">
        <f>H89/DAY(B2)</f>
        <v>4.170967741935578</v>
      </c>
      <c r="K89" s="736"/>
      <c r="L89" s="737"/>
      <c r="N89" s="440">
        <f>H89-'1'!E89</f>
        <v>-63424.7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3269</v>
      </c>
      <c r="F90" s="650">
        <v>3270</v>
      </c>
      <c r="G90" s="708">
        <f t="shared" si="8"/>
        <v>1</v>
      </c>
      <c r="H90" s="460">
        <f>G90+'30'!H90</f>
        <v>3.8000000000001819</v>
      </c>
      <c r="I90" s="655"/>
      <c r="J90" s="710">
        <f>H90/DAY(B2)</f>
        <v>0.12258064516129619</v>
      </c>
      <c r="K90" s="736"/>
      <c r="L90" s="737"/>
      <c r="N90" s="440">
        <f>H90-'1'!E90</f>
        <v>-3266.2</v>
      </c>
      <c r="O90" s="382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437" t="s">
        <v>206</v>
      </c>
      <c r="B92" s="1438"/>
      <c r="C92" s="1439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0</v>
      </c>
      <c r="I92" s="480"/>
      <c r="J92" s="552">
        <f>H92/DAY(B2)</f>
        <v>0</v>
      </c>
      <c r="K92" s="429"/>
      <c r="L92" s="377"/>
      <c r="N92" s="440">
        <f>H92-'1'!E92</f>
        <v>-242646</v>
      </c>
      <c r="O92" s="382"/>
    </row>
    <row r="93" spans="1:15" ht="27.75">
      <c r="A93" s="1437" t="s">
        <v>207</v>
      </c>
      <c r="B93" s="1438"/>
      <c r="C93" s="1439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0</v>
      </c>
      <c r="I93" s="480"/>
      <c r="J93" s="552">
        <f>H93/DAY(B2)</f>
        <v>0</v>
      </c>
      <c r="K93" s="380"/>
      <c r="L93" s="377"/>
      <c r="N93" s="440">
        <f>H93-'1'!E93</f>
        <v>-179679</v>
      </c>
      <c r="O93" s="382"/>
    </row>
    <row r="94" spans="1:15" ht="29.25">
      <c r="A94" s="1465" t="s">
        <v>208</v>
      </c>
      <c r="B94" s="1466"/>
      <c r="C94" s="1467"/>
      <c r="D94" s="523"/>
      <c r="E94" s="484"/>
      <c r="F94" s="484"/>
      <c r="G94" s="473">
        <f>G92+G93</f>
        <v>262</v>
      </c>
      <c r="H94" s="460">
        <f>G94+'30'!H94</f>
        <v>-219</v>
      </c>
      <c r="I94" s="480"/>
      <c r="J94" s="552">
        <f>H94/DAY(B2)</f>
        <v>-7.064516129032258</v>
      </c>
      <c r="K94" s="380"/>
      <c r="L94" s="377"/>
      <c r="N94" s="440">
        <f>H94-'1'!E94</f>
        <v>-219</v>
      </c>
      <c r="O94" s="382"/>
    </row>
    <row r="95" spans="1:15" ht="27.75">
      <c r="A95" s="1437" t="s">
        <v>209</v>
      </c>
      <c r="B95" s="1438"/>
      <c r="C95" s="1439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0</v>
      </c>
      <c r="I95" s="480"/>
      <c r="J95" s="552">
        <f>H95/DAY(B2)</f>
        <v>0</v>
      </c>
      <c r="K95" s="380"/>
      <c r="L95" s="377"/>
      <c r="N95" s="440">
        <f>H95-'1'!E95</f>
        <v>-410785</v>
      </c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0</v>
      </c>
      <c r="I96" s="480"/>
      <c r="J96" s="552">
        <f>H96/DAY(B2)</f>
        <v>0</v>
      </c>
      <c r="K96" s="427"/>
      <c r="L96" s="377"/>
      <c r="N96" s="440">
        <f>H96-'1'!E96</f>
        <v>-101831</v>
      </c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0</v>
      </c>
      <c r="I97" s="480"/>
      <c r="J97" s="552">
        <f>H97/DAY(B2)</f>
        <v>0</v>
      </c>
      <c r="K97" s="432"/>
      <c r="L97" s="377"/>
      <c r="N97" s="440">
        <f>H97-'1'!E97</f>
        <v>-96928</v>
      </c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0</v>
      </c>
      <c r="I98" s="480"/>
      <c r="J98" s="552">
        <f>H98/DAY(B2)</f>
        <v>0</v>
      </c>
      <c r="K98" s="380"/>
      <c r="L98" s="377"/>
      <c r="N98" s="440">
        <f>H98-'1'!E98</f>
        <v>-148909</v>
      </c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-6855</v>
      </c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-4943</v>
      </c>
      <c r="O100" s="382"/>
    </row>
    <row r="101" spans="1:15" ht="29.25">
      <c r="A101" s="1465" t="s">
        <v>216</v>
      </c>
      <c r="B101" s="1466"/>
      <c r="C101" s="1467"/>
      <c r="D101" s="524"/>
      <c r="E101" s="524"/>
      <c r="F101" s="524"/>
      <c r="G101" s="525">
        <f>SUM(G95:G100)</f>
        <v>170</v>
      </c>
      <c r="H101" s="460">
        <f>G101+'30'!H101</f>
        <v>0</v>
      </c>
      <c r="I101" s="526"/>
      <c r="J101" s="552">
        <f>H101/DAY(B2)</f>
        <v>0</v>
      </c>
      <c r="K101" s="380"/>
      <c r="L101" s="377"/>
      <c r="N101" s="440">
        <f>H101-'1'!E101</f>
        <v>0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468" t="s">
        <v>218</v>
      </c>
      <c r="B103" s="1469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429" t="s">
        <v>219</v>
      </c>
      <c r="B104" s="1430"/>
      <c r="C104" s="1143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97</v>
      </c>
      <c r="I104" s="532"/>
      <c r="J104" s="558">
        <f>H104/DAY(B2)</f>
        <v>3.129032258064516</v>
      </c>
      <c r="N104" s="440">
        <f>H104-'1'!E104</f>
        <v>-7228</v>
      </c>
      <c r="O104" s="382"/>
    </row>
    <row r="105" spans="1:15" s="442" customFormat="1" ht="27.75">
      <c r="A105" s="1429" t="s">
        <v>77</v>
      </c>
      <c r="B105" s="1430"/>
      <c r="C105" s="1143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77</v>
      </c>
      <c r="I105" s="532"/>
      <c r="J105" s="558">
        <f>H105/DAY(B2)</f>
        <v>2.4838709677419355</v>
      </c>
      <c r="N105" s="440">
        <f>H105-'1'!E105</f>
        <v>-35579</v>
      </c>
      <c r="O105" s="382"/>
    </row>
    <row r="106" spans="1:15" s="442" customFormat="1" ht="27.75">
      <c r="A106" s="1429" t="s">
        <v>78</v>
      </c>
      <c r="B106" s="1470"/>
      <c r="C106" s="1430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413</v>
      </c>
      <c r="I106" s="532"/>
      <c r="J106" s="558">
        <f>H106/DAY(B2)</f>
        <v>13.32258064516129</v>
      </c>
      <c r="N106" s="440">
        <f>H106-'1'!E106</f>
        <v>-19005</v>
      </c>
      <c r="O106" s="382"/>
    </row>
    <row r="107" spans="1:15" s="442" customFormat="1" ht="27.75">
      <c r="A107" s="1431" t="s">
        <v>202</v>
      </c>
      <c r="B107" s="1432"/>
      <c r="C107" s="1143"/>
      <c r="D107" s="622"/>
      <c r="E107" s="532"/>
      <c r="F107" s="532"/>
      <c r="G107" s="532">
        <f>SUM(G104:G106)</f>
        <v>30</v>
      </c>
      <c r="H107" s="460">
        <f>G107+'30'!H107</f>
        <v>277</v>
      </c>
      <c r="I107" s="532"/>
      <c r="J107" s="558">
        <f>H107/DAY(B2)</f>
        <v>8.935483870967742</v>
      </c>
      <c r="N107" s="440">
        <f>H107-'1'!E107</f>
        <v>277</v>
      </c>
      <c r="O107" s="382"/>
    </row>
    <row r="108" spans="1:15" s="442" customFormat="1" ht="27.75">
      <c r="A108" s="1435" t="s">
        <v>79</v>
      </c>
      <c r="B108" s="1436"/>
      <c r="C108" s="1143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429" t="s">
        <v>220</v>
      </c>
      <c r="B109" s="1430"/>
      <c r="C109" s="1143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513</v>
      </c>
      <c r="I109" s="532"/>
      <c r="J109" s="558">
        <f>H109/DAY(B2)</f>
        <v>16.548387096774192</v>
      </c>
      <c r="N109" s="440">
        <f>H109-'1'!E109</f>
        <v>-58360</v>
      </c>
      <c r="O109" s="382"/>
    </row>
    <row r="110" spans="1:15" s="442" customFormat="1" ht="27.75">
      <c r="A110" s="1429" t="s">
        <v>221</v>
      </c>
      <c r="B110" s="1430"/>
      <c r="C110" s="1143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114</v>
      </c>
      <c r="I110" s="532"/>
      <c r="J110" s="558">
        <f>H110/DAY(B2)</f>
        <v>3.6774193548387095</v>
      </c>
      <c r="N110" s="440">
        <f>H110-'1'!E110</f>
        <v>-31532</v>
      </c>
      <c r="O110" s="382"/>
    </row>
    <row r="111" spans="1:15" s="442" customFormat="1" ht="27.75">
      <c r="A111" s="1429" t="s">
        <v>222</v>
      </c>
      <c r="B111" s="1430"/>
      <c r="C111" s="1143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249</v>
      </c>
      <c r="I111" s="532"/>
      <c r="J111" s="558">
        <f>H111/DAY(B2)</f>
        <v>8.0322580645161299</v>
      </c>
      <c r="N111" s="440">
        <f>H111-'1'!E111</f>
        <v>-3907</v>
      </c>
      <c r="O111" s="382"/>
    </row>
    <row r="112" spans="1:15" s="442" customFormat="1" ht="27.75">
      <c r="A112" s="1433" t="s">
        <v>110</v>
      </c>
      <c r="B112" s="1434"/>
      <c r="C112" s="1143"/>
      <c r="D112" s="622"/>
      <c r="E112" s="532"/>
      <c r="F112" s="532"/>
      <c r="G112" s="532">
        <f>SUM(G109:G111)</f>
        <v>129</v>
      </c>
      <c r="H112" s="460">
        <f>G112+'30'!H112</f>
        <v>1331</v>
      </c>
      <c r="I112" s="532"/>
      <c r="J112" s="558">
        <f>H112/DAY(B2)</f>
        <v>42.935483870967744</v>
      </c>
      <c r="N112" s="440">
        <f>H112-'1'!E112</f>
        <v>1331</v>
      </c>
      <c r="O112" s="382"/>
    </row>
    <row r="113" spans="1:15" s="442" customFormat="1" ht="27.75">
      <c r="A113" s="1435" t="s">
        <v>223</v>
      </c>
      <c r="B113" s="1436"/>
      <c r="C113" s="1143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429" t="s">
        <v>224</v>
      </c>
      <c r="B114" s="1430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71</v>
      </c>
      <c r="I114" s="532"/>
      <c r="J114" s="558">
        <f>H114/DAY(B2)</f>
        <v>2.2903225806451615</v>
      </c>
      <c r="N114" s="440">
        <f>H114-'1'!E114</f>
        <v>-10786</v>
      </c>
      <c r="O114" s="382"/>
    </row>
    <row r="115" spans="1:15" s="442" customFormat="1" ht="27.75">
      <c r="A115" s="1429" t="s">
        <v>225</v>
      </c>
      <c r="B115" s="1430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117</v>
      </c>
      <c r="I115" s="532"/>
      <c r="J115" s="558">
        <f>H115/DAY(B2)</f>
        <v>3.774193548387097</v>
      </c>
      <c r="N115" s="440">
        <f>H115-'1'!E115</f>
        <v>-7858</v>
      </c>
      <c r="O115" s="382"/>
    </row>
    <row r="116" spans="1:15" s="442" customFormat="1" ht="27.75">
      <c r="A116" s="1429" t="s">
        <v>226</v>
      </c>
      <c r="B116" s="1430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127</v>
      </c>
      <c r="I116" s="532"/>
      <c r="J116" s="558">
        <f>H116/DAY(B2)</f>
        <v>4.096774193548387</v>
      </c>
      <c r="N116" s="440">
        <f>H116-'1'!E116</f>
        <v>127</v>
      </c>
      <c r="O116" s="382"/>
    </row>
    <row r="117" spans="1:15" s="445" customFormat="1" ht="27.75">
      <c r="A117" s="1431" t="s">
        <v>202</v>
      </c>
      <c r="B117" s="1432"/>
      <c r="C117" s="574"/>
      <c r="D117" s="623"/>
      <c r="E117" s="534"/>
      <c r="F117" s="534"/>
      <c r="G117" s="534">
        <f>SUM(G114:G116)</f>
        <v>21</v>
      </c>
      <c r="H117" s="460">
        <f>G117+'30'!H117</f>
        <v>173</v>
      </c>
      <c r="I117" s="534"/>
      <c r="J117" s="558">
        <f>H117/DAY(B2)</f>
        <v>5.580645161290323</v>
      </c>
      <c r="N117" s="440">
        <f>H117-'1'!E117</f>
        <v>173</v>
      </c>
      <c r="O117" s="382"/>
    </row>
    <row r="118" spans="1:15" s="446" customFormat="1" ht="27.75">
      <c r="A118" s="1425" t="s">
        <v>227</v>
      </c>
      <c r="B118" s="1426"/>
      <c r="C118" s="1142"/>
      <c r="D118" s="624" t="s">
        <v>144</v>
      </c>
      <c r="E118" s="536"/>
      <c r="F118" s="536"/>
      <c r="G118" s="536">
        <f>SUM(G19+G92)</f>
        <v>153</v>
      </c>
      <c r="H118" s="460">
        <f>G118+'30'!H118</f>
        <v>488</v>
      </c>
      <c r="I118" s="535"/>
      <c r="J118" s="559">
        <f>H118/DAY(B2)</f>
        <v>15.741935483870968</v>
      </c>
      <c r="N118" s="440">
        <f>H118-'1'!E118</f>
        <v>488</v>
      </c>
      <c r="O118" s="382"/>
    </row>
    <row r="119" spans="1:15" s="446" customFormat="1" ht="27.75">
      <c r="A119" s="1425" t="s">
        <v>228</v>
      </c>
      <c r="B119" s="1426"/>
      <c r="C119" s="1142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486</v>
      </c>
      <c r="I119" s="535"/>
      <c r="J119" s="559">
        <f>H119/DAY(B2)</f>
        <v>15.67741935483871</v>
      </c>
      <c r="N119" s="440">
        <f>H119-'1'!E119</f>
        <v>486</v>
      </c>
      <c r="O119" s="382"/>
    </row>
    <row r="120" spans="1:15" s="446" customFormat="1" ht="27.75">
      <c r="A120" s="1425" t="s">
        <v>229</v>
      </c>
      <c r="B120" s="1426"/>
      <c r="C120" s="1142"/>
      <c r="D120" s="624" t="s">
        <v>144</v>
      </c>
      <c r="E120" s="534"/>
      <c r="F120" s="534"/>
      <c r="G120" s="534">
        <f>SUM(G112)</f>
        <v>129</v>
      </c>
      <c r="H120" s="460">
        <f>G120+'30'!H120</f>
        <v>422</v>
      </c>
      <c r="I120" s="535"/>
      <c r="J120" s="559">
        <f>H120/DAY(B2)</f>
        <v>13.612903225806452</v>
      </c>
      <c r="N120" s="440">
        <f>H120-'1'!E120</f>
        <v>422</v>
      </c>
      <c r="O120" s="382"/>
    </row>
    <row r="121" spans="1:15" s="442" customFormat="1" ht="27.75">
      <c r="A121" s="1427"/>
      <c r="B121" s="1428"/>
      <c r="C121" s="1143"/>
      <c r="D121" s="560"/>
      <c r="E121" s="560" t="s">
        <v>215</v>
      </c>
      <c r="F121" s="560"/>
      <c r="G121" s="560"/>
      <c r="H121" s="561"/>
      <c r="I121" s="560"/>
      <c r="J121" s="562"/>
      <c r="N121" s="440">
        <f>H121-'1'!E121</f>
        <v>0</v>
      </c>
      <c r="O121" s="382"/>
    </row>
    <row r="122" spans="1:15" ht="29.25">
      <c r="A122" s="1462" t="s">
        <v>230</v>
      </c>
      <c r="B122" s="1463"/>
      <c r="C122" s="1464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0</v>
      </c>
      <c r="I123" s="526"/>
      <c r="J123" s="552">
        <f>H123/DAY(B2)</f>
        <v>0</v>
      </c>
      <c r="K123" s="380"/>
      <c r="L123" s="377"/>
      <c r="N123" s="440">
        <f>H123-'1'!E123</f>
        <v>-818810</v>
      </c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16" t="s">
        <v>233</v>
      </c>
      <c r="B125" s="1417"/>
      <c r="C125" s="1418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-142136</v>
      </c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28569.3</v>
      </c>
      <c r="I126" s="526"/>
      <c r="J126" s="552">
        <f>H126/DAY(B2)</f>
        <v>921.59032258064519</v>
      </c>
      <c r="K126" s="380"/>
      <c r="L126" s="377"/>
      <c r="N126" s="440">
        <f>H126-'1'!E126</f>
        <v>-31318.7</v>
      </c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0</v>
      </c>
      <c r="I127" s="480"/>
      <c r="J127" s="552">
        <f>H127/DAY(B2)</f>
        <v>0</v>
      </c>
      <c r="K127" s="380"/>
      <c r="L127" s="377"/>
      <c r="N127" s="440">
        <f>H127-'1'!E127</f>
        <v>-8962</v>
      </c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-9.3300000000017462</v>
      </c>
      <c r="I132" s="480"/>
      <c r="J132" s="552">
        <f>H132/DAY(B2)</f>
        <v>-0.30096774193554021</v>
      </c>
      <c r="O132" s="382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61</v>
      </c>
      <c r="I134" s="480"/>
      <c r="J134" s="552">
        <f>H134/DAY(B2)</f>
        <v>1.967741935483871</v>
      </c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0</v>
      </c>
      <c r="I136" s="480">
        <f>G134+G135+G136</f>
        <v>18.030000000006112</v>
      </c>
      <c r="J136" s="552">
        <f>H136/DAY(B2)</f>
        <v>0</v>
      </c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12.479999999999563</v>
      </c>
      <c r="I137" s="480"/>
      <c r="J137" s="552">
        <f>H137/DAY(B2)</f>
        <v>0.40258064516127623</v>
      </c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31.029999999998836</v>
      </c>
      <c r="I138" s="480">
        <f>G137+G138</f>
        <v>6.0600000000049477</v>
      </c>
      <c r="J138" s="552">
        <f>H138/DAY(B2)</f>
        <v>1.0009677419354464</v>
      </c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0</v>
      </c>
      <c r="I139" s="542"/>
      <c r="J139" s="552">
        <f>H139/DAY(B2)</f>
        <v>0</v>
      </c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9.25">
      <c r="A141" s="1443" t="s">
        <v>250</v>
      </c>
      <c r="B141" s="1444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7" t="s">
        <v>251</v>
      </c>
      <c r="B142" s="1438"/>
      <c r="C142" s="1439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-2315.640000000014</v>
      </c>
      <c r="I142" s="480"/>
      <c r="J142" s="552">
        <f>H142/DAY(B2)</f>
        <v>-74.698064516129477</v>
      </c>
      <c r="K142" s="380"/>
      <c r="L142" s="377"/>
      <c r="O142" s="382"/>
    </row>
    <row r="143" spans="1:15" ht="27.75">
      <c r="A143" s="1437" t="s">
        <v>252</v>
      </c>
      <c r="B143" s="1438"/>
      <c r="C143" s="1439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8.286831171496301</v>
      </c>
      <c r="I143" s="544"/>
      <c r="J143" s="552">
        <f>H143/DAY(B2)</f>
        <v>0.26731713456439682</v>
      </c>
      <c r="K143" s="380"/>
      <c r="L143" s="377"/>
      <c r="O143" s="382"/>
    </row>
    <row r="144" spans="1:15" ht="27.75">
      <c r="A144" s="1437" t="s">
        <v>253</v>
      </c>
      <c r="B144" s="1438"/>
      <c r="C144" s="1439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0</v>
      </c>
      <c r="I144" s="480"/>
      <c r="J144" s="552">
        <f>H144/DAY(B2)</f>
        <v>0</v>
      </c>
      <c r="K144" s="380"/>
      <c r="L144" s="377"/>
      <c r="O144" s="382"/>
    </row>
    <row r="145" spans="1:15" ht="27.75">
      <c r="A145" s="1437" t="s">
        <v>254</v>
      </c>
      <c r="B145" s="1438"/>
      <c r="C145" s="1439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8.1492435632861202</v>
      </c>
      <c r="I145" s="544"/>
      <c r="J145" s="552">
        <f>H145/DAY(B2)</f>
        <v>0.26287882462213291</v>
      </c>
      <c r="K145" s="380"/>
      <c r="L145" s="377"/>
      <c r="O145" s="382"/>
    </row>
    <row r="146" spans="1:15" ht="27.75">
      <c r="A146" s="1437" t="s">
        <v>255</v>
      </c>
      <c r="B146" s="1438"/>
      <c r="C146" s="1439"/>
      <c r="D146" s="523" t="s">
        <v>132</v>
      </c>
      <c r="E146" s="455"/>
      <c r="F146" s="455"/>
      <c r="G146" s="460">
        <f>G39+G53</f>
        <v>4237</v>
      </c>
      <c r="H146" s="460">
        <f>G146+'30'!H146</f>
        <v>0</v>
      </c>
      <c r="I146" s="545"/>
      <c r="J146" s="552">
        <f>H146/DAY(B2)</f>
        <v>0</v>
      </c>
      <c r="K146" s="380"/>
      <c r="L146" s="377"/>
      <c r="O146" s="382"/>
    </row>
    <row r="147" spans="1:15" ht="27.75">
      <c r="A147" s="1437" t="s">
        <v>256</v>
      </c>
      <c r="B147" s="1438"/>
      <c r="C147" s="1439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6.0211675874866089</v>
      </c>
      <c r="I147" s="545"/>
      <c r="J147" s="552">
        <f>H147/DAY(B2)</f>
        <v>0.19423121249956804</v>
      </c>
      <c r="O147" s="382"/>
    </row>
    <row r="148" spans="1:15" ht="27.75">
      <c r="A148" s="1437" t="s">
        <v>257</v>
      </c>
      <c r="B148" s="1438"/>
      <c r="C148" s="1439"/>
      <c r="D148" s="523" t="s">
        <v>183</v>
      </c>
      <c r="E148" s="455"/>
      <c r="F148" s="455"/>
      <c r="G148" s="460">
        <f>G38+G52</f>
        <v>1893</v>
      </c>
      <c r="H148" s="460">
        <f>G148+'30'!H148</f>
        <v>0</v>
      </c>
      <c r="I148" s="480"/>
      <c r="J148" s="552">
        <f>H148/DAY(B2)</f>
        <v>0</v>
      </c>
      <c r="K148" s="381"/>
      <c r="O148" s="382"/>
    </row>
    <row r="149" spans="1:15" ht="27.75">
      <c r="A149" s="1437" t="s">
        <v>258</v>
      </c>
      <c r="B149" s="1438"/>
      <c r="C149" s="1439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2.6325265561804922</v>
      </c>
      <c r="I149" s="545"/>
      <c r="J149" s="552">
        <f>H149/DAY(B2)</f>
        <v>8.4920211489693295E-2</v>
      </c>
      <c r="O149" s="382"/>
    </row>
    <row r="150" spans="1:15" ht="27.75">
      <c r="A150" s="1437" t="s">
        <v>259</v>
      </c>
      <c r="B150" s="1438"/>
      <c r="C150" s="1439"/>
      <c r="D150" s="523" t="s">
        <v>183</v>
      </c>
      <c r="E150" s="455"/>
      <c r="F150" s="455"/>
      <c r="G150" s="460">
        <f>G36+G50</f>
        <v>2064</v>
      </c>
      <c r="H150" s="460">
        <f>G150+'30'!H150</f>
        <v>0</v>
      </c>
      <c r="I150" s="545"/>
      <c r="J150" s="552">
        <f>H150/DAY(B2)</f>
        <v>0</v>
      </c>
      <c r="O150" s="382"/>
    </row>
    <row r="151" spans="1:15" ht="27.75">
      <c r="A151" s="1437" t="s">
        <v>260</v>
      </c>
      <c r="B151" s="1438"/>
      <c r="C151" s="1439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2.8032420987354234</v>
      </c>
      <c r="I151" s="480"/>
      <c r="J151" s="552">
        <f>H151/DAY(B2)</f>
        <v>9.0427164475336233E-2</v>
      </c>
      <c r="O151" s="382"/>
    </row>
    <row r="152" spans="1:15" ht="27.75">
      <c r="A152" s="1437" t="s">
        <v>261</v>
      </c>
      <c r="B152" s="1438"/>
      <c r="C152" s="1439"/>
      <c r="D152" s="523" t="s">
        <v>183</v>
      </c>
      <c r="E152" s="455"/>
      <c r="F152" s="455"/>
      <c r="G152" s="460">
        <f>G37+G51</f>
        <v>1490</v>
      </c>
      <c r="H152" s="460">
        <f>G152+'30'!H152</f>
        <v>0</v>
      </c>
      <c r="I152" s="480"/>
      <c r="J152" s="552">
        <f>H152/DAY(B2)</f>
        <v>0</v>
      </c>
      <c r="O152" s="382"/>
    </row>
    <row r="153" spans="1:15" ht="28.5" thickBot="1">
      <c r="A153" s="1440" t="s">
        <v>262</v>
      </c>
      <c r="B153" s="1441"/>
      <c r="C153" s="1442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2.1592924505801405</v>
      </c>
      <c r="I153" s="568"/>
      <c r="J153" s="569">
        <f>H153/DAY(B2)</f>
        <v>6.9654595180004539E-2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8" t="s">
        <v>263</v>
      </c>
      <c r="B160" s="789"/>
      <c r="C160" s="789"/>
      <c r="D160" s="511" t="s">
        <v>187</v>
      </c>
      <c r="E160" s="455">
        <f>'30'!F160</f>
        <v>33348</v>
      </c>
      <c r="F160" s="661">
        <v>33432</v>
      </c>
      <c r="G160" s="473">
        <f t="shared" ref="G160:G163" si="16">F160-E160</f>
        <v>84</v>
      </c>
    </row>
    <row r="161" spans="1:7" ht="29.25">
      <c r="A161" s="788" t="s">
        <v>264</v>
      </c>
      <c r="B161" s="789"/>
      <c r="C161" s="789"/>
      <c r="D161" s="511" t="s">
        <v>187</v>
      </c>
      <c r="E161" s="455">
        <f>'30'!F161</f>
        <v>68208</v>
      </c>
      <c r="F161" s="661">
        <v>68638</v>
      </c>
      <c r="G161" s="473">
        <f t="shared" si="16"/>
        <v>430</v>
      </c>
    </row>
    <row r="162" spans="1:7" ht="29.25">
      <c r="A162" s="788" t="s">
        <v>265</v>
      </c>
      <c r="B162" s="789"/>
      <c r="C162" s="789"/>
      <c r="D162" s="511" t="s">
        <v>187</v>
      </c>
      <c r="E162" s="455">
        <f>'30'!F162</f>
        <v>29063</v>
      </c>
      <c r="F162" s="661">
        <v>29319</v>
      </c>
      <c r="G162" s="473">
        <f t="shared" si="16"/>
        <v>256</v>
      </c>
    </row>
    <row r="163" spans="1:7" ht="29.25">
      <c r="A163" s="788" t="s">
        <v>266</v>
      </c>
      <c r="B163" s="789"/>
      <c r="C163" s="789"/>
      <c r="D163" s="511" t="s">
        <v>187</v>
      </c>
      <c r="E163" s="455">
        <f>'30'!F163</f>
        <v>5779</v>
      </c>
      <c r="F163" s="661">
        <v>5790</v>
      </c>
      <c r="G163" s="473">
        <f t="shared" si="16"/>
        <v>11</v>
      </c>
    </row>
    <row r="164" spans="1:7" ht="29.25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0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412" t="s">
        <v>99</v>
      </c>
      <c r="B166" s="1412"/>
      <c r="C166" s="1412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412" t="s">
        <v>100</v>
      </c>
      <c r="B167" s="1412"/>
      <c r="C167" s="1412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412" t="s">
        <v>101</v>
      </c>
      <c r="B168" s="1412"/>
      <c r="C168" s="1412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412" t="s">
        <v>102</v>
      </c>
      <c r="B169" s="1412"/>
      <c r="C169" s="1412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412" t="s">
        <v>103</v>
      </c>
      <c r="B170" s="1412"/>
      <c r="C170" s="1412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412" t="s">
        <v>104</v>
      </c>
      <c r="B171" s="1412"/>
      <c r="C171" s="1412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93"/>
      <c r="B1" s="1393"/>
      <c r="C1" s="1393"/>
      <c r="D1" s="1393"/>
      <c r="E1" s="1393"/>
      <c r="F1" s="1393"/>
      <c r="G1" s="1393"/>
      <c r="H1" s="1393"/>
      <c r="I1" s="1393"/>
      <c r="J1" s="1393"/>
      <c r="K1" s="1393"/>
      <c r="L1" s="1393"/>
      <c r="M1" s="1393"/>
      <c r="N1" s="1393"/>
      <c r="O1" s="1393"/>
    </row>
    <row r="2" spans="1:15" ht="28.5" customHeight="1">
      <c r="A2" s="1" t="s">
        <v>0</v>
      </c>
      <c r="B2" s="1" t="s">
        <v>0</v>
      </c>
      <c r="C2" s="1119" t="s">
        <v>1</v>
      </c>
      <c r="D2" s="4" t="s">
        <v>4</v>
      </c>
      <c r="E2" s="1395" t="s">
        <v>7</v>
      </c>
      <c r="F2" s="1395"/>
      <c r="G2" s="1395"/>
      <c r="H2" s="1401" t="s">
        <v>15</v>
      </c>
      <c r="I2" s="1401"/>
      <c r="J2" s="1401"/>
      <c r="K2" s="1119" t="s">
        <v>16</v>
      </c>
      <c r="L2" s="1401" t="s">
        <v>17</v>
      </c>
      <c r="M2" s="1401"/>
      <c r="N2" s="1401"/>
      <c r="O2" s="1119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282</v>
      </c>
      <c r="O3" s="12"/>
    </row>
    <row r="4" spans="1:15">
      <c r="A4" s="16">
        <v>1</v>
      </c>
      <c r="B4" s="17">
        <v>1</v>
      </c>
      <c r="C4" s="18"/>
      <c r="D4" s="19">
        <f>'1'!F8</f>
        <v>5169102</v>
      </c>
      <c r="E4" s="19">
        <f>'1'!G96</f>
        <v>17</v>
      </c>
      <c r="F4" s="19">
        <f>'1'!F141</f>
        <v>0</v>
      </c>
      <c r="G4" s="21">
        <f>E4*F4</f>
        <v>0</v>
      </c>
      <c r="H4" s="19">
        <f>'1'!G68</f>
        <v>322</v>
      </c>
      <c r="I4" s="19">
        <f>'1'!G69</f>
        <v>307</v>
      </c>
      <c r="J4" s="19">
        <f>'1'!G70</f>
        <v>0</v>
      </c>
      <c r="K4" s="23">
        <f>H4+I4</f>
        <v>629</v>
      </c>
      <c r="L4" s="19">
        <f>'1'!G71</f>
        <v>0</v>
      </c>
      <c r="M4" s="19">
        <f>'1'!G72</f>
        <v>122</v>
      </c>
      <c r="N4" s="19">
        <v>0</v>
      </c>
      <c r="O4" s="23">
        <f>L4+M4+N4</f>
        <v>122</v>
      </c>
    </row>
    <row r="5" spans="1:15">
      <c r="A5" s="16">
        <v>2</v>
      </c>
      <c r="B5" s="26">
        <v>2</v>
      </c>
      <c r="C5" s="26"/>
      <c r="D5" s="19">
        <f>'2'!F8</f>
        <v>5191372</v>
      </c>
      <c r="E5" s="19">
        <f>'2'!G95</f>
        <v>87</v>
      </c>
      <c r="F5" s="19">
        <f>'2'!F122</f>
        <v>0</v>
      </c>
      <c r="G5" s="21">
        <f t="shared" ref="G5:G18" si="0">E5*F5</f>
        <v>0</v>
      </c>
      <c r="H5" s="19">
        <f>'2'!G68</f>
        <v>306</v>
      </c>
      <c r="I5" s="19">
        <f>'2'!G69</f>
        <v>308</v>
      </c>
      <c r="J5" s="19">
        <f>'2'!G70</f>
        <v>0</v>
      </c>
      <c r="K5" s="23">
        <f t="shared" ref="K5:K18" si="1">H5+I5</f>
        <v>614</v>
      </c>
      <c r="L5" s="19">
        <f>'2'!G71</f>
        <v>0</v>
      </c>
      <c r="M5" s="19">
        <f>'2'!G72</f>
        <v>108</v>
      </c>
      <c r="N5" s="19">
        <v>0</v>
      </c>
      <c r="O5" s="23">
        <f t="shared" ref="O5:O18" si="2">L5+M5+N5</f>
        <v>108</v>
      </c>
    </row>
    <row r="6" spans="1:15">
      <c r="A6" s="16">
        <v>3</v>
      </c>
      <c r="B6" s="26">
        <v>3</v>
      </c>
      <c r="C6" s="26"/>
      <c r="D6" s="19">
        <f>'4'!F8</f>
        <v>5234378</v>
      </c>
      <c r="E6" s="19">
        <f>'3'!G95</f>
        <v>72</v>
      </c>
      <c r="F6" s="19">
        <f>'3'!F122</f>
        <v>0</v>
      </c>
      <c r="G6" s="21">
        <f t="shared" si="0"/>
        <v>0</v>
      </c>
      <c r="H6" s="19">
        <f>'4'!G68</f>
        <v>355</v>
      </c>
      <c r="I6" s="19">
        <f>'4'!G69</f>
        <v>322.58000000000175</v>
      </c>
      <c r="J6" s="19">
        <f>'4'!G70</f>
        <v>0</v>
      </c>
      <c r="K6" s="23">
        <f t="shared" si="1"/>
        <v>677.58000000000175</v>
      </c>
      <c r="L6" s="19">
        <f>'4'!G71</f>
        <v>0</v>
      </c>
      <c r="M6" s="19">
        <f>'4'!G72</f>
        <v>99</v>
      </c>
      <c r="N6" s="19">
        <v>0</v>
      </c>
      <c r="O6" s="23">
        <f t="shared" si="2"/>
        <v>99</v>
      </c>
    </row>
    <row r="7" spans="1:15">
      <c r="A7" s="16">
        <v>4</v>
      </c>
      <c r="B7" s="27">
        <v>4</v>
      </c>
      <c r="C7" s="27"/>
      <c r="D7" s="19">
        <f>'3'!F8</f>
        <v>5212541</v>
      </c>
      <c r="E7" s="19">
        <f>'4'!G95</f>
        <v>71</v>
      </c>
      <c r="F7" s="19">
        <f>'1'!F141</f>
        <v>0</v>
      </c>
      <c r="G7" s="21">
        <f t="shared" si="0"/>
        <v>0</v>
      </c>
      <c r="H7" s="19">
        <f>'3'!G68</f>
        <v>316</v>
      </c>
      <c r="I7" s="19">
        <f>'3'!G69</f>
        <v>308</v>
      </c>
      <c r="J7" s="19">
        <f>'3'!G70</f>
        <v>0</v>
      </c>
      <c r="K7" s="23">
        <f t="shared" si="1"/>
        <v>624</v>
      </c>
      <c r="L7" s="19">
        <f>'3'!G71</f>
        <v>0</v>
      </c>
      <c r="M7" s="19">
        <f>'3'!G72</f>
        <v>85</v>
      </c>
      <c r="N7" s="19">
        <v>0</v>
      </c>
      <c r="O7" s="23">
        <f t="shared" si="2"/>
        <v>85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5276902</v>
      </c>
      <c r="E9" s="19">
        <f>'6'!G95</f>
        <v>68</v>
      </c>
      <c r="F9" s="19">
        <f>'1'!F141</f>
        <v>0</v>
      </c>
      <c r="G9" s="21">
        <f t="shared" si="0"/>
        <v>0</v>
      </c>
      <c r="H9" s="19">
        <f>'6'!G68</f>
        <v>321</v>
      </c>
      <c r="I9" s="19">
        <f>'6'!G69</f>
        <v>298</v>
      </c>
      <c r="J9" s="19">
        <f>'6'!G70</f>
        <v>0</v>
      </c>
      <c r="K9" s="23">
        <f t="shared" si="1"/>
        <v>619</v>
      </c>
      <c r="L9" s="19">
        <f>'6'!G71</f>
        <v>0</v>
      </c>
      <c r="M9" s="19">
        <f>'6'!G72</f>
        <v>87</v>
      </c>
      <c r="N9" s="19">
        <v>0</v>
      </c>
      <c r="O9" s="23">
        <f t="shared" si="2"/>
        <v>87</v>
      </c>
    </row>
    <row r="10" spans="1:15">
      <c r="A10" s="16">
        <v>7</v>
      </c>
      <c r="B10" s="26">
        <v>7</v>
      </c>
      <c r="C10" s="27"/>
      <c r="D10" s="19">
        <f>'7'!F8</f>
        <v>5298954</v>
      </c>
      <c r="E10" s="19">
        <f>'7'!G95</f>
        <v>79</v>
      </c>
      <c r="F10" s="19">
        <f>'1'!F141</f>
        <v>0</v>
      </c>
      <c r="G10" s="21">
        <f t="shared" si="0"/>
        <v>0</v>
      </c>
      <c r="H10" s="19">
        <f>'7'!G68</f>
        <v>287</v>
      </c>
      <c r="I10" s="19">
        <f>'7'!G69</f>
        <v>300</v>
      </c>
      <c r="J10" s="19">
        <f>'7'!G70</f>
        <v>0</v>
      </c>
      <c r="K10" s="23">
        <f t="shared" si="1"/>
        <v>587</v>
      </c>
      <c r="L10" s="19">
        <f>'7'!G71</f>
        <v>0</v>
      </c>
      <c r="M10" s="19">
        <f>'7'!G72</f>
        <v>98</v>
      </c>
      <c r="N10" s="19">
        <v>0</v>
      </c>
      <c r="O10" s="23">
        <f t="shared" si="2"/>
        <v>98</v>
      </c>
    </row>
    <row r="11" spans="1:15">
      <c r="A11" s="16">
        <v>8</v>
      </c>
      <c r="B11" s="26">
        <v>8</v>
      </c>
      <c r="C11" s="18"/>
      <c r="D11" s="19">
        <f>'8'!F8</f>
        <v>5320650</v>
      </c>
      <c r="E11" s="19">
        <f>'8'!G95</f>
        <v>78</v>
      </c>
      <c r="F11" s="19">
        <f>'1'!F141</f>
        <v>0</v>
      </c>
      <c r="G11" s="21">
        <f t="shared" si="0"/>
        <v>0</v>
      </c>
      <c r="H11" s="19">
        <f>'8'!G68</f>
        <v>0</v>
      </c>
      <c r="I11" s="19">
        <f>'8'!G69</f>
        <v>290.64999999999418</v>
      </c>
      <c r="J11" s="19">
        <f>'8'!G70</f>
        <v>0</v>
      </c>
      <c r="K11" s="23">
        <f t="shared" si="1"/>
        <v>290.64999999999418</v>
      </c>
      <c r="L11" s="19">
        <f>'8'!G71</f>
        <v>0</v>
      </c>
      <c r="M11" s="19">
        <f>'8'!G72</f>
        <v>92</v>
      </c>
      <c r="N11" s="19">
        <v>0</v>
      </c>
      <c r="O11" s="23">
        <f t="shared" si="2"/>
        <v>92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-2409</v>
      </c>
      <c r="F12" s="19">
        <f>'1'!F141</f>
        <v>0</v>
      </c>
      <c r="G12" s="21">
        <f t="shared" si="0"/>
        <v>0</v>
      </c>
      <c r="H12" s="19">
        <f>'9'!G68</f>
        <v>-9570</v>
      </c>
      <c r="I12" s="19">
        <f>'9'!G69</f>
        <v>-9380.6499999999942</v>
      </c>
      <c r="J12" s="19">
        <f>'9'!G70</f>
        <v>0</v>
      </c>
      <c r="K12" s="23">
        <f t="shared" si="1"/>
        <v>-18950.649999999994</v>
      </c>
      <c r="L12" s="19">
        <f>'9'!G71</f>
        <v>0</v>
      </c>
      <c r="M12" s="19">
        <f>'9'!G72</f>
        <v>-2619</v>
      </c>
      <c r="N12" s="19">
        <v>0</v>
      </c>
      <c r="O12" s="23">
        <f t="shared" si="2"/>
        <v>-2619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10" t="s">
        <v>117</v>
      </c>
      <c r="B1" s="1610"/>
      <c r="C1" s="1610"/>
      <c r="D1" s="1610"/>
      <c r="E1" s="1610"/>
      <c r="F1" s="1610"/>
      <c r="G1" s="1610"/>
      <c r="H1" s="1610"/>
      <c r="I1" s="1610"/>
      <c r="J1" s="1610"/>
    </row>
    <row r="2" spans="1:12" ht="23.25" customHeight="1">
      <c r="A2" s="214" t="s">
        <v>283</v>
      </c>
      <c r="B2" s="195">
        <v>42328</v>
      </c>
      <c r="C2" s="1611" t="s">
        <v>284</v>
      </c>
      <c r="D2" s="161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9" t="s">
        <v>285</v>
      </c>
      <c r="B3" s="189"/>
      <c r="C3" s="189"/>
      <c r="D3" s="1140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286</v>
      </c>
      <c r="J3" s="42" t="s">
        <v>287</v>
      </c>
      <c r="K3" s="116"/>
      <c r="L3" s="117"/>
    </row>
    <row r="4" spans="1:12" ht="18.75" customHeight="1">
      <c r="A4" s="45" t="s">
        <v>288</v>
      </c>
      <c r="B4" s="46" t="s">
        <v>289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18" t="s">
        <v>130</v>
      </c>
      <c r="B6" s="1619"/>
      <c r="C6" s="1620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04" t="s">
        <v>139</v>
      </c>
      <c r="B14" s="1605"/>
      <c r="C14" s="160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04" t="s">
        <v>142</v>
      </c>
      <c r="B17" s="1605"/>
      <c r="C17" s="160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88" t="s">
        <v>143</v>
      </c>
      <c r="B18" s="1589"/>
      <c r="C18" s="159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88" t="s">
        <v>71</v>
      </c>
      <c r="B19" s="1589"/>
      <c r="C19" s="159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04" t="s">
        <v>146</v>
      </c>
      <c r="B21" s="1605"/>
      <c r="C21" s="160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6" t="s">
        <v>147</v>
      </c>
      <c r="B22" s="1137"/>
      <c r="C22" s="1138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6" t="s">
        <v>149</v>
      </c>
      <c r="B23" s="1137"/>
      <c r="C23" s="1138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7" t="s">
        <v>151</v>
      </c>
      <c r="B25" s="1608"/>
      <c r="C25" s="160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13" t="s">
        <v>162</v>
      </c>
      <c r="B32" s="1614"/>
      <c r="C32" s="1614"/>
      <c r="D32" s="1614"/>
      <c r="E32" s="1614"/>
      <c r="F32" s="1614"/>
      <c r="G32" s="1614"/>
      <c r="H32" s="1614"/>
      <c r="I32" s="1614"/>
      <c r="J32" s="1615"/>
      <c r="K32" s="59"/>
      <c r="L32" s="117"/>
    </row>
    <row r="33" spans="1:12" ht="18.75" customHeight="1">
      <c r="A33" s="1152" t="s">
        <v>163</v>
      </c>
      <c r="B33" s="1153"/>
      <c r="C33" s="1154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2" t="s">
        <v>177</v>
      </c>
      <c r="B47" s="1153"/>
      <c r="C47" s="1154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00" t="s">
        <v>99</v>
      </c>
      <c r="B63" s="1601"/>
      <c r="C63" s="160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00" t="s">
        <v>100</v>
      </c>
      <c r="B64" s="1601"/>
      <c r="C64" s="160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00" t="s">
        <v>101</v>
      </c>
      <c r="B65" s="1601"/>
      <c r="C65" s="160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00" t="s">
        <v>102</v>
      </c>
      <c r="B66" s="1601"/>
      <c r="C66" s="160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00" t="s">
        <v>103</v>
      </c>
      <c r="B67" s="1601"/>
      <c r="C67" s="160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00" t="s">
        <v>104</v>
      </c>
      <c r="B68" s="1601"/>
      <c r="C68" s="160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00" t="s">
        <v>191</v>
      </c>
      <c r="B70" s="1601"/>
      <c r="C70" s="160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00" t="s">
        <v>192</v>
      </c>
      <c r="B71" s="1601"/>
      <c r="C71" s="160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00" t="s">
        <v>193</v>
      </c>
      <c r="B72" s="1601"/>
      <c r="C72" s="160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7" t="s">
        <v>194</v>
      </c>
      <c r="B73" s="1598"/>
      <c r="C73" s="1599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7" t="s">
        <v>195</v>
      </c>
      <c r="B74" s="1598"/>
      <c r="C74" s="1599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00" t="s">
        <v>196</v>
      </c>
      <c r="B75" s="1601"/>
      <c r="C75" s="160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03" t="s">
        <v>92</v>
      </c>
      <c r="B76" s="1595"/>
      <c r="C76" s="159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03" t="s">
        <v>198</v>
      </c>
      <c r="B77" s="1595"/>
      <c r="C77" s="159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03" t="s">
        <v>199</v>
      </c>
      <c r="B78" s="1595"/>
      <c r="C78" s="159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94" t="s">
        <v>93</v>
      </c>
      <c r="B79" s="1595"/>
      <c r="C79" s="159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94" t="s">
        <v>200</v>
      </c>
      <c r="B80" s="1595"/>
      <c r="C80" s="159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94" t="s">
        <v>290</v>
      </c>
      <c r="B81" s="1595"/>
      <c r="C81" s="159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88" t="s">
        <v>207</v>
      </c>
      <c r="B84" s="1589"/>
      <c r="C84" s="159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88" t="s">
        <v>209</v>
      </c>
      <c r="B85" s="1589"/>
      <c r="C85" s="159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88" t="s">
        <v>210</v>
      </c>
      <c r="B86" s="1589"/>
      <c r="C86" s="159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88" t="s">
        <v>211</v>
      </c>
      <c r="B87" s="1589"/>
      <c r="C87" s="159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88" t="s">
        <v>212</v>
      </c>
      <c r="B88" s="1589"/>
      <c r="C88" s="159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88" t="s">
        <v>213</v>
      </c>
      <c r="B89" s="1589"/>
      <c r="C89" s="159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88" t="s">
        <v>214</v>
      </c>
      <c r="B90" s="1589"/>
      <c r="C90" s="159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88" t="s">
        <v>219</v>
      </c>
      <c r="B91" s="1589"/>
      <c r="C91" s="159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88" t="s">
        <v>77</v>
      </c>
      <c r="B92" s="1589"/>
      <c r="C92" s="159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88" t="s">
        <v>78</v>
      </c>
      <c r="B93" s="1589"/>
      <c r="C93" s="159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88" t="s">
        <v>206</v>
      </c>
      <c r="B94" s="1589"/>
      <c r="C94" s="159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591" t="s">
        <v>230</v>
      </c>
      <c r="B95" s="1592"/>
      <c r="C95" s="1593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7"/>
      <c r="C97" s="1138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6" t="s">
        <v>250</v>
      </c>
      <c r="B98" s="161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88" t="s">
        <v>251</v>
      </c>
      <c r="B99" s="1589"/>
      <c r="C99" s="159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88" t="s">
        <v>252</v>
      </c>
      <c r="B100" s="1589"/>
      <c r="C100" s="159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88" t="s">
        <v>253</v>
      </c>
      <c r="B101" s="1589"/>
      <c r="C101" s="159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88" t="s">
        <v>254</v>
      </c>
      <c r="B102" s="1589"/>
      <c r="C102" s="159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88" t="s">
        <v>255</v>
      </c>
      <c r="B103" s="1589"/>
      <c r="C103" s="159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88" t="s">
        <v>256</v>
      </c>
      <c r="B104" s="1589"/>
      <c r="C104" s="159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88" t="s">
        <v>257</v>
      </c>
      <c r="B105" s="1589"/>
      <c r="C105" s="159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88" t="s">
        <v>258</v>
      </c>
      <c r="B106" s="1589"/>
      <c r="C106" s="159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88" t="s">
        <v>259</v>
      </c>
      <c r="B107" s="1589"/>
      <c r="C107" s="159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88" t="s">
        <v>260</v>
      </c>
      <c r="B108" s="1589"/>
      <c r="C108" s="159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88" t="s">
        <v>261</v>
      </c>
      <c r="B109" s="1589"/>
      <c r="C109" s="159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588" t="s">
        <v>262</v>
      </c>
      <c r="B110" s="1589"/>
      <c r="C110" s="159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10" t="s">
        <v>117</v>
      </c>
      <c r="B1" s="1610"/>
      <c r="C1" s="1610"/>
      <c r="D1" s="1610"/>
      <c r="E1" s="1610"/>
      <c r="F1" s="1610"/>
      <c r="G1" s="1610"/>
      <c r="H1" s="1610"/>
      <c r="I1" s="1610"/>
      <c r="J1" s="1610"/>
    </row>
    <row r="2" spans="1:12" ht="23.25" customHeight="1">
      <c r="A2" s="282" t="s">
        <v>291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5" t="s">
        <v>120</v>
      </c>
      <c r="D3" s="386">
        <v>32</v>
      </c>
      <c r="E3" s="1624" t="s">
        <v>121</v>
      </c>
      <c r="F3" s="162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26" t="s">
        <v>130</v>
      </c>
      <c r="B6" s="1627"/>
      <c r="C6" s="162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5066638</v>
      </c>
      <c r="F7" s="306">
        <v>3615871.9</v>
      </c>
      <c r="G7" s="307">
        <f>F7-E7</f>
        <v>-1450766.1</v>
      </c>
      <c r="H7" s="57">
        <f>G7+'29'!H7</f>
        <v>-1498051.1</v>
      </c>
      <c r="I7" s="276">
        <f>'1'!I7</f>
        <v>12000</v>
      </c>
      <c r="J7" s="58">
        <f>H7/DAY(B2)</f>
        <v>-49935.036666666667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350353.59</v>
      </c>
      <c r="F9" s="264">
        <v>2288314.7000000002</v>
      </c>
      <c r="G9" s="318">
        <f t="shared" ref="G9:G11" si="0">F9-E9</f>
        <v>1937961.11</v>
      </c>
      <c r="H9" s="57">
        <f>G9+'29'!H9</f>
        <v>1892245.7000000002</v>
      </c>
      <c r="I9" s="278">
        <f>I7-J7</f>
        <v>61935.036666666667</v>
      </c>
      <c r="J9" s="58">
        <f>H9/DAY(B2)</f>
        <v>63074.856666666674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1583965.8699999999</v>
      </c>
      <c r="I10" s="69"/>
      <c r="J10" s="58">
        <f>H10/DAY(B2)</f>
        <v>52798.862333333331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3158557.9299999997</v>
      </c>
      <c r="H13" s="57">
        <f>G13+'29'!H13</f>
        <v>3452077.57</v>
      </c>
      <c r="I13" s="369">
        <f>G7-G13</f>
        <v>-4609324.0299999993</v>
      </c>
      <c r="J13" s="308">
        <f>H13/DAY(B2)</f>
        <v>115069.25233333332</v>
      </c>
      <c r="K13" s="59"/>
      <c r="L13" s="117"/>
    </row>
    <row r="14" spans="1:12" ht="23.25" customHeight="1">
      <c r="A14" s="1629" t="s">
        <v>139</v>
      </c>
      <c r="B14" s="1630"/>
      <c r="C14" s="163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1644727.97</v>
      </c>
      <c r="F15" s="266">
        <v>1040573.68</v>
      </c>
      <c r="G15" s="318">
        <f>(F15-E15)</f>
        <v>-604154.28999999992</v>
      </c>
      <c r="H15" s="57">
        <f>G15+'29'!H15</f>
        <v>-606115.31999999995</v>
      </c>
      <c r="I15" s="276">
        <f>'1'!I15</f>
        <v>800</v>
      </c>
      <c r="J15" s="58">
        <f>H15/DAY(B2)</f>
        <v>-20203.843999999997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21003.843999999997</v>
      </c>
      <c r="J16" s="229"/>
      <c r="K16" s="59"/>
      <c r="L16" s="117"/>
    </row>
    <row r="17" spans="1:12" ht="23.25" customHeight="1">
      <c r="A17" s="1629" t="s">
        <v>142</v>
      </c>
      <c r="B17" s="1630"/>
      <c r="C17" s="163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21" t="s">
        <v>143</v>
      </c>
      <c r="B18" s="1622"/>
      <c r="C18" s="1623"/>
      <c r="D18" s="268" t="s">
        <v>144</v>
      </c>
      <c r="E18" s="415">
        <f>'29'!F18</f>
        <v>16</v>
      </c>
      <c r="F18" s="267">
        <v>24</v>
      </c>
      <c r="G18" s="279">
        <f>F18*10</f>
        <v>240</v>
      </c>
      <c r="H18" s="57">
        <f>G18+'29'!H18</f>
        <v>3920</v>
      </c>
      <c r="I18" s="158">
        <f>'1'!I18</f>
        <v>65</v>
      </c>
      <c r="J18" s="58">
        <f>H18/DAY(B2)</f>
        <v>130.66666666666666</v>
      </c>
      <c r="K18" s="59"/>
      <c r="L18" s="117"/>
    </row>
    <row r="19" spans="1:12" ht="23.25" customHeight="1">
      <c r="A19" s="1621" t="s">
        <v>71</v>
      </c>
      <c r="B19" s="1622"/>
      <c r="C19" s="1623"/>
      <c r="D19" s="268" t="s">
        <v>144</v>
      </c>
      <c r="E19" s="56">
        <f>'29'!F19</f>
        <v>135990</v>
      </c>
      <c r="F19" s="267">
        <v>99778</v>
      </c>
      <c r="G19" s="318">
        <f t="shared" ref="G19" si="1">F19-E19</f>
        <v>-36212</v>
      </c>
      <c r="H19" s="57">
        <f>G19+'29'!H19</f>
        <v>-36312</v>
      </c>
      <c r="I19" s="80"/>
      <c r="J19" s="58">
        <f>H19/DAY(B2)</f>
        <v>-1210.4000000000001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-35972</v>
      </c>
      <c r="H20" s="57">
        <f>G20+'29'!H20</f>
        <v>-32392</v>
      </c>
      <c r="I20" s="127">
        <f>J20-I18</f>
        <v>-1144.7333333333333</v>
      </c>
      <c r="J20" s="58">
        <f>H20/DAY(B2)</f>
        <v>-1079.7333333333333</v>
      </c>
      <c r="K20" s="59"/>
      <c r="L20" s="117"/>
    </row>
    <row r="21" spans="1:12" ht="23.25" customHeight="1">
      <c r="A21" s="1629" t="s">
        <v>146</v>
      </c>
      <c r="B21" s="1630"/>
      <c r="C21" s="163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7" t="s">
        <v>147</v>
      </c>
      <c r="B22" s="1128"/>
      <c r="C22" s="1129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7" t="s">
        <v>149</v>
      </c>
      <c r="B23" s="1128"/>
      <c r="C23" s="1129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635" t="s">
        <v>151</v>
      </c>
      <c r="B25" s="1636"/>
      <c r="C25" s="163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292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-1450766.1</v>
      </c>
      <c r="F27" s="412">
        <v>10.86</v>
      </c>
      <c r="G27" s="366">
        <f>E27*F27</f>
        <v>-15755319.846000001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-604154.28999999992</v>
      </c>
      <c r="F28" s="412">
        <v>44</v>
      </c>
      <c r="G28" s="366">
        <f>E28*F28</f>
        <v>-26582788.759999998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-35972</v>
      </c>
      <c r="F30" s="412">
        <v>95</v>
      </c>
      <c r="G30" s="366">
        <f>E30*F30</f>
        <v>-3417340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-45755448.605999999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13" t="s">
        <v>162</v>
      </c>
      <c r="B32" s="1614"/>
      <c r="C32" s="1614"/>
      <c r="D32" s="1614"/>
      <c r="E32" s="1614"/>
      <c r="F32" s="1614"/>
      <c r="G32" s="1614"/>
      <c r="H32" s="1614"/>
      <c r="I32" s="1614"/>
      <c r="J32" s="1615"/>
      <c r="K32" s="59"/>
      <c r="L32" s="117"/>
    </row>
    <row r="33" spans="1:12" ht="23.25" customHeight="1">
      <c r="A33" s="1122" t="s">
        <v>163</v>
      </c>
      <c r="B33" s="1123"/>
      <c r="C33" s="1124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791369.83</v>
      </c>
      <c r="F34" s="344">
        <v>0</v>
      </c>
      <c r="G34" s="318">
        <f t="shared" ref="G34:G45" si="3">F34-E34</f>
        <v>-791369.83</v>
      </c>
      <c r="H34" s="57">
        <f>G34+'29'!H35</f>
        <v>-798389</v>
      </c>
      <c r="I34" s="56"/>
      <c r="J34" s="58">
        <f>H34/DAY(B2)</f>
        <v>-26612.966666666667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315643.65000000002</v>
      </c>
      <c r="F35" s="344">
        <v>694322.47</v>
      </c>
      <c r="G35" s="318">
        <f t="shared" si="3"/>
        <v>378678.81999999995</v>
      </c>
      <c r="H35" s="57">
        <f>G35+'29'!H36</f>
        <v>376886.47</v>
      </c>
      <c r="I35" s="56"/>
      <c r="J35" s="58">
        <f>H35/DAY(B2)</f>
        <v>12562.882333333333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51806.41</v>
      </c>
      <c r="F36" s="344">
        <v>392708.87</v>
      </c>
      <c r="G36" s="318">
        <f t="shared" si="3"/>
        <v>340902.45999999996</v>
      </c>
      <c r="H36" s="57">
        <f>G36+'29'!H37</f>
        <v>337911.87</v>
      </c>
      <c r="I36" s="56"/>
      <c r="J36" s="58">
        <f>H36/DAY(B2)</f>
        <v>11263.728999999999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68599.78</v>
      </c>
      <c r="F37" s="345">
        <v>675505.75</v>
      </c>
      <c r="G37" s="318">
        <f t="shared" si="3"/>
        <v>606905.97</v>
      </c>
      <c r="H37" s="57">
        <f>G37+'29'!H38</f>
        <v>603197.75</v>
      </c>
      <c r="I37" s="56"/>
      <c r="J37" s="58">
        <f>H37/DAY(B2)</f>
        <v>20106.591666666667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144784.9</v>
      </c>
      <c r="F38" s="344">
        <v>2497766.1</v>
      </c>
      <c r="G38" s="318">
        <f t="shared" si="3"/>
        <v>2352981.2000000002</v>
      </c>
      <c r="H38" s="57">
        <f>G38+'29'!H39</f>
        <v>2344944.1</v>
      </c>
      <c r="I38" s="56"/>
      <c r="J38" s="58">
        <f>H38/DAY(B2)</f>
        <v>78164.80333333333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0.11000000000000001</v>
      </c>
      <c r="I39" s="56"/>
      <c r="J39" s="58">
        <f>H39/DAY(B2)</f>
        <v>3.666666666666667E-3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122353.11</v>
      </c>
      <c r="F40" s="344">
        <v>1138016.5</v>
      </c>
      <c r="G40" s="318">
        <f t="shared" si="3"/>
        <v>1015663.39</v>
      </c>
      <c r="H40" s="57">
        <f>G40+'29'!H41</f>
        <v>1004875.5</v>
      </c>
      <c r="I40" s="56"/>
      <c r="J40" s="58">
        <f>H40/DAY(B2)</f>
        <v>33495.85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59128.163</v>
      </c>
      <c r="F41" s="344">
        <v>1251783.8</v>
      </c>
      <c r="G41" s="318">
        <f t="shared" si="3"/>
        <v>1192655.6370000001</v>
      </c>
      <c r="H41" s="57">
        <f>G41+'29'!H42</f>
        <v>1192655.6400000001</v>
      </c>
      <c r="I41" s="56"/>
      <c r="J41" s="58">
        <f>H41/DAY(B2)</f>
        <v>39755.188000000002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896545.19</v>
      </c>
      <c r="F42" s="344">
        <v>1479848.9</v>
      </c>
      <c r="G42" s="318">
        <f t="shared" si="3"/>
        <v>583303.71</v>
      </c>
      <c r="H42" s="57">
        <f>G42+'29'!H43</f>
        <v>577800.89999999991</v>
      </c>
      <c r="I42" s="56"/>
      <c r="J42" s="58">
        <f>H42/DAY(B2)</f>
        <v>19260.029999999995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375</v>
      </c>
      <c r="I45" s="56"/>
      <c r="J45" s="58">
        <f>H45/DAY(B2)</f>
        <v>12.5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5681140.1270000003</v>
      </c>
      <c r="H46" s="57">
        <f>G46+'29'!H47</f>
        <v>5642103.3399999999</v>
      </c>
      <c r="I46" s="56"/>
      <c r="J46" s="58">
        <f>H46/DAY(B2)</f>
        <v>188070.11133333333</v>
      </c>
      <c r="K46" s="59"/>
      <c r="L46" s="117"/>
    </row>
    <row r="47" spans="1:12" ht="23.25" customHeight="1">
      <c r="A47" s="1122" t="s">
        <v>177</v>
      </c>
      <c r="B47" s="1123"/>
      <c r="C47" s="1124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438899.51</v>
      </c>
      <c r="F49" s="344">
        <v>707853.75</v>
      </c>
      <c r="G49" s="318">
        <f t="shared" si="4"/>
        <v>268954.23999999999</v>
      </c>
      <c r="H49" s="57">
        <f>G49+'29'!H50</f>
        <v>265427.75</v>
      </c>
      <c r="I49" s="56"/>
      <c r="J49" s="58">
        <f>H49/DAY(B2)</f>
        <v>8847.5916666666672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405913.06999999995</v>
      </c>
      <c r="I50" s="56"/>
      <c r="J50" s="58">
        <f>H50/DAY(B2)</f>
        <v>13530.435666666664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702407</v>
      </c>
      <c r="I51" s="56"/>
      <c r="J51" s="58">
        <f>H51/DAY(B2)</f>
        <v>23413.566666666666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400838.79</v>
      </c>
      <c r="F52" s="344">
        <v>495803.59</v>
      </c>
      <c r="G52" s="318">
        <f t="shared" si="4"/>
        <v>94964.800000000047</v>
      </c>
      <c r="H52" s="57">
        <f>G52+'29'!H53</f>
        <v>90354.590000000026</v>
      </c>
      <c r="I52" s="56"/>
      <c r="J52" s="58">
        <f>H52/DAY(B2)</f>
        <v>3011.8196666666677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9025.66</v>
      </c>
      <c r="F53" s="344">
        <v>55471.01</v>
      </c>
      <c r="G53" s="318">
        <f t="shared" si="4"/>
        <v>46445.350000000006</v>
      </c>
      <c r="H53" s="57">
        <f>G53+'29'!H54</f>
        <v>49314.05</v>
      </c>
      <c r="I53" s="56"/>
      <c r="J53" s="58">
        <f>H53/DAY(B2)</f>
        <v>1643.8016666666667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212798.97</v>
      </c>
      <c r="F54" s="344">
        <v>741511.59</v>
      </c>
      <c r="G54" s="318">
        <f t="shared" si="4"/>
        <v>528712.62</v>
      </c>
      <c r="H54" s="57">
        <f>G54+'29'!H55</f>
        <v>520415.58999999997</v>
      </c>
      <c r="I54" s="56"/>
      <c r="J54" s="58">
        <f>H54/DAY(B2)</f>
        <v>17347.186333333331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588958.71</v>
      </c>
      <c r="F55" s="344">
        <v>334966</v>
      </c>
      <c r="G55" s="318">
        <f t="shared" si="4"/>
        <v>-253992.70999999996</v>
      </c>
      <c r="H55" s="57">
        <f>G55+'29'!H56</f>
        <v>-254001</v>
      </c>
      <c r="I55" s="56"/>
      <c r="J55" s="58">
        <f>H55/DAY(B2)</f>
        <v>-8466.7000000000007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41169.93</v>
      </c>
      <c r="F57" s="344">
        <v>2065.9499999999998</v>
      </c>
      <c r="G57" s="318">
        <f t="shared" si="4"/>
        <v>-39103.980000000003</v>
      </c>
      <c r="H57" s="57">
        <f>G57+'29'!H58</f>
        <v>-39677.050000000003</v>
      </c>
      <c r="I57" s="56"/>
      <c r="J57" s="58">
        <f>H57/DAY(B2)</f>
        <v>-1322.5683333333334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2283159.0300000003</v>
      </c>
      <c r="H58" s="57">
        <f>G58+'29'!H59</f>
        <v>2265415.71</v>
      </c>
      <c r="I58" s="56">
        <f>G7-G59</f>
        <v>-9415065.2570000011</v>
      </c>
      <c r="J58" s="58">
        <f>H58/DAY(B2)</f>
        <v>75513.857000000004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7964299.1570000006</v>
      </c>
      <c r="H59" s="57">
        <f>G59+'29'!H60</f>
        <v>7921688.0500000007</v>
      </c>
      <c r="I59" s="56">
        <f>G13-G59</f>
        <v>-4805741.2270000009</v>
      </c>
      <c r="J59" s="58">
        <f>H59/DAY(B2)</f>
        <v>264056.26833333337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2072.46</v>
      </c>
      <c r="F62" s="270">
        <v>113360.74</v>
      </c>
      <c r="G62" s="318">
        <f t="shared" si="5"/>
        <v>111288.28</v>
      </c>
      <c r="H62" s="57">
        <f>G62+'29'!H63</f>
        <v>111264.74</v>
      </c>
      <c r="I62" s="201"/>
      <c r="J62" s="58">
        <f>H62/DAY(B2)</f>
        <v>3708.8246666666669</v>
      </c>
      <c r="K62" s="59"/>
      <c r="L62" s="117"/>
    </row>
    <row r="63" spans="1:12" ht="23.25" customHeight="1">
      <c r="A63" s="1638" t="s">
        <v>99</v>
      </c>
      <c r="B63" s="1639"/>
      <c r="C63" s="1640"/>
      <c r="D63" s="268" t="s">
        <v>187</v>
      </c>
      <c r="E63" s="56">
        <f>'29'!F64</f>
        <v>138229.38</v>
      </c>
      <c r="F63" s="267">
        <v>274089</v>
      </c>
      <c r="G63" s="318">
        <f t="shared" si="5"/>
        <v>135859.62</v>
      </c>
      <c r="H63" s="57">
        <f>G63+'29'!H64</f>
        <v>134909</v>
      </c>
      <c r="I63" s="69"/>
      <c r="J63" s="58">
        <f>H63/DAY(B2)</f>
        <v>4496.9666666666662</v>
      </c>
      <c r="K63" s="59"/>
      <c r="L63" s="117"/>
    </row>
    <row r="64" spans="1:12" ht="23.25" customHeight="1">
      <c r="A64" s="1638" t="s">
        <v>100</v>
      </c>
      <c r="B64" s="1639"/>
      <c r="C64" s="1640"/>
      <c r="D64" s="268" t="s">
        <v>187</v>
      </c>
      <c r="E64" s="56">
        <f>'29'!F65</f>
        <v>143450.65</v>
      </c>
      <c r="F64" s="267">
        <v>218102.43</v>
      </c>
      <c r="G64" s="318">
        <f t="shared" si="5"/>
        <v>74651.78</v>
      </c>
      <c r="H64" s="57">
        <f>G64+'29'!H65</f>
        <v>73897.429999999993</v>
      </c>
      <c r="I64" s="80"/>
      <c r="J64" s="58">
        <f>H64/DAY(B2)</f>
        <v>2463.2476666666666</v>
      </c>
      <c r="K64" s="59"/>
      <c r="L64" s="117"/>
    </row>
    <row r="65" spans="1:12" ht="23.25" customHeight="1">
      <c r="A65" s="1638" t="s">
        <v>101</v>
      </c>
      <c r="B65" s="1639"/>
      <c r="C65" s="1640"/>
      <c r="D65" s="268" t="s">
        <v>187</v>
      </c>
      <c r="E65" s="56">
        <f>'29'!F66</f>
        <v>36389.43</v>
      </c>
      <c r="F65" s="267">
        <v>7977.92</v>
      </c>
      <c r="G65" s="318">
        <f t="shared" si="5"/>
        <v>-28411.510000000002</v>
      </c>
      <c r="H65" s="57">
        <f>G65+'29'!H66</f>
        <v>-29230.080000000002</v>
      </c>
      <c r="I65" s="69"/>
      <c r="J65" s="58">
        <f>H65/DAY(B2)</f>
        <v>-974.33600000000001</v>
      </c>
      <c r="K65" s="59"/>
      <c r="L65" s="117"/>
    </row>
    <row r="66" spans="1:12" ht="23.25" customHeight="1">
      <c r="A66" s="1638" t="s">
        <v>102</v>
      </c>
      <c r="B66" s="1639"/>
      <c r="C66" s="1640"/>
      <c r="D66" s="268" t="s">
        <v>187</v>
      </c>
      <c r="E66" s="56">
        <f>'29'!F67</f>
        <v>227772.59</v>
      </c>
      <c r="F66" s="267">
        <v>350190.03</v>
      </c>
      <c r="G66" s="318">
        <f t="shared" si="5"/>
        <v>122417.44000000003</v>
      </c>
      <c r="H66" s="57">
        <f>G66+'29'!H67</f>
        <v>121090.03000000003</v>
      </c>
      <c r="I66" s="80"/>
      <c r="J66" s="58">
        <f>H66/DAY(B2)</f>
        <v>4036.3343333333341</v>
      </c>
      <c r="K66" s="75"/>
      <c r="L66" s="117"/>
    </row>
    <row r="67" spans="1:12" ht="23.25" customHeight="1">
      <c r="A67" s="1638" t="s">
        <v>103</v>
      </c>
      <c r="B67" s="1639"/>
      <c r="C67" s="1640"/>
      <c r="D67" s="268" t="s">
        <v>187</v>
      </c>
      <c r="E67" s="56">
        <f>'29'!F68</f>
        <v>82393.31</v>
      </c>
      <c r="F67" s="267">
        <v>0</v>
      </c>
      <c r="G67" s="318">
        <f t="shared" si="5"/>
        <v>-82393.31</v>
      </c>
      <c r="H67" s="57">
        <f>G67+'29'!H68</f>
        <v>-73869.929999999993</v>
      </c>
      <c r="I67" s="105"/>
      <c r="J67" s="58">
        <f>H67/DAY(B2)</f>
        <v>-2462.3309999999997</v>
      </c>
      <c r="K67" s="83"/>
      <c r="L67" s="117"/>
    </row>
    <row r="68" spans="1:12" ht="23.25" customHeight="1">
      <c r="A68" s="1638" t="s">
        <v>104</v>
      </c>
      <c r="B68" s="1639"/>
      <c r="C68" s="1640"/>
      <c r="D68" s="268" t="s">
        <v>187</v>
      </c>
      <c r="E68" s="56">
        <f>'29'!F69</f>
        <v>73704</v>
      </c>
      <c r="F68" s="267">
        <v>156094.09</v>
      </c>
      <c r="G68" s="318">
        <f t="shared" si="5"/>
        <v>82390.09</v>
      </c>
      <c r="H68" s="57">
        <f>G68+'29'!H69</f>
        <v>81765.09</v>
      </c>
      <c r="I68" s="105"/>
      <c r="J68" s="58">
        <f>H68/DAY(B2)</f>
        <v>2725.5029999999997</v>
      </c>
      <c r="K68" s="85"/>
      <c r="L68" s="117"/>
    </row>
    <row r="69" spans="1:12" ht="23.25" customHeight="1">
      <c r="A69" s="1641" t="s">
        <v>189</v>
      </c>
      <c r="B69" s="1642"/>
      <c r="C69" s="164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32" t="s">
        <v>190</v>
      </c>
      <c r="B70" s="1633"/>
      <c r="C70" s="1633"/>
      <c r="D70" s="1633"/>
      <c r="E70" s="1633"/>
      <c r="F70" s="1633"/>
      <c r="G70" s="1633"/>
      <c r="H70" s="1633"/>
      <c r="I70" s="1633"/>
      <c r="J70" s="1634"/>
      <c r="K70" s="83"/>
      <c r="L70" s="117"/>
    </row>
    <row r="71" spans="1:12" ht="23.25" customHeight="1">
      <c r="A71" s="1638" t="s">
        <v>191</v>
      </c>
      <c r="B71" s="1639"/>
      <c r="C71" s="1640"/>
      <c r="D71" s="268" t="s">
        <v>187</v>
      </c>
      <c r="E71" s="415">
        <f>'29'!F72</f>
        <v>852999</v>
      </c>
      <c r="F71" s="271">
        <v>788748</v>
      </c>
      <c r="G71" s="318">
        <f t="shared" ref="G71:G83" si="6">F71-E71</f>
        <v>-64251</v>
      </c>
      <c r="H71" s="57">
        <f>G71+'29'!H72</f>
        <v>-64521</v>
      </c>
      <c r="I71" s="69"/>
      <c r="J71" s="58">
        <f>H71/DAY(B2)</f>
        <v>-2150.6999999999998</v>
      </c>
      <c r="K71" s="85"/>
      <c r="L71" s="117"/>
    </row>
    <row r="72" spans="1:12" ht="23.25" customHeight="1">
      <c r="A72" s="1638" t="s">
        <v>192</v>
      </c>
      <c r="B72" s="1639"/>
      <c r="C72" s="1640"/>
      <c r="D72" s="268" t="s">
        <v>187</v>
      </c>
      <c r="E72" s="56">
        <f>'29'!F73</f>
        <v>885797</v>
      </c>
      <c r="F72" s="271">
        <v>883770</v>
      </c>
      <c r="G72" s="318">
        <f t="shared" si="6"/>
        <v>-2027</v>
      </c>
      <c r="H72" s="57">
        <f>G72+'29'!H73</f>
        <v>-3475</v>
      </c>
      <c r="I72" s="69"/>
      <c r="J72" s="58">
        <f>H72/DAY(B2)</f>
        <v>-115.83333333333333</v>
      </c>
      <c r="K72" s="83"/>
      <c r="L72" s="117"/>
    </row>
    <row r="73" spans="1:12" ht="23.25" customHeight="1">
      <c r="A73" s="1638" t="s">
        <v>193</v>
      </c>
      <c r="B73" s="1639"/>
      <c r="C73" s="1640"/>
      <c r="D73" s="268" t="s">
        <v>187</v>
      </c>
      <c r="E73" s="56">
        <f>'29'!F74</f>
        <v>1326.37</v>
      </c>
      <c r="F73" s="271">
        <v>783142</v>
      </c>
      <c r="G73" s="318">
        <f t="shared" si="6"/>
        <v>781815.63</v>
      </c>
      <c r="H73" s="57">
        <f>G73+'29'!H74</f>
        <v>781772</v>
      </c>
      <c r="I73" s="69"/>
      <c r="J73" s="58">
        <f>H73/DAY(B2)</f>
        <v>26059.066666666666</v>
      </c>
      <c r="K73" s="85"/>
      <c r="L73" s="117"/>
    </row>
    <row r="74" spans="1:12" ht="23.25" customHeight="1">
      <c r="A74" s="1644" t="s">
        <v>194</v>
      </c>
      <c r="B74" s="1645"/>
      <c r="C74" s="1646"/>
      <c r="D74" s="268" t="s">
        <v>187</v>
      </c>
      <c r="E74" s="56">
        <f>'29'!F75</f>
        <v>8374.31</v>
      </c>
      <c r="F74" s="271">
        <v>641404</v>
      </c>
      <c r="G74" s="318">
        <f t="shared" si="6"/>
        <v>633029.68999999994</v>
      </c>
      <c r="H74" s="57">
        <f>G74+'29'!H75</f>
        <v>632724</v>
      </c>
      <c r="I74" s="69"/>
      <c r="J74" s="58">
        <f>H74/DAY(B2)</f>
        <v>21090.799999999999</v>
      </c>
      <c r="K74" s="83"/>
      <c r="L74" s="117"/>
    </row>
    <row r="75" spans="1:12" ht="23.25" customHeight="1">
      <c r="A75" s="1644" t="s">
        <v>195</v>
      </c>
      <c r="B75" s="1645"/>
      <c r="C75" s="1646"/>
      <c r="D75" s="268" t="s">
        <v>187</v>
      </c>
      <c r="E75" s="56">
        <f>'29'!F76</f>
        <v>3858.26</v>
      </c>
      <c r="F75" s="271">
        <v>615603</v>
      </c>
      <c r="G75" s="318">
        <f t="shared" si="6"/>
        <v>611744.74</v>
      </c>
      <c r="H75" s="57">
        <f>G75+'29'!H76</f>
        <v>609967</v>
      </c>
      <c r="I75" s="112"/>
      <c r="J75" s="58">
        <f>H75/DAY(B2)</f>
        <v>20332.233333333334</v>
      </c>
      <c r="K75" s="83"/>
      <c r="L75" s="117"/>
    </row>
    <row r="76" spans="1:12" ht="23.25" customHeight="1">
      <c r="A76" s="1638" t="s">
        <v>196</v>
      </c>
      <c r="B76" s="1639"/>
      <c r="C76" s="1640"/>
      <c r="D76" s="268" t="s">
        <v>187</v>
      </c>
      <c r="E76" s="56">
        <f>'29'!F77</f>
        <v>700112</v>
      </c>
      <c r="F76" s="271">
        <v>669905</v>
      </c>
      <c r="G76" s="318">
        <f t="shared" si="6"/>
        <v>-30207</v>
      </c>
      <c r="H76" s="57">
        <f>G76+'29'!H77</f>
        <v>-30309</v>
      </c>
      <c r="I76" s="112"/>
      <c r="J76" s="58">
        <f>H76/DAY(B2)</f>
        <v>-1010.3</v>
      </c>
      <c r="K76" s="83"/>
      <c r="L76" s="117"/>
    </row>
    <row r="77" spans="1:12" ht="23.25" customHeight="1">
      <c r="A77" s="1130" t="s">
        <v>197</v>
      </c>
      <c r="B77" s="1131"/>
      <c r="C77" s="1132"/>
      <c r="D77" s="268" t="s">
        <v>187</v>
      </c>
      <c r="E77" s="56">
        <f>'29'!F78</f>
        <v>664703</v>
      </c>
      <c r="F77" s="271">
        <v>487314</v>
      </c>
      <c r="G77" s="318">
        <f t="shared" si="6"/>
        <v>-177389</v>
      </c>
      <c r="H77" s="57">
        <f>G77+'29'!H78</f>
        <v>-178066</v>
      </c>
      <c r="I77" s="112"/>
      <c r="J77" s="58">
        <f>H77/DAY(B2)</f>
        <v>-5935.5333333333338</v>
      </c>
      <c r="K77" s="83"/>
      <c r="L77" s="117"/>
    </row>
    <row r="78" spans="1:12" ht="23.25" customHeight="1">
      <c r="A78" s="1647" t="s">
        <v>92</v>
      </c>
      <c r="B78" s="1648"/>
      <c r="C78" s="1649"/>
      <c r="D78" s="356" t="s">
        <v>187</v>
      </c>
      <c r="E78" s="56">
        <f>'29'!F79</f>
        <v>820833</v>
      </c>
      <c r="F78" s="271">
        <v>677157</v>
      </c>
      <c r="G78" s="318">
        <f t="shared" si="6"/>
        <v>-143676</v>
      </c>
      <c r="H78" s="57">
        <f>G78+'29'!H79</f>
        <v>-147959</v>
      </c>
      <c r="I78" s="112"/>
      <c r="J78" s="58">
        <f>H78/DAY(B2)</f>
        <v>-4931.9666666666662</v>
      </c>
      <c r="K78" s="83"/>
      <c r="L78" s="117"/>
    </row>
    <row r="79" spans="1:12" ht="23.25" customHeight="1">
      <c r="A79" s="1647" t="s">
        <v>198</v>
      </c>
      <c r="B79" s="1648"/>
      <c r="C79" s="1649"/>
      <c r="D79" s="356" t="s">
        <v>187</v>
      </c>
      <c r="E79" s="56">
        <f>'29'!F80</f>
        <v>504970.76</v>
      </c>
      <c r="F79" s="271">
        <v>341072.6</v>
      </c>
      <c r="G79" s="318">
        <f t="shared" si="6"/>
        <v>-163898.16000000003</v>
      </c>
      <c r="H79" s="57">
        <f>G79+'29'!H80</f>
        <v>-161645.40000000002</v>
      </c>
      <c r="I79" s="112"/>
      <c r="J79" s="58">
        <f>H79/DAY(B2)</f>
        <v>-5388.1800000000012</v>
      </c>
      <c r="K79" s="83"/>
      <c r="L79" s="117"/>
    </row>
    <row r="80" spans="1:12" ht="23.25" customHeight="1">
      <c r="A80" s="1647" t="s">
        <v>199</v>
      </c>
      <c r="B80" s="1648"/>
      <c r="C80" s="1649"/>
      <c r="D80" s="356" t="s">
        <v>187</v>
      </c>
      <c r="E80" s="56">
        <f>'29'!F81</f>
        <v>629554.43999999994</v>
      </c>
      <c r="F80" s="271">
        <v>407588.2</v>
      </c>
      <c r="G80" s="318">
        <f t="shared" si="6"/>
        <v>-221966.23999999993</v>
      </c>
      <c r="H80" s="57">
        <f>G80+'29'!H81</f>
        <v>-222596.8</v>
      </c>
      <c r="I80" s="112"/>
      <c r="J80" s="58">
        <f>H80/DAY(B2)</f>
        <v>-7419.8933333333325</v>
      </c>
      <c r="K80" s="83"/>
      <c r="L80" s="117"/>
    </row>
    <row r="81" spans="1:12" ht="23.25" customHeight="1">
      <c r="A81" s="1650" t="s">
        <v>93</v>
      </c>
      <c r="B81" s="1648"/>
      <c r="C81" s="1649"/>
      <c r="D81" s="357" t="s">
        <v>132</v>
      </c>
      <c r="E81" s="56">
        <f>'29'!F82</f>
        <v>106846.94</v>
      </c>
      <c r="F81" s="272">
        <v>72586.12</v>
      </c>
      <c r="G81" s="318">
        <f t="shared" si="6"/>
        <v>-34260.820000000007</v>
      </c>
      <c r="H81" s="57">
        <f>G81+'29'!H82</f>
        <v>-34308.880000000005</v>
      </c>
      <c r="I81" s="206"/>
      <c r="J81" s="58">
        <f>H81/DAY(B2)</f>
        <v>-1143.6293333333335</v>
      </c>
      <c r="K81" s="83"/>
      <c r="L81" s="117"/>
    </row>
    <row r="82" spans="1:12" ht="23.25" customHeight="1">
      <c r="A82" s="1650" t="s">
        <v>200</v>
      </c>
      <c r="B82" s="1648"/>
      <c r="C82" s="1649"/>
      <c r="D82" s="273" t="s">
        <v>132</v>
      </c>
      <c r="E82" s="56">
        <f>'29'!F83</f>
        <v>6498</v>
      </c>
      <c r="F82" s="269">
        <v>725847</v>
      </c>
      <c r="G82" s="318">
        <f t="shared" si="6"/>
        <v>719349</v>
      </c>
      <c r="H82" s="57">
        <f>G82+'29'!H83</f>
        <v>718790</v>
      </c>
      <c r="I82" s="68"/>
      <c r="J82" s="58">
        <f>H82/DAY(B2)</f>
        <v>23959.666666666668</v>
      </c>
      <c r="K82" s="75"/>
      <c r="L82" s="117"/>
    </row>
    <row r="83" spans="1:12" ht="23.25" customHeight="1">
      <c r="A83" s="1133" t="s">
        <v>201</v>
      </c>
      <c r="B83" s="1133"/>
      <c r="C83" s="1134"/>
      <c r="D83" s="358" t="s">
        <v>132</v>
      </c>
      <c r="E83" s="56">
        <f>'29'!F84</f>
        <v>452909</v>
      </c>
      <c r="F83" s="268">
        <v>960770</v>
      </c>
      <c r="G83" s="318">
        <f t="shared" si="6"/>
        <v>507861</v>
      </c>
      <c r="H83" s="57">
        <f>G83+'29'!H84</f>
        <v>506086</v>
      </c>
      <c r="I83" s="68"/>
      <c r="J83" s="58">
        <f>H83/DAY(B2)</f>
        <v>16869.533333333333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2416124.84</v>
      </c>
      <c r="H84" s="57">
        <f>G84+'29'!H85</f>
        <v>2410513.92</v>
      </c>
      <c r="I84" s="68"/>
      <c r="J84" s="58">
        <f>H84/DAY(B2)</f>
        <v>80350.463999999993</v>
      </c>
      <c r="K84" s="88"/>
      <c r="L84" s="44"/>
    </row>
    <row r="85" spans="1:12" s="38" customFormat="1" ht="23.25" customHeight="1">
      <c r="A85" s="1125" t="s">
        <v>205</v>
      </c>
      <c r="B85" s="398"/>
      <c r="C85" s="1126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21" t="s">
        <v>206</v>
      </c>
      <c r="B86" s="1622"/>
      <c r="C86" s="1623"/>
      <c r="D86" s="268" t="s">
        <v>144</v>
      </c>
      <c r="E86" s="415">
        <f>'29'!F92</f>
        <v>242446</v>
      </c>
      <c r="F86" s="267">
        <v>175511</v>
      </c>
      <c r="G86" s="318">
        <f t="shared" ref="G86:G87" si="7">F86-E86</f>
        <v>-66935</v>
      </c>
      <c r="H86" s="57">
        <f>G86+'29'!H92</f>
        <v>-67135</v>
      </c>
      <c r="I86" s="69"/>
      <c r="J86" s="58">
        <f>H86/DAY(B2)</f>
        <v>-2237.8333333333335</v>
      </c>
      <c r="K86" s="75"/>
      <c r="L86" s="117"/>
    </row>
    <row r="87" spans="1:12" ht="23.25" customHeight="1">
      <c r="A87" s="1621" t="s">
        <v>207</v>
      </c>
      <c r="B87" s="1622"/>
      <c r="C87" s="1623"/>
      <c r="D87" s="268" t="s">
        <v>144</v>
      </c>
      <c r="E87" s="56">
        <f>'29'!F93</f>
        <v>179373</v>
      </c>
      <c r="F87" s="267">
        <v>60336</v>
      </c>
      <c r="G87" s="318">
        <f t="shared" si="7"/>
        <v>-119037</v>
      </c>
      <c r="H87" s="57">
        <f>G87+'29'!H93</f>
        <v>-119343</v>
      </c>
      <c r="I87" s="69"/>
      <c r="J87" s="58">
        <f>H87/DAY(B2)</f>
        <v>-3978.1</v>
      </c>
      <c r="K87" s="88"/>
      <c r="L87" s="117"/>
    </row>
    <row r="88" spans="1:12" ht="23.25" customHeight="1">
      <c r="A88" s="1651" t="s">
        <v>208</v>
      </c>
      <c r="B88" s="1652"/>
      <c r="C88" s="1653"/>
      <c r="D88" s="268"/>
      <c r="E88" s="56">
        <f>'29'!F94</f>
        <v>0</v>
      </c>
      <c r="F88" s="267"/>
      <c r="G88" s="318">
        <f>G86+G87</f>
        <v>-185972</v>
      </c>
      <c r="H88" s="57">
        <f>G88+'29'!H94</f>
        <v>-186697</v>
      </c>
      <c r="I88" s="69"/>
      <c r="J88" s="58">
        <f>H88/DAY(B2)</f>
        <v>-6223.2333333333336</v>
      </c>
      <c r="K88" s="88"/>
      <c r="L88" s="117"/>
    </row>
    <row r="89" spans="1:12" ht="23.25" customHeight="1">
      <c r="A89" s="1621" t="s">
        <v>209</v>
      </c>
      <c r="B89" s="1622"/>
      <c r="C89" s="1623"/>
      <c r="D89" s="268" t="s">
        <v>144</v>
      </c>
      <c r="E89" s="56">
        <f>'29'!F95</f>
        <v>410614</v>
      </c>
      <c r="F89" s="267">
        <v>351186</v>
      </c>
      <c r="G89" s="318">
        <f t="shared" ref="G89:G94" si="8">F89-E89</f>
        <v>-59428</v>
      </c>
      <c r="H89" s="57">
        <f>G89+'29'!H95</f>
        <v>-59599</v>
      </c>
      <c r="I89" s="69"/>
      <c r="J89" s="58">
        <f>H89/DAY(B2)</f>
        <v>-1986.6333333333334</v>
      </c>
      <c r="K89" s="88"/>
      <c r="L89" s="117"/>
    </row>
    <row r="90" spans="1:12" ht="23.25" customHeight="1">
      <c r="A90" s="1127" t="s">
        <v>210</v>
      </c>
      <c r="B90" s="1128"/>
      <c r="C90" s="1129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-20</v>
      </c>
      <c r="I90" s="69"/>
      <c r="J90" s="58">
        <f>H90/DAY(B2)</f>
        <v>-0.66666666666666663</v>
      </c>
      <c r="K90" s="43"/>
      <c r="L90" s="117"/>
    </row>
    <row r="91" spans="1:12" ht="23.25" customHeight="1">
      <c r="A91" s="1127" t="s">
        <v>211</v>
      </c>
      <c r="B91" s="1128"/>
      <c r="C91" s="1129"/>
      <c r="D91" s="268" t="s">
        <v>144</v>
      </c>
      <c r="E91" s="56">
        <f>'29'!F97</f>
        <v>96886</v>
      </c>
      <c r="F91" s="267">
        <v>82333</v>
      </c>
      <c r="G91" s="318">
        <f t="shared" si="8"/>
        <v>-14553</v>
      </c>
      <c r="H91" s="57">
        <f>G91+'29'!H97</f>
        <v>-14595</v>
      </c>
      <c r="I91" s="69"/>
      <c r="J91" s="58">
        <f>H91/DAY(B2)</f>
        <v>-486.5</v>
      </c>
      <c r="K91" s="51"/>
      <c r="L91" s="117"/>
    </row>
    <row r="92" spans="1:12" ht="23.25" customHeight="1">
      <c r="A92" s="1127" t="s">
        <v>212</v>
      </c>
      <c r="B92" s="1128"/>
      <c r="C92" s="1129"/>
      <c r="D92" s="268" t="s">
        <v>144</v>
      </c>
      <c r="E92" s="56">
        <f>'29'!F98</f>
        <v>148864</v>
      </c>
      <c r="F92" s="267">
        <v>115948</v>
      </c>
      <c r="G92" s="318">
        <f t="shared" si="8"/>
        <v>-32916</v>
      </c>
      <c r="H92" s="57">
        <f>G92+'29'!H98</f>
        <v>-32961</v>
      </c>
      <c r="I92" s="69"/>
      <c r="J92" s="58">
        <f>H92/DAY(B2)</f>
        <v>-1098.7</v>
      </c>
      <c r="K92" s="88"/>
      <c r="L92" s="117"/>
    </row>
    <row r="93" spans="1:12" ht="23.25" customHeight="1">
      <c r="A93" s="1127" t="s">
        <v>213</v>
      </c>
      <c r="B93" s="1128"/>
      <c r="C93" s="1129"/>
      <c r="D93" s="268" t="s">
        <v>144</v>
      </c>
      <c r="E93" s="56">
        <f>'29'!F99</f>
        <v>6819</v>
      </c>
      <c r="F93" s="267">
        <v>2658</v>
      </c>
      <c r="G93" s="318">
        <f t="shared" si="8"/>
        <v>-4161</v>
      </c>
      <c r="H93" s="57">
        <f>G93+'29'!H99</f>
        <v>-4197</v>
      </c>
      <c r="I93" s="69"/>
      <c r="J93" s="58">
        <f>H93/DAY(B2)</f>
        <v>-139.9</v>
      </c>
      <c r="K93" s="88"/>
      <c r="L93" s="117"/>
    </row>
    <row r="94" spans="1:12" ht="23.25" customHeight="1">
      <c r="A94" s="1127" t="s">
        <v>214</v>
      </c>
      <c r="B94" s="1128"/>
      <c r="C94" s="1129"/>
      <c r="D94" s="268" t="s">
        <v>144</v>
      </c>
      <c r="E94" s="56">
        <f>'29'!F100</f>
        <v>4928</v>
      </c>
      <c r="F94" s="267">
        <v>2507</v>
      </c>
      <c r="G94" s="318">
        <f t="shared" si="8"/>
        <v>-2421</v>
      </c>
      <c r="H94" s="57">
        <f>G94+'29'!H100</f>
        <v>-2436</v>
      </c>
      <c r="I94" s="69"/>
      <c r="J94" s="58">
        <f>H94/DAY(B2)</f>
        <v>-81.2</v>
      </c>
      <c r="K94" s="88"/>
      <c r="L94" s="117"/>
    </row>
    <row r="95" spans="1:12" ht="23.25" customHeight="1">
      <c r="A95" s="1651" t="s">
        <v>216</v>
      </c>
      <c r="B95" s="1652"/>
      <c r="C95" s="1653"/>
      <c r="D95" s="274"/>
      <c r="E95" s="416"/>
      <c r="F95" s="274"/>
      <c r="G95" s="411">
        <f>SUM(G89:G94)</f>
        <v>-113467</v>
      </c>
      <c r="H95" s="57">
        <f>G95+'29'!H101</f>
        <v>-113808</v>
      </c>
      <c r="I95" s="140"/>
      <c r="J95" s="58">
        <f>H95/DAY(B2)</f>
        <v>-3793.6</v>
      </c>
      <c r="K95" s="88"/>
      <c r="L95" s="117"/>
    </row>
    <row r="96" spans="1:12" ht="23.25" customHeight="1">
      <c r="A96" s="1654" t="s">
        <v>230</v>
      </c>
      <c r="B96" s="1655"/>
      <c r="C96" s="165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818327.4</v>
      </c>
      <c r="F97" s="275">
        <v>650192.71</v>
      </c>
      <c r="G97" s="318">
        <f t="shared" ref="G97:G101" si="9">F97-E97</f>
        <v>-168134.69000000006</v>
      </c>
      <c r="H97" s="57">
        <f>G97+'29'!H123</f>
        <v>-168617.29000000004</v>
      </c>
      <c r="I97" s="87"/>
      <c r="J97" s="58">
        <f>H97/DAY(B2)</f>
        <v>-5620.5763333333343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73583.399999999994</v>
      </c>
      <c r="F98" s="275">
        <v>51370</v>
      </c>
      <c r="G98" s="318">
        <f t="shared" si="9"/>
        <v>-22213.399999999994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38" t="s">
        <v>233</v>
      </c>
      <c r="B99" s="1639"/>
      <c r="C99" s="1640"/>
      <c r="D99" s="268" t="s">
        <v>141</v>
      </c>
      <c r="E99" s="56">
        <f>'29'!F125</f>
        <v>141932.03</v>
      </c>
      <c r="F99" s="264">
        <v>83294.490000000005</v>
      </c>
      <c r="G99" s="318">
        <f t="shared" si="9"/>
        <v>-58637.539999999994</v>
      </c>
      <c r="H99" s="57">
        <f>G99+'29'!H125</f>
        <v>-58841.509999999995</v>
      </c>
      <c r="I99" s="363"/>
      <c r="J99" s="58">
        <f>H99/DAY(B2)</f>
        <v>-1961.3836666666664</v>
      </c>
      <c r="K99" s="88"/>
      <c r="L99" s="117"/>
    </row>
    <row r="100" spans="1:12" ht="23.25" customHeight="1">
      <c r="A100" s="385" t="s">
        <v>234</v>
      </c>
      <c r="B100" s="1128"/>
      <c r="C100" s="1129"/>
      <c r="D100" s="268" t="s">
        <v>141</v>
      </c>
      <c r="E100" s="56">
        <f>'29'!F126</f>
        <v>59887.199999999997</v>
      </c>
      <c r="F100" s="264">
        <v>39666</v>
      </c>
      <c r="G100" s="318">
        <f t="shared" si="9"/>
        <v>-20221.199999999997</v>
      </c>
      <c r="H100" s="57">
        <f>G100+'29'!H126</f>
        <v>8347.2999999999993</v>
      </c>
      <c r="I100" s="363"/>
      <c r="J100" s="58">
        <f>H100/DAY(B2)</f>
        <v>278.24333333333328</v>
      </c>
      <c r="K100" s="88"/>
      <c r="L100" s="117"/>
    </row>
    <row r="101" spans="1:12" ht="23.25" customHeight="1">
      <c r="A101" s="385" t="s">
        <v>235</v>
      </c>
      <c r="B101" s="1128"/>
      <c r="C101" s="1129"/>
      <c r="D101" s="268" t="s">
        <v>141</v>
      </c>
      <c r="E101" s="56">
        <f>'29'!F127</f>
        <v>8953.9</v>
      </c>
      <c r="F101" s="264">
        <v>6221.3</v>
      </c>
      <c r="G101" s="318">
        <f t="shared" si="9"/>
        <v>-2732.5999999999995</v>
      </c>
      <c r="H101" s="57">
        <f>G101+'29'!H127</f>
        <v>-2740.7</v>
      </c>
      <c r="I101" s="319"/>
      <c r="J101" s="308">
        <f>H101/DAY(B2)</f>
        <v>-91.356666666666655</v>
      </c>
      <c r="K101" s="88"/>
      <c r="L101" s="117"/>
    </row>
    <row r="102" spans="1:12" ht="23.25" customHeight="1">
      <c r="A102" s="1657" t="s">
        <v>250</v>
      </c>
      <c r="B102" s="165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21" t="s">
        <v>251</v>
      </c>
      <c r="B103" s="1622"/>
      <c r="C103" s="1623"/>
      <c r="D103" s="268" t="s">
        <v>132</v>
      </c>
      <c r="E103" s="268"/>
      <c r="F103" s="268"/>
      <c r="G103" s="277">
        <f>G34+G42+G48+G56</f>
        <v>317195.45999999996</v>
      </c>
      <c r="H103" s="57">
        <f>G103+'29'!H142</f>
        <v>302357.96999999986</v>
      </c>
      <c r="I103" s="69"/>
      <c r="J103" s="58">
        <f>H103/DAY(B2)</f>
        <v>10078.598999999995</v>
      </c>
      <c r="K103" s="88"/>
      <c r="L103" s="117"/>
    </row>
    <row r="104" spans="1:12" ht="23.25" customHeight="1">
      <c r="A104" s="1621" t="s">
        <v>252</v>
      </c>
      <c r="B104" s="1622"/>
      <c r="C104" s="1623"/>
      <c r="D104" s="268" t="s">
        <v>24</v>
      </c>
      <c r="E104" s="269"/>
      <c r="F104" s="269"/>
      <c r="G104" s="280">
        <f>G103/G7</f>
        <v>-0.21863997235667412</v>
      </c>
      <c r="H104" s="57">
        <f>G104+'29'!H143</f>
        <v>7.5385584400932579</v>
      </c>
      <c r="I104" s="84"/>
      <c r="J104" s="58">
        <f>H104/DAY(B2)</f>
        <v>0.25128528133644196</v>
      </c>
      <c r="K104" s="111"/>
      <c r="L104" s="117"/>
    </row>
    <row r="105" spans="1:12" ht="23.25" customHeight="1">
      <c r="A105" s="1621" t="s">
        <v>253</v>
      </c>
      <c r="B105" s="1622"/>
      <c r="C105" s="1623"/>
      <c r="D105" s="268" t="s">
        <v>132</v>
      </c>
      <c r="E105" s="265"/>
      <c r="F105" s="265"/>
      <c r="G105" s="277">
        <f>G40+G41+G54+G55</f>
        <v>2483038.9370000004</v>
      </c>
      <c r="H105" s="57">
        <f>G105+'29'!H144</f>
        <v>2468944.7300000004</v>
      </c>
      <c r="I105" s="69"/>
      <c r="J105" s="58">
        <f>H105/DAY(B2)</f>
        <v>82298.157666666681</v>
      </c>
      <c r="K105" s="111"/>
      <c r="L105" s="117"/>
    </row>
    <row r="106" spans="1:12" ht="23.25" customHeight="1">
      <c r="A106" s="1621" t="s">
        <v>254</v>
      </c>
      <c r="B106" s="1622"/>
      <c r="C106" s="1623"/>
      <c r="D106" s="268" t="s">
        <v>24</v>
      </c>
      <c r="E106" s="265"/>
      <c r="F106" s="265"/>
      <c r="G106" s="280">
        <f>G105/G7</f>
        <v>-1.7115363648213178</v>
      </c>
      <c r="H106" s="57">
        <f>G106+'29'!H145</f>
        <v>5.8416123901418651</v>
      </c>
      <c r="I106" s="84"/>
      <c r="J106" s="58">
        <f>H106/DAY(B2)</f>
        <v>0.19472041300472884</v>
      </c>
      <c r="K106" s="111"/>
      <c r="L106" s="117"/>
    </row>
    <row r="107" spans="1:12" ht="23.25" customHeight="1">
      <c r="A107" s="1621" t="s">
        <v>255</v>
      </c>
      <c r="B107" s="1622"/>
      <c r="C107" s="1623"/>
      <c r="D107" s="268" t="s">
        <v>132</v>
      </c>
      <c r="E107" s="265"/>
      <c r="F107" s="265"/>
      <c r="G107" s="277">
        <f>G38+G52</f>
        <v>2447946</v>
      </c>
      <c r="H107" s="57">
        <f>G107+'29'!H146</f>
        <v>2439483.69</v>
      </c>
      <c r="I107" s="86"/>
      <c r="J107" s="58">
        <f>H107/DAY(B2)</f>
        <v>81316.122999999992</v>
      </c>
      <c r="K107" s="111"/>
      <c r="L107" s="117"/>
    </row>
    <row r="108" spans="1:12" ht="23.25" customHeight="1">
      <c r="A108" s="1621" t="s">
        <v>256</v>
      </c>
      <c r="B108" s="1622"/>
      <c r="C108" s="1623"/>
      <c r="D108" s="268" t="s">
        <v>24</v>
      </c>
      <c r="E108" s="265"/>
      <c r="F108" s="265"/>
      <c r="G108" s="280">
        <f>G107/G7</f>
        <v>-1.6873471195666896</v>
      </c>
      <c r="H108" s="57">
        <f>G108+'29'!H147</f>
        <v>3.9758727310269952</v>
      </c>
      <c r="I108" s="86"/>
      <c r="J108" s="58">
        <f>H108/DAY(B2)</f>
        <v>0.13252909103423319</v>
      </c>
    </row>
    <row r="109" spans="1:12" ht="23.25" customHeight="1">
      <c r="A109" s="1621" t="s">
        <v>257</v>
      </c>
      <c r="B109" s="1622"/>
      <c r="C109" s="1623"/>
      <c r="D109" s="268" t="s">
        <v>183</v>
      </c>
      <c r="E109" s="265"/>
      <c r="F109" s="265"/>
      <c r="G109" s="277">
        <f>G37+G51</f>
        <v>1311360.8999999999</v>
      </c>
      <c r="H109" s="57">
        <f>G109+'29'!H148</f>
        <v>1307650.7499999998</v>
      </c>
      <c r="I109" s="69"/>
      <c r="J109" s="58">
        <f>H109/DAY(B2)</f>
        <v>43588.358333333323</v>
      </c>
      <c r="K109" s="153"/>
    </row>
    <row r="110" spans="1:12" ht="23.25" customHeight="1">
      <c r="A110" s="1621" t="s">
        <v>258</v>
      </c>
      <c r="B110" s="1622"/>
      <c r="C110" s="1623"/>
      <c r="D110" s="268" t="s">
        <v>24</v>
      </c>
      <c r="E110" s="265"/>
      <c r="F110" s="265"/>
      <c r="G110" s="280">
        <f>G109/G7</f>
        <v>-0.90390925180840653</v>
      </c>
      <c r="H110" s="57">
        <f>G110+'29'!H149</f>
        <v>1.571661147776199</v>
      </c>
      <c r="I110" s="86"/>
      <c r="J110" s="58">
        <f>H110/DAY(B2)</f>
        <v>5.2388704925873303E-2</v>
      </c>
    </row>
    <row r="111" spans="1:12" ht="23.25" customHeight="1">
      <c r="A111" s="1621" t="s">
        <v>259</v>
      </c>
      <c r="B111" s="1622"/>
      <c r="C111" s="1623"/>
      <c r="D111" s="268" t="s">
        <v>183</v>
      </c>
      <c r="E111" s="265"/>
      <c r="F111" s="265"/>
      <c r="G111" s="277">
        <f>G35+G49</f>
        <v>647633.05999999994</v>
      </c>
      <c r="H111" s="57">
        <f>G111+'29'!H150</f>
        <v>643508.22</v>
      </c>
      <c r="I111" s="86"/>
      <c r="J111" s="58">
        <f>H111/DAY(B2)</f>
        <v>21450.273999999998</v>
      </c>
    </row>
    <row r="112" spans="1:12" ht="23.25" customHeight="1">
      <c r="A112" s="1621" t="s">
        <v>260</v>
      </c>
      <c r="B112" s="1622"/>
      <c r="C112" s="1623"/>
      <c r="D112" s="268" t="s">
        <v>24</v>
      </c>
      <c r="E112" s="265"/>
      <c r="F112" s="265"/>
      <c r="G112" s="280">
        <f>G111/G7</f>
        <v>-0.44640763249155041</v>
      </c>
      <c r="H112" s="57">
        <f>G112+'29'!H151</f>
        <v>2.182358350915095</v>
      </c>
      <c r="I112" s="69"/>
      <c r="J112" s="58">
        <f>H112/DAY(B2)</f>
        <v>7.2745278363836499E-2</v>
      </c>
    </row>
    <row r="113" spans="1:10" ht="23.25" customHeight="1">
      <c r="A113" s="1621" t="s">
        <v>261</v>
      </c>
      <c r="B113" s="1622"/>
      <c r="C113" s="1623"/>
      <c r="D113" s="268" t="s">
        <v>183</v>
      </c>
      <c r="E113" s="265"/>
      <c r="F113" s="265"/>
      <c r="G113" s="277">
        <f>G36+G50</f>
        <v>748364.65999999992</v>
      </c>
      <c r="H113" s="57">
        <f>G113+'29'!H152</f>
        <v>745373.94</v>
      </c>
      <c r="I113" s="69"/>
      <c r="J113" s="58">
        <f>H113/DAY(B2)</f>
        <v>24845.797999999999</v>
      </c>
    </row>
    <row r="114" spans="1:10" ht="23.25" customHeight="1">
      <c r="A114" s="1621" t="s">
        <v>262</v>
      </c>
      <c r="B114" s="1622"/>
      <c r="C114" s="1623"/>
      <c r="D114" s="268" t="s">
        <v>24</v>
      </c>
      <c r="E114" s="265"/>
      <c r="F114" s="265"/>
      <c r="G114" s="280">
        <f>G113/G7</f>
        <v>-0.5158410166876658</v>
      </c>
      <c r="H114" s="57">
        <f>G114+'29'!H153</f>
        <v>1.5169510613654809</v>
      </c>
      <c r="I114" s="69"/>
      <c r="J114" s="58">
        <f>H114/DAY(B2)</f>
        <v>5.0565035378849363E-2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39485.19</v>
      </c>
      <c r="F118" s="267">
        <v>36196</v>
      </c>
      <c r="G118" s="318">
        <f t="shared" si="10"/>
        <v>-3289.1900000000023</v>
      </c>
      <c r="H118" s="57">
        <f>G118+'29'!H132</f>
        <v>-3346.3300000000017</v>
      </c>
      <c r="I118" s="69"/>
      <c r="J118" s="58">
        <f>H118/DAY(B2)</f>
        <v>-111.5443333333334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28808.129999999997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40820</v>
      </c>
      <c r="F120" s="267">
        <v>30495.25</v>
      </c>
      <c r="G120" s="318">
        <f t="shared" si="10"/>
        <v>-10324.75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22467</v>
      </c>
      <c r="F122" s="267">
        <v>21285.49</v>
      </c>
      <c r="G122" s="318">
        <f t="shared" si="10"/>
        <v>-1181.5099999999984</v>
      </c>
      <c r="H122" s="57">
        <f>G122+'29'!H136</f>
        <v>-1203.1599999999999</v>
      </c>
      <c r="I122" s="69">
        <f>G120+G121+G122</f>
        <v>-18406</v>
      </c>
      <c r="J122" s="58">
        <f>H122/DAY(B2)</f>
        <v>-40.105333333333327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25048.97</v>
      </c>
      <c r="F123" s="267">
        <v>22354.720000000001</v>
      </c>
      <c r="G123" s="318">
        <f t="shared" si="10"/>
        <v>-2694.25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70247.789999999994</v>
      </c>
      <c r="F124" s="267">
        <v>64789.37</v>
      </c>
      <c r="G124" s="318">
        <f t="shared" si="10"/>
        <v>-5458.419999999991</v>
      </c>
      <c r="H124" s="57">
        <f>G124+'29'!H138</f>
        <v>-5433.6299999999974</v>
      </c>
      <c r="I124" s="69">
        <f>G123+G124</f>
        <v>-8152.669999999991</v>
      </c>
      <c r="J124" s="58">
        <f>H124/DAY(B2)</f>
        <v>-181.12099999999992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1536.52</v>
      </c>
      <c r="F125" s="267">
        <v>17.899999999999999</v>
      </c>
      <c r="G125" s="318">
        <f t="shared" si="10"/>
        <v>-1518.62</v>
      </c>
      <c r="H125" s="57">
        <f>G125+'29'!H139</f>
        <v>-1518.62</v>
      </c>
      <c r="J125" s="58">
        <f>H125/DAY(B2)</f>
        <v>-50.620666666666665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4452.6899999999996</v>
      </c>
      <c r="F126" s="267">
        <v>603.07000000000005</v>
      </c>
      <c r="G126" s="318">
        <f t="shared" si="10"/>
        <v>-3849.6199999999994</v>
      </c>
      <c r="H126" s="57">
        <f>G126+'29'!H140</f>
        <v>-3865.47</v>
      </c>
      <c r="J126" s="58">
        <f>H126/DAY(B2)</f>
        <v>-128.84899999999999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23696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22156</v>
      </c>
      <c r="B4" s="213"/>
    </row>
    <row r="5" spans="1:9">
      <c r="A5" s="213">
        <f>'3'!G7</f>
        <v>21071</v>
      </c>
    </row>
    <row r="6" spans="1:9">
      <c r="A6" s="213">
        <f>'4'!G7</f>
        <v>21717</v>
      </c>
    </row>
    <row r="7" spans="1:9">
      <c r="A7" s="213">
        <f>'5'!G7</f>
        <v>21598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2021-04-09T12:26:32Z</dcterms:modified>
</cp:coreProperties>
</file>