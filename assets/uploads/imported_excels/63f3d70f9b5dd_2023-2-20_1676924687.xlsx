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6C75DEF0-2F2A-4511-9791-880E3B927E3D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H40" i="2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V40" i="2"/>
  <c r="C40" i="6"/>
  <c r="V36" i="2"/>
  <c r="V37" i="2"/>
  <c r="V38" i="2"/>
  <c r="V39" i="2"/>
  <c r="O39" i="2"/>
  <c r="C39" i="6"/>
  <c r="C38" i="6"/>
  <c r="C37" i="6"/>
  <c r="C36" i="6"/>
  <c r="V35" i="2"/>
  <c r="C35" i="6"/>
  <c r="V34" i="2"/>
  <c r="Q36" i="2"/>
  <c r="O35" i="2"/>
  <c r="C34" i="6"/>
  <c r="O34" i="2"/>
  <c r="C33" i="6"/>
  <c r="V31" i="2"/>
  <c r="V32" i="2"/>
  <c r="V30" i="2"/>
  <c r="O32" i="2"/>
  <c r="Q33" i="2"/>
  <c r="Q31" i="2"/>
  <c r="C32" i="6"/>
  <c r="C31" i="6"/>
  <c r="C30" i="6"/>
  <c r="V29" i="2"/>
  <c r="C29" i="6"/>
  <c r="V28" i="2"/>
  <c r="C28" i="6"/>
  <c r="V27" i="2"/>
  <c r="Q28" i="2"/>
  <c r="C27" i="6"/>
  <c r="V26" i="2"/>
  <c r="G21" i="4"/>
  <c r="E21" i="4"/>
  <c r="C21" i="4"/>
  <c r="C26" i="6"/>
  <c r="V23" i="2"/>
  <c r="V24" i="2"/>
  <c r="V25" i="2"/>
  <c r="O24" i="2"/>
  <c r="C24" i="6"/>
  <c r="C25" i="6"/>
  <c r="C23" i="6"/>
  <c r="V22" i="2"/>
  <c r="O23" i="2"/>
  <c r="C22" i="6"/>
  <c r="V21" i="2"/>
  <c r="O22" i="2"/>
  <c r="C21" i="6"/>
  <c r="V20" i="2"/>
  <c r="C20" i="6"/>
  <c r="V19" i="2"/>
  <c r="O20" i="2"/>
  <c r="C19" i="6"/>
  <c r="V17" i="2"/>
  <c r="V18" i="2"/>
  <c r="C18" i="6"/>
  <c r="C17" i="6"/>
  <c r="V16" i="2"/>
  <c r="C16" i="6"/>
  <c r="V11" i="2"/>
  <c r="V12" i="2"/>
  <c r="V13" i="2"/>
  <c r="V14" i="2"/>
  <c r="V15" i="2"/>
  <c r="V10" i="2"/>
  <c r="O16" i="2"/>
  <c r="N10" i="2"/>
  <c r="M10" i="2"/>
  <c r="L10" i="2"/>
  <c r="F10" i="2"/>
  <c r="C15" i="6"/>
  <c r="C14" i="6"/>
  <c r="C13" i="6"/>
  <c r="C12" i="6"/>
  <c r="C11" i="6"/>
  <c r="K10" i="6"/>
  <c r="I10" i="6"/>
  <c r="G10" i="6"/>
  <c r="E10" i="6"/>
  <c r="C10" i="6"/>
  <c r="G4" i="4"/>
  <c r="E4" i="4"/>
  <c r="C4" i="4"/>
  <c r="G22" i="4"/>
  <c r="E22" i="4"/>
  <c r="C22" i="4"/>
  <c r="M4" i="4"/>
  <c r="M5" i="4"/>
  <c r="M6" i="4"/>
  <c r="M7" i="4"/>
  <c r="L31" i="22"/>
  <c r="L32" i="22"/>
  <c r="B31" i="22"/>
  <c r="B32" i="22"/>
  <c r="I31" i="21"/>
  <c r="I32" i="21"/>
  <c r="B31" i="21"/>
  <c r="B32" i="21"/>
  <c r="Q39" i="2"/>
  <c r="G17" i="4"/>
  <c r="P41" i="4"/>
  <c r="P42" i="4"/>
  <c r="L21" i="22"/>
  <c r="L22" i="22"/>
  <c r="L23" i="22"/>
  <c r="L24" i="22"/>
  <c r="L25" i="22"/>
  <c r="L26" i="22"/>
  <c r="L27" i="22"/>
  <c r="L28" i="22"/>
  <c r="L29" i="22"/>
  <c r="L30" i="22"/>
  <c r="C35" i="4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O11" i="2"/>
  <c r="I23" i="21"/>
  <c r="I24" i="21"/>
  <c r="I25" i="21"/>
  <c r="I26" i="21"/>
  <c r="I27" i="21"/>
  <c r="I28" i="21"/>
  <c r="I29" i="21"/>
  <c r="I30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G2" i="21"/>
  <c r="O10" i="2"/>
  <c r="I2" i="22"/>
  <c r="Q18" i="2"/>
  <c r="O25" i="2"/>
  <c r="Q32" i="2"/>
  <c r="O31" i="2"/>
  <c r="O28" i="2"/>
  <c r="Q23" i="2"/>
  <c r="Q20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J11" i="21"/>
  <c r="Q25" i="2"/>
  <c r="I19" i="10"/>
  <c r="E20" i="10"/>
  <c r="D25" i="10"/>
  <c r="F25" i="10"/>
  <c r="F32" i="10"/>
  <c r="H25" i="10"/>
  <c r="I25" i="10"/>
  <c r="I32" i="10"/>
  <c r="F18" i="10"/>
  <c r="J8" i="21"/>
  <c r="Q19" i="2"/>
  <c r="H15" i="2"/>
  <c r="O21" i="2"/>
  <c r="H29" i="2"/>
  <c r="O30" i="2"/>
  <c r="Q35" i="2"/>
  <c r="Q30" i="2"/>
  <c r="O29" i="2"/>
  <c r="O19" i="2"/>
  <c r="Q29" i="2"/>
  <c r="Q24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21" i="2"/>
  <c r="Q27" i="2"/>
  <c r="O27" i="2"/>
  <c r="O33" i="2"/>
  <c r="Q10" i="2"/>
  <c r="E2" i="21"/>
  <c r="J2" i="21"/>
  <c r="J15" i="21"/>
  <c r="J24" i="21"/>
  <c r="J20" i="21"/>
  <c r="J12" i="21"/>
  <c r="H10" i="2"/>
  <c r="E2" i="22"/>
  <c r="M41" i="2"/>
  <c r="I45" i="2" s="1"/>
  <c r="L45" i="2" s="1"/>
  <c r="Q44" i="4"/>
  <c r="AC44" i="4"/>
  <c r="K48" i="4" s="1"/>
  <c r="L48" i="4" s="1"/>
  <c r="L9" i="4"/>
  <c r="N9" i="4"/>
  <c r="AC43" i="4"/>
  <c r="I9" i="4"/>
  <c r="J23" i="21" l="1"/>
  <c r="J3" i="21"/>
  <c r="J21" i="21"/>
  <c r="Q11" i="2"/>
  <c r="Q17" i="2"/>
  <c r="Q37" i="2"/>
  <c r="O18" i="2"/>
  <c r="Q22" i="2"/>
  <c r="O36" i="2"/>
  <c r="N41" i="2"/>
  <c r="I46" i="2" s="1"/>
  <c r="L46" i="2" s="1"/>
  <c r="J17" i="21"/>
  <c r="J16" i="21"/>
  <c r="Q26" i="2"/>
  <c r="Q40" i="2"/>
  <c r="Q16" i="2"/>
  <c r="J26" i="21"/>
  <c r="Q38" i="2"/>
  <c r="J10" i="21"/>
  <c r="J9" i="21"/>
  <c r="J25" i="21"/>
  <c r="J19" i="21"/>
  <c r="J22" i="21"/>
  <c r="O17" i="2"/>
  <c r="O38" i="2"/>
  <c r="J30" i="21"/>
  <c r="O26" i="2"/>
  <c r="O40" i="2"/>
  <c r="J13" i="21"/>
  <c r="Q34" i="2"/>
  <c r="H37" i="2"/>
  <c r="H33" i="2"/>
  <c r="H18" i="2"/>
  <c r="H34" i="2"/>
  <c r="H17" i="2"/>
  <c r="H21" i="2"/>
  <c r="H28" i="2"/>
  <c r="H39" i="2"/>
  <c r="H31" i="2"/>
  <c r="H23" i="2"/>
  <c r="H36" i="2"/>
  <c r="H35" i="2"/>
  <c r="H27" i="2"/>
  <c r="H19" i="2"/>
  <c r="H38" i="2"/>
  <c r="H30" i="2"/>
  <c r="H22" i="2"/>
  <c r="H26" i="2"/>
  <c r="H25" i="2"/>
  <c r="H24" i="2"/>
  <c r="H20" i="2"/>
  <c r="H32" i="2"/>
  <c r="F41" i="2"/>
  <c r="V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J14" i="21"/>
  <c r="I4" i="4"/>
  <c r="L4" i="4"/>
  <c r="N4" i="4" s="1"/>
  <c r="M18" i="22" l="1"/>
  <c r="J18" i="21"/>
  <c r="M19" i="22"/>
  <c r="M20" i="22"/>
  <c r="M14" i="22"/>
  <c r="M10" i="22"/>
  <c r="M25" i="22"/>
  <c r="M13" i="22"/>
  <c r="M11" i="22"/>
  <c r="M24" i="22"/>
  <c r="M15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O12" i="2"/>
  <c r="O41" i="2" s="1"/>
  <c r="M8" i="22"/>
  <c r="H16" i="2"/>
  <c r="H14" i="2"/>
  <c r="H13" i="2"/>
  <c r="H12" i="2"/>
  <c r="H11" i="2"/>
  <c r="O4" i="4"/>
  <c r="N43" i="4"/>
  <c r="M3" i="22"/>
  <c r="Q41" i="2" l="1"/>
  <c r="H41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<sst xmlns="http://schemas.openxmlformats.org/spreadsheetml/2006/main" count="484" uniqueCount="187">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</sst>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  <c:pt idx="14">
                  <c:v>46.899999999994179</c:v>
                </c:pt>
                <c:pt idx="15">
                  <c:v>49.5</c:v>
                </c:pt>
                <c:pt idx="16">
                  <c:v>36</c:v>
                </c:pt>
                <c:pt idx="17">
                  <c:v>33.100000000005821</c:v>
                </c:pt>
                <c:pt idx="18">
                  <c:v>48.5</c:v>
                </c:pt>
                <c:pt idx="19">
                  <c:v>43.399999999994179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38</c:v>
                </c:pt>
                <c:pt idx="24">
                  <c:v>51</c:v>
                </c:pt>
                <c:pt idx="25">
                  <c:v>204.89999999999418</c:v>
                </c:pt>
                <c:pt idx="26">
                  <c:v>91</c:v>
                </c:pt>
                <c:pt idx="27">
                  <c:v>63.100000000005821</c:v>
                </c:pt>
                <c:pt idx="28">
                  <c:v>48</c:v>
                </c:pt>
                <c:pt idx="29">
                  <c:v>45</c:v>
                </c:pt>
                <c:pt idx="30">
                  <c:v>42</c:v>
                </c:pt>
                <c:pt idx="31">
                  <c:v>56.100000000005821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  <c:pt idx="14">
                  <c:v>2318</c:v>
                </c:pt>
                <c:pt idx="15">
                  <c:v>2113</c:v>
                </c:pt>
                <c:pt idx="16">
                  <c:v>2139</c:v>
                </c:pt>
                <c:pt idx="17">
                  <c:v>2159</c:v>
                </c:pt>
                <c:pt idx="18">
                  <c:v>1993</c:v>
                </c:pt>
                <c:pt idx="19">
                  <c:v>2253</c:v>
                </c:pt>
                <c:pt idx="20">
                  <c:v>2039</c:v>
                </c:pt>
                <c:pt idx="21">
                  <c:v>2172</c:v>
                </c:pt>
                <c:pt idx="22">
                  <c:v>2103</c:v>
                </c:pt>
                <c:pt idx="23">
                  <c:v>2198</c:v>
                </c:pt>
                <c:pt idx="24">
                  <c:v>2032</c:v>
                </c:pt>
                <c:pt idx="25">
                  <c:v>2144</c:v>
                </c:pt>
                <c:pt idx="26">
                  <c:v>2239</c:v>
                </c:pt>
                <c:pt idx="27">
                  <c:v>2054</c:v>
                </c:pt>
                <c:pt idx="28">
                  <c:v>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  <c:pt idx="14">
                  <c:v>2909</c:v>
                </c:pt>
                <c:pt idx="15">
                  <c:v>2753</c:v>
                </c:pt>
                <c:pt idx="16">
                  <c:v>2720</c:v>
                </c:pt>
                <c:pt idx="17">
                  <c:v>2788</c:v>
                </c:pt>
                <c:pt idx="18">
                  <c:v>2606</c:v>
                </c:pt>
                <c:pt idx="19">
                  <c:v>2560</c:v>
                </c:pt>
                <c:pt idx="20">
                  <c:v>2506</c:v>
                </c:pt>
                <c:pt idx="21">
                  <c:v>2617</c:v>
                </c:pt>
                <c:pt idx="22">
                  <c:v>2572</c:v>
                </c:pt>
                <c:pt idx="23">
                  <c:v>2616</c:v>
                </c:pt>
                <c:pt idx="24">
                  <c:v>2685</c:v>
                </c:pt>
                <c:pt idx="25">
                  <c:v>2728</c:v>
                </c:pt>
                <c:pt idx="26">
                  <c:v>2698</c:v>
                </c:pt>
                <c:pt idx="27">
                  <c:v>2869</c:v>
                </c:pt>
                <c:pt idx="28">
                  <c:v>2594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  <c:pt idx="14">
                  <c:v>1386</c:v>
                </c:pt>
                <c:pt idx="15">
                  <c:v>1337</c:v>
                </c:pt>
                <c:pt idx="16">
                  <c:v>1293</c:v>
                </c:pt>
                <c:pt idx="17">
                  <c:v>1237</c:v>
                </c:pt>
                <c:pt idx="18">
                  <c:v>1260</c:v>
                </c:pt>
                <c:pt idx="19">
                  <c:v>1228</c:v>
                </c:pt>
                <c:pt idx="20">
                  <c:v>1170</c:v>
                </c:pt>
                <c:pt idx="21">
                  <c:v>1247</c:v>
                </c:pt>
                <c:pt idx="22">
                  <c:v>1263</c:v>
                </c:pt>
                <c:pt idx="23">
                  <c:v>1256</c:v>
                </c:pt>
                <c:pt idx="24">
                  <c:v>1244</c:v>
                </c:pt>
                <c:pt idx="25">
                  <c:v>1245</c:v>
                </c:pt>
                <c:pt idx="26">
                  <c:v>1310</c:v>
                </c:pt>
                <c:pt idx="27">
                  <c:v>1312</c:v>
                </c:pt>
                <c:pt idx="28">
                  <c:v>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383.99052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255.99368000000001</c:v>
                </c:pt>
                <c:pt idx="14">
                  <c:v>319.99209999999999</c:v>
                </c:pt>
                <c:pt idx="15">
                  <c:v>191.99526</c:v>
                </c:pt>
                <c:pt idx="16">
                  <c:v>159.99605</c:v>
                </c:pt>
                <c:pt idx="17">
                  <c:v>191.99526</c:v>
                </c:pt>
                <c:pt idx="18">
                  <c:v>287.99288999999999</c:v>
                </c:pt>
                <c:pt idx="19">
                  <c:v>127.99684000000001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159.99605</c:v>
                </c:pt>
                <c:pt idx="23">
                  <c:v>223.99447000000001</c:v>
                </c:pt>
                <c:pt idx="24">
                  <c:v>319.99209999999999</c:v>
                </c:pt>
                <c:pt idx="25">
                  <c:v>159.99605</c:v>
                </c:pt>
                <c:pt idx="26">
                  <c:v>159.99605</c:v>
                </c:pt>
                <c:pt idx="27">
                  <c:v>319.99209999999999</c:v>
                </c:pt>
                <c:pt idx="28">
                  <c:v>223.99447000000001</c:v>
                </c:pt>
                <c:pt idx="29">
                  <c:v>159.99605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R24" sqref="R24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</v>
      </c>
      <c r="D2" s="141">
        <v>2022</v>
      </c>
      <c r="E2" s="137">
        <f>submetering!E2+submetering!F2+submetering!G2</f>
        <v>7367</v>
      </c>
      <c r="F2" s="134">
        <v>1.05</v>
      </c>
      <c r="G2" s="134">
        <f>'Consommation mensuel énergie'!V10</f>
        <v>191.99526</v>
      </c>
      <c r="H2" s="134">
        <v>11.664999999999999</v>
      </c>
      <c r="I2" s="134">
        <f>'Consommation mensuel énergie'!F10</f>
        <v>8.7999999999883585</v>
      </c>
      <c r="J2" s="134">
        <v>11.4</v>
      </c>
      <c r="K2" s="137">
        <f>'Consommation mensuel énergie'!D10</f>
        <v>21</v>
      </c>
      <c r="L2" s="137">
        <f>'Consommation mensuel énergie'!E10</f>
        <v>40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submetering!E3+submetering!F3+submetering!G3</f>
        <v>7302</v>
      </c>
      <c r="F3" s="134">
        <v>1.05</v>
      </c>
      <c r="G3" s="134">
        <f>'Consommation mensuel énergie'!V11</f>
        <v>191.99526</v>
      </c>
      <c r="H3" s="134">
        <v>11.664999999999999</v>
      </c>
      <c r="I3" s="134">
        <f>'Consommation mensuel énergie'!F11</f>
        <v>35</v>
      </c>
      <c r="J3" s="134">
        <v>11.4</v>
      </c>
      <c r="K3" s="137">
        <f>'Consommation mensuel énergie'!D11</f>
        <v>16</v>
      </c>
      <c r="L3" s="137">
        <f>'Consommation mensuel énergie'!E11</f>
        <v>36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submetering!E4+submetering!F4+submetering!G4</f>
        <v>7189</v>
      </c>
      <c r="F4" s="134">
        <v>1.05</v>
      </c>
      <c r="G4" s="134">
        <f>'Consommation mensuel énergie'!V12</f>
        <v>351.99131</v>
      </c>
      <c r="H4" s="134">
        <v>11.664999999999999</v>
      </c>
      <c r="I4" s="134">
        <f>'Consommation mensuel énergie'!F12</f>
        <v>53</v>
      </c>
      <c r="J4" s="134">
        <v>11.4</v>
      </c>
      <c r="K4" s="137">
        <f>'Consommation mensuel énergie'!D12</f>
        <v>10</v>
      </c>
      <c r="L4" s="137">
        <f>'Consommation mensuel énergie'!E12</f>
        <v>19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submetering!E5+submetering!F5+submetering!G5</f>
        <v>6159</v>
      </c>
      <c r="F5" s="134">
        <v>1.05</v>
      </c>
      <c r="G5" s="134">
        <f>'Consommation mensuel énergie'!V13</f>
        <v>383.99052</v>
      </c>
      <c r="H5" s="134">
        <v>11.664999999999999</v>
      </c>
      <c r="I5" s="134">
        <f>'Consommation mensuel énergie'!F13</f>
        <v>42.899999999994179</v>
      </c>
      <c r="J5" s="134">
        <v>11.4</v>
      </c>
      <c r="K5" s="137">
        <f>'Consommation mensuel énergie'!D13</f>
        <v>10</v>
      </c>
      <c r="L5" s="137">
        <f>'Consommation mensuel énergie'!E13</f>
        <v>15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submetering!E6+submetering!F6+submetering!G6</f>
        <v>8377</v>
      </c>
      <c r="F6" s="134">
        <v>1.05</v>
      </c>
      <c r="G6" s="134">
        <f>'Consommation mensuel énergie'!V14</f>
        <v>287.99288999999999</v>
      </c>
      <c r="H6" s="134">
        <v>11.664999999999999</v>
      </c>
      <c r="I6" s="134">
        <f>'Consommation mensuel énergie'!F14</f>
        <v>48.399999999994179</v>
      </c>
      <c r="J6" s="134">
        <v>11.4</v>
      </c>
      <c r="K6" s="137">
        <f>'Consommation mensuel énergie'!D14</f>
        <v>10</v>
      </c>
      <c r="L6" s="137">
        <f>'Consommation mensuel énergie'!E14</f>
        <v>15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submetering!E7+submetering!F7+submetering!G7</f>
        <v>7295</v>
      </c>
      <c r="F7" s="134">
        <v>1.05</v>
      </c>
      <c r="G7" s="134">
        <f>'Consommation mensuel énergie'!V15</f>
        <v>127.99684000000001</v>
      </c>
      <c r="H7" s="134">
        <v>11.664999999999999</v>
      </c>
      <c r="I7" s="134">
        <f>'Consommation mensuel énergie'!F15</f>
        <v>49.900000000023283</v>
      </c>
      <c r="J7" s="134">
        <v>11.4</v>
      </c>
      <c r="K7" s="137">
        <f>'Consommation mensuel énergie'!D15</f>
        <v>9</v>
      </c>
      <c r="L7" s="137">
        <f>'Consommation mensuel énergie'!E15</f>
        <v>15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submetering!E8+submetering!F8+submetering!G8</f>
        <v>7086</v>
      </c>
      <c r="F8" s="134">
        <v>1.05</v>
      </c>
      <c r="G8" s="134">
        <f>'Consommation mensuel énergie'!V16</f>
        <v>191.99526</v>
      </c>
      <c r="H8" s="134">
        <v>11.664999999999999</v>
      </c>
      <c r="I8" s="134">
        <f>'Consommation mensuel énergie'!F16</f>
        <v>39.799999999988358</v>
      </c>
      <c r="J8" s="134">
        <v>11.4</v>
      </c>
      <c r="K8" s="137">
        <f>'Consommation mensuel énergie'!D16</f>
        <v>15</v>
      </c>
      <c r="L8" s="137">
        <f>'Consommation mensuel énergie'!E16</f>
        <v>30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submetering!E9+submetering!F9+submetering!G9</f>
        <v>7216</v>
      </c>
      <c r="F9" s="134">
        <v>1.05</v>
      </c>
      <c r="G9" s="134">
        <f>'Consommation mensuel énergie'!V17</f>
        <v>287.99288999999999</v>
      </c>
      <c r="H9" s="134">
        <v>11.664999999999999</v>
      </c>
      <c r="I9" s="134">
        <f>'Consommation mensuel énergie'!F17</f>
        <v>41</v>
      </c>
      <c r="J9" s="134">
        <v>11.4</v>
      </c>
      <c r="K9" s="137">
        <f>'Consommation mensuel énergie'!D17</f>
        <v>18</v>
      </c>
      <c r="L9" s="137">
        <f>'Consommation mensuel énergie'!E17</f>
        <v>28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submetering!E10+submetering!F10+submetering!G10</f>
        <v>6850</v>
      </c>
      <c r="F10" s="134">
        <v>1.05</v>
      </c>
      <c r="G10" s="134">
        <f>'Consommation mensuel énergie'!V18</f>
        <v>383.99052</v>
      </c>
      <c r="H10" s="134">
        <v>11.664999999999999</v>
      </c>
      <c r="I10" s="134">
        <f>'Consommation mensuel énergie'!F18</f>
        <v>49</v>
      </c>
      <c r="J10" s="134">
        <v>11.4</v>
      </c>
      <c r="K10" s="137">
        <f>'Consommation mensuel énergie'!D18</f>
        <v>13</v>
      </c>
      <c r="L10" s="137">
        <f>'Consommation mensuel énergie'!E18</f>
        <v>22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submetering!E11+submetering!F11+submetering!G11</f>
        <v>6831</v>
      </c>
      <c r="F11" s="134">
        <v>1.05</v>
      </c>
      <c r="G11" s="134">
        <f>'Consommation mensuel énergie'!V19</f>
        <v>159.99605</v>
      </c>
      <c r="H11" s="134">
        <v>11.664999999999999</v>
      </c>
      <c r="I11" s="134">
        <f>'Consommation mensuel énergie'!F19</f>
        <v>43</v>
      </c>
      <c r="J11" s="134">
        <v>11.4</v>
      </c>
      <c r="K11" s="137">
        <f>'Consommation mensuel énergie'!D19</f>
        <v>13</v>
      </c>
      <c r="L11" s="137">
        <f>'Consommation mensuel énergie'!E19</f>
        <v>21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submetering!E12+submetering!F12+submetering!G12</f>
        <v>6521</v>
      </c>
      <c r="F12" s="134">
        <v>1.05</v>
      </c>
      <c r="G12" s="134">
        <f>'Consommation mensuel énergie'!V20</f>
        <v>127.99684000000001</v>
      </c>
      <c r="H12" s="134">
        <v>11.664999999999999</v>
      </c>
      <c r="I12" s="134">
        <f>'Consommation mensuel énergie'!F20</f>
        <v>45.299999999988358</v>
      </c>
      <c r="J12" s="134">
        <v>11.4</v>
      </c>
      <c r="K12" s="137">
        <f>'Consommation mensuel énergie'!D20</f>
        <v>13</v>
      </c>
      <c r="L12" s="137">
        <f>'Consommation mensuel énergie'!E20</f>
        <v>19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submetering!E13+submetering!F13+submetering!G13</f>
        <v>6611</v>
      </c>
      <c r="F13" s="134">
        <v>1.05</v>
      </c>
      <c r="G13" s="134">
        <f>'Consommation mensuel énergie'!V21</f>
        <v>159.99605</v>
      </c>
      <c r="H13" s="134">
        <v>11.664999999999999</v>
      </c>
      <c r="I13" s="134">
        <f>'Consommation mensuel énergie'!F21</f>
        <v>39.600000000005821</v>
      </c>
      <c r="J13" s="134">
        <v>11.4</v>
      </c>
      <c r="K13" s="137">
        <f>'Consommation mensuel énergie'!D21</f>
        <v>13</v>
      </c>
      <c r="L13" s="137">
        <f>'Consommation mensuel énergie'!E21</f>
        <v>17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submetering!E14+submetering!F14+submetering!G14</f>
        <v>6905</v>
      </c>
      <c r="F14" s="134">
        <v>1.05</v>
      </c>
      <c r="G14" s="134">
        <f>'Consommation mensuel énergie'!V22</f>
        <v>127.99684000000001</v>
      </c>
      <c r="H14" s="134">
        <v>11.664999999999999</v>
      </c>
      <c r="I14" s="134">
        <f>'Consommation mensuel énergie'!F22</f>
        <v>43.5</v>
      </c>
      <c r="J14" s="134">
        <v>11.4</v>
      </c>
      <c r="K14" s="137">
        <f>'Consommation mensuel énergie'!D22</f>
        <v>11</v>
      </c>
      <c r="L14" s="137">
        <f>'Consommation mensuel énergie'!E22</f>
        <v>16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submetering!E15+submetering!F15+submetering!G15</f>
        <v>6577</v>
      </c>
      <c r="F15" s="134">
        <v>1.05</v>
      </c>
      <c r="G15" s="134">
        <f>'Consommation mensuel énergie'!V23</f>
        <v>255.99368000000001</v>
      </c>
      <c r="H15" s="134">
        <v>11.664999999999999</v>
      </c>
      <c r="I15" s="134">
        <f>'Consommation mensuel énergie'!F23</f>
        <v>42.200000000011642</v>
      </c>
      <c r="J15" s="134">
        <v>11.4</v>
      </c>
      <c r="K15" s="137">
        <f>'Consommation mensuel énergie'!D23</f>
        <v>18</v>
      </c>
      <c r="L15" s="137">
        <f>'Consommation mensuel énergie'!E23</f>
        <v>26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submetering!E16+submetering!F16+submetering!G16</f>
        <v>6613</v>
      </c>
      <c r="F16" s="134">
        <v>1.05</v>
      </c>
      <c r="G16" s="134">
        <f>'Consommation mensuel énergie'!V24</f>
        <v>319.99209999999999</v>
      </c>
      <c r="H16" s="134">
        <v>11.664999999999999</v>
      </c>
      <c r="I16" s="134">
        <f>'Consommation mensuel énergie'!F24</f>
        <v>46.899999999994179</v>
      </c>
      <c r="J16" s="134">
        <v>11.4</v>
      </c>
      <c r="K16" s="137">
        <f>'Consommation mensuel énergie'!D24</f>
        <v>20</v>
      </c>
      <c r="L16" s="137">
        <f>'Consommation mensuel énergie'!E24</f>
        <v>27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submetering!E17+submetering!F17+submetering!G17</f>
        <v>6203</v>
      </c>
      <c r="F17" s="134">
        <v>1.05</v>
      </c>
      <c r="G17" s="134">
        <f>'Consommation mensuel énergie'!V25</f>
        <v>191.99526</v>
      </c>
      <c r="H17" s="134">
        <v>11.664999999999999</v>
      </c>
      <c r="I17" s="134">
        <f>'Consommation mensuel énergie'!F25</f>
        <v>49.5</v>
      </c>
      <c r="J17" s="134">
        <v>11.4</v>
      </c>
      <c r="K17" s="137">
        <f>'Consommation mensuel énergie'!D25</f>
        <v>13</v>
      </c>
      <c r="L17" s="137">
        <f>'Consommation mensuel énergie'!E25</f>
        <v>18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submetering!E18+submetering!F18+submetering!G18</f>
        <v>6152</v>
      </c>
      <c r="F18" s="134">
        <v>1.05</v>
      </c>
      <c r="G18" s="134">
        <f>'Consommation mensuel énergie'!V26</f>
        <v>159.99605</v>
      </c>
      <c r="H18" s="134">
        <v>11.664999999999999</v>
      </c>
      <c r="I18" s="134">
        <f>'Consommation mensuel énergie'!F26</f>
        <v>36</v>
      </c>
      <c r="J18" s="134">
        <v>11.4</v>
      </c>
      <c r="K18" s="137">
        <f>'Consommation mensuel énergie'!D26</f>
        <v>10</v>
      </c>
      <c r="L18" s="137">
        <f>'Consommation mensuel énergie'!E26</f>
        <v>13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submetering!E19+submetering!F19+submetering!G19</f>
        <v>6184</v>
      </c>
      <c r="F19" s="134">
        <v>1.05</v>
      </c>
      <c r="G19" s="134">
        <f>'Consommation mensuel énergie'!V27</f>
        <v>191.99526</v>
      </c>
      <c r="H19" s="134">
        <v>11.664999999999999</v>
      </c>
      <c r="I19" s="134">
        <f>'Consommation mensuel énergie'!F27</f>
        <v>33.100000000005821</v>
      </c>
      <c r="J19" s="134">
        <v>11.4</v>
      </c>
      <c r="K19" s="137">
        <f>'Consommation mensuel énergie'!D27</f>
        <v>4</v>
      </c>
      <c r="L19" s="137">
        <f>'Consommation mensuel énergie'!E27</f>
        <v>6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submetering!E20+submetering!F20+submetering!G20</f>
        <v>5859</v>
      </c>
      <c r="F20" s="134">
        <v>1.05</v>
      </c>
      <c r="G20" s="134">
        <f>'Consommation mensuel énergie'!V28</f>
        <v>287.99288999999999</v>
      </c>
      <c r="H20" s="134">
        <v>11.664999999999999</v>
      </c>
      <c r="I20" s="134">
        <f>'Consommation mensuel énergie'!F28</f>
        <v>48.5</v>
      </c>
      <c r="J20" s="134">
        <v>11.4</v>
      </c>
      <c r="K20" s="137">
        <f>'Consommation mensuel énergie'!D28</f>
        <v>6</v>
      </c>
      <c r="L20" s="137">
        <f>'Consommation mensuel énergie'!E28</f>
        <v>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submetering!E21+submetering!F21+submetering!G21</f>
        <v>6041</v>
      </c>
      <c r="F21" s="134">
        <v>1.05</v>
      </c>
      <c r="G21" s="134">
        <f>'Consommation mensuel énergie'!V29</f>
        <v>127.99684000000001</v>
      </c>
      <c r="H21" s="134">
        <v>11.664999999999999</v>
      </c>
      <c r="I21" s="134">
        <f>'Consommation mensuel énergie'!F29</f>
        <v>43.399999999994179</v>
      </c>
      <c r="J21" s="134">
        <v>11.4</v>
      </c>
      <c r="K21" s="137">
        <f>'Consommation mensuel énergie'!D29</f>
        <v>7</v>
      </c>
      <c r="L21" s="137">
        <f>'Consommation mensuel énergie'!E29</f>
        <v>12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submetering!E22+submetering!F22+submetering!G22</f>
        <v>5715</v>
      </c>
      <c r="F22" s="134">
        <v>1.05</v>
      </c>
      <c r="G22" s="134">
        <f>'Consommation mensuel énergie'!V30</f>
        <v>223.99447000000001</v>
      </c>
      <c r="H22" s="134">
        <v>11.664999999999999</v>
      </c>
      <c r="I22" s="134">
        <f>'Consommation mensuel énergie'!F30</f>
        <v>34</v>
      </c>
      <c r="J22" s="134">
        <v>11.4</v>
      </c>
      <c r="K22" s="137">
        <f>'Consommation mensuel énergie'!D30</f>
        <v>12</v>
      </c>
      <c r="L22" s="137">
        <f>'Consommation mensuel énergie'!E30</f>
        <v>24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submetering!E23+submetering!F23+submetering!G23</f>
        <v>6036</v>
      </c>
      <c r="F23" s="134">
        <v>1.05</v>
      </c>
      <c r="G23" s="134">
        <f>'Consommation mensuel énergie'!V31</f>
        <v>319.99209999999999</v>
      </c>
      <c r="H23" s="134">
        <v>11.664999999999999</v>
      </c>
      <c r="I23" s="134">
        <f>'Consommation mensuel énergie'!F31</f>
        <v>53</v>
      </c>
      <c r="J23" s="134">
        <v>11.4</v>
      </c>
      <c r="K23" s="137">
        <f>'Consommation mensuel énergie'!D31</f>
        <v>13</v>
      </c>
      <c r="L23" s="137">
        <f>'Consommation mensuel énergie'!E31</f>
        <v>21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submetering!E24+submetering!F24+submetering!G24</f>
        <v>5938</v>
      </c>
      <c r="F24" s="134">
        <v>1.05</v>
      </c>
      <c r="G24" s="134">
        <f>'Consommation mensuel énergie'!V32</f>
        <v>159.99605</v>
      </c>
      <c r="H24" s="134">
        <v>11.664999999999999</v>
      </c>
      <c r="I24" s="134">
        <f>'Consommation mensuel énergie'!F32</f>
        <v>39</v>
      </c>
      <c r="J24" s="134">
        <v>11.4</v>
      </c>
      <c r="K24" s="137">
        <f>'Consommation mensuel énergie'!D32</f>
        <v>10</v>
      </c>
      <c r="L24" s="137">
        <f>'Consommation mensuel énergie'!E32</f>
        <v>21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submetering!E25+submetering!F25+submetering!G25</f>
        <v>6070</v>
      </c>
      <c r="F25" s="134">
        <v>1.05</v>
      </c>
      <c r="G25" s="134">
        <f>'Consommation mensuel énergie'!V33</f>
        <v>223.99447000000001</v>
      </c>
      <c r="H25" s="134">
        <v>11.664999999999999</v>
      </c>
      <c r="I25" s="134">
        <f>'Consommation mensuel énergie'!F33</f>
        <v>38</v>
      </c>
      <c r="J25" s="134">
        <v>11.4</v>
      </c>
      <c r="K25" s="137">
        <f>'Consommation mensuel énergie'!D33</f>
        <v>9</v>
      </c>
      <c r="L25" s="137">
        <f>'Consommation mensuel énergie'!E33</f>
        <v>16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submetering!E26+submetering!F26+submetering!G26</f>
        <v>5961</v>
      </c>
      <c r="F26" s="134">
        <v>1.05</v>
      </c>
      <c r="G26" s="134">
        <f>'Consommation mensuel énergie'!V34</f>
        <v>319.99209999999999</v>
      </c>
      <c r="H26" s="134">
        <v>11.664999999999999</v>
      </c>
      <c r="I26" s="134">
        <f>'Consommation mensuel énergie'!F34</f>
        <v>51</v>
      </c>
      <c r="J26" s="134">
        <v>11.4</v>
      </c>
      <c r="K26" s="137">
        <f>'Consommation mensuel énergie'!D34</f>
        <v>8</v>
      </c>
      <c r="L26" s="137">
        <f>'Consommation mensuel énergie'!E34</f>
        <v>12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submetering!E27+submetering!F27+submetering!G27</f>
        <v>6117</v>
      </c>
      <c r="F27" s="134">
        <v>1.05</v>
      </c>
      <c r="G27" s="134">
        <f>'Consommation mensuel énergie'!V35</f>
        <v>159.99605</v>
      </c>
      <c r="H27" s="134">
        <v>11.664999999999999</v>
      </c>
      <c r="I27" s="134">
        <f>'Consommation mensuel énergie'!F35</f>
        <v>204.89999999999418</v>
      </c>
      <c r="J27" s="134">
        <v>11.4</v>
      </c>
      <c r="K27" s="137">
        <f>'Consommation mensuel énergie'!D35</f>
        <v>17</v>
      </c>
      <c r="L27" s="137">
        <f>'Consommation mensuel énergie'!E35</f>
        <v>23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submetering!E28+submetering!F28+submetering!G28</f>
        <v>6247</v>
      </c>
      <c r="F28" s="134">
        <v>1.05</v>
      </c>
      <c r="G28" s="134">
        <f>'Consommation mensuel énergie'!V36</f>
        <v>159.99605</v>
      </c>
      <c r="H28" s="134">
        <v>11.664999999999999</v>
      </c>
      <c r="I28" s="134">
        <f>'Consommation mensuel énergie'!F36</f>
        <v>91</v>
      </c>
      <c r="J28" s="134">
        <v>11.4</v>
      </c>
      <c r="K28" s="137">
        <f>'Consommation mensuel énergie'!D36</f>
        <v>15</v>
      </c>
      <c r="L28" s="137">
        <f>'Consommation mensuel énergie'!E36</f>
        <v>20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submetering!E29+submetering!F29+submetering!G29</f>
        <v>6235</v>
      </c>
      <c r="F29" s="134">
        <v>1.05</v>
      </c>
      <c r="G29" s="134">
        <f>'Consommation mensuel énergie'!V37</f>
        <v>319.99209999999999</v>
      </c>
      <c r="H29" s="134">
        <v>11.664999999999999</v>
      </c>
      <c r="I29" s="134">
        <f>'Consommation mensuel énergie'!F37</f>
        <v>63.100000000005821</v>
      </c>
      <c r="J29" s="134">
        <v>11.4</v>
      </c>
      <c r="K29" s="137">
        <f>'Consommation mensuel énergie'!D37</f>
        <v>18</v>
      </c>
      <c r="L29" s="137">
        <f>'Consommation mensuel énergie'!E37</f>
        <v>27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submetering!E30+submetering!F30+submetering!G30</f>
        <v>5925</v>
      </c>
      <c r="F30" s="134">
        <v>1.05</v>
      </c>
      <c r="G30" s="134">
        <f>'Consommation mensuel énergie'!V38</f>
        <v>223.99447000000001</v>
      </c>
      <c r="H30" s="134">
        <v>11.664999999999999</v>
      </c>
      <c r="I30" s="134">
        <f>'Consommation mensuel énergie'!F38</f>
        <v>48</v>
      </c>
      <c r="J30" s="134">
        <v>11.4</v>
      </c>
      <c r="K30" s="137">
        <f>'Consommation mensuel énergie'!D38</f>
        <v>15</v>
      </c>
      <c r="L30" s="137">
        <f>'Consommation mensuel énergie'!E38</f>
        <v>26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submetering!E31+submetering!F31+submetering!G31</f>
        <v>5925</v>
      </c>
      <c r="F31" s="134">
        <v>1.05</v>
      </c>
      <c r="G31" s="134">
        <f>'Consommation mensuel énergie'!V39</f>
        <v>159.99605</v>
      </c>
      <c r="H31" s="134">
        <v>11.664999999999999</v>
      </c>
      <c r="I31" s="134">
        <f>'Consommation mensuel énergie'!F39</f>
        <v>45</v>
      </c>
      <c r="J31" s="134">
        <v>11.4</v>
      </c>
      <c r="K31" s="137">
        <f>'Consommation mensuel énergie'!D39</f>
        <v>7</v>
      </c>
      <c r="L31" s="137">
        <f>'Consommation mensuel énergie'!E39</f>
        <v>11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submetering!E32+submetering!F32+submetering!G32</f>
        <v>5888</v>
      </c>
      <c r="F32" s="134">
        <v>1.05</v>
      </c>
      <c r="G32" s="134">
        <f>'Consommation mensuel énergie'!V40</f>
        <v>255.99368000000001</v>
      </c>
      <c r="H32" s="134">
        <v>11.664999999999999</v>
      </c>
      <c r="I32" s="134">
        <f>'Consommation mensuel énergie'!F40</f>
        <v>42</v>
      </c>
      <c r="J32" s="134">
        <v>11.4</v>
      </c>
      <c r="K32" s="137">
        <f>'Consommation mensuel énergie'!D40</f>
        <v>10</v>
      </c>
      <c r="L32" s="137">
        <f>'Consommation mensuel énergie'!E40</f>
        <v>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23" sqref="M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</v>
      </c>
      <c r="D2" s="141">
        <v>2022</v>
      </c>
      <c r="E2" s="137">
        <f>'Consommation mensuel énergie'!L10</f>
        <v>2484</v>
      </c>
      <c r="F2" s="137">
        <f>'Consommation mensuel énergie'!M10</f>
        <v>3362</v>
      </c>
      <c r="G2" s="137">
        <f>'Consommation mensuel énergie'!N10</f>
        <v>1521</v>
      </c>
      <c r="H2" s="137">
        <f>'Consommation mensuel énergie'!D10</f>
        <v>21</v>
      </c>
      <c r="I2" s="137">
        <f>'Consommation mensuel énergie'!E10</f>
        <v>40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</v>
      </c>
      <c r="D3" s="141">
        <v>2022</v>
      </c>
      <c r="E3" s="137">
        <f>'Consommation mensuel énergie'!L11</f>
        <v>2452</v>
      </c>
      <c r="F3" s="137">
        <f>'Consommation mensuel énergie'!M11</f>
        <v>3357</v>
      </c>
      <c r="G3" s="137">
        <f>'Consommation mensuel énergie'!N11</f>
        <v>1493</v>
      </c>
      <c r="H3" s="137">
        <f>'Consommation mensuel énergie'!D11</f>
        <v>16</v>
      </c>
      <c r="I3" s="137">
        <f>'Consommation mensuel énergie'!E11</f>
        <v>36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</v>
      </c>
      <c r="D4" s="141">
        <v>2022</v>
      </c>
      <c r="E4" s="137">
        <f>'Consommation mensuel énergie'!L12</f>
        <v>2448</v>
      </c>
      <c r="F4" s="137">
        <f>'Consommation mensuel énergie'!M12</f>
        <v>3259</v>
      </c>
      <c r="G4" s="137">
        <f>'Consommation mensuel énergie'!N12</f>
        <v>1482</v>
      </c>
      <c r="H4" s="137">
        <f>'Consommation mensuel énergie'!D12</f>
        <v>10</v>
      </c>
      <c r="I4" s="137">
        <f>'Consommation mensuel énergie'!E12</f>
        <v>19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</v>
      </c>
      <c r="D5" s="141">
        <v>2022</v>
      </c>
      <c r="E5" s="137">
        <f>'Consommation mensuel énergie'!L13</f>
        <v>2417</v>
      </c>
      <c r="F5" s="137">
        <f>'Consommation mensuel énergie'!M13</f>
        <v>3239</v>
      </c>
      <c r="G5" s="137">
        <f>'Consommation mensuel énergie'!N13</f>
        <v>503</v>
      </c>
      <c r="H5" s="137">
        <f>'Consommation mensuel énergie'!D13</f>
        <v>10</v>
      </c>
      <c r="I5" s="137">
        <f>'Consommation mensuel énergie'!E13</f>
        <v>15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</v>
      </c>
      <c r="D6" s="141">
        <v>2022</v>
      </c>
      <c r="E6" s="137">
        <f>'Consommation mensuel énergie'!L14</f>
        <v>2492</v>
      </c>
      <c r="F6" s="137">
        <f>'Consommation mensuel énergie'!M14</f>
        <v>3356</v>
      </c>
      <c r="G6" s="137">
        <f>'Consommation mensuel énergie'!N14</f>
        <v>2529</v>
      </c>
      <c r="H6" s="137">
        <f>'Consommation mensuel énergie'!D14</f>
        <v>10</v>
      </c>
      <c r="I6" s="137">
        <f>'Consommation mensuel énergie'!E14</f>
        <v>15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</v>
      </c>
      <c r="D7" s="141">
        <v>2022</v>
      </c>
      <c r="E7" s="137">
        <f>'Consommation mensuel énergie'!L15</f>
        <v>2531</v>
      </c>
      <c r="F7" s="137">
        <f>'Consommation mensuel énergie'!M15</f>
        <v>3310</v>
      </c>
      <c r="G7" s="137">
        <f>'Consommation mensuel énergie'!N15</f>
        <v>1454</v>
      </c>
      <c r="H7" s="137">
        <f>'Consommation mensuel énergie'!D15</f>
        <v>9</v>
      </c>
      <c r="I7" s="137">
        <f>'Consommation mensuel énergie'!E15</f>
        <v>15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</v>
      </c>
      <c r="D8" s="141">
        <v>2022</v>
      </c>
      <c r="E8" s="137">
        <f>'Consommation mensuel énergie'!L16</f>
        <v>2418</v>
      </c>
      <c r="F8" s="137">
        <f>'Consommation mensuel énergie'!M16</f>
        <v>3206</v>
      </c>
      <c r="G8" s="137">
        <f>'Consommation mensuel énergie'!N16</f>
        <v>1462</v>
      </c>
      <c r="H8" s="137">
        <f>'Consommation mensuel énergie'!D16</f>
        <v>15</v>
      </c>
      <c r="I8" s="137">
        <f>'Consommation mensuel énergie'!E16</f>
        <v>30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</v>
      </c>
      <c r="D9" s="141">
        <v>2022</v>
      </c>
      <c r="E9" s="137">
        <f>'Consommation mensuel énergie'!L17</f>
        <v>2490</v>
      </c>
      <c r="F9" s="137">
        <f>'Consommation mensuel énergie'!M17</f>
        <v>3204</v>
      </c>
      <c r="G9" s="137">
        <f>'Consommation mensuel énergie'!N17</f>
        <v>1522</v>
      </c>
      <c r="H9" s="137">
        <f>'Consommation mensuel énergie'!D17</f>
        <v>18</v>
      </c>
      <c r="I9" s="137">
        <f>'Consommation mensuel énergie'!E17</f>
        <v>28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</v>
      </c>
      <c r="D10" s="141">
        <v>2022</v>
      </c>
      <c r="E10" s="137">
        <f>'Consommation mensuel énergie'!L18</f>
        <v>2321</v>
      </c>
      <c r="F10" s="137">
        <f>'Consommation mensuel énergie'!M18</f>
        <v>3066</v>
      </c>
      <c r="G10" s="137">
        <f>'Consommation mensuel énergie'!N18</f>
        <v>1463</v>
      </c>
      <c r="H10" s="137">
        <f>'Consommation mensuel énergie'!D18</f>
        <v>13</v>
      </c>
      <c r="I10" s="137">
        <f>'Consommation mensuel énergie'!E18</f>
        <v>22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</v>
      </c>
      <c r="D11" s="141">
        <v>2022</v>
      </c>
      <c r="E11" s="137">
        <f>'Consommation mensuel énergie'!L19</f>
        <v>2371</v>
      </c>
      <c r="F11" s="137">
        <f>'Consommation mensuel énergie'!M19</f>
        <v>3040</v>
      </c>
      <c r="G11" s="137">
        <f>'Consommation mensuel énergie'!N19</f>
        <v>1420</v>
      </c>
      <c r="H11" s="137">
        <f>'Consommation mensuel énergie'!D19</f>
        <v>13</v>
      </c>
      <c r="I11" s="137">
        <f>'Consommation mensuel énergie'!E19</f>
        <v>21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</v>
      </c>
      <c r="D12" s="141">
        <v>2022</v>
      </c>
      <c r="E12" s="137">
        <f>'Consommation mensuel énergie'!L20</f>
        <v>2166</v>
      </c>
      <c r="F12" s="137">
        <f>'Consommation mensuel énergie'!M20</f>
        <v>2940</v>
      </c>
      <c r="G12" s="137">
        <f>'Consommation mensuel énergie'!N20</f>
        <v>1415</v>
      </c>
      <c r="H12" s="137">
        <f>'Consommation mensuel énergie'!D20</f>
        <v>13</v>
      </c>
      <c r="I12" s="137">
        <f>'Consommation mensuel énergie'!E20</f>
        <v>19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</v>
      </c>
      <c r="D13" s="141">
        <v>2022</v>
      </c>
      <c r="E13" s="137">
        <f>'Consommation mensuel énergie'!L21</f>
        <v>2319</v>
      </c>
      <c r="F13" s="137">
        <f>'Consommation mensuel énergie'!M21</f>
        <v>2916</v>
      </c>
      <c r="G13" s="137">
        <f>'Consommation mensuel énergie'!N21</f>
        <v>1376</v>
      </c>
      <c r="H13" s="137">
        <f>'Consommation mensuel énergie'!D21</f>
        <v>13</v>
      </c>
      <c r="I13" s="137">
        <f>'Consommation mensuel énergie'!E21</f>
        <v>17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</v>
      </c>
      <c r="D14" s="141">
        <v>2022</v>
      </c>
      <c r="E14" s="137">
        <f>'Consommation mensuel énergie'!L22</f>
        <v>2428</v>
      </c>
      <c r="F14" s="137">
        <f>'Consommation mensuel énergie'!M22</f>
        <v>3035</v>
      </c>
      <c r="G14" s="137">
        <f>'Consommation mensuel énergie'!N22</f>
        <v>1442</v>
      </c>
      <c r="H14" s="137">
        <f>'Consommation mensuel énergie'!D22</f>
        <v>11</v>
      </c>
      <c r="I14" s="137">
        <f>'Consommation mensuel énergie'!E22</f>
        <v>16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</v>
      </c>
      <c r="D15" s="141">
        <v>2022</v>
      </c>
      <c r="E15" s="137">
        <f>'Consommation mensuel énergie'!L23</f>
        <v>2101</v>
      </c>
      <c r="F15" s="137">
        <f>'Consommation mensuel énergie'!M23</f>
        <v>3085</v>
      </c>
      <c r="G15" s="137">
        <f>'Consommation mensuel énergie'!N23</f>
        <v>1391</v>
      </c>
      <c r="H15" s="137">
        <f>'Consommation mensuel énergie'!D23</f>
        <v>18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</v>
      </c>
      <c r="D16" s="141">
        <v>2022</v>
      </c>
      <c r="E16" s="137">
        <f>'Consommation mensuel énergie'!L24</f>
        <v>2318</v>
      </c>
      <c r="F16" s="137">
        <f>'Consommation mensuel énergie'!M24</f>
        <v>2909</v>
      </c>
      <c r="G16" s="137">
        <f>'Consommation mensuel énergie'!N24</f>
        <v>1386</v>
      </c>
      <c r="H16" s="137">
        <f>'Consommation mensuel énergie'!D24</f>
        <v>20</v>
      </c>
      <c r="I16" s="137">
        <f>'Consommation mensuel énergie'!E24</f>
        <v>27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</v>
      </c>
      <c r="D17" s="141">
        <v>2022</v>
      </c>
      <c r="E17" s="137">
        <f>'Consommation mensuel énergie'!L25</f>
        <v>2113</v>
      </c>
      <c r="F17" s="137">
        <f>'Consommation mensuel énergie'!M25</f>
        <v>2753</v>
      </c>
      <c r="G17" s="137">
        <f>'Consommation mensuel énergie'!N25</f>
        <v>1337</v>
      </c>
      <c r="H17" s="137">
        <f>'Consommation mensuel énergie'!D25</f>
        <v>13</v>
      </c>
      <c r="I17" s="137">
        <f>'Consommation mensuel énergie'!E25</f>
        <v>18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</v>
      </c>
      <c r="D18" s="141">
        <v>2022</v>
      </c>
      <c r="E18" s="137">
        <f>'Consommation mensuel énergie'!L26</f>
        <v>2139</v>
      </c>
      <c r="F18" s="137">
        <f>'Consommation mensuel énergie'!M26</f>
        <v>2720</v>
      </c>
      <c r="G18" s="137">
        <f>'Consommation mensuel énergie'!N26</f>
        <v>1293</v>
      </c>
      <c r="H18" s="137">
        <f>'Consommation mensuel énergie'!D26</f>
        <v>10</v>
      </c>
      <c r="I18" s="137">
        <f>'Consommation mensuel énergie'!E26</f>
        <v>13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</v>
      </c>
      <c r="D19" s="141">
        <v>2022</v>
      </c>
      <c r="E19" s="137">
        <f>'Consommation mensuel énergie'!L27</f>
        <v>2159</v>
      </c>
      <c r="F19" s="137">
        <f>'Consommation mensuel énergie'!M27</f>
        <v>2788</v>
      </c>
      <c r="G19" s="137">
        <f>'Consommation mensuel énergie'!N27</f>
        <v>1237</v>
      </c>
      <c r="H19" s="137">
        <f>'Consommation mensuel énergie'!D27</f>
        <v>4</v>
      </c>
      <c r="I19" s="137">
        <f>'Consommation mensuel énergie'!E27</f>
        <v>6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</v>
      </c>
      <c r="D20" s="141">
        <v>2022</v>
      </c>
      <c r="E20" s="137">
        <f>'Consommation mensuel énergie'!L28</f>
        <v>1993</v>
      </c>
      <c r="F20" s="137">
        <f>'Consommation mensuel énergie'!M28</f>
        <v>2606</v>
      </c>
      <c r="G20" s="137">
        <f>'Consommation mensuel énergie'!N28</f>
        <v>1260</v>
      </c>
      <c r="H20" s="137">
        <f>'Consommation mensuel énergie'!D28</f>
        <v>6</v>
      </c>
      <c r="I20" s="137">
        <f>'Consommation mensuel énergie'!E28</f>
        <v>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</v>
      </c>
      <c r="D21" s="141">
        <v>2022</v>
      </c>
      <c r="E21" s="137">
        <f>'Consommation mensuel énergie'!L29</f>
        <v>2253</v>
      </c>
      <c r="F21" s="137">
        <f>'Consommation mensuel énergie'!M29</f>
        <v>2560</v>
      </c>
      <c r="G21" s="137">
        <f>'Consommation mensuel énergie'!N29</f>
        <v>1228</v>
      </c>
      <c r="H21" s="137">
        <f>'Consommation mensuel énergie'!D29</f>
        <v>7</v>
      </c>
      <c r="I21" s="137">
        <f>'Consommation mensuel énergie'!E29</f>
        <v>12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</v>
      </c>
      <c r="D22" s="141">
        <v>2022</v>
      </c>
      <c r="E22" s="137">
        <f>'Consommation mensuel énergie'!L30</f>
        <v>2039</v>
      </c>
      <c r="F22" s="137">
        <f>'Consommation mensuel énergie'!M30</f>
        <v>2506</v>
      </c>
      <c r="G22" s="137">
        <f>'Consommation mensuel énergie'!N30</f>
        <v>1170</v>
      </c>
      <c r="H22" s="137">
        <f>'Consommation mensuel énergie'!D30</f>
        <v>12</v>
      </c>
      <c r="I22" s="137">
        <f>'Consommation mensuel énergie'!E30</f>
        <v>24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</v>
      </c>
      <c r="D23" s="141">
        <v>2022</v>
      </c>
      <c r="E23" s="137">
        <f>'Consommation mensuel énergie'!L31</f>
        <v>2172</v>
      </c>
      <c r="F23" s="137">
        <f>'Consommation mensuel énergie'!M31</f>
        <v>2617</v>
      </c>
      <c r="G23" s="137">
        <f>'Consommation mensuel énergie'!N31</f>
        <v>1247</v>
      </c>
      <c r="H23" s="137">
        <f>'Consommation mensuel énergie'!D31</f>
        <v>13</v>
      </c>
      <c r="I23" s="137">
        <f>'Consommation mensuel énergie'!E31</f>
        <v>21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</v>
      </c>
      <c r="D24" s="141">
        <v>2022</v>
      </c>
      <c r="E24" s="137">
        <f>'Consommation mensuel énergie'!L32</f>
        <v>2103</v>
      </c>
      <c r="F24" s="137">
        <f>'Consommation mensuel énergie'!M32</f>
        <v>2572</v>
      </c>
      <c r="G24" s="137">
        <f>'Consommation mensuel énergie'!N32</f>
        <v>1263</v>
      </c>
      <c r="H24" s="137">
        <f>'Consommation mensuel énergie'!D32</f>
        <v>10</v>
      </c>
      <c r="I24" s="137">
        <f>'Consommation mensuel énergie'!E32</f>
        <v>21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</v>
      </c>
      <c r="D25" s="141">
        <v>2022</v>
      </c>
      <c r="E25" s="137">
        <f>'Consommation mensuel énergie'!L33</f>
        <v>2198</v>
      </c>
      <c r="F25" s="137">
        <f>'Consommation mensuel énergie'!M33</f>
        <v>2616</v>
      </c>
      <c r="G25" s="137">
        <f>'Consommation mensuel énergie'!N33</f>
        <v>1256</v>
      </c>
      <c r="H25" s="137">
        <f>'Consommation mensuel énergie'!D33</f>
        <v>9</v>
      </c>
      <c r="I25" s="137">
        <f>'Consommation mensuel énergie'!E33</f>
        <v>16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</v>
      </c>
      <c r="D26" s="141">
        <v>2022</v>
      </c>
      <c r="E26" s="137">
        <f>'Consommation mensuel énergie'!L34</f>
        <v>2032</v>
      </c>
      <c r="F26" s="137">
        <f>'Consommation mensuel énergie'!M34</f>
        <v>2685</v>
      </c>
      <c r="G26" s="137">
        <f>'Consommation mensuel énergie'!N34</f>
        <v>1244</v>
      </c>
      <c r="H26" s="137">
        <f>'Consommation mensuel énergie'!D34</f>
        <v>8</v>
      </c>
      <c r="I26" s="137">
        <f>'Consommation mensuel énergie'!E34</f>
        <v>12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</v>
      </c>
      <c r="D27" s="141">
        <v>2022</v>
      </c>
      <c r="E27" s="137">
        <f>'Consommation mensuel énergie'!L35</f>
        <v>2144</v>
      </c>
      <c r="F27" s="137">
        <f>'Consommation mensuel énergie'!M35</f>
        <v>2728</v>
      </c>
      <c r="G27" s="137">
        <f>'Consommation mensuel énergie'!N35</f>
        <v>1245</v>
      </c>
      <c r="H27" s="137">
        <f>'Consommation mensuel énergie'!D35</f>
        <v>17</v>
      </c>
      <c r="I27" s="137">
        <f>'Consommation mensuel énergie'!E35</f>
        <v>23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</v>
      </c>
      <c r="D28" s="141">
        <v>2022</v>
      </c>
      <c r="E28" s="137">
        <f>'Consommation mensuel énergie'!L36</f>
        <v>2239</v>
      </c>
      <c r="F28" s="137">
        <f>'Consommation mensuel énergie'!M36</f>
        <v>2698</v>
      </c>
      <c r="G28" s="137">
        <f>'Consommation mensuel énergie'!N36</f>
        <v>1310</v>
      </c>
      <c r="H28" s="137">
        <f>'Consommation mensuel énergie'!D36</f>
        <v>15</v>
      </c>
      <c r="I28" s="137">
        <f>'Consommation mensuel énergie'!E36</f>
        <v>20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</v>
      </c>
      <c r="D29" s="141">
        <v>2022</v>
      </c>
      <c r="E29" s="137">
        <f>'Consommation mensuel énergie'!L37</f>
        <v>2054</v>
      </c>
      <c r="F29" s="137">
        <f>'Consommation mensuel énergie'!M37</f>
        <v>2869</v>
      </c>
      <c r="G29" s="137">
        <f>'Consommation mensuel énergie'!N37</f>
        <v>1312</v>
      </c>
      <c r="H29" s="137">
        <f>'Consommation mensuel énergie'!D37</f>
        <v>18</v>
      </c>
      <c r="I29" s="137">
        <f>'Consommation mensuel énergie'!E37</f>
        <v>27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</v>
      </c>
      <c r="D30" s="141">
        <v>2022</v>
      </c>
      <c r="E30" s="137">
        <f>'Consommation mensuel énergie'!L38</f>
        <v>2109</v>
      </c>
      <c r="F30" s="137">
        <f>'Consommation mensuel énergie'!M38</f>
        <v>2594</v>
      </c>
      <c r="G30" s="137">
        <f>'Consommation mensuel énergie'!N38</f>
        <v>1222</v>
      </c>
      <c r="H30" s="137">
        <f>'Consommation mensuel énergie'!D38</f>
        <v>15</v>
      </c>
      <c r="I30" s="137">
        <f>'Consommation mensuel énergie'!E38</f>
        <v>26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</v>
      </c>
      <c r="D31" s="141">
        <v>2022</v>
      </c>
      <c r="E31" s="137">
        <f>'Consommation mensuel énergie'!L39</f>
        <v>2092</v>
      </c>
      <c r="F31" s="137">
        <f>'Consommation mensuel énergie'!M39</f>
        <v>2586</v>
      </c>
      <c r="G31" s="137">
        <f>'Consommation mensuel énergie'!N39</f>
        <v>1247</v>
      </c>
      <c r="H31" s="137">
        <f>'Consommation mensuel énergie'!D39</f>
        <v>7</v>
      </c>
      <c r="I31" s="137">
        <f>'Consommation mensuel énergie'!E39</f>
        <v>11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</v>
      </c>
      <c r="D32" s="141">
        <v>2022</v>
      </c>
      <c r="E32" s="137">
        <f>'Consommation mensuel énergie'!L40</f>
        <v>2058</v>
      </c>
      <c r="F32" s="137">
        <f>'Consommation mensuel énergie'!M40</f>
        <v>2590</v>
      </c>
      <c r="G32" s="137">
        <f>'Consommation mensuel énergie'!N40</f>
        <v>1240</v>
      </c>
      <c r="H32" s="137">
        <f>'Consommation mensuel énergie'!D40</f>
        <v>10</v>
      </c>
      <c r="I32" s="137">
        <f>'Consommation mensuel énergie'!E40</f>
        <v>14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X10" sqref="X10:X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 x14ac:dyDescent="0.25"/>
    <row r="4" spans="1:24" ht="39" hidden="1" customHeight="1" thickBot="1" x14ac:dyDescent="0.25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 x14ac:dyDescent="0.25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 x14ac:dyDescent="0.25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 x14ac:dyDescent="0.25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 x14ac:dyDescent="0.25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4" t="s">
        <v>30</v>
      </c>
      <c r="M9" s="154" t="s">
        <v>31</v>
      </c>
      <c r="N9" s="154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 x14ac:dyDescent="0.2">
      <c r="A10" s="2"/>
      <c r="B10" s="6">
        <v>44562</v>
      </c>
      <c r="C10" s="7"/>
      <c r="D10" s="143">
        <v>21</v>
      </c>
      <c r="E10" s="143">
        <v>40</v>
      </c>
      <c r="F10" s="13">
        <f>'Suivi EAU-ELEC'!E9</f>
        <v>8.7999999999883585</v>
      </c>
      <c r="G10" s="11"/>
      <c r="H10" s="166">
        <f>F10*8.79</f>
        <v>77.351999999897657</v>
      </c>
      <c r="I10" s="167"/>
      <c r="J10" s="167"/>
      <c r="K10" s="60">
        <v>42278</v>
      </c>
      <c r="L10" s="90">
        <f>'Suivi EAU-ELEC'!G9</f>
        <v>2484</v>
      </c>
      <c r="M10" s="91">
        <f>'Suivi EAU-ELEC'!I9</f>
        <v>3362</v>
      </c>
      <c r="N10" s="91">
        <f>'Suivi EAU-ELEC'!K9</f>
        <v>1521</v>
      </c>
      <c r="O10" s="91">
        <f>L10+M10+N10</f>
        <v>7367</v>
      </c>
      <c r="P10" s="11"/>
      <c r="Q10" s="34">
        <f>L10*0.6985+M10*0.9514+N10*1.3304</f>
        <v>6957.2192000000005</v>
      </c>
      <c r="R10" s="11"/>
      <c r="S10" s="28"/>
      <c r="T10" s="11"/>
      <c r="U10" s="28"/>
      <c r="V10" s="146">
        <f>'Suvi Gaz'!O4</f>
        <v>191.99526</v>
      </c>
      <c r="W10" s="11"/>
      <c r="X10" s="34">
        <f>V10*11.665</f>
        <v>2239.6247079</v>
      </c>
    </row>
    <row r="11" spans="1:24" ht="32.25" customHeight="1" x14ac:dyDescent="0.2">
      <c r="A11" s="2"/>
      <c r="B11" s="6">
        <v>44563</v>
      </c>
      <c r="C11" s="7"/>
      <c r="D11" s="143">
        <v>16</v>
      </c>
      <c r="E11" s="143">
        <v>36</v>
      </c>
      <c r="F11" s="13">
        <f>'Suivi EAU-ELEC'!E10</f>
        <v>35</v>
      </c>
      <c r="G11" s="11"/>
      <c r="H11" s="166">
        <f t="shared" ref="H11:H21" si="0">F11*8.79</f>
        <v>307.64999999999998</v>
      </c>
      <c r="I11" s="167"/>
      <c r="J11" s="167"/>
      <c r="K11" s="60">
        <v>42279</v>
      </c>
      <c r="L11" s="90">
        <f>'Suivi EAU-ELEC'!G10</f>
        <v>2452</v>
      </c>
      <c r="M11" s="91">
        <f>'Suivi EAU-ELEC'!I10</f>
        <v>3357</v>
      </c>
      <c r="N11" s="91">
        <f>'Suivi EAU-ELEC'!K10</f>
        <v>1493</v>
      </c>
      <c r="O11" s="91">
        <f>L11+M11+N11</f>
        <v>7302</v>
      </c>
      <c r="P11" s="11"/>
      <c r="Q11" s="34">
        <f>L11*0.6985+M11*0.9514+N14*1.3304</f>
        <v>8271.1533999999992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V11*11.665</f>
        <v>2239.6247079</v>
      </c>
    </row>
    <row r="12" spans="1:24" ht="32.25" customHeight="1" x14ac:dyDescent="0.2">
      <c r="A12" s="2"/>
      <c r="B12" s="6">
        <v>44564</v>
      </c>
      <c r="C12" s="7"/>
      <c r="D12" s="143">
        <v>10</v>
      </c>
      <c r="E12" s="143">
        <v>19</v>
      </c>
      <c r="F12" s="13">
        <f>'Suivi EAU-ELEC'!E11</f>
        <v>53</v>
      </c>
      <c r="G12" s="11"/>
      <c r="H12" s="166">
        <f t="shared" si="0"/>
        <v>465.86999999999995</v>
      </c>
      <c r="I12" s="167"/>
      <c r="J12" s="167"/>
      <c r="K12" s="60">
        <v>42280</v>
      </c>
      <c r="L12" s="90">
        <f>'Suivi EAU-ELEC'!G11</f>
        <v>2448</v>
      </c>
      <c r="M12" s="91">
        <f>'Suivi EAU-ELEC'!I11</f>
        <v>3259</v>
      </c>
      <c r="N12" s="91">
        <f>'Suivi EAU-ELEC'!K11</f>
        <v>1482</v>
      </c>
      <c r="O12" s="91">
        <f>L12+M12+N12</f>
        <v>7189</v>
      </c>
      <c r="P12" s="11"/>
      <c r="Q12" s="34">
        <f>L12*0.6985+M12*0.9514+N12*1.3304</f>
        <v>6782.1934000000001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4105.9786311499993</v>
      </c>
    </row>
    <row r="13" spans="1:24" ht="32.25" customHeight="1" x14ac:dyDescent="0.2">
      <c r="A13" s="2"/>
      <c r="B13" s="6">
        <v>44565</v>
      </c>
      <c r="C13" s="7"/>
      <c r="D13" s="143">
        <v>10</v>
      </c>
      <c r="E13" s="143">
        <v>15</v>
      </c>
      <c r="F13" s="13">
        <f>'Suivi EAU-ELEC'!E12</f>
        <v>42.899999999994179</v>
      </c>
      <c r="G13" s="11"/>
      <c r="H13" s="166">
        <f t="shared" si="0"/>
        <v>377.09099999994879</v>
      </c>
      <c r="I13" s="167"/>
      <c r="J13" s="167"/>
      <c r="K13" s="60">
        <v>42281</v>
      </c>
      <c r="L13" s="90">
        <f>'Suivi EAU-ELEC'!G12</f>
        <v>2417</v>
      </c>
      <c r="M13" s="91">
        <f>'Suivi EAU-ELEC'!I12</f>
        <v>3239</v>
      </c>
      <c r="N13" s="91">
        <f>'Suivi EAU-ELEC'!K12</f>
        <v>503</v>
      </c>
      <c r="O13" s="91">
        <f t="shared" ref="O13:O40" si="2">L13+M13+N13</f>
        <v>6159</v>
      </c>
      <c r="P13" s="11"/>
      <c r="Q13" s="34">
        <f t="shared" ref="Q13:Q40" si="3">L13*0.6985+M13*0.9514+N13*1.3304</f>
        <v>5439.0502999999999</v>
      </c>
      <c r="R13" s="11"/>
      <c r="S13" s="28"/>
      <c r="T13" s="11"/>
      <c r="U13" s="28"/>
      <c r="V13" s="146">
        <f>'Suvi Gaz'!O7</f>
        <v>383.99052</v>
      </c>
      <c r="W13" s="11"/>
      <c r="X13" s="34">
        <f t="shared" si="1"/>
        <v>4479.2494158</v>
      </c>
    </row>
    <row r="14" spans="1:24" ht="32.25" customHeight="1" x14ac:dyDescent="0.2">
      <c r="A14" s="2"/>
      <c r="B14" s="6">
        <v>44566</v>
      </c>
      <c r="C14" s="7"/>
      <c r="D14" s="143">
        <v>10</v>
      </c>
      <c r="E14" s="143">
        <v>15</v>
      </c>
      <c r="F14" s="13">
        <f>'Suivi EAU-ELEC'!E13</f>
        <v>48.399999999994179</v>
      </c>
      <c r="G14" s="12"/>
      <c r="H14" s="166">
        <f t="shared" si="0"/>
        <v>425.43599999994882</v>
      </c>
      <c r="I14" s="167"/>
      <c r="J14" s="167"/>
      <c r="K14" s="60">
        <v>42282</v>
      </c>
      <c r="L14" s="90">
        <f>'Suivi EAU-ELEC'!G13</f>
        <v>2492</v>
      </c>
      <c r="M14" s="91">
        <f>'Suivi EAU-ELEC'!I13</f>
        <v>3356</v>
      </c>
      <c r="N14" s="91">
        <f>'Suivi EAU-ELEC'!K13</f>
        <v>2529</v>
      </c>
      <c r="O14" s="91">
        <f t="shared" si="2"/>
        <v>8377</v>
      </c>
      <c r="P14" s="12"/>
      <c r="Q14" s="34">
        <f t="shared" si="3"/>
        <v>8298.1419999999998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3359.4370618499997</v>
      </c>
    </row>
    <row r="15" spans="1:24" ht="32.25" customHeight="1" x14ac:dyDescent="0.2">
      <c r="A15" s="5"/>
      <c r="B15" s="6">
        <v>44567</v>
      </c>
      <c r="C15" s="7"/>
      <c r="D15" s="143">
        <v>9</v>
      </c>
      <c r="E15" s="143">
        <v>15</v>
      </c>
      <c r="F15" s="13">
        <f>'Suivi EAU-ELEC'!E14</f>
        <v>49.900000000023283</v>
      </c>
      <c r="G15" s="11"/>
      <c r="H15" s="166">
        <f t="shared" si="0"/>
        <v>438.62100000020462</v>
      </c>
      <c r="I15" s="167"/>
      <c r="J15" s="167"/>
      <c r="K15" s="60">
        <v>42283</v>
      </c>
      <c r="L15" s="90">
        <f>'Suivi EAU-ELEC'!G14</f>
        <v>2531</v>
      </c>
      <c r="M15" s="91">
        <f>'Suivi EAU-ELEC'!I14</f>
        <v>3310</v>
      </c>
      <c r="N15" s="91">
        <f>'Suivi EAU-ELEC'!K14</f>
        <v>1454</v>
      </c>
      <c r="O15" s="91">
        <f t="shared" si="2"/>
        <v>7295</v>
      </c>
      <c r="P15" s="12"/>
      <c r="Q15" s="34">
        <f>L15*0.6985+M15*0.9514+N15*1.3304</f>
        <v>6851.4391000000005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 t="shared" si="1"/>
        <v>1493.0831386</v>
      </c>
    </row>
    <row r="16" spans="1:24" ht="32.25" customHeight="1" x14ac:dyDescent="0.2">
      <c r="A16" s="5"/>
      <c r="B16" s="6">
        <v>44568</v>
      </c>
      <c r="C16" s="7"/>
      <c r="D16" s="143">
        <v>15</v>
      </c>
      <c r="E16" s="143">
        <v>30</v>
      </c>
      <c r="F16" s="13">
        <f>'Suivi EAU-ELEC'!E15</f>
        <v>39.799999999988358</v>
      </c>
      <c r="G16" s="11"/>
      <c r="H16" s="166">
        <f t="shared" si="0"/>
        <v>349.84199999989761</v>
      </c>
      <c r="I16" s="167"/>
      <c r="J16" s="167"/>
      <c r="K16" s="60">
        <v>42284</v>
      </c>
      <c r="L16" s="90">
        <f>'Suivi EAU-ELEC'!G15</f>
        <v>2418</v>
      </c>
      <c r="M16" s="91">
        <f>'Suivi EAU-ELEC'!I15</f>
        <v>3206</v>
      </c>
      <c r="N16" s="91">
        <f>'Suivi EAU-ELEC'!K15</f>
        <v>1462</v>
      </c>
      <c r="O16" s="91">
        <f t="shared" si="2"/>
        <v>7086</v>
      </c>
      <c r="P16" s="11"/>
      <c r="Q16" s="34">
        <f t="shared" si="3"/>
        <v>6684.2062000000005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2239.6247079</v>
      </c>
    </row>
    <row r="17" spans="1:24" s="5" customFormat="1" ht="32.25" customHeight="1" x14ac:dyDescent="0.2">
      <c r="A17" s="2"/>
      <c r="B17" s="6">
        <v>44569</v>
      </c>
      <c r="C17" s="7"/>
      <c r="D17" s="143">
        <v>18</v>
      </c>
      <c r="E17" s="143">
        <v>28</v>
      </c>
      <c r="F17" s="13">
        <f>'Suivi EAU-ELEC'!E16</f>
        <v>41</v>
      </c>
      <c r="G17" s="11"/>
      <c r="H17" s="166">
        <f t="shared" si="0"/>
        <v>360.39</v>
      </c>
      <c r="I17" s="167"/>
      <c r="J17" s="167"/>
      <c r="K17" s="60">
        <v>42285</v>
      </c>
      <c r="L17" s="90">
        <f>'Suivi EAU-ELEC'!G16</f>
        <v>2490</v>
      </c>
      <c r="M17" s="91">
        <f>'Suivi EAU-ELEC'!I16</f>
        <v>3204</v>
      </c>
      <c r="N17" s="91">
        <f>'Suivi EAU-ELEC'!K16</f>
        <v>1522</v>
      </c>
      <c r="O17" s="91">
        <f t="shared" si="2"/>
        <v>7216</v>
      </c>
      <c r="P17" s="12"/>
      <c r="Q17" s="34">
        <f t="shared" si="3"/>
        <v>6812.4194000000007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3359.4370618499997</v>
      </c>
    </row>
    <row r="18" spans="1:24" ht="32.25" customHeight="1" x14ac:dyDescent="0.2">
      <c r="A18" s="2"/>
      <c r="B18" s="6">
        <v>44570</v>
      </c>
      <c r="C18" s="7"/>
      <c r="D18" s="143">
        <v>13</v>
      </c>
      <c r="E18" s="143">
        <v>22</v>
      </c>
      <c r="F18" s="13">
        <f>'Suivi EAU-ELEC'!E17</f>
        <v>49</v>
      </c>
      <c r="G18" s="11"/>
      <c r="H18" s="166">
        <f t="shared" si="0"/>
        <v>430.71</v>
      </c>
      <c r="I18" s="167"/>
      <c r="J18" s="167"/>
      <c r="K18" s="60">
        <v>42286</v>
      </c>
      <c r="L18" s="90">
        <f>'Suivi EAU-ELEC'!G17</f>
        <v>2321</v>
      </c>
      <c r="M18" s="91">
        <f>'Suivi EAU-ELEC'!I17</f>
        <v>3066</v>
      </c>
      <c r="N18" s="91">
        <f>'Suivi EAU-ELEC'!K17</f>
        <v>1463</v>
      </c>
      <c r="O18" s="91">
        <f t="shared" si="2"/>
        <v>6850</v>
      </c>
      <c r="P18" s="12"/>
      <c r="Q18" s="34">
        <f t="shared" si="3"/>
        <v>6484.5861000000004</v>
      </c>
      <c r="R18" s="12"/>
      <c r="S18" s="28"/>
      <c r="T18" s="12"/>
      <c r="U18" s="28"/>
      <c r="V18" s="146">
        <f>'Suvi Gaz'!O12</f>
        <v>383.99052</v>
      </c>
      <c r="W18" s="11"/>
      <c r="X18" s="34">
        <f t="shared" si="1"/>
        <v>4479.2494158</v>
      </c>
    </row>
    <row r="19" spans="1:24" ht="32.25" customHeight="1" x14ac:dyDescent="0.2">
      <c r="A19" s="2"/>
      <c r="B19" s="6">
        <v>44571</v>
      </c>
      <c r="C19" s="7"/>
      <c r="D19" s="143">
        <v>13</v>
      </c>
      <c r="E19" s="143">
        <v>21</v>
      </c>
      <c r="F19" s="13">
        <f>'Suivi EAU-ELEC'!E18</f>
        <v>43</v>
      </c>
      <c r="G19" s="12"/>
      <c r="H19" s="166">
        <f t="shared" si="0"/>
        <v>377.96999999999997</v>
      </c>
      <c r="I19" s="167"/>
      <c r="J19" s="167"/>
      <c r="K19" s="60">
        <v>42287</v>
      </c>
      <c r="L19" s="90">
        <f>'Suivi EAU-ELEC'!G18</f>
        <v>2371</v>
      </c>
      <c r="M19" s="91">
        <f>'Suivi EAU-ELEC'!I18</f>
        <v>3040</v>
      </c>
      <c r="N19" s="91">
        <f>'Suivi EAU-ELEC'!K18</f>
        <v>1420</v>
      </c>
      <c r="O19" s="91">
        <f t="shared" si="2"/>
        <v>6831</v>
      </c>
      <c r="P19" s="12"/>
      <c r="Q19" s="34">
        <f t="shared" si="3"/>
        <v>6437.5674999999992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1866.3539232499998</v>
      </c>
    </row>
    <row r="20" spans="1:24" ht="32.25" customHeight="1" x14ac:dyDescent="0.2">
      <c r="A20" s="2"/>
      <c r="B20" s="6">
        <v>44572</v>
      </c>
      <c r="C20" s="7"/>
      <c r="D20" s="143">
        <v>13</v>
      </c>
      <c r="E20" s="143">
        <v>19</v>
      </c>
      <c r="F20" s="13">
        <f>'Suivi EAU-ELEC'!E19</f>
        <v>45.299999999988358</v>
      </c>
      <c r="G20" s="12"/>
      <c r="H20" s="166">
        <f t="shared" si="0"/>
        <v>398.18699999989764</v>
      </c>
      <c r="I20" s="167"/>
      <c r="J20" s="167"/>
      <c r="K20" s="60">
        <v>42288</v>
      </c>
      <c r="L20" s="90">
        <f>'Suivi EAU-ELEC'!G19</f>
        <v>2166</v>
      </c>
      <c r="M20" s="91">
        <f>'Suivi EAU-ELEC'!I19</f>
        <v>2940</v>
      </c>
      <c r="N20" s="91">
        <f>'Suivi EAU-ELEC'!K19</f>
        <v>1415</v>
      </c>
      <c r="O20" s="91">
        <f t="shared" si="2"/>
        <v>6521</v>
      </c>
      <c r="P20" s="12"/>
      <c r="Q20" s="34">
        <f t="shared" si="3"/>
        <v>6192.5830000000005</v>
      </c>
      <c r="R20" s="12"/>
      <c r="S20" s="28"/>
      <c r="T20" s="12"/>
      <c r="U20" s="28"/>
      <c r="V20" s="146">
        <f>'Suvi Gaz'!O14</f>
        <v>127.99684000000001</v>
      </c>
      <c r="W20" s="11"/>
      <c r="X20" s="34">
        <f t="shared" si="1"/>
        <v>1493.0831386</v>
      </c>
    </row>
    <row r="21" spans="1:24" ht="32.25" customHeight="1" x14ac:dyDescent="0.2">
      <c r="A21" s="2"/>
      <c r="B21" s="6">
        <v>44573</v>
      </c>
      <c r="C21" s="7"/>
      <c r="D21" s="143">
        <v>13</v>
      </c>
      <c r="E21" s="143">
        <v>17</v>
      </c>
      <c r="F21" s="13">
        <f>'Suivi EAU-ELEC'!E20</f>
        <v>39.600000000005821</v>
      </c>
      <c r="G21" s="12"/>
      <c r="H21" s="166">
        <f t="shared" si="0"/>
        <v>348.08400000005111</v>
      </c>
      <c r="I21" s="167"/>
      <c r="J21" s="167"/>
      <c r="K21" s="60">
        <v>42289</v>
      </c>
      <c r="L21" s="90">
        <f>'Suivi EAU-ELEC'!G20</f>
        <v>2319</v>
      </c>
      <c r="M21" s="91">
        <f>'Suivi EAU-ELEC'!I20</f>
        <v>2916</v>
      </c>
      <c r="N21" s="91">
        <f>'Suivi EAU-ELEC'!K20</f>
        <v>1376</v>
      </c>
      <c r="O21" s="91">
        <f>L21+M21+N21</f>
        <v>6611</v>
      </c>
      <c r="P21" s="12"/>
      <c r="Q21" s="34">
        <f t="shared" si="3"/>
        <v>6224.7343000000001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1866.3539232499998</v>
      </c>
    </row>
    <row r="22" spans="1:24" ht="32.25" customHeight="1" x14ac:dyDescent="0.2">
      <c r="A22" s="2"/>
      <c r="B22" s="6">
        <v>44574</v>
      </c>
      <c r="C22" s="7"/>
      <c r="D22" s="143">
        <v>11</v>
      </c>
      <c r="E22" s="143">
        <v>16</v>
      </c>
      <c r="F22" s="13">
        <f>'Suivi EAU-ELEC'!E21</f>
        <v>43.5</v>
      </c>
      <c r="G22" s="12"/>
      <c r="H22" s="166">
        <f t="shared" ref="H22:H35" si="4">F22*8.79</f>
        <v>382.36499999999995</v>
      </c>
      <c r="I22" s="167"/>
      <c r="J22" s="167"/>
      <c r="K22" s="60">
        <v>42290</v>
      </c>
      <c r="L22" s="90">
        <f>'Suivi EAU-ELEC'!G21</f>
        <v>2428</v>
      </c>
      <c r="M22" s="91">
        <f>'Suivi EAU-ELEC'!I21</f>
        <v>3035</v>
      </c>
      <c r="N22" s="91">
        <f>'Suivi EAU-ELEC'!K21</f>
        <v>1442</v>
      </c>
      <c r="O22" s="91">
        <f t="shared" si="2"/>
        <v>6905</v>
      </c>
      <c r="P22" s="12"/>
      <c r="Q22" s="34">
        <f t="shared" si="3"/>
        <v>6501.8937999999998</v>
      </c>
      <c r="R22" s="12"/>
      <c r="S22" s="28"/>
      <c r="T22" s="12"/>
      <c r="U22" s="28"/>
      <c r="V22" s="146">
        <f>'Suvi Gaz'!O16</f>
        <v>127.99684000000001</v>
      </c>
      <c r="W22" s="11"/>
      <c r="X22" s="34">
        <f t="shared" si="1"/>
        <v>1493.0831386</v>
      </c>
    </row>
    <row r="23" spans="1:24" ht="32.25" customHeight="1" x14ac:dyDescent="0.2">
      <c r="A23" s="2"/>
      <c r="B23" s="6">
        <v>44575</v>
      </c>
      <c r="C23" s="7"/>
      <c r="D23" s="143">
        <v>18</v>
      </c>
      <c r="E23" s="143">
        <v>26</v>
      </c>
      <c r="F23" s="13">
        <f>'Suivi EAU-ELEC'!E22</f>
        <v>42.200000000011642</v>
      </c>
      <c r="G23" s="14"/>
      <c r="H23" s="166">
        <f t="shared" si="4"/>
        <v>370.93800000010231</v>
      </c>
      <c r="I23" s="167"/>
      <c r="J23" s="167"/>
      <c r="K23" s="60">
        <v>42291</v>
      </c>
      <c r="L23" s="90">
        <f>'Suivi EAU-ELEC'!G22</f>
        <v>2101</v>
      </c>
      <c r="M23" s="91">
        <f>'Suivi EAU-ELEC'!I22</f>
        <v>3085</v>
      </c>
      <c r="N23" s="91">
        <f>'Suivi EAU-ELEC'!K22</f>
        <v>1391</v>
      </c>
      <c r="O23" s="91">
        <f>L23+M23+N23</f>
        <v>6577</v>
      </c>
      <c r="P23" s="12"/>
      <c r="Q23" s="34">
        <f>L23*0.6985+M23*0.9514+N23*1.3304</f>
        <v>6253.2039000000004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2986.1662772</v>
      </c>
    </row>
    <row r="24" spans="1:24" ht="32.25" customHeight="1" x14ac:dyDescent="0.2">
      <c r="A24" s="2"/>
      <c r="B24" s="6">
        <v>44576</v>
      </c>
      <c r="C24" s="7"/>
      <c r="D24" s="143">
        <v>20</v>
      </c>
      <c r="E24" s="143">
        <v>27</v>
      </c>
      <c r="F24" s="13">
        <f>'Suivi EAU-ELEC'!E23</f>
        <v>46.899999999994179</v>
      </c>
      <c r="G24" s="14"/>
      <c r="H24" s="166">
        <f t="shared" si="4"/>
        <v>412.25099999994882</v>
      </c>
      <c r="I24" s="167"/>
      <c r="J24" s="167"/>
      <c r="K24" s="60">
        <v>42292</v>
      </c>
      <c r="L24" s="90">
        <f>'Suivi EAU-ELEC'!G23</f>
        <v>2318</v>
      </c>
      <c r="M24" s="91">
        <f>'Suivi EAU-ELEC'!I23</f>
        <v>2909</v>
      </c>
      <c r="N24" s="91">
        <f>'Suivi EAU-ELEC'!K23</f>
        <v>1386</v>
      </c>
      <c r="O24" s="91">
        <f>L24+M24+N24</f>
        <v>6613</v>
      </c>
      <c r="P24" s="12"/>
      <c r="Q24" s="34">
        <f>L24*0.6985+M24*0.9514+N24*1.3304</f>
        <v>6230.68</v>
      </c>
      <c r="R24" s="12"/>
      <c r="S24" s="28"/>
      <c r="T24" s="14"/>
      <c r="U24" s="28"/>
      <c r="V24" s="146">
        <f>'Suvi Gaz'!O18</f>
        <v>319.99209999999999</v>
      </c>
      <c r="W24" s="11"/>
      <c r="X24" s="34">
        <f t="shared" si="1"/>
        <v>3732.7078464999995</v>
      </c>
    </row>
    <row r="25" spans="1:24" ht="32.25" customHeight="1" x14ac:dyDescent="0.2">
      <c r="A25" s="2"/>
      <c r="B25" s="6">
        <v>44577</v>
      </c>
      <c r="C25" s="7"/>
      <c r="D25" s="143">
        <v>13</v>
      </c>
      <c r="E25" s="143">
        <v>18</v>
      </c>
      <c r="F25" s="13">
        <f>'Suivi EAU-ELEC'!E24</f>
        <v>49.5</v>
      </c>
      <c r="G25" s="14"/>
      <c r="H25" s="166">
        <f t="shared" si="4"/>
        <v>435.10499999999996</v>
      </c>
      <c r="I25" s="167"/>
      <c r="J25" s="167"/>
      <c r="K25" s="60">
        <v>42293</v>
      </c>
      <c r="L25" s="90">
        <f>'Suivi EAU-ELEC'!G24</f>
        <v>2113</v>
      </c>
      <c r="M25" s="91">
        <f>'Suivi EAU-ELEC'!I24</f>
        <v>2753</v>
      </c>
      <c r="N25" s="91">
        <f>'Suivi EAU-ELEC'!K24</f>
        <v>1337</v>
      </c>
      <c r="O25" s="91">
        <f>L25+M25+N25</f>
        <v>6203</v>
      </c>
      <c r="P25" s="12"/>
      <c r="Q25" s="34">
        <f>L25*0.6985+M25*0.9514+N25*1.3304</f>
        <v>5873.8795</v>
      </c>
      <c r="R25" s="12"/>
      <c r="S25" s="28"/>
      <c r="T25" s="14"/>
      <c r="U25" s="28"/>
      <c r="V25" s="146">
        <f>'Suvi Gaz'!O19</f>
        <v>191.99526</v>
      </c>
      <c r="W25" s="11"/>
      <c r="X25" s="34">
        <f t="shared" si="1"/>
        <v>2239.6247079</v>
      </c>
    </row>
    <row r="26" spans="1:24" ht="32.25" customHeight="1" x14ac:dyDescent="0.2">
      <c r="A26" s="2"/>
      <c r="B26" s="6">
        <v>44578</v>
      </c>
      <c r="C26" s="7"/>
      <c r="D26" s="143">
        <v>10</v>
      </c>
      <c r="E26" s="143">
        <v>13</v>
      </c>
      <c r="F26" s="13">
        <f>'Suivi EAU-ELEC'!E25</f>
        <v>36</v>
      </c>
      <c r="G26" s="14"/>
      <c r="H26" s="166">
        <f t="shared" si="4"/>
        <v>316.43999999999994</v>
      </c>
      <c r="I26" s="167"/>
      <c r="J26" s="167"/>
      <c r="K26" s="60">
        <v>42294</v>
      </c>
      <c r="L26" s="90">
        <f>'Suivi EAU-ELEC'!G25</f>
        <v>2139</v>
      </c>
      <c r="M26" s="91">
        <f>'Suivi EAU-ELEC'!I25</f>
        <v>2720</v>
      </c>
      <c r="N26" s="91">
        <f>'Suivi EAU-ELEC'!K25</f>
        <v>1293</v>
      </c>
      <c r="O26" s="91">
        <f>L26+M26+N26</f>
        <v>6152</v>
      </c>
      <c r="P26" s="14"/>
      <c r="Q26" s="34">
        <f>L26*0.6985+M26*0.9514+N26*1.3304</f>
        <v>5802.1067000000003</v>
      </c>
      <c r="R26" s="14"/>
      <c r="S26" s="28"/>
      <c r="T26" s="14"/>
      <c r="U26" s="28"/>
      <c r="V26" s="146">
        <f>'Suvi Gaz'!O20</f>
        <v>159.99605</v>
      </c>
      <c r="W26" s="11"/>
      <c r="X26" s="34">
        <f t="shared" si="1"/>
        <v>1866.3539232499998</v>
      </c>
    </row>
    <row r="27" spans="1:24" ht="32.25" customHeight="1" x14ac:dyDescent="0.2">
      <c r="A27" s="2"/>
      <c r="B27" s="6">
        <v>44579</v>
      </c>
      <c r="C27" s="7"/>
      <c r="D27" s="143">
        <v>4</v>
      </c>
      <c r="E27" s="143">
        <v>6</v>
      </c>
      <c r="F27" s="13">
        <f>'Suivi EAU-ELEC'!E26</f>
        <v>33.100000000005821</v>
      </c>
      <c r="G27" s="14"/>
      <c r="H27" s="166">
        <f t="shared" si="4"/>
        <v>290.94900000005111</v>
      </c>
      <c r="I27" s="167"/>
      <c r="J27" s="167"/>
      <c r="K27" s="60">
        <v>42295</v>
      </c>
      <c r="L27" s="90">
        <f>'Suivi EAU-ELEC'!G26</f>
        <v>2159</v>
      </c>
      <c r="M27" s="91">
        <f>'Suivi EAU-ELEC'!I26</f>
        <v>2788</v>
      </c>
      <c r="N27" s="91">
        <f>'Suivi EAU-ELEC'!K26</f>
        <v>1237</v>
      </c>
      <c r="O27" s="91">
        <f t="shared" si="2"/>
        <v>6184</v>
      </c>
      <c r="P27" s="14"/>
      <c r="Q27" s="34">
        <f t="shared" si="3"/>
        <v>5806.2695000000003</v>
      </c>
      <c r="R27" s="14"/>
      <c r="S27" s="28"/>
      <c r="T27" s="14"/>
      <c r="U27" s="28"/>
      <c r="V27" s="146">
        <f>'Suvi Gaz'!O21</f>
        <v>191.99526</v>
      </c>
      <c r="W27" s="11"/>
      <c r="X27" s="34">
        <f t="shared" si="1"/>
        <v>2239.6247079</v>
      </c>
    </row>
    <row r="28" spans="1:24" ht="32.25" customHeight="1" x14ac:dyDescent="0.2">
      <c r="A28" s="2"/>
      <c r="B28" s="6">
        <v>44580</v>
      </c>
      <c r="C28" s="7"/>
      <c r="D28" s="143">
        <v>6</v>
      </c>
      <c r="E28" s="143">
        <v>8</v>
      </c>
      <c r="F28" s="13">
        <f>'Suivi EAU-ELEC'!E27</f>
        <v>48.5</v>
      </c>
      <c r="G28" s="11"/>
      <c r="H28" s="166">
        <f t="shared" si="4"/>
        <v>426.31499999999994</v>
      </c>
      <c r="I28" s="167"/>
      <c r="J28" s="167"/>
      <c r="K28" s="60">
        <v>42296</v>
      </c>
      <c r="L28" s="90">
        <f>'Suivi EAU-ELEC'!G27</f>
        <v>1993</v>
      </c>
      <c r="M28" s="91">
        <f>'Suivi EAU-ELEC'!I27</f>
        <v>2606</v>
      </c>
      <c r="N28" s="91">
        <f>'Suivi EAU-ELEC'!K27</f>
        <v>1260</v>
      </c>
      <c r="O28" s="91">
        <f t="shared" si="2"/>
        <v>5859</v>
      </c>
      <c r="P28" s="11"/>
      <c r="Q28" s="34">
        <f>L28*0.6985+M28*0.9514+N28*1.3304</f>
        <v>5547.7628999999997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3359.4370618499997</v>
      </c>
    </row>
    <row r="29" spans="1:24" ht="32.25" customHeight="1" x14ac:dyDescent="0.2">
      <c r="A29" s="2"/>
      <c r="B29" s="6">
        <v>44581</v>
      </c>
      <c r="C29" s="7"/>
      <c r="D29" s="143">
        <v>7</v>
      </c>
      <c r="E29" s="143">
        <v>12</v>
      </c>
      <c r="F29" s="13">
        <f>'Suivi EAU-ELEC'!E28</f>
        <v>43.399999999994179</v>
      </c>
      <c r="G29" s="11"/>
      <c r="H29" s="166">
        <f t="shared" si="4"/>
        <v>381.48599999994877</v>
      </c>
      <c r="I29" s="167"/>
      <c r="J29" s="167"/>
      <c r="K29" s="60">
        <v>42297</v>
      </c>
      <c r="L29" s="90">
        <f>'Suivi EAU-ELEC'!G28</f>
        <v>2253</v>
      </c>
      <c r="M29" s="91">
        <f>'Suivi EAU-ELEC'!I28</f>
        <v>2560</v>
      </c>
      <c r="N29" s="91">
        <f>'Suivi EAU-ELEC'!K28</f>
        <v>1228</v>
      </c>
      <c r="O29" s="91">
        <f>L29+M29+N29</f>
        <v>6041</v>
      </c>
      <c r="P29" s="11"/>
      <c r="Q29" s="34">
        <f t="shared" si="3"/>
        <v>5643.0357000000004</v>
      </c>
      <c r="R29" s="11"/>
      <c r="S29" s="28"/>
      <c r="T29" s="11"/>
      <c r="U29" s="28"/>
      <c r="V29" s="146">
        <f>'Suvi Gaz'!O23</f>
        <v>127.99684000000001</v>
      </c>
      <c r="W29" s="11"/>
      <c r="X29" s="34">
        <f t="shared" si="1"/>
        <v>1493.0831386</v>
      </c>
    </row>
    <row r="30" spans="1:24" ht="32.25" customHeight="1" x14ac:dyDescent="0.2">
      <c r="A30" s="2"/>
      <c r="B30" s="6">
        <v>44582</v>
      </c>
      <c r="C30" s="7"/>
      <c r="D30" s="143">
        <v>12</v>
      </c>
      <c r="E30" s="143">
        <v>24</v>
      </c>
      <c r="F30" s="13">
        <f>'Suivi EAU-ELEC'!E29</f>
        <v>34</v>
      </c>
      <c r="G30" s="11"/>
      <c r="H30" s="166">
        <f t="shared" si="4"/>
        <v>298.85999999999996</v>
      </c>
      <c r="I30" s="167"/>
      <c r="J30" s="167"/>
      <c r="K30" s="60">
        <v>42298</v>
      </c>
      <c r="L30" s="90">
        <f>'Suivi EAU-ELEC'!G29</f>
        <v>2039</v>
      </c>
      <c r="M30" s="91">
        <f>'Suivi EAU-ELEC'!I29</f>
        <v>2506</v>
      </c>
      <c r="N30" s="91">
        <f>'Suivi EAU-ELEC'!K29</f>
        <v>1170</v>
      </c>
      <c r="O30" s="91">
        <f>L30+M30+N30</f>
        <v>5715</v>
      </c>
      <c r="P30" s="11"/>
      <c r="Q30" s="34">
        <f>L30*0.6985+M30*0.9514+N30*1.3304</f>
        <v>5365.0178999999998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2612.8954925499997</v>
      </c>
    </row>
    <row r="31" spans="1:24" ht="27.75" customHeight="1" x14ac:dyDescent="0.2">
      <c r="A31" s="2"/>
      <c r="B31" s="6">
        <v>44583</v>
      </c>
      <c r="C31" s="7"/>
      <c r="D31" s="143">
        <v>13</v>
      </c>
      <c r="E31" s="143">
        <v>21</v>
      </c>
      <c r="F31" s="13">
        <f>'Suivi EAU-ELEC'!E30</f>
        <v>53</v>
      </c>
      <c r="G31" s="11"/>
      <c r="H31" s="166">
        <f t="shared" si="4"/>
        <v>465.86999999999995</v>
      </c>
      <c r="I31" s="167"/>
      <c r="J31" s="167"/>
      <c r="K31" s="60">
        <v>42299</v>
      </c>
      <c r="L31" s="90">
        <f>'Suivi EAU-ELEC'!G30</f>
        <v>2172</v>
      </c>
      <c r="M31" s="91">
        <f>'Suivi EAU-ELEC'!I30</f>
        <v>2617</v>
      </c>
      <c r="N31" s="91">
        <f>'Suivi EAU-ELEC'!K30</f>
        <v>1247</v>
      </c>
      <c r="O31" s="91">
        <f>L31+M31+N31</f>
        <v>6036</v>
      </c>
      <c r="P31" s="11"/>
      <c r="Q31" s="34">
        <f>L31*0.6985+M31*0.9514+N31*1.3304</f>
        <v>5665.9645999999993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3732.7078464999995</v>
      </c>
    </row>
    <row r="32" spans="1:24" ht="37.5" customHeight="1" x14ac:dyDescent="0.2">
      <c r="A32" s="2"/>
      <c r="B32" s="6">
        <v>44584</v>
      </c>
      <c r="C32" s="7"/>
      <c r="D32" s="143">
        <v>10</v>
      </c>
      <c r="E32" s="143">
        <v>21</v>
      </c>
      <c r="F32" s="13">
        <f>'Suivi EAU-ELEC'!E31</f>
        <v>39</v>
      </c>
      <c r="G32" s="11"/>
      <c r="H32" s="166">
        <f t="shared" si="4"/>
        <v>342.80999999999995</v>
      </c>
      <c r="I32" s="167"/>
      <c r="J32" s="167"/>
      <c r="K32" s="60">
        <v>42300</v>
      </c>
      <c r="L32" s="90">
        <f>'Suivi EAU-ELEC'!G31</f>
        <v>2103</v>
      </c>
      <c r="M32" s="91">
        <f>'Suivi EAU-ELEC'!I31</f>
        <v>2572</v>
      </c>
      <c r="N32" s="91">
        <f>'Suivi EAU-ELEC'!K31</f>
        <v>1263</v>
      </c>
      <c r="O32" s="91">
        <f t="shared" si="2"/>
        <v>5938</v>
      </c>
      <c r="P32" s="11"/>
      <c r="Q32" s="34">
        <f t="shared" si="3"/>
        <v>5596.2415000000001</v>
      </c>
      <c r="R32" s="11"/>
      <c r="S32" s="28"/>
      <c r="T32" s="11"/>
      <c r="U32" s="28"/>
      <c r="V32" s="146">
        <f>'Suvi Gaz'!O26</f>
        <v>159.99605</v>
      </c>
      <c r="W32" s="11"/>
      <c r="X32" s="34">
        <f t="shared" si="1"/>
        <v>1866.3539232499998</v>
      </c>
    </row>
    <row r="33" spans="1:24" ht="37.5" customHeight="1" x14ac:dyDescent="0.2">
      <c r="A33" s="2"/>
      <c r="B33" s="6">
        <v>44585</v>
      </c>
      <c r="C33" s="7"/>
      <c r="D33" s="143">
        <v>9</v>
      </c>
      <c r="E33" s="143">
        <v>16</v>
      </c>
      <c r="F33" s="13">
        <f>'Suivi EAU-ELEC'!E32</f>
        <v>38</v>
      </c>
      <c r="G33" s="11"/>
      <c r="H33" s="166">
        <f t="shared" si="4"/>
        <v>334.02</v>
      </c>
      <c r="I33" s="167"/>
      <c r="J33" s="167"/>
      <c r="K33" s="60">
        <v>42301</v>
      </c>
      <c r="L33" s="90">
        <f>'Suivi EAU-ELEC'!G32</f>
        <v>2198</v>
      </c>
      <c r="M33" s="91">
        <f>'Suivi EAU-ELEC'!I32</f>
        <v>2616</v>
      </c>
      <c r="N33" s="91">
        <f>'Suivi EAU-ELEC'!K32</f>
        <v>1256</v>
      </c>
      <c r="O33" s="91">
        <f t="shared" si="2"/>
        <v>6070</v>
      </c>
      <c r="P33" s="11"/>
      <c r="Q33" s="34">
        <f t="shared" si="3"/>
        <v>5695.1477999999997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2612.8954925499997</v>
      </c>
    </row>
    <row r="34" spans="1:24" ht="37.5" customHeight="1" x14ac:dyDescent="0.2">
      <c r="A34" s="2"/>
      <c r="B34" s="6">
        <v>44586</v>
      </c>
      <c r="C34" s="7"/>
      <c r="D34" s="143">
        <v>8</v>
      </c>
      <c r="E34" s="143">
        <v>12</v>
      </c>
      <c r="F34" s="13">
        <f>'Suivi EAU-ELEC'!E33</f>
        <v>51</v>
      </c>
      <c r="G34" s="11"/>
      <c r="H34" s="166">
        <f t="shared" si="4"/>
        <v>448.28999999999996</v>
      </c>
      <c r="I34" s="167"/>
      <c r="J34" s="167"/>
      <c r="K34" s="60">
        <v>42302</v>
      </c>
      <c r="L34" s="90">
        <f>'Suivi EAU-ELEC'!G33</f>
        <v>2032</v>
      </c>
      <c r="M34" s="91">
        <f>'Suivi EAU-ELEC'!I33</f>
        <v>2685</v>
      </c>
      <c r="N34" s="91">
        <f>'Suivi EAU-ELEC'!K33</f>
        <v>1244</v>
      </c>
      <c r="O34" s="91">
        <f t="shared" si="2"/>
        <v>5961</v>
      </c>
      <c r="P34" s="11"/>
      <c r="Q34" s="34">
        <f t="shared" si="3"/>
        <v>5628.8786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3732.7078464999995</v>
      </c>
    </row>
    <row r="35" spans="1:24" ht="33.75" customHeight="1" x14ac:dyDescent="0.2">
      <c r="A35" s="2"/>
      <c r="B35" s="6">
        <v>44587</v>
      </c>
      <c r="C35" s="7"/>
      <c r="D35" s="143">
        <v>17</v>
      </c>
      <c r="E35" s="143">
        <v>23</v>
      </c>
      <c r="F35" s="13">
        <f>'Suivi EAU-ELEC'!E34</f>
        <v>204.89999999999418</v>
      </c>
      <c r="G35" s="11"/>
      <c r="H35" s="166">
        <f t="shared" si="4"/>
        <v>1801.0709999999488</v>
      </c>
      <c r="I35" s="167"/>
      <c r="J35" s="167"/>
      <c r="K35" s="60">
        <v>42303</v>
      </c>
      <c r="L35" s="90">
        <f>'Suivi EAU-ELEC'!G34</f>
        <v>2144</v>
      </c>
      <c r="M35" s="91">
        <f>'Suivi EAU-ELEC'!I34</f>
        <v>2728</v>
      </c>
      <c r="N35" s="91">
        <f>'Suivi EAU-ELEC'!K34</f>
        <v>1245</v>
      </c>
      <c r="O35" s="91">
        <f t="shared" si="2"/>
        <v>6117</v>
      </c>
      <c r="P35" s="11"/>
      <c r="Q35" s="34">
        <f t="shared" si="3"/>
        <v>5749.3512000000001</v>
      </c>
      <c r="R35" s="11"/>
      <c r="S35" s="28"/>
      <c r="T35" s="11"/>
      <c r="U35" s="28"/>
      <c r="V35" s="146">
        <f>'Suvi Gaz'!O29</f>
        <v>159.99605</v>
      </c>
      <c r="W35" s="11"/>
      <c r="X35" s="34">
        <f t="shared" si="1"/>
        <v>1866.3539232499998</v>
      </c>
    </row>
    <row r="36" spans="1:24" ht="33.75" customHeight="1" x14ac:dyDescent="0.2">
      <c r="A36" s="2"/>
      <c r="B36" s="6">
        <v>44588</v>
      </c>
      <c r="C36" s="7"/>
      <c r="D36" s="143">
        <v>15</v>
      </c>
      <c r="E36" s="143">
        <v>20</v>
      </c>
      <c r="F36" s="13">
        <f>'Suivi EAU-ELEC'!E35</f>
        <v>91</v>
      </c>
      <c r="G36" s="11"/>
      <c r="H36" s="166">
        <f>F36*8.79</f>
        <v>799.88999999999987</v>
      </c>
      <c r="I36" s="167"/>
      <c r="J36" s="167"/>
      <c r="K36" s="60">
        <v>42304</v>
      </c>
      <c r="L36" s="90">
        <f>'Suivi EAU-ELEC'!G35</f>
        <v>2239</v>
      </c>
      <c r="M36" s="91">
        <f>'Suivi EAU-ELEC'!I35</f>
        <v>2698</v>
      </c>
      <c r="N36" s="91">
        <f>'Suivi EAU-ELEC'!K35</f>
        <v>1310</v>
      </c>
      <c r="O36" s="91">
        <f t="shared" si="2"/>
        <v>6247</v>
      </c>
      <c r="P36" s="11"/>
      <c r="Q36" s="34">
        <f t="shared" si="3"/>
        <v>5873.6427000000003</v>
      </c>
      <c r="R36" s="11"/>
      <c r="S36" s="28"/>
      <c r="T36" s="11"/>
      <c r="U36" s="28"/>
      <c r="V36" s="146">
        <f>'Suvi Gaz'!O30</f>
        <v>159.99605</v>
      </c>
      <c r="W36" s="11"/>
      <c r="X36" s="34">
        <f t="shared" si="1"/>
        <v>1866.3539232499998</v>
      </c>
    </row>
    <row r="37" spans="1:24" ht="33.75" customHeight="1" x14ac:dyDescent="0.2">
      <c r="A37" s="2"/>
      <c r="B37" s="6">
        <v>44589</v>
      </c>
      <c r="C37" s="7"/>
      <c r="D37" s="143">
        <v>18</v>
      </c>
      <c r="E37" s="143">
        <v>27</v>
      </c>
      <c r="F37" s="13">
        <f>'Suivi EAU-ELEC'!E36</f>
        <v>63.100000000005821</v>
      </c>
      <c r="G37" s="11"/>
      <c r="H37" s="166">
        <f t="shared" ref="H37:H38" si="5">F37*8.79</f>
        <v>554.64900000005116</v>
      </c>
      <c r="I37" s="167"/>
      <c r="J37" s="167"/>
      <c r="K37" s="60"/>
      <c r="L37" s="90">
        <f>'Suivi EAU-ELEC'!G36</f>
        <v>2054</v>
      </c>
      <c r="M37" s="91">
        <f>'Suivi EAU-ELEC'!I36</f>
        <v>2869</v>
      </c>
      <c r="N37" s="91">
        <f>'Suivi EAU-ELEC'!K36</f>
        <v>1312</v>
      </c>
      <c r="O37" s="91">
        <f t="shared" si="2"/>
        <v>6235</v>
      </c>
      <c r="P37" s="11"/>
      <c r="Q37" s="34">
        <f t="shared" si="3"/>
        <v>5909.7704000000003</v>
      </c>
      <c r="R37" s="11"/>
      <c r="S37" s="28"/>
      <c r="T37" s="11"/>
      <c r="U37" s="28"/>
      <c r="V37" s="146">
        <f>'Suvi Gaz'!O31</f>
        <v>319.99209999999999</v>
      </c>
      <c r="W37" s="11"/>
      <c r="X37" s="34">
        <f t="shared" si="1"/>
        <v>3732.7078464999995</v>
      </c>
    </row>
    <row r="38" spans="1:24" ht="33.75" customHeight="1" x14ac:dyDescent="0.2">
      <c r="A38" s="2"/>
      <c r="B38" s="6">
        <v>44590</v>
      </c>
      <c r="C38" s="7"/>
      <c r="D38" s="143">
        <v>15</v>
      </c>
      <c r="E38" s="143">
        <v>26</v>
      </c>
      <c r="F38" s="13">
        <f>'Suivi EAU-ELEC'!E37</f>
        <v>48</v>
      </c>
      <c r="G38" s="11"/>
      <c r="H38" s="166">
        <f t="shared" si="5"/>
        <v>421.91999999999996</v>
      </c>
      <c r="I38" s="167"/>
      <c r="J38" s="167"/>
      <c r="K38" s="60"/>
      <c r="L38" s="90">
        <f>'Suivi EAU-ELEC'!G37</f>
        <v>2109</v>
      </c>
      <c r="M38" s="91">
        <f>'Suivi EAU-ELEC'!I37</f>
        <v>2594</v>
      </c>
      <c r="N38" s="91">
        <f>'Suivi EAU-ELEC'!K37</f>
        <v>1222</v>
      </c>
      <c r="O38" s="91">
        <f t="shared" si="2"/>
        <v>5925</v>
      </c>
      <c r="P38" s="11"/>
      <c r="Q38" s="34">
        <f t="shared" si="3"/>
        <v>5566.8168999999998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2612.8954925499997</v>
      </c>
    </row>
    <row r="39" spans="1:24" ht="33.75" customHeight="1" x14ac:dyDescent="0.2">
      <c r="A39" s="2"/>
      <c r="B39" s="6">
        <v>44591</v>
      </c>
      <c r="C39" s="7"/>
      <c r="D39" s="143">
        <v>7</v>
      </c>
      <c r="E39" s="143">
        <v>11</v>
      </c>
      <c r="F39" s="13">
        <f>'Suivi EAU-ELEC'!E38</f>
        <v>45</v>
      </c>
      <c r="G39" s="11"/>
      <c r="H39" s="166">
        <f t="shared" ref="H39" si="6">F39*8.79</f>
        <v>395.54999999999995</v>
      </c>
      <c r="I39" s="167"/>
      <c r="J39" s="167"/>
      <c r="K39" s="60"/>
      <c r="L39" s="90">
        <f>'Suivi EAU-ELEC'!G38</f>
        <v>2092</v>
      </c>
      <c r="M39" s="91">
        <f>'Suivi EAU-ELEC'!I38</f>
        <v>2586</v>
      </c>
      <c r="N39" s="91">
        <f>'Suivi EAU-ELEC'!K38</f>
        <v>1247</v>
      </c>
      <c r="O39" s="91">
        <f t="shared" si="2"/>
        <v>5925</v>
      </c>
      <c r="P39" s="11"/>
      <c r="Q39" s="34">
        <f t="shared" si="3"/>
        <v>5580.5912000000008</v>
      </c>
      <c r="R39" s="11"/>
      <c r="S39" s="28"/>
      <c r="T39" s="11"/>
      <c r="U39" s="28"/>
      <c r="V39" s="146">
        <f>'Suvi Gaz'!O33</f>
        <v>159.99605</v>
      </c>
      <c r="W39" s="11"/>
      <c r="X39" s="34">
        <f t="shared" si="1"/>
        <v>1866.3539232499998</v>
      </c>
    </row>
    <row r="40" spans="1:24" ht="33.75" customHeight="1" x14ac:dyDescent="0.2">
      <c r="A40" s="2"/>
      <c r="B40" s="6">
        <v>44592</v>
      </c>
      <c r="C40" s="7"/>
      <c r="D40" s="143">
        <v>10</v>
      </c>
      <c r="E40" s="143">
        <v>14</v>
      </c>
      <c r="F40" s="13">
        <f>'Suivi EAU-ELEC'!E39</f>
        <v>42</v>
      </c>
      <c r="G40" s="11"/>
      <c r="H40" s="166">
        <f t="shared" ref="H40" si="7">F40*8.79</f>
        <v>369.17999999999995</v>
      </c>
      <c r="I40" s="167"/>
      <c r="J40" s="167"/>
      <c r="K40" s="60"/>
      <c r="L40" s="90">
        <f>'Suivi EAU-ELEC'!G39</f>
        <v>2058</v>
      </c>
      <c r="M40" s="91">
        <f>'Suivi EAU-ELEC'!I39</f>
        <v>2590</v>
      </c>
      <c r="N40" s="91">
        <f>'Suivi EAU-ELEC'!K39</f>
        <v>1240</v>
      </c>
      <c r="O40" s="91">
        <f t="shared" si="2"/>
        <v>5888</v>
      </c>
      <c r="P40" s="11"/>
      <c r="Q40" s="34">
        <f t="shared" si="3"/>
        <v>5551.335</v>
      </c>
      <c r="R40" s="11"/>
      <c r="S40" s="28"/>
      <c r="T40" s="11"/>
      <c r="U40" s="28"/>
      <c r="V40" s="146">
        <f>'Suvi Gaz'!O34</f>
        <v>255.99368000000001</v>
      </c>
      <c r="W40" s="11"/>
      <c r="X40" s="34">
        <f t="shared" si="1"/>
        <v>2986.1662772</v>
      </c>
    </row>
    <row r="41" spans="1:24" ht="42.75" customHeight="1" x14ac:dyDescent="0.2">
      <c r="A41" s="2"/>
      <c r="B41" s="10"/>
      <c r="C41" s="10"/>
      <c r="D41" s="8">
        <f>SUM(D10:D40)</f>
        <v>384</v>
      </c>
      <c r="E41" s="8">
        <f>SUM(E10:E40)</f>
        <v>618</v>
      </c>
      <c r="F41" s="151">
        <f>SUM(F10:F40)</f>
        <v>1547.7999999999884</v>
      </c>
      <c r="G41" s="1"/>
      <c r="H41" s="247">
        <f>SUM(H10:H40)</f>
        <v>13605.161999999895</v>
      </c>
      <c r="I41" s="248"/>
      <c r="J41" s="249"/>
      <c r="K41" s="1"/>
      <c r="L41" s="53">
        <f>SUM(L10:L40)</f>
        <v>69653</v>
      </c>
      <c r="M41" s="53">
        <f>SUM(M10:M40)</f>
        <v>89772</v>
      </c>
      <c r="N41" s="54">
        <f>SUM(N10:N40)</f>
        <v>41970</v>
      </c>
      <c r="O41" s="55">
        <f>SUM(O10:O40)</f>
        <v>201395</v>
      </c>
      <c r="P41" s="31"/>
      <c r="Q41" s="32">
        <f>SUM(Q10:Q40)</f>
        <v>191276.88370000001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7039.8261999999986</v>
      </c>
      <c r="W41" s="31"/>
      <c r="X41" s="32">
        <f>SUM(X10:X40)</f>
        <v>82119.572623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2" t="s">
        <v>33</v>
      </c>
      <c r="B43" s="203"/>
      <c r="C43" s="203"/>
      <c r="D43" s="203"/>
      <c r="E43" s="203"/>
      <c r="F43" s="204"/>
      <c r="G43" s="26"/>
      <c r="H43" s="27" t="s">
        <v>34</v>
      </c>
      <c r="I43" s="241" t="s">
        <v>35</v>
      </c>
      <c r="J43" s="242"/>
      <c r="K43" s="243"/>
      <c r="L43" s="216" t="s">
        <v>36</v>
      </c>
      <c r="M43" s="217"/>
      <c r="N43" s="202" t="s">
        <v>37</v>
      </c>
      <c r="O43" s="203"/>
      <c r="P43" s="203"/>
      <c r="Q43" s="203"/>
      <c r="R43" s="203"/>
      <c r="S43" s="203"/>
      <c r="T43" s="203"/>
      <c r="U43" s="203"/>
      <c r="V43" s="203"/>
      <c r="W43" s="203"/>
      <c r="X43" s="204"/>
    </row>
    <row r="44" spans="1:24" s="18" customFormat="1" ht="29.25" customHeight="1" thickBot="1" x14ac:dyDescent="0.25">
      <c r="A44" s="210" t="s">
        <v>38</v>
      </c>
      <c r="B44" s="211"/>
      <c r="C44" s="212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07">
        <f>L41</f>
        <v>69653</v>
      </c>
      <c r="J44" s="208"/>
      <c r="K44" s="209"/>
      <c r="L44" s="168">
        <f>I44*H44</f>
        <v>48652.620499999997</v>
      </c>
      <c r="M44" s="169"/>
      <c r="N44" s="225">
        <f>L44+L45+L46</f>
        <v>189898.58929999999</v>
      </c>
      <c r="O44" s="226"/>
      <c r="P44" s="226"/>
      <c r="Q44" s="226"/>
      <c r="R44" s="226"/>
      <c r="S44" s="226"/>
      <c r="T44" s="226"/>
      <c r="U44" s="226"/>
      <c r="V44" s="226"/>
      <c r="W44" s="226"/>
      <c r="X44" s="227"/>
    </row>
    <row r="45" spans="1:24" s="18" customFormat="1" ht="29.25" customHeight="1" thickBot="1" x14ac:dyDescent="0.25">
      <c r="A45" s="213"/>
      <c r="B45" s="214"/>
      <c r="C45" s="215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07">
        <f>M41</f>
        <v>89772</v>
      </c>
      <c r="J45" s="208"/>
      <c r="K45" s="209"/>
      <c r="L45" s="168">
        <f>I45*H45</f>
        <v>85409.080799999996</v>
      </c>
      <c r="M45" s="169"/>
      <c r="N45" s="228"/>
      <c r="O45" s="229"/>
      <c r="P45" s="229"/>
      <c r="Q45" s="229"/>
      <c r="R45" s="229"/>
      <c r="S45" s="229"/>
      <c r="T45" s="229"/>
      <c r="U45" s="229"/>
      <c r="V45" s="229"/>
      <c r="W45" s="229"/>
      <c r="X45" s="230"/>
    </row>
    <row r="46" spans="1:24" s="18" customFormat="1" ht="24.75" customHeight="1" thickBot="1" x14ac:dyDescent="0.25">
      <c r="A46" s="213"/>
      <c r="B46" s="214"/>
      <c r="C46" s="215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238">
        <f>N41</f>
        <v>41970</v>
      </c>
      <c r="J46" s="239"/>
      <c r="K46" s="240"/>
      <c r="L46" s="168">
        <f>I46*H46</f>
        <v>55836.887999999999</v>
      </c>
      <c r="M46" s="169"/>
      <c r="N46" s="231"/>
      <c r="O46" s="232"/>
      <c r="P46" s="232"/>
      <c r="Q46" s="232"/>
      <c r="R46" s="232"/>
      <c r="S46" s="232"/>
      <c r="T46" s="232"/>
      <c r="U46" s="232"/>
      <c r="V46" s="232"/>
      <c r="W46" s="232"/>
      <c r="X46" s="233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44">
        <f>N44*1.3</f>
        <v>246868.16608999998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6"/>
    </row>
    <row r="48" spans="1:24" s="23" customFormat="1" ht="32.25" customHeight="1" thickBot="1" x14ac:dyDescent="0.25">
      <c r="A48" s="199" t="s">
        <v>39</v>
      </c>
      <c r="B48" s="200"/>
      <c r="C48" s="200"/>
      <c r="D48" s="200"/>
      <c r="E48" s="200"/>
      <c r="F48" s="201"/>
      <c r="G48" s="21"/>
      <c r="H48" s="22">
        <v>8.7899999999999991</v>
      </c>
      <c r="I48" s="199">
        <f>F41</f>
        <v>1547.7999999999884</v>
      </c>
      <c r="J48" s="200"/>
      <c r="K48" s="201"/>
      <c r="L48" s="205">
        <f>I48*H48</f>
        <v>13605.161999999897</v>
      </c>
      <c r="M48" s="206"/>
      <c r="N48" s="222">
        <f>L48</f>
        <v>13605.161999999897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s="23" customFormat="1" ht="36.75" customHeight="1" x14ac:dyDescent="0.2">
      <c r="A49" s="234" t="s">
        <v>40</v>
      </c>
      <c r="B49" s="235"/>
      <c r="C49" s="235"/>
      <c r="D49" s="235"/>
      <c r="E49" s="235"/>
      <c r="F49" s="236"/>
      <c r="G49" s="24"/>
      <c r="H49" s="25">
        <v>11.664999999999999</v>
      </c>
      <c r="I49" s="197">
        <f>V41</f>
        <v>7039.8261999999986</v>
      </c>
      <c r="J49" s="237"/>
      <c r="K49" s="198"/>
      <c r="L49" s="197">
        <f>I49*H49</f>
        <v>82119.572622999971</v>
      </c>
      <c r="M49" s="198"/>
      <c r="N49" s="219">
        <f>L49</f>
        <v>82119.572622999971</v>
      </c>
      <c r="O49" s="220"/>
      <c r="P49" s="220"/>
      <c r="Q49" s="220"/>
      <c r="R49" s="220"/>
      <c r="S49" s="220"/>
      <c r="T49" s="220"/>
      <c r="U49" s="220"/>
      <c r="V49" s="220"/>
      <c r="W49" s="220"/>
      <c r="X49" s="221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17" sqref="N17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44562</v>
      </c>
      <c r="B9" s="116">
        <v>2560</v>
      </c>
      <c r="C9" s="115">
        <v>0</v>
      </c>
      <c r="D9" s="57">
        <v>132699</v>
      </c>
      <c r="E9" s="50">
        <v>8.7999999999883585</v>
      </c>
      <c r="F9" s="51">
        <v>11364390</v>
      </c>
      <c r="G9" s="50">
        <v>2484</v>
      </c>
      <c r="H9" s="51">
        <v>19320037</v>
      </c>
      <c r="I9" s="50">
        <v>3362</v>
      </c>
      <c r="J9" s="51">
        <v>8481098</v>
      </c>
      <c r="K9" s="50">
        <v>1521</v>
      </c>
    </row>
    <row r="10" spans="1:12" ht="21" thickTop="1" thickBot="1" x14ac:dyDescent="0.35">
      <c r="A10" s="59">
        <v>44563</v>
      </c>
      <c r="B10" s="116">
        <v>2560</v>
      </c>
      <c r="C10" s="115">
        <f t="shared" ref="C10:C23" si="0">B10-B9</f>
        <v>0</v>
      </c>
      <c r="D10" s="57">
        <v>132734</v>
      </c>
      <c r="E10" s="50">
        <f t="shared" ref="E10:E40" si="1">D10-D9</f>
        <v>35</v>
      </c>
      <c r="F10" s="51">
        <v>11366842</v>
      </c>
      <c r="G10" s="50">
        <f t="shared" ref="G10:G40" si="2">F10-F9</f>
        <v>2452</v>
      </c>
      <c r="H10" s="51">
        <v>19323394</v>
      </c>
      <c r="I10" s="50">
        <f t="shared" ref="I10:I40" si="3">H10-H9</f>
        <v>3357</v>
      </c>
      <c r="J10" s="51">
        <v>8482591</v>
      </c>
      <c r="K10" s="50">
        <f t="shared" ref="K10:K40" si="4">J10-J9</f>
        <v>1493</v>
      </c>
    </row>
    <row r="11" spans="1:12" ht="21" thickTop="1" thickBot="1" x14ac:dyDescent="0.35">
      <c r="A11" s="59">
        <v>44564</v>
      </c>
      <c r="B11" s="116">
        <v>2560</v>
      </c>
      <c r="C11" s="115">
        <f t="shared" si="0"/>
        <v>0</v>
      </c>
      <c r="D11" s="57">
        <v>132787</v>
      </c>
      <c r="E11" s="50">
        <f t="shared" si="1"/>
        <v>53</v>
      </c>
      <c r="F11" s="51">
        <v>11369290</v>
      </c>
      <c r="G11" s="50">
        <f t="shared" si="2"/>
        <v>2448</v>
      </c>
      <c r="H11" s="51">
        <v>19326653</v>
      </c>
      <c r="I11" s="50">
        <f t="shared" si="3"/>
        <v>3259</v>
      </c>
      <c r="J11" s="51">
        <v>8484073</v>
      </c>
      <c r="K11" s="50">
        <f t="shared" si="4"/>
        <v>1482</v>
      </c>
    </row>
    <row r="12" spans="1:12" ht="21" thickTop="1" thickBot="1" x14ac:dyDescent="0.35">
      <c r="A12" s="59">
        <v>44565</v>
      </c>
      <c r="B12" s="116">
        <v>2560</v>
      </c>
      <c r="C12" s="115">
        <f t="shared" si="0"/>
        <v>0</v>
      </c>
      <c r="D12" s="57">
        <v>132829.9</v>
      </c>
      <c r="E12" s="50">
        <f t="shared" si="1"/>
        <v>42.899999999994179</v>
      </c>
      <c r="F12" s="51">
        <v>11371707</v>
      </c>
      <c r="G12" s="50">
        <f t="shared" si="2"/>
        <v>2417</v>
      </c>
      <c r="H12" s="51">
        <v>19329892</v>
      </c>
      <c r="I12" s="50">
        <f t="shared" si="3"/>
        <v>3239</v>
      </c>
      <c r="J12" s="51">
        <v>8484576</v>
      </c>
      <c r="K12" s="50">
        <f t="shared" si="4"/>
        <v>503</v>
      </c>
    </row>
    <row r="13" spans="1:12" ht="21" thickTop="1" thickBot="1" x14ac:dyDescent="0.35">
      <c r="A13" s="59">
        <v>44566</v>
      </c>
      <c r="B13" s="116">
        <v>2560</v>
      </c>
      <c r="C13" s="115">
        <f t="shared" si="0"/>
        <v>0</v>
      </c>
      <c r="D13" s="57">
        <v>132878.29999999999</v>
      </c>
      <c r="E13" s="50">
        <f t="shared" si="1"/>
        <v>48.399999999994179</v>
      </c>
      <c r="F13" s="51">
        <v>11374199</v>
      </c>
      <c r="G13" s="50">
        <f t="shared" si="2"/>
        <v>2492</v>
      </c>
      <c r="H13" s="51">
        <v>19333248</v>
      </c>
      <c r="I13" s="50">
        <f t="shared" si="3"/>
        <v>3356</v>
      </c>
      <c r="J13" s="51">
        <v>8487105</v>
      </c>
      <c r="K13" s="50">
        <f t="shared" si="4"/>
        <v>2529</v>
      </c>
    </row>
    <row r="14" spans="1:12" ht="21" thickTop="1" thickBot="1" x14ac:dyDescent="0.35">
      <c r="A14" s="59">
        <v>44567</v>
      </c>
      <c r="B14" s="116">
        <v>2560</v>
      </c>
      <c r="C14" s="115">
        <f t="shared" si="0"/>
        <v>0</v>
      </c>
      <c r="D14" s="57">
        <v>132928.20000000001</v>
      </c>
      <c r="E14" s="50">
        <f t="shared" si="1"/>
        <v>49.900000000023283</v>
      </c>
      <c r="F14" s="51">
        <v>11376730</v>
      </c>
      <c r="G14" s="50">
        <f t="shared" si="2"/>
        <v>2531</v>
      </c>
      <c r="H14" s="51">
        <v>19336558</v>
      </c>
      <c r="I14" s="50">
        <f t="shared" si="3"/>
        <v>3310</v>
      </c>
      <c r="J14" s="51">
        <v>8488559</v>
      </c>
      <c r="K14" s="50">
        <f t="shared" si="4"/>
        <v>1454</v>
      </c>
    </row>
    <row r="15" spans="1:12" ht="21" thickTop="1" thickBot="1" x14ac:dyDescent="0.35">
      <c r="A15" s="59">
        <v>44568</v>
      </c>
      <c r="B15" s="116">
        <v>2560</v>
      </c>
      <c r="C15" s="115">
        <f t="shared" si="0"/>
        <v>0</v>
      </c>
      <c r="D15" s="57">
        <v>132968</v>
      </c>
      <c r="E15" s="50">
        <f t="shared" si="1"/>
        <v>39.799999999988358</v>
      </c>
      <c r="F15" s="51">
        <v>11379148</v>
      </c>
      <c r="G15" s="50">
        <f t="shared" si="2"/>
        <v>2418</v>
      </c>
      <c r="H15" s="51">
        <v>19339764</v>
      </c>
      <c r="I15" s="50">
        <f t="shared" si="3"/>
        <v>3206</v>
      </c>
      <c r="J15" s="51">
        <v>8490021</v>
      </c>
      <c r="K15" s="50">
        <f t="shared" si="4"/>
        <v>1462</v>
      </c>
    </row>
    <row r="16" spans="1:12" ht="21" thickTop="1" thickBot="1" x14ac:dyDescent="0.35">
      <c r="A16" s="59">
        <v>44569</v>
      </c>
      <c r="B16" s="116">
        <v>2560</v>
      </c>
      <c r="C16" s="115">
        <f t="shared" si="0"/>
        <v>0</v>
      </c>
      <c r="D16" s="57">
        <v>133009</v>
      </c>
      <c r="E16" s="50">
        <f t="shared" si="1"/>
        <v>41</v>
      </c>
      <c r="F16" s="51">
        <v>11381638</v>
      </c>
      <c r="G16" s="50">
        <f t="shared" si="2"/>
        <v>2490</v>
      </c>
      <c r="H16" s="51">
        <v>19342968</v>
      </c>
      <c r="I16" s="50">
        <f t="shared" si="3"/>
        <v>3204</v>
      </c>
      <c r="J16" s="51">
        <v>8491543</v>
      </c>
      <c r="K16" s="50">
        <f t="shared" si="4"/>
        <v>1522</v>
      </c>
    </row>
    <row r="17" spans="1:29" ht="21" thickTop="1" thickBot="1" x14ac:dyDescent="0.35">
      <c r="A17" s="59">
        <v>44570</v>
      </c>
      <c r="B17" s="116">
        <v>2560</v>
      </c>
      <c r="C17" s="115">
        <f t="shared" si="0"/>
        <v>0</v>
      </c>
      <c r="D17" s="57">
        <v>133058</v>
      </c>
      <c r="E17" s="50">
        <f t="shared" si="1"/>
        <v>49</v>
      </c>
      <c r="F17" s="51">
        <v>11383959</v>
      </c>
      <c r="G17" s="50">
        <f t="shared" si="2"/>
        <v>2321</v>
      </c>
      <c r="H17" s="51">
        <v>19346034</v>
      </c>
      <c r="I17" s="50">
        <f t="shared" si="3"/>
        <v>3066</v>
      </c>
      <c r="J17" s="51">
        <v>8493006</v>
      </c>
      <c r="K17" s="50">
        <f t="shared" si="4"/>
        <v>1463</v>
      </c>
    </row>
    <row r="18" spans="1:29" ht="21" thickTop="1" thickBot="1" x14ac:dyDescent="0.35">
      <c r="A18" s="59">
        <v>44571</v>
      </c>
      <c r="B18" s="116">
        <v>2560</v>
      </c>
      <c r="C18" s="115">
        <f t="shared" si="0"/>
        <v>0</v>
      </c>
      <c r="D18" s="57">
        <v>133101</v>
      </c>
      <c r="E18" s="50">
        <f t="shared" si="1"/>
        <v>43</v>
      </c>
      <c r="F18" s="51">
        <v>11386330</v>
      </c>
      <c r="G18" s="50">
        <f t="shared" si="2"/>
        <v>2371</v>
      </c>
      <c r="H18" s="51">
        <v>19349074</v>
      </c>
      <c r="I18" s="50">
        <f t="shared" si="3"/>
        <v>3040</v>
      </c>
      <c r="J18" s="51">
        <v>8494426</v>
      </c>
      <c r="K18" s="50">
        <f t="shared" si="4"/>
        <v>1420</v>
      </c>
    </row>
    <row r="19" spans="1:29" ht="21" thickTop="1" thickBot="1" x14ac:dyDescent="0.35">
      <c r="A19" s="59">
        <v>44572</v>
      </c>
      <c r="B19" s="116">
        <v>2560</v>
      </c>
      <c r="C19" s="115">
        <f t="shared" si="0"/>
        <v>0</v>
      </c>
      <c r="D19" s="57">
        <v>133146.29999999999</v>
      </c>
      <c r="E19" s="50">
        <f t="shared" si="1"/>
        <v>45.299999999988358</v>
      </c>
      <c r="F19" s="51">
        <v>11388496</v>
      </c>
      <c r="G19" s="50">
        <f t="shared" si="2"/>
        <v>2166</v>
      </c>
      <c r="H19" s="51">
        <v>19352014</v>
      </c>
      <c r="I19" s="50">
        <f t="shared" si="3"/>
        <v>2940</v>
      </c>
      <c r="J19" s="51">
        <v>8495841</v>
      </c>
      <c r="K19" s="50">
        <f t="shared" si="4"/>
        <v>1415</v>
      </c>
    </row>
    <row r="20" spans="1:29" ht="27" thickTop="1" thickBot="1" x14ac:dyDescent="0.4">
      <c r="A20" s="59">
        <v>44573</v>
      </c>
      <c r="B20" s="116">
        <v>2560</v>
      </c>
      <c r="C20" s="115">
        <f t="shared" si="0"/>
        <v>0</v>
      </c>
      <c r="D20" s="57">
        <v>133185.9</v>
      </c>
      <c r="E20" s="50">
        <f t="shared" si="1"/>
        <v>39.600000000005821</v>
      </c>
      <c r="F20" s="51">
        <v>11390815</v>
      </c>
      <c r="G20" s="50">
        <f t="shared" si="2"/>
        <v>2319</v>
      </c>
      <c r="H20" s="51">
        <v>19354930</v>
      </c>
      <c r="I20" s="50">
        <f t="shared" si="3"/>
        <v>2916</v>
      </c>
      <c r="J20" s="51">
        <v>8497217</v>
      </c>
      <c r="K20" s="50">
        <f t="shared" si="4"/>
        <v>1376</v>
      </c>
      <c r="L20" s="117" t="s">
        <v>18</v>
      </c>
      <c r="AC20" t="s">
        <v>56</v>
      </c>
    </row>
    <row r="21" spans="1:29" ht="21" thickTop="1" thickBot="1" x14ac:dyDescent="0.35">
      <c r="A21" s="59">
        <v>44574</v>
      </c>
      <c r="B21" s="116">
        <v>2560</v>
      </c>
      <c r="C21" s="115">
        <f t="shared" si="0"/>
        <v>0</v>
      </c>
      <c r="D21" s="57">
        <v>133229.4</v>
      </c>
      <c r="E21" s="50">
        <f t="shared" si="1"/>
        <v>43.5</v>
      </c>
      <c r="F21" s="51">
        <v>11393243</v>
      </c>
      <c r="G21" s="50">
        <f t="shared" si="2"/>
        <v>2428</v>
      </c>
      <c r="H21" s="51">
        <v>19357965</v>
      </c>
      <c r="I21" s="50">
        <f t="shared" si="3"/>
        <v>3035</v>
      </c>
      <c r="J21" s="51">
        <v>8498659</v>
      </c>
      <c r="K21" s="50">
        <f t="shared" si="4"/>
        <v>1442</v>
      </c>
    </row>
    <row r="22" spans="1:29" ht="21" thickTop="1" thickBot="1" x14ac:dyDescent="0.35">
      <c r="A22" s="59">
        <v>44575</v>
      </c>
      <c r="B22" s="116">
        <v>2560</v>
      </c>
      <c r="C22" s="115">
        <f t="shared" si="0"/>
        <v>0</v>
      </c>
      <c r="D22" s="57">
        <v>133271.6</v>
      </c>
      <c r="E22" s="50">
        <f t="shared" si="1"/>
        <v>42.200000000011642</v>
      </c>
      <c r="F22" s="51">
        <v>11395344</v>
      </c>
      <c r="G22" s="50">
        <f t="shared" si="2"/>
        <v>2101</v>
      </c>
      <c r="H22" s="51">
        <v>19361050</v>
      </c>
      <c r="I22" s="50">
        <f t="shared" si="3"/>
        <v>3085</v>
      </c>
      <c r="J22" s="51">
        <v>8500050</v>
      </c>
      <c r="K22" s="50">
        <f t="shared" si="4"/>
        <v>1391</v>
      </c>
    </row>
    <row r="23" spans="1:29" ht="21" thickTop="1" thickBot="1" x14ac:dyDescent="0.35">
      <c r="A23" s="59">
        <v>44576</v>
      </c>
      <c r="B23" s="116">
        <v>2560</v>
      </c>
      <c r="C23" s="115">
        <f t="shared" si="0"/>
        <v>0</v>
      </c>
      <c r="D23" s="57">
        <v>133318.5</v>
      </c>
      <c r="E23" s="50">
        <f t="shared" si="1"/>
        <v>46.899999999994179</v>
      </c>
      <c r="F23" s="51">
        <v>11397662</v>
      </c>
      <c r="G23" s="50">
        <f t="shared" si="2"/>
        <v>2318</v>
      </c>
      <c r="H23" s="51">
        <v>19363959</v>
      </c>
      <c r="I23" s="50">
        <f t="shared" si="3"/>
        <v>2909</v>
      </c>
      <c r="J23" s="51">
        <v>8501436</v>
      </c>
      <c r="K23" s="50">
        <f t="shared" si="4"/>
        <v>1386</v>
      </c>
    </row>
    <row r="24" spans="1:29" ht="21" thickTop="1" thickBot="1" x14ac:dyDescent="0.35">
      <c r="A24" s="59">
        <v>44577</v>
      </c>
      <c r="B24" s="116">
        <v>2560</v>
      </c>
      <c r="C24" s="115">
        <f t="shared" ref="C24:C40" si="5">B24-B23</f>
        <v>0</v>
      </c>
      <c r="D24" s="57">
        <v>133368</v>
      </c>
      <c r="E24" s="50">
        <f t="shared" si="1"/>
        <v>49.5</v>
      </c>
      <c r="F24" s="51">
        <v>11399775</v>
      </c>
      <c r="G24" s="50">
        <f t="shared" si="2"/>
        <v>2113</v>
      </c>
      <c r="H24" s="51">
        <v>19366712</v>
      </c>
      <c r="I24" s="50">
        <f t="shared" si="3"/>
        <v>2753</v>
      </c>
      <c r="J24" s="51">
        <v>8502773</v>
      </c>
      <c r="K24" s="50">
        <f t="shared" si="4"/>
        <v>1337</v>
      </c>
    </row>
    <row r="25" spans="1:29" ht="21" thickTop="1" thickBot="1" x14ac:dyDescent="0.35">
      <c r="A25" s="59">
        <v>44578</v>
      </c>
      <c r="B25" s="116">
        <v>2560</v>
      </c>
      <c r="C25" s="115">
        <f t="shared" si="5"/>
        <v>0</v>
      </c>
      <c r="D25" s="57">
        <v>133404</v>
      </c>
      <c r="E25" s="50">
        <f t="shared" si="1"/>
        <v>36</v>
      </c>
      <c r="F25" s="51">
        <v>11401914</v>
      </c>
      <c r="G25" s="50">
        <f t="shared" si="2"/>
        <v>2139</v>
      </c>
      <c r="H25" s="51">
        <v>19369432</v>
      </c>
      <c r="I25" s="50">
        <f t="shared" si="3"/>
        <v>2720</v>
      </c>
      <c r="J25" s="51">
        <v>8504066</v>
      </c>
      <c r="K25" s="50">
        <f t="shared" si="4"/>
        <v>1293</v>
      </c>
    </row>
    <row r="26" spans="1:29" ht="21" thickTop="1" thickBot="1" x14ac:dyDescent="0.35">
      <c r="A26" s="59">
        <v>44579</v>
      </c>
      <c r="B26" s="116">
        <v>2560</v>
      </c>
      <c r="C26" s="115">
        <f t="shared" si="5"/>
        <v>0</v>
      </c>
      <c r="D26" s="57">
        <v>133437.1</v>
      </c>
      <c r="E26" s="50">
        <f t="shared" si="1"/>
        <v>33.100000000005821</v>
      </c>
      <c r="F26" s="51">
        <v>11404073</v>
      </c>
      <c r="G26" s="50">
        <f t="shared" si="2"/>
        <v>2159</v>
      </c>
      <c r="H26" s="51">
        <v>19372220</v>
      </c>
      <c r="I26" s="50">
        <f t="shared" si="3"/>
        <v>2788</v>
      </c>
      <c r="J26" s="51">
        <v>8505303</v>
      </c>
      <c r="K26" s="50">
        <f t="shared" si="4"/>
        <v>1237</v>
      </c>
    </row>
    <row r="27" spans="1:29" ht="21" thickTop="1" thickBot="1" x14ac:dyDescent="0.35">
      <c r="A27" s="59">
        <v>44580</v>
      </c>
      <c r="B27" s="116">
        <v>2560</v>
      </c>
      <c r="C27" s="115">
        <f t="shared" si="5"/>
        <v>0</v>
      </c>
      <c r="D27" s="57">
        <v>133485.6</v>
      </c>
      <c r="E27" s="50">
        <f t="shared" si="1"/>
        <v>48.5</v>
      </c>
      <c r="F27" s="51">
        <v>11406066</v>
      </c>
      <c r="G27" s="50">
        <f t="shared" si="2"/>
        <v>1993</v>
      </c>
      <c r="H27" s="51">
        <v>19374826</v>
      </c>
      <c r="I27" s="50">
        <f t="shared" si="3"/>
        <v>2606</v>
      </c>
      <c r="J27" s="51">
        <v>8506563</v>
      </c>
      <c r="K27" s="50">
        <f t="shared" si="4"/>
        <v>1260</v>
      </c>
    </row>
    <row r="28" spans="1:29" ht="21" thickTop="1" thickBot="1" x14ac:dyDescent="0.35">
      <c r="A28" s="59">
        <v>44581</v>
      </c>
      <c r="B28" s="116">
        <v>2560</v>
      </c>
      <c r="C28" s="115">
        <f t="shared" si="5"/>
        <v>0</v>
      </c>
      <c r="D28" s="57">
        <v>133529</v>
      </c>
      <c r="E28" s="50">
        <f t="shared" si="1"/>
        <v>43.399999999994179</v>
      </c>
      <c r="F28" s="51">
        <v>11408319</v>
      </c>
      <c r="G28" s="50">
        <f t="shared" si="2"/>
        <v>2253</v>
      </c>
      <c r="H28" s="51">
        <v>19377386</v>
      </c>
      <c r="I28" s="50">
        <f t="shared" si="3"/>
        <v>2560</v>
      </c>
      <c r="J28" s="51">
        <v>8507791</v>
      </c>
      <c r="K28" s="50">
        <f t="shared" si="4"/>
        <v>1228</v>
      </c>
    </row>
    <row r="29" spans="1:29" ht="21" thickTop="1" thickBot="1" x14ac:dyDescent="0.35">
      <c r="A29" s="59">
        <v>44582</v>
      </c>
      <c r="B29" s="116">
        <v>2560</v>
      </c>
      <c r="C29" s="115">
        <f t="shared" si="5"/>
        <v>0</v>
      </c>
      <c r="D29" s="57">
        <v>133563</v>
      </c>
      <c r="E29" s="50">
        <f t="shared" si="1"/>
        <v>34</v>
      </c>
      <c r="F29" s="51">
        <v>11410358</v>
      </c>
      <c r="G29" s="50">
        <f t="shared" si="2"/>
        <v>2039</v>
      </c>
      <c r="H29" s="51">
        <v>19379892</v>
      </c>
      <c r="I29" s="50">
        <f t="shared" si="3"/>
        <v>2506</v>
      </c>
      <c r="J29" s="51">
        <v>8508961</v>
      </c>
      <c r="K29" s="50">
        <f t="shared" si="4"/>
        <v>1170</v>
      </c>
    </row>
    <row r="30" spans="1:29" ht="21" thickTop="1" thickBot="1" x14ac:dyDescent="0.35">
      <c r="A30" s="59">
        <v>44583</v>
      </c>
      <c r="B30" s="116">
        <v>2560</v>
      </c>
      <c r="C30" s="115">
        <f t="shared" si="5"/>
        <v>0</v>
      </c>
      <c r="D30" s="57">
        <v>133616</v>
      </c>
      <c r="E30" s="50">
        <f t="shared" si="1"/>
        <v>53</v>
      </c>
      <c r="F30" s="51">
        <v>11412530</v>
      </c>
      <c r="G30" s="50">
        <f t="shared" si="2"/>
        <v>2172</v>
      </c>
      <c r="H30" s="51">
        <v>19382509</v>
      </c>
      <c r="I30" s="50">
        <f t="shared" si="3"/>
        <v>2617</v>
      </c>
      <c r="J30" s="51">
        <v>8510208</v>
      </c>
      <c r="K30" s="50">
        <f t="shared" si="4"/>
        <v>1247</v>
      </c>
    </row>
    <row r="31" spans="1:29" ht="21" thickTop="1" thickBot="1" x14ac:dyDescent="0.35">
      <c r="A31" s="59">
        <v>44584</v>
      </c>
      <c r="B31" s="116">
        <v>2560</v>
      </c>
      <c r="C31" s="115">
        <f t="shared" si="5"/>
        <v>0</v>
      </c>
      <c r="D31" s="57">
        <v>133655</v>
      </c>
      <c r="E31" s="50">
        <f t="shared" si="1"/>
        <v>39</v>
      </c>
      <c r="F31" s="51">
        <v>11414633</v>
      </c>
      <c r="G31" s="50">
        <f t="shared" si="2"/>
        <v>2103</v>
      </c>
      <c r="H31" s="51">
        <v>19385081</v>
      </c>
      <c r="I31" s="50">
        <f t="shared" si="3"/>
        <v>2572</v>
      </c>
      <c r="J31" s="51">
        <v>8511471</v>
      </c>
      <c r="K31" s="50">
        <f t="shared" si="4"/>
        <v>1263</v>
      </c>
    </row>
    <row r="32" spans="1:29" ht="21" thickTop="1" thickBot="1" x14ac:dyDescent="0.35">
      <c r="A32" s="59">
        <v>44585</v>
      </c>
      <c r="B32" s="116">
        <v>2560</v>
      </c>
      <c r="C32" s="115">
        <f t="shared" si="5"/>
        <v>0</v>
      </c>
      <c r="D32" s="57">
        <v>133693</v>
      </c>
      <c r="E32" s="50">
        <f t="shared" si="1"/>
        <v>38</v>
      </c>
      <c r="F32" s="51">
        <v>11416831</v>
      </c>
      <c r="G32" s="50">
        <f t="shared" si="2"/>
        <v>2198</v>
      </c>
      <c r="H32" s="51">
        <v>19387697</v>
      </c>
      <c r="I32" s="50">
        <f t="shared" si="3"/>
        <v>2616</v>
      </c>
      <c r="J32" s="51">
        <v>8512727</v>
      </c>
      <c r="K32" s="50">
        <f t="shared" si="4"/>
        <v>1256</v>
      </c>
    </row>
    <row r="33" spans="1:11" ht="21" thickTop="1" thickBot="1" x14ac:dyDescent="0.35">
      <c r="A33" s="59">
        <v>44586</v>
      </c>
      <c r="B33" s="116">
        <v>2560</v>
      </c>
      <c r="C33" s="115">
        <f t="shared" si="5"/>
        <v>0</v>
      </c>
      <c r="D33" s="57">
        <v>133744</v>
      </c>
      <c r="E33" s="50">
        <f t="shared" si="1"/>
        <v>51</v>
      </c>
      <c r="F33" s="51">
        <v>11418863</v>
      </c>
      <c r="G33" s="50">
        <f t="shared" si="2"/>
        <v>2032</v>
      </c>
      <c r="H33" s="51">
        <v>19390382</v>
      </c>
      <c r="I33" s="50">
        <f t="shared" si="3"/>
        <v>2685</v>
      </c>
      <c r="J33" s="51">
        <v>8513971</v>
      </c>
      <c r="K33" s="50">
        <f t="shared" si="4"/>
        <v>1244</v>
      </c>
    </row>
    <row r="34" spans="1:11" ht="21" thickTop="1" thickBot="1" x14ac:dyDescent="0.35">
      <c r="A34" s="59">
        <v>44587</v>
      </c>
      <c r="B34" s="116">
        <v>2560</v>
      </c>
      <c r="C34" s="115">
        <f t="shared" si="5"/>
        <v>0</v>
      </c>
      <c r="D34" s="57">
        <v>133948.9</v>
      </c>
      <c r="E34" s="50">
        <f t="shared" si="1"/>
        <v>204.89999999999418</v>
      </c>
      <c r="F34" s="51">
        <v>11421007</v>
      </c>
      <c r="G34" s="50">
        <f t="shared" si="2"/>
        <v>2144</v>
      </c>
      <c r="H34" s="51">
        <v>19393110</v>
      </c>
      <c r="I34" s="50">
        <f t="shared" si="3"/>
        <v>2728</v>
      </c>
      <c r="J34" s="51">
        <v>8515216</v>
      </c>
      <c r="K34" s="50">
        <f t="shared" si="4"/>
        <v>1245</v>
      </c>
    </row>
    <row r="35" spans="1:11" ht="21" thickTop="1" thickBot="1" x14ac:dyDescent="0.35">
      <c r="A35" s="59">
        <v>44588</v>
      </c>
      <c r="B35" s="116">
        <v>2560</v>
      </c>
      <c r="C35" s="115">
        <f t="shared" si="5"/>
        <v>0</v>
      </c>
      <c r="D35" s="57">
        <v>134039.9</v>
      </c>
      <c r="E35" s="50">
        <f t="shared" si="1"/>
        <v>91</v>
      </c>
      <c r="F35" s="51">
        <v>11423246</v>
      </c>
      <c r="G35" s="50">
        <f t="shared" si="2"/>
        <v>2239</v>
      </c>
      <c r="H35" s="51">
        <v>19395808</v>
      </c>
      <c r="I35" s="50">
        <f t="shared" si="3"/>
        <v>2698</v>
      </c>
      <c r="J35" s="51">
        <v>8516526</v>
      </c>
      <c r="K35" s="50">
        <f t="shared" si="4"/>
        <v>1310</v>
      </c>
    </row>
    <row r="36" spans="1:11" ht="21" thickTop="1" thickBot="1" x14ac:dyDescent="0.35">
      <c r="A36" s="59">
        <v>44589</v>
      </c>
      <c r="B36" s="116">
        <v>2560</v>
      </c>
      <c r="C36" s="115">
        <f t="shared" si="5"/>
        <v>0</v>
      </c>
      <c r="D36" s="57">
        <v>134103</v>
      </c>
      <c r="E36" s="50">
        <f t="shared" si="1"/>
        <v>63.100000000005821</v>
      </c>
      <c r="F36" s="51">
        <v>11425300</v>
      </c>
      <c r="G36" s="50">
        <f t="shared" si="2"/>
        <v>2054</v>
      </c>
      <c r="H36" s="51">
        <v>19398677</v>
      </c>
      <c r="I36" s="50">
        <f t="shared" si="3"/>
        <v>2869</v>
      </c>
      <c r="J36" s="51">
        <v>8517838</v>
      </c>
      <c r="K36" s="50">
        <f t="shared" si="4"/>
        <v>1312</v>
      </c>
    </row>
    <row r="37" spans="1:11" ht="21" thickTop="1" thickBot="1" x14ac:dyDescent="0.35">
      <c r="A37" s="59">
        <v>44590</v>
      </c>
      <c r="B37" s="116">
        <v>2560</v>
      </c>
      <c r="C37" s="115">
        <f t="shared" si="5"/>
        <v>0</v>
      </c>
      <c r="D37" s="57">
        <v>134151</v>
      </c>
      <c r="E37" s="50">
        <f t="shared" si="1"/>
        <v>48</v>
      </c>
      <c r="F37" s="51">
        <v>11427409</v>
      </c>
      <c r="G37" s="50">
        <f t="shared" si="2"/>
        <v>2109</v>
      </c>
      <c r="H37" s="51">
        <v>19401271</v>
      </c>
      <c r="I37" s="50">
        <f t="shared" si="3"/>
        <v>2594</v>
      </c>
      <c r="J37" s="51">
        <v>8519060</v>
      </c>
      <c r="K37" s="50">
        <f t="shared" si="4"/>
        <v>1222</v>
      </c>
    </row>
    <row r="38" spans="1:11" ht="21" thickTop="1" thickBot="1" x14ac:dyDescent="0.35">
      <c r="A38" s="59">
        <v>44591</v>
      </c>
      <c r="B38" s="116">
        <v>2560</v>
      </c>
      <c r="C38" s="115">
        <f t="shared" si="5"/>
        <v>0</v>
      </c>
      <c r="D38" s="57">
        <v>134196</v>
      </c>
      <c r="E38" s="50">
        <f t="shared" si="1"/>
        <v>45</v>
      </c>
      <c r="F38" s="51">
        <v>11429501</v>
      </c>
      <c r="G38" s="50">
        <f t="shared" si="2"/>
        <v>2092</v>
      </c>
      <c r="H38" s="51">
        <v>19403857</v>
      </c>
      <c r="I38" s="50">
        <f t="shared" si="3"/>
        <v>2586</v>
      </c>
      <c r="J38" s="51">
        <v>8520307</v>
      </c>
      <c r="K38" s="50">
        <f t="shared" si="4"/>
        <v>1247</v>
      </c>
    </row>
    <row r="39" spans="1:11" ht="21" thickTop="1" thickBot="1" x14ac:dyDescent="0.35">
      <c r="A39" s="59">
        <v>44592</v>
      </c>
      <c r="B39" s="116">
        <v>2560</v>
      </c>
      <c r="C39" s="115">
        <f t="shared" si="5"/>
        <v>0</v>
      </c>
      <c r="D39" s="57">
        <v>134238</v>
      </c>
      <c r="E39" s="50">
        <f t="shared" si="1"/>
        <v>42</v>
      </c>
      <c r="F39" s="51">
        <v>11431559</v>
      </c>
      <c r="G39" s="50">
        <f t="shared" si="2"/>
        <v>2058</v>
      </c>
      <c r="H39" s="51">
        <v>19406447</v>
      </c>
      <c r="I39" s="50">
        <f t="shared" si="3"/>
        <v>2590</v>
      </c>
      <c r="J39" s="51">
        <v>8521547</v>
      </c>
      <c r="K39" s="50">
        <f t="shared" si="4"/>
        <v>1240</v>
      </c>
    </row>
    <row r="40" spans="1:11" ht="21" thickTop="1" thickBot="1" x14ac:dyDescent="0.35">
      <c r="A40" s="59">
        <v>44593</v>
      </c>
      <c r="B40" s="116">
        <v>2560</v>
      </c>
      <c r="C40" s="115">
        <f t="shared" si="5"/>
        <v>0</v>
      </c>
      <c r="D40" s="57">
        <v>134294.1</v>
      </c>
      <c r="E40" s="50">
        <f t="shared" si="1"/>
        <v>56.100000000005821</v>
      </c>
      <c r="F40" s="51">
        <v>11433659</v>
      </c>
      <c r="G40" s="50">
        <f t="shared" si="2"/>
        <v>2100</v>
      </c>
      <c r="H40" s="51">
        <v>19409181</v>
      </c>
      <c r="I40" s="50">
        <f t="shared" si="3"/>
        <v>2734</v>
      </c>
      <c r="J40" s="51">
        <v>8522816</v>
      </c>
      <c r="K40" s="50">
        <f t="shared" si="4"/>
        <v>1269</v>
      </c>
    </row>
    <row r="41" spans="1:11" ht="24" customHeight="1" thickTop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1" stopIfTrue="1" operator="lessThanOrEqual">
      <formula>0</formula>
    </cfRule>
  </conditionalFormatting>
  <conditionalFormatting sqref="E10:E40">
    <cfRule type="cellIs" dxfId="3" priority="8" stopIfTrue="1" operator="lessThanOrEqual">
      <formula>0</formula>
    </cfRule>
  </conditionalFormatting>
  <conditionalFormatting sqref="E10:E40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P43" sqref="P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44562</v>
      </c>
      <c r="B4" s="41">
        <v>71</v>
      </c>
      <c r="C4" s="39">
        <f t="shared" ref="C4" si="0">IF(AC4&gt;0,((B4-R4)+(S4-B5)),IF(B5=0, ,(B4-B5)))</f>
        <v>1</v>
      </c>
      <c r="D4" s="41">
        <v>72</v>
      </c>
      <c r="E4" s="39">
        <f t="shared" ref="E4" si="1">IF(AC4&gt;0,((D4-U4)+(V4-D5)),IF(D5=0, ,(D4-D5)))</f>
        <v>2</v>
      </c>
      <c r="F4" s="41">
        <v>75</v>
      </c>
      <c r="G4" s="39">
        <f t="shared" ref="G4" si="2">IF(AC4&gt;0,((F4-X4)+(Y4-F5)),IF(F5=0, ,(F4-F5)))</f>
        <v>1</v>
      </c>
      <c r="H4" s="41">
        <v>73</v>
      </c>
      <c r="I4" s="39">
        <f>IF(AC4&gt;0,((H4-AA4)+(AB4-H5)),IF(H5=0, ,(H4-H5)))</f>
        <v>2</v>
      </c>
      <c r="J4" s="39">
        <f>B4+D4+F4+H4</f>
        <v>291</v>
      </c>
      <c r="K4" s="39">
        <f>J4/4</f>
        <v>72.75</v>
      </c>
      <c r="L4" s="39">
        <f>IF(AC4&gt;0,((K4-AD4)+(AE4-K5)),IF(K5=0, ,(K4-K5)))</f>
        <v>1.5</v>
      </c>
      <c r="M4" s="148">
        <f t="shared" ref="M4:M7" si="3">6049*4</f>
        <v>24196</v>
      </c>
      <c r="N4" s="39">
        <f>L4*M4/100</f>
        <v>362.94</v>
      </c>
      <c r="O4" s="39">
        <f>N4*0.529</f>
        <v>191.99526</v>
      </c>
      <c r="P4" s="42">
        <f>O4*11.665</f>
        <v>2239.6247079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44563</v>
      </c>
      <c r="B5" s="41">
        <v>70</v>
      </c>
      <c r="C5" s="39">
        <f t="shared" ref="C5:C35" si="7">IF(AC5&gt;0,((B5-R5)+(S5-B6)),IF(B6=0, ,(B5-B6)))</f>
        <v>1</v>
      </c>
      <c r="D5" s="41">
        <v>70</v>
      </c>
      <c r="E5" s="39">
        <f t="shared" ref="E5:E35" si="8">IF(AC5&gt;0,((D5-U5)+(V5-D6)),IF(D6=0, ,(D5-D6)))</f>
        <v>2</v>
      </c>
      <c r="F5" s="41">
        <v>74</v>
      </c>
      <c r="G5" s="39">
        <f t="shared" ref="G5:G35" si="9">IF(AC5&gt;0,((F5-X5)+(Y5-F6)),IF(F6=0, ,(F5-F6)))</f>
        <v>1</v>
      </c>
      <c r="H5" s="41">
        <v>71</v>
      </c>
      <c r="I5" s="39">
        <f>IF(AC5&gt;0,((H5-AA5)+(AB5-H6)),IF(H6=0, ,(H5-H6)))</f>
        <v>2</v>
      </c>
      <c r="J5" s="39">
        <f>B5+D5+F5+H5</f>
        <v>285</v>
      </c>
      <c r="K5" s="39">
        <f>J5/4</f>
        <v>71.25</v>
      </c>
      <c r="L5" s="39">
        <f>IF(AC5&gt;0,((K5-AD5)+(AE5-K6)),IF(K6=0, ,(K5-K6)))</f>
        <v>1.5</v>
      </c>
      <c r="M5" s="148">
        <f t="shared" si="3"/>
        <v>24196</v>
      </c>
      <c r="N5" s="39">
        <f>L5*M5/100</f>
        <v>362.94</v>
      </c>
      <c r="O5" s="39">
        <f t="shared" ref="O5:O34" si="10">N5*0.529</f>
        <v>191.99526</v>
      </c>
      <c r="P5" s="42">
        <f t="shared" ref="P5:P40" si="11">O5*11.665</f>
        <v>2239.6247079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44564</v>
      </c>
      <c r="B6" s="41">
        <v>69</v>
      </c>
      <c r="C6" s="39">
        <f t="shared" si="7"/>
        <v>4</v>
      </c>
      <c r="D6" s="41">
        <v>68</v>
      </c>
      <c r="E6" s="39">
        <f t="shared" si="8"/>
        <v>3</v>
      </c>
      <c r="F6" s="41">
        <v>73</v>
      </c>
      <c r="G6" s="39">
        <f t="shared" si="9"/>
        <v>3</v>
      </c>
      <c r="H6" s="41">
        <v>69</v>
      </c>
      <c r="I6" s="39">
        <f t="shared" ref="I6:I36" si="12">IF(AC6&gt;0,((H6-AA6)+(AB6-H7)),IF(H7=0, ,(H6-H7)))</f>
        <v>1</v>
      </c>
      <c r="J6" s="39">
        <f t="shared" ref="J6:J42" si="13">B6+D6+F6+H6</f>
        <v>279</v>
      </c>
      <c r="K6" s="39">
        <f t="shared" ref="K6:K42" si="14">J6/4</f>
        <v>69.75</v>
      </c>
      <c r="L6" s="39">
        <f t="shared" ref="L6:L19" si="15">IF(AC6&gt;0,((K6-AD6)+(AE6-K7)),IF(K7=0, ,(K6-K7)))</f>
        <v>2.75</v>
      </c>
      <c r="M6" s="148">
        <f t="shared" si="3"/>
        <v>24196</v>
      </c>
      <c r="N6" s="39">
        <f t="shared" ref="N6:N42" si="16">L6*M6/100</f>
        <v>665.39</v>
      </c>
      <c r="O6" s="39">
        <f t="shared" si="10"/>
        <v>351.99131</v>
      </c>
      <c r="P6" s="42">
        <f t="shared" si="11"/>
        <v>4105.9786311499993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44565</v>
      </c>
      <c r="B7" s="41">
        <v>65</v>
      </c>
      <c r="C7" s="39">
        <f t="shared" si="7"/>
        <v>3</v>
      </c>
      <c r="D7" s="41">
        <v>65</v>
      </c>
      <c r="E7" s="39">
        <f t="shared" si="8"/>
        <v>1</v>
      </c>
      <c r="F7" s="41">
        <v>70</v>
      </c>
      <c r="G7" s="39">
        <f t="shared" si="9"/>
        <v>6</v>
      </c>
      <c r="H7" s="41">
        <v>68</v>
      </c>
      <c r="I7" s="39">
        <f t="shared" si="12"/>
        <v>2</v>
      </c>
      <c r="J7" s="39">
        <f t="shared" si="13"/>
        <v>268</v>
      </c>
      <c r="K7" s="39">
        <f t="shared" si="14"/>
        <v>67</v>
      </c>
      <c r="L7" s="39">
        <f t="shared" si="15"/>
        <v>3</v>
      </c>
      <c r="M7" s="148">
        <f t="shared" si="3"/>
        <v>24196</v>
      </c>
      <c r="N7" s="39">
        <f t="shared" si="16"/>
        <v>725.88</v>
      </c>
      <c r="O7" s="39">
        <f t="shared" si="10"/>
        <v>383.99052</v>
      </c>
      <c r="P7" s="42">
        <f t="shared" si="11"/>
        <v>4479.2494158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44566</v>
      </c>
      <c r="B8" s="41">
        <v>62</v>
      </c>
      <c r="C8" s="39">
        <f t="shared" si="7"/>
        <v>2</v>
      </c>
      <c r="D8" s="41">
        <v>64</v>
      </c>
      <c r="E8" s="39">
        <f t="shared" si="8"/>
        <v>4</v>
      </c>
      <c r="F8" s="41">
        <v>64</v>
      </c>
      <c r="G8" s="39">
        <f t="shared" si="9"/>
        <v>2</v>
      </c>
      <c r="H8" s="41">
        <v>66</v>
      </c>
      <c r="I8" s="39">
        <f t="shared" si="12"/>
        <v>1</v>
      </c>
      <c r="J8" s="39">
        <f t="shared" si="13"/>
        <v>256</v>
      </c>
      <c r="K8" s="39">
        <f t="shared" si="14"/>
        <v>64</v>
      </c>
      <c r="L8" s="39">
        <f t="shared" si="15"/>
        <v>2.25</v>
      </c>
      <c r="M8" s="148">
        <f>6049*4</f>
        <v>24196</v>
      </c>
      <c r="N8" s="39">
        <f t="shared" si="16"/>
        <v>544.41</v>
      </c>
      <c r="O8" s="39">
        <f t="shared" si="10"/>
        <v>287.99288999999999</v>
      </c>
      <c r="P8" s="42">
        <f t="shared" si="11"/>
        <v>3359.4370618499997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44567</v>
      </c>
      <c r="B9" s="41">
        <v>60</v>
      </c>
      <c r="C9" s="39">
        <f t="shared" si="7"/>
        <v>0</v>
      </c>
      <c r="D9" s="41">
        <v>60</v>
      </c>
      <c r="E9" s="39">
        <f t="shared" si="8"/>
        <v>1</v>
      </c>
      <c r="F9" s="41">
        <v>62</v>
      </c>
      <c r="G9" s="39">
        <f t="shared" si="9"/>
        <v>2</v>
      </c>
      <c r="H9" s="41">
        <v>65</v>
      </c>
      <c r="I9" s="39">
        <f t="shared" si="12"/>
        <v>1</v>
      </c>
      <c r="J9" s="39">
        <f t="shared" si="13"/>
        <v>247</v>
      </c>
      <c r="K9" s="39">
        <f t="shared" si="14"/>
        <v>61.75</v>
      </c>
      <c r="L9" s="39">
        <f t="shared" si="15"/>
        <v>1</v>
      </c>
      <c r="M9" s="148">
        <f t="shared" ref="M9:M42" si="17">6049*4</f>
        <v>24196</v>
      </c>
      <c r="N9" s="39">
        <f t="shared" si="16"/>
        <v>241.96</v>
      </c>
      <c r="O9" s="39">
        <f t="shared" si="10"/>
        <v>127.99684000000001</v>
      </c>
      <c r="P9" s="42">
        <f t="shared" si="11"/>
        <v>1493.0831386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44568</v>
      </c>
      <c r="B10" s="41">
        <v>60</v>
      </c>
      <c r="C10" s="39">
        <f t="shared" si="7"/>
        <v>1</v>
      </c>
      <c r="D10" s="41">
        <v>59</v>
      </c>
      <c r="E10" s="39">
        <f t="shared" si="8"/>
        <v>1</v>
      </c>
      <c r="F10" s="41">
        <v>60</v>
      </c>
      <c r="G10" s="39">
        <f t="shared" si="9"/>
        <v>2</v>
      </c>
      <c r="H10" s="41">
        <v>64</v>
      </c>
      <c r="I10" s="39">
        <f t="shared" si="12"/>
        <v>2</v>
      </c>
      <c r="J10" s="39">
        <f t="shared" si="13"/>
        <v>243</v>
      </c>
      <c r="K10" s="39">
        <f t="shared" si="14"/>
        <v>60.75</v>
      </c>
      <c r="L10" s="39">
        <f t="shared" si="15"/>
        <v>1.5</v>
      </c>
      <c r="M10" s="148">
        <f t="shared" si="17"/>
        <v>24196</v>
      </c>
      <c r="N10" s="39">
        <f t="shared" si="16"/>
        <v>362.94</v>
      </c>
      <c r="O10" s="39">
        <f t="shared" si="10"/>
        <v>191.99526</v>
      </c>
      <c r="P10" s="42">
        <f t="shared" si="11"/>
        <v>2239.6247079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44569</v>
      </c>
      <c r="B11" s="41">
        <v>59</v>
      </c>
      <c r="C11" s="39">
        <f t="shared" si="7"/>
        <v>4</v>
      </c>
      <c r="D11" s="41">
        <v>58</v>
      </c>
      <c r="E11" s="39">
        <f t="shared" si="8"/>
        <v>3</v>
      </c>
      <c r="F11" s="41">
        <v>58</v>
      </c>
      <c r="G11" s="39">
        <f t="shared" si="9"/>
        <v>0</v>
      </c>
      <c r="H11" s="41">
        <v>62</v>
      </c>
      <c r="I11" s="39">
        <f t="shared" si="12"/>
        <v>2</v>
      </c>
      <c r="J11" s="39">
        <f t="shared" si="13"/>
        <v>237</v>
      </c>
      <c r="K11" s="39">
        <f t="shared" si="14"/>
        <v>59.25</v>
      </c>
      <c r="L11" s="39">
        <f t="shared" si="15"/>
        <v>2.25</v>
      </c>
      <c r="M11" s="148">
        <f t="shared" si="17"/>
        <v>24196</v>
      </c>
      <c r="N11" s="39">
        <f t="shared" si="16"/>
        <v>544.41</v>
      </c>
      <c r="O11" s="39">
        <f t="shared" si="10"/>
        <v>287.99288999999999</v>
      </c>
      <c r="P11" s="42">
        <f t="shared" si="11"/>
        <v>3359.4370618499997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44570</v>
      </c>
      <c r="B12" s="41">
        <v>55</v>
      </c>
      <c r="C12" s="39">
        <f t="shared" si="7"/>
        <v>3</v>
      </c>
      <c r="D12" s="41">
        <v>55</v>
      </c>
      <c r="E12" s="39">
        <f t="shared" si="8"/>
        <v>4</v>
      </c>
      <c r="F12" s="41">
        <v>58</v>
      </c>
      <c r="G12" s="39">
        <f t="shared" si="9"/>
        <v>2</v>
      </c>
      <c r="H12" s="41">
        <v>60</v>
      </c>
      <c r="I12" s="39">
        <f t="shared" si="12"/>
        <v>3</v>
      </c>
      <c r="J12" s="39">
        <f t="shared" si="13"/>
        <v>228</v>
      </c>
      <c r="K12" s="39">
        <f t="shared" si="14"/>
        <v>57</v>
      </c>
      <c r="L12" s="39">
        <f t="shared" si="15"/>
        <v>3</v>
      </c>
      <c r="M12" s="148">
        <f t="shared" si="17"/>
        <v>24196</v>
      </c>
      <c r="N12" s="39">
        <f t="shared" si="16"/>
        <v>725.88</v>
      </c>
      <c r="O12" s="39">
        <f t="shared" si="10"/>
        <v>383.99052</v>
      </c>
      <c r="P12" s="42">
        <f t="shared" si="11"/>
        <v>4479.2494158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44571</v>
      </c>
      <c r="B13" s="41">
        <v>52</v>
      </c>
      <c r="C13" s="39">
        <f t="shared" si="7"/>
        <v>3</v>
      </c>
      <c r="D13" s="41">
        <v>51</v>
      </c>
      <c r="E13" s="39">
        <f t="shared" si="8"/>
        <v>2</v>
      </c>
      <c r="F13" s="41">
        <v>56</v>
      </c>
      <c r="G13" s="39">
        <f t="shared" si="9"/>
        <v>0</v>
      </c>
      <c r="H13" s="41">
        <v>57</v>
      </c>
      <c r="I13" s="39">
        <f t="shared" si="12"/>
        <v>0</v>
      </c>
      <c r="J13" s="39">
        <f t="shared" si="13"/>
        <v>216</v>
      </c>
      <c r="K13" s="39">
        <f t="shared" si="14"/>
        <v>54</v>
      </c>
      <c r="L13" s="39">
        <f t="shared" si="15"/>
        <v>1.25</v>
      </c>
      <c r="M13" s="148">
        <f t="shared" si="17"/>
        <v>24196</v>
      </c>
      <c r="N13" s="39">
        <f t="shared" si="16"/>
        <v>302.45</v>
      </c>
      <c r="O13" s="39">
        <f t="shared" si="10"/>
        <v>159.99605</v>
      </c>
      <c r="P13" s="42">
        <f t="shared" si="11"/>
        <v>1866.3539232499998</v>
      </c>
      <c r="Q13" s="39">
        <v>2432</v>
      </c>
      <c r="R13" s="39">
        <v>50</v>
      </c>
      <c r="S13" s="39">
        <v>85</v>
      </c>
      <c r="T13" s="39">
        <v>2458</v>
      </c>
      <c r="U13" s="39">
        <v>50</v>
      </c>
      <c r="V13" s="39">
        <v>85</v>
      </c>
      <c r="W13" s="39">
        <v>2186</v>
      </c>
      <c r="X13" s="39">
        <v>56</v>
      </c>
      <c r="Y13" s="39">
        <v>85</v>
      </c>
      <c r="Z13" s="39">
        <v>2111</v>
      </c>
      <c r="AA13" s="39">
        <v>57</v>
      </c>
      <c r="AB13" s="39">
        <v>85</v>
      </c>
      <c r="AC13" s="39">
        <f t="shared" si="4"/>
        <v>9187</v>
      </c>
      <c r="AD13" s="38">
        <f t="shared" si="5"/>
        <v>53.25</v>
      </c>
      <c r="AE13" s="38">
        <f t="shared" si="6"/>
        <v>85</v>
      </c>
    </row>
    <row r="14" spans="1:31" ht="32.25" customHeight="1" x14ac:dyDescent="0.3">
      <c r="A14" s="40">
        <v>44572</v>
      </c>
      <c r="B14" s="41">
        <v>84</v>
      </c>
      <c r="C14" s="39">
        <f t="shared" si="7"/>
        <v>1</v>
      </c>
      <c r="D14" s="41">
        <v>84</v>
      </c>
      <c r="E14" s="39">
        <f t="shared" si="8"/>
        <v>1</v>
      </c>
      <c r="F14" s="41">
        <v>85</v>
      </c>
      <c r="G14" s="39">
        <f t="shared" si="9"/>
        <v>1</v>
      </c>
      <c r="H14" s="41">
        <v>85</v>
      </c>
      <c r="I14" s="39">
        <f>IF(AC14&gt;0,((H14-AA14)+(AB14-H15)),IF(H15=0, ,(H14-H15)))</f>
        <v>1</v>
      </c>
      <c r="J14" s="39">
        <f t="shared" si="13"/>
        <v>338</v>
      </c>
      <c r="K14" s="39">
        <f t="shared" si="14"/>
        <v>84.5</v>
      </c>
      <c r="L14" s="39">
        <f t="shared" si="15"/>
        <v>1</v>
      </c>
      <c r="M14" s="148">
        <f t="shared" si="17"/>
        <v>24196</v>
      </c>
      <c r="N14" s="39">
        <f t="shared" si="16"/>
        <v>241.96</v>
      </c>
      <c r="O14" s="39">
        <f t="shared" si="10"/>
        <v>127.99684000000001</v>
      </c>
      <c r="P14" s="42">
        <f t="shared" si="11"/>
        <v>1493.0831386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44573</v>
      </c>
      <c r="B15" s="41">
        <v>83</v>
      </c>
      <c r="C15" s="39">
        <f t="shared" si="7"/>
        <v>0</v>
      </c>
      <c r="D15" s="41">
        <v>83</v>
      </c>
      <c r="E15" s="39">
        <f t="shared" si="8"/>
        <v>0</v>
      </c>
      <c r="F15" s="41">
        <v>84</v>
      </c>
      <c r="G15" s="39">
        <f t="shared" si="9"/>
        <v>2</v>
      </c>
      <c r="H15" s="41">
        <v>84</v>
      </c>
      <c r="I15" s="39">
        <f>IF(AC15&gt;0,((H15-AA15)+(AB15-H16)),IF(H16=0, ,(H15-H16)))</f>
        <v>3</v>
      </c>
      <c r="J15" s="39">
        <f t="shared" si="13"/>
        <v>334</v>
      </c>
      <c r="K15" s="39">
        <f t="shared" si="14"/>
        <v>83.5</v>
      </c>
      <c r="L15" s="39">
        <f t="shared" si="15"/>
        <v>1.25</v>
      </c>
      <c r="M15" s="148">
        <f t="shared" si="17"/>
        <v>24196</v>
      </c>
      <c r="N15" s="39">
        <f t="shared" si="16"/>
        <v>302.45</v>
      </c>
      <c r="O15" s="39">
        <f t="shared" si="10"/>
        <v>159.99605</v>
      </c>
      <c r="P15" s="42">
        <f t="shared" si="11"/>
        <v>1866.3539232499998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44574</v>
      </c>
      <c r="B16" s="41">
        <v>83</v>
      </c>
      <c r="C16" s="39">
        <f t="shared" si="7"/>
        <v>1</v>
      </c>
      <c r="D16" s="41">
        <v>83</v>
      </c>
      <c r="E16" s="39">
        <f t="shared" si="8"/>
        <v>0</v>
      </c>
      <c r="F16" s="41">
        <v>82</v>
      </c>
      <c r="G16" s="39">
        <f t="shared" si="9"/>
        <v>2</v>
      </c>
      <c r="H16" s="41">
        <v>81</v>
      </c>
      <c r="I16" s="39">
        <f t="shared" si="12"/>
        <v>1</v>
      </c>
      <c r="J16" s="39">
        <f t="shared" si="13"/>
        <v>329</v>
      </c>
      <c r="K16" s="39">
        <f t="shared" si="14"/>
        <v>82.25</v>
      </c>
      <c r="L16" s="39">
        <f t="shared" si="15"/>
        <v>1</v>
      </c>
      <c r="M16" s="148">
        <f t="shared" si="17"/>
        <v>24196</v>
      </c>
      <c r="N16" s="39">
        <f t="shared" si="16"/>
        <v>241.96</v>
      </c>
      <c r="O16" s="39">
        <f t="shared" si="10"/>
        <v>127.99684000000001</v>
      </c>
      <c r="P16" s="42">
        <f t="shared" si="11"/>
        <v>1493.0831386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44575</v>
      </c>
      <c r="B17" s="41">
        <v>82</v>
      </c>
      <c r="C17" s="39">
        <f t="shared" si="7"/>
        <v>4</v>
      </c>
      <c r="D17" s="41">
        <v>83</v>
      </c>
      <c r="E17" s="39">
        <f t="shared" si="8"/>
        <v>4</v>
      </c>
      <c r="F17" s="41">
        <v>80</v>
      </c>
      <c r="G17" s="39">
        <f t="shared" si="9"/>
        <v>0</v>
      </c>
      <c r="H17" s="41">
        <v>80</v>
      </c>
      <c r="I17" s="39">
        <f t="shared" si="12"/>
        <v>0</v>
      </c>
      <c r="J17" s="39">
        <f t="shared" si="13"/>
        <v>325</v>
      </c>
      <c r="K17" s="39">
        <f t="shared" si="14"/>
        <v>81.25</v>
      </c>
      <c r="L17" s="39">
        <f t="shared" si="15"/>
        <v>2</v>
      </c>
      <c r="M17" s="148">
        <f t="shared" si="17"/>
        <v>24196</v>
      </c>
      <c r="N17" s="39">
        <f t="shared" si="16"/>
        <v>483.92</v>
      </c>
      <c r="O17" s="39">
        <f t="shared" si="10"/>
        <v>255.99368000000001</v>
      </c>
      <c r="P17" s="42">
        <f t="shared" si="11"/>
        <v>2986.1662772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44576</v>
      </c>
      <c r="B18" s="41">
        <v>78</v>
      </c>
      <c r="C18" s="39">
        <f t="shared" si="7"/>
        <v>2</v>
      </c>
      <c r="D18" s="41">
        <v>79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2"/>
        <v>3</v>
      </c>
      <c r="J18" s="39">
        <f t="shared" si="13"/>
        <v>317</v>
      </c>
      <c r="K18" s="39">
        <f t="shared" si="14"/>
        <v>79.25</v>
      </c>
      <c r="L18" s="39">
        <f t="shared" si="15"/>
        <v>2.5</v>
      </c>
      <c r="M18" s="148">
        <f t="shared" si="17"/>
        <v>24196</v>
      </c>
      <c r="N18" s="39">
        <f t="shared" si="16"/>
        <v>604.9</v>
      </c>
      <c r="O18" s="39">
        <f t="shared" si="10"/>
        <v>319.99209999999999</v>
      </c>
      <c r="P18" s="42">
        <f t="shared" si="11"/>
        <v>3732.7078464999995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44577</v>
      </c>
      <c r="B19" s="41">
        <v>76</v>
      </c>
      <c r="C19" s="39">
        <f t="shared" si="7"/>
        <v>1</v>
      </c>
      <c r="D19" s="41">
        <v>76</v>
      </c>
      <c r="E19" s="39">
        <f t="shared" si="8"/>
        <v>1</v>
      </c>
      <c r="F19" s="41">
        <v>78</v>
      </c>
      <c r="G19" s="39">
        <f t="shared" si="9"/>
        <v>2</v>
      </c>
      <c r="H19" s="41">
        <v>77</v>
      </c>
      <c r="I19" s="39">
        <f t="shared" si="12"/>
        <v>2</v>
      </c>
      <c r="J19" s="39">
        <f t="shared" si="13"/>
        <v>307</v>
      </c>
      <c r="K19" s="39">
        <f t="shared" si="14"/>
        <v>76.75</v>
      </c>
      <c r="L19" s="39">
        <f t="shared" si="15"/>
        <v>1.5</v>
      </c>
      <c r="M19" s="148">
        <f t="shared" si="17"/>
        <v>24196</v>
      </c>
      <c r="N19" s="39">
        <f t="shared" si="16"/>
        <v>362.94</v>
      </c>
      <c r="O19" s="39">
        <f t="shared" si="10"/>
        <v>191.99526</v>
      </c>
      <c r="P19" s="42">
        <f t="shared" si="11"/>
        <v>2239.6247079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44578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2</v>
      </c>
      <c r="H20" s="41">
        <v>75</v>
      </c>
      <c r="I20" s="39">
        <f t="shared" si="12"/>
        <v>1</v>
      </c>
      <c r="J20" s="39">
        <f t="shared" si="13"/>
        <v>301</v>
      </c>
      <c r="K20" s="39">
        <f t="shared" si="14"/>
        <v>75.25</v>
      </c>
      <c r="L20" s="39">
        <f t="shared" ref="L20:L42" si="18">IF(AC20&gt;0,((K20-AD20)+(AE20-K21)),IF(K21=0, ,(K20-K21)))</f>
        <v>1.25</v>
      </c>
      <c r="M20" s="148">
        <f t="shared" si="17"/>
        <v>24196</v>
      </c>
      <c r="N20" s="39">
        <f t="shared" si="16"/>
        <v>302.45</v>
      </c>
      <c r="O20" s="39">
        <f t="shared" si="10"/>
        <v>159.99605</v>
      </c>
      <c r="P20" s="42">
        <f t="shared" si="11"/>
        <v>1866.3539232499998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44579</v>
      </c>
      <c r="B21" s="41">
        <v>74</v>
      </c>
      <c r="C21" s="39">
        <f t="shared" si="7"/>
        <v>1</v>
      </c>
      <c r="D21" s="41">
        <v>74</v>
      </c>
      <c r="E21" s="39">
        <f t="shared" si="8"/>
        <v>2</v>
      </c>
      <c r="F21" s="41">
        <v>74</v>
      </c>
      <c r="G21" s="39">
        <f t="shared" si="9"/>
        <v>2</v>
      </c>
      <c r="H21" s="41">
        <v>74</v>
      </c>
      <c r="I21" s="39">
        <f t="shared" si="12"/>
        <v>1</v>
      </c>
      <c r="J21" s="39">
        <f t="shared" si="13"/>
        <v>296</v>
      </c>
      <c r="K21" s="39">
        <f t="shared" si="14"/>
        <v>74</v>
      </c>
      <c r="L21" s="39">
        <f>IF(AC21&gt;0,((K21-AD21)+(AE21-K22)),IF(K22=0, ,(K21-K22)))</f>
        <v>1.5</v>
      </c>
      <c r="M21" s="148">
        <f t="shared" si="17"/>
        <v>24196</v>
      </c>
      <c r="N21" s="39">
        <f t="shared" si="16"/>
        <v>362.94</v>
      </c>
      <c r="O21" s="39">
        <f t="shared" si="10"/>
        <v>191.99526</v>
      </c>
      <c r="P21" s="42">
        <f t="shared" si="11"/>
        <v>2239.6247079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44580</v>
      </c>
      <c r="B22" s="41">
        <v>73</v>
      </c>
      <c r="C22" s="39">
        <f t="shared" si="7"/>
        <v>3</v>
      </c>
      <c r="D22" s="41">
        <v>72</v>
      </c>
      <c r="E22" s="39">
        <f t="shared" si="8"/>
        <v>2</v>
      </c>
      <c r="F22" s="41">
        <v>72</v>
      </c>
      <c r="G22" s="39">
        <f t="shared" si="9"/>
        <v>1</v>
      </c>
      <c r="H22" s="41">
        <v>73</v>
      </c>
      <c r="I22" s="39">
        <f t="shared" si="12"/>
        <v>3</v>
      </c>
      <c r="J22" s="39">
        <f t="shared" si="13"/>
        <v>290</v>
      </c>
      <c r="K22" s="39">
        <f t="shared" si="14"/>
        <v>72.5</v>
      </c>
      <c r="L22" s="39">
        <f>IF(AC22&gt;0,((K22-AD22)+(AE22-K23)),IF(K23=0, ,(K22-K23)))</f>
        <v>2.25</v>
      </c>
      <c r="M22" s="148">
        <f t="shared" si="17"/>
        <v>24196</v>
      </c>
      <c r="N22" s="39">
        <f t="shared" si="16"/>
        <v>544.41</v>
      </c>
      <c r="O22" s="39">
        <f t="shared" si="10"/>
        <v>287.99288999999999</v>
      </c>
      <c r="P22" s="42">
        <f t="shared" si="11"/>
        <v>3359.4370618499997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44581</v>
      </c>
      <c r="B23" s="41">
        <v>70</v>
      </c>
      <c r="C23" s="39">
        <f t="shared" si="7"/>
        <v>1</v>
      </c>
      <c r="D23" s="41">
        <v>70</v>
      </c>
      <c r="E23" s="39">
        <f t="shared" si="8"/>
        <v>2</v>
      </c>
      <c r="F23" s="41">
        <v>71</v>
      </c>
      <c r="G23" s="39">
        <f t="shared" si="9"/>
        <v>1</v>
      </c>
      <c r="H23" s="41">
        <v>70</v>
      </c>
      <c r="I23" s="39">
        <f t="shared" si="12"/>
        <v>0</v>
      </c>
      <c r="J23" s="39">
        <f t="shared" si="13"/>
        <v>281</v>
      </c>
      <c r="K23" s="39">
        <f t="shared" si="14"/>
        <v>70.25</v>
      </c>
      <c r="L23" s="39">
        <f t="shared" si="18"/>
        <v>1</v>
      </c>
      <c r="M23" s="148">
        <f t="shared" si="17"/>
        <v>24196</v>
      </c>
      <c r="N23" s="39">
        <f t="shared" si="16"/>
        <v>241.96</v>
      </c>
      <c r="O23" s="39">
        <f t="shared" si="10"/>
        <v>127.99684000000001</v>
      </c>
      <c r="P23" s="42">
        <f t="shared" si="11"/>
        <v>1493.0831386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44582</v>
      </c>
      <c r="B24" s="41">
        <v>69</v>
      </c>
      <c r="C24" s="39">
        <f t="shared" si="7"/>
        <v>1</v>
      </c>
      <c r="D24" s="41">
        <v>68</v>
      </c>
      <c r="E24" s="39">
        <f t="shared" si="8"/>
        <v>2</v>
      </c>
      <c r="F24" s="41">
        <v>70</v>
      </c>
      <c r="G24" s="39">
        <f t="shared" si="9"/>
        <v>3</v>
      </c>
      <c r="H24" s="41">
        <v>70</v>
      </c>
      <c r="I24" s="39">
        <f t="shared" si="12"/>
        <v>1</v>
      </c>
      <c r="J24" s="39">
        <f t="shared" si="13"/>
        <v>277</v>
      </c>
      <c r="K24" s="39">
        <f t="shared" si="14"/>
        <v>69.25</v>
      </c>
      <c r="L24" s="39">
        <f t="shared" si="18"/>
        <v>1.75</v>
      </c>
      <c r="M24" s="148">
        <f t="shared" si="17"/>
        <v>24196</v>
      </c>
      <c r="N24" s="39">
        <f t="shared" si="16"/>
        <v>423.43</v>
      </c>
      <c r="O24" s="39">
        <f t="shared" si="10"/>
        <v>223.99447000000001</v>
      </c>
      <c r="P24" s="42">
        <f t="shared" si="11"/>
        <v>2612.8954925499997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44583</v>
      </c>
      <c r="B25" s="41">
        <v>68</v>
      </c>
      <c r="C25" s="39">
        <f t="shared" si="7"/>
        <v>3</v>
      </c>
      <c r="D25" s="41">
        <v>66</v>
      </c>
      <c r="E25" s="39">
        <f t="shared" si="8"/>
        <v>4</v>
      </c>
      <c r="F25" s="41">
        <v>67</v>
      </c>
      <c r="G25" s="39">
        <f t="shared" si="9"/>
        <v>0</v>
      </c>
      <c r="H25" s="41">
        <v>69</v>
      </c>
      <c r="I25" s="39">
        <f t="shared" si="12"/>
        <v>3</v>
      </c>
      <c r="J25" s="39">
        <f t="shared" si="13"/>
        <v>270</v>
      </c>
      <c r="K25" s="39">
        <f t="shared" si="14"/>
        <v>67.5</v>
      </c>
      <c r="L25" s="39">
        <f t="shared" si="18"/>
        <v>2.5</v>
      </c>
      <c r="M25" s="148">
        <f t="shared" si="17"/>
        <v>24196</v>
      </c>
      <c r="N25" s="39">
        <f t="shared" si="16"/>
        <v>604.9</v>
      </c>
      <c r="O25" s="39">
        <f t="shared" si="10"/>
        <v>319.99209999999999</v>
      </c>
      <c r="P25" s="42">
        <f t="shared" si="11"/>
        <v>3732.7078464999995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44584</v>
      </c>
      <c r="B26" s="41">
        <v>65</v>
      </c>
      <c r="C26" s="39">
        <f t="shared" si="7"/>
        <v>1</v>
      </c>
      <c r="D26" s="41">
        <v>62</v>
      </c>
      <c r="E26" s="39">
        <f t="shared" si="8"/>
        <v>2</v>
      </c>
      <c r="F26" s="41">
        <v>67</v>
      </c>
      <c r="G26" s="39">
        <f t="shared" si="9"/>
        <v>1</v>
      </c>
      <c r="H26" s="41">
        <v>66</v>
      </c>
      <c r="I26" s="39">
        <f t="shared" si="12"/>
        <v>1</v>
      </c>
      <c r="J26" s="39">
        <f t="shared" si="13"/>
        <v>260</v>
      </c>
      <c r="K26" s="39">
        <f t="shared" si="14"/>
        <v>65</v>
      </c>
      <c r="L26" s="39">
        <f t="shared" si="18"/>
        <v>1.25</v>
      </c>
      <c r="M26" s="148">
        <f t="shared" si="17"/>
        <v>24196</v>
      </c>
      <c r="N26" s="39">
        <f t="shared" si="16"/>
        <v>302.45</v>
      </c>
      <c r="O26" s="39">
        <f t="shared" si="10"/>
        <v>159.99605</v>
      </c>
      <c r="P26" s="42">
        <f t="shared" si="11"/>
        <v>1866.3539232499998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44585</v>
      </c>
      <c r="B27" s="41">
        <v>64</v>
      </c>
      <c r="C27" s="39">
        <f t="shared" si="7"/>
        <v>4</v>
      </c>
      <c r="D27" s="41">
        <v>60</v>
      </c>
      <c r="E27" s="39">
        <f t="shared" si="8"/>
        <v>0</v>
      </c>
      <c r="F27" s="41">
        <v>66</v>
      </c>
      <c r="G27" s="39">
        <f t="shared" si="9"/>
        <v>2</v>
      </c>
      <c r="H27" s="41">
        <v>65</v>
      </c>
      <c r="I27" s="39">
        <f t="shared" si="12"/>
        <v>1</v>
      </c>
      <c r="J27" s="39">
        <f t="shared" si="13"/>
        <v>255</v>
      </c>
      <c r="K27" s="39">
        <f t="shared" si="14"/>
        <v>63.75</v>
      </c>
      <c r="L27" s="39">
        <f t="shared" si="18"/>
        <v>1.75</v>
      </c>
      <c r="M27" s="148">
        <f t="shared" si="17"/>
        <v>24196</v>
      </c>
      <c r="N27" s="39">
        <f t="shared" si="16"/>
        <v>423.43</v>
      </c>
      <c r="O27" s="39">
        <f t="shared" si="10"/>
        <v>223.99447000000001</v>
      </c>
      <c r="P27" s="42">
        <f t="shared" si="11"/>
        <v>2612.8954925499997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44586</v>
      </c>
      <c r="B28" s="41">
        <v>60</v>
      </c>
      <c r="C28" s="39">
        <f t="shared" si="7"/>
        <v>0</v>
      </c>
      <c r="D28" s="41">
        <v>60</v>
      </c>
      <c r="E28" s="39">
        <f t="shared" si="8"/>
        <v>2</v>
      </c>
      <c r="F28" s="41">
        <v>64</v>
      </c>
      <c r="G28" s="39">
        <f t="shared" si="9"/>
        <v>4</v>
      </c>
      <c r="H28" s="41">
        <v>64</v>
      </c>
      <c r="I28" s="39">
        <f>IF(AC28&gt;0,((H28-AA28)+(AB28-H29)),IF(H29=0, ,(H28-H29)))</f>
        <v>4</v>
      </c>
      <c r="J28" s="39">
        <f t="shared" si="13"/>
        <v>248</v>
      </c>
      <c r="K28" s="39">
        <f t="shared" si="14"/>
        <v>62</v>
      </c>
      <c r="L28" s="39">
        <f t="shared" si="18"/>
        <v>2.5</v>
      </c>
      <c r="M28" s="148">
        <f t="shared" si="17"/>
        <v>24196</v>
      </c>
      <c r="N28" s="39">
        <f t="shared" si="16"/>
        <v>604.9</v>
      </c>
      <c r="O28" s="39">
        <f t="shared" si="10"/>
        <v>319.99209999999999</v>
      </c>
      <c r="P28" s="42">
        <f t="shared" si="11"/>
        <v>3732.7078464999995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44587</v>
      </c>
      <c r="B29" s="41">
        <v>60</v>
      </c>
      <c r="C29" s="39">
        <f t="shared" si="7"/>
        <v>3</v>
      </c>
      <c r="D29" s="41">
        <v>58</v>
      </c>
      <c r="E29" s="39">
        <f t="shared" si="8"/>
        <v>2</v>
      </c>
      <c r="F29" s="41">
        <v>60</v>
      </c>
      <c r="G29" s="39">
        <f t="shared" si="9"/>
        <v>0</v>
      </c>
      <c r="H29" s="41">
        <v>60</v>
      </c>
      <c r="I29" s="39">
        <f t="shared" si="12"/>
        <v>0</v>
      </c>
      <c r="J29" s="39">
        <f t="shared" si="13"/>
        <v>238</v>
      </c>
      <c r="K29" s="39">
        <f t="shared" si="14"/>
        <v>59.5</v>
      </c>
      <c r="L29" s="39">
        <f t="shared" si="18"/>
        <v>1.25</v>
      </c>
      <c r="M29" s="148">
        <f t="shared" si="17"/>
        <v>24196</v>
      </c>
      <c r="N29" s="39">
        <f t="shared" si="16"/>
        <v>302.45</v>
      </c>
      <c r="O29" s="39">
        <f t="shared" si="10"/>
        <v>159.99605</v>
      </c>
      <c r="P29" s="42">
        <f t="shared" si="11"/>
        <v>1866.3539232499998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44588</v>
      </c>
      <c r="B30" s="41">
        <v>57</v>
      </c>
      <c r="C30" s="39">
        <f t="shared" si="7"/>
        <v>2</v>
      </c>
      <c r="D30" s="41">
        <v>56</v>
      </c>
      <c r="E30" s="39">
        <f t="shared" si="8"/>
        <v>1</v>
      </c>
      <c r="F30" s="41">
        <v>60</v>
      </c>
      <c r="G30" s="39">
        <f t="shared" si="9"/>
        <v>2</v>
      </c>
      <c r="H30" s="41">
        <v>60</v>
      </c>
      <c r="I30" s="39">
        <f t="shared" si="12"/>
        <v>0</v>
      </c>
      <c r="J30" s="39">
        <f t="shared" si="13"/>
        <v>233</v>
      </c>
      <c r="K30" s="39">
        <f t="shared" si="14"/>
        <v>58.25</v>
      </c>
      <c r="L30" s="39">
        <f t="shared" si="18"/>
        <v>1.25</v>
      </c>
      <c r="M30" s="148">
        <f t="shared" si="17"/>
        <v>24196</v>
      </c>
      <c r="N30" s="39">
        <f t="shared" si="16"/>
        <v>302.45</v>
      </c>
      <c r="O30" s="39">
        <f t="shared" si="10"/>
        <v>159.99605</v>
      </c>
      <c r="P30" s="42">
        <f t="shared" si="11"/>
        <v>1866.3539232499998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44589</v>
      </c>
      <c r="B31" s="41">
        <v>55</v>
      </c>
      <c r="C31" s="39">
        <f t="shared" si="7"/>
        <v>1</v>
      </c>
      <c r="D31" s="41">
        <v>55</v>
      </c>
      <c r="E31" s="39">
        <f t="shared" si="8"/>
        <v>2</v>
      </c>
      <c r="F31" s="41">
        <v>58</v>
      </c>
      <c r="G31" s="39">
        <f t="shared" si="9"/>
        <v>3</v>
      </c>
      <c r="H31" s="41">
        <v>60</v>
      </c>
      <c r="I31" s="39">
        <f t="shared" si="12"/>
        <v>4</v>
      </c>
      <c r="J31" s="39">
        <f t="shared" si="13"/>
        <v>228</v>
      </c>
      <c r="K31" s="39">
        <f t="shared" si="14"/>
        <v>57</v>
      </c>
      <c r="L31" s="39">
        <f t="shared" si="18"/>
        <v>2.5</v>
      </c>
      <c r="M31" s="148">
        <f t="shared" si="17"/>
        <v>24196</v>
      </c>
      <c r="N31" s="39">
        <f t="shared" si="16"/>
        <v>604.9</v>
      </c>
      <c r="O31" s="39">
        <f t="shared" si="10"/>
        <v>319.99209999999999</v>
      </c>
      <c r="P31" s="42">
        <f t="shared" si="11"/>
        <v>3732.7078464999995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44590</v>
      </c>
      <c r="B32" s="41">
        <v>54</v>
      </c>
      <c r="C32" s="39">
        <f t="shared" si="7"/>
        <v>4</v>
      </c>
      <c r="D32" s="41">
        <v>53</v>
      </c>
      <c r="E32" s="39">
        <f t="shared" si="8"/>
        <v>2</v>
      </c>
      <c r="F32" s="41">
        <v>55</v>
      </c>
      <c r="G32" s="39">
        <f t="shared" si="9"/>
        <v>0</v>
      </c>
      <c r="H32" s="41">
        <v>56</v>
      </c>
      <c r="I32" s="39">
        <f t="shared" si="12"/>
        <v>1</v>
      </c>
      <c r="J32" s="39">
        <f t="shared" si="13"/>
        <v>218</v>
      </c>
      <c r="K32" s="39">
        <f t="shared" si="14"/>
        <v>54.5</v>
      </c>
      <c r="L32" s="39">
        <f t="shared" si="18"/>
        <v>1.75</v>
      </c>
      <c r="M32" s="148">
        <f t="shared" si="17"/>
        <v>24196</v>
      </c>
      <c r="N32" s="39">
        <f t="shared" si="16"/>
        <v>423.43</v>
      </c>
      <c r="O32" s="39">
        <f t="shared" si="10"/>
        <v>223.99447000000001</v>
      </c>
      <c r="P32" s="42">
        <f t="shared" si="11"/>
        <v>2612.8954925499997</v>
      </c>
      <c r="Q32" s="39">
        <v>1890</v>
      </c>
      <c r="R32" s="39">
        <v>50</v>
      </c>
      <c r="S32" s="39">
        <v>75</v>
      </c>
      <c r="T32" s="39">
        <v>1890</v>
      </c>
      <c r="U32" s="39">
        <v>53</v>
      </c>
      <c r="V32" s="39">
        <v>80</v>
      </c>
      <c r="W32" s="39">
        <v>1890</v>
      </c>
      <c r="X32" s="39">
        <v>55</v>
      </c>
      <c r="Y32" s="39">
        <v>80</v>
      </c>
      <c r="Z32" s="39">
        <v>1890</v>
      </c>
      <c r="AA32" s="39">
        <v>55</v>
      </c>
      <c r="AB32" s="39">
        <v>80</v>
      </c>
      <c r="AC32" s="39">
        <f>Q32+T32+W32+Z32</f>
        <v>7560</v>
      </c>
      <c r="AD32" s="38">
        <f t="shared" si="19"/>
        <v>53.25</v>
      </c>
      <c r="AE32" s="38">
        <f t="shared" si="21"/>
        <v>78.75</v>
      </c>
    </row>
    <row r="33" spans="1:31" ht="32.25" customHeight="1" x14ac:dyDescent="0.3">
      <c r="A33" s="40">
        <v>44591</v>
      </c>
      <c r="B33" s="41">
        <v>75</v>
      </c>
      <c r="C33" s="39">
        <f t="shared" si="7"/>
        <v>1</v>
      </c>
      <c r="D33" s="41">
        <v>78</v>
      </c>
      <c r="E33" s="39">
        <f t="shared" si="8"/>
        <v>2</v>
      </c>
      <c r="F33" s="41">
        <v>80</v>
      </c>
      <c r="G33" s="39">
        <f t="shared" si="9"/>
        <v>1</v>
      </c>
      <c r="H33" s="41">
        <v>80</v>
      </c>
      <c r="I33" s="39">
        <f t="shared" si="12"/>
        <v>1</v>
      </c>
      <c r="J33" s="39">
        <f t="shared" si="13"/>
        <v>313</v>
      </c>
      <c r="K33" s="39">
        <f t="shared" si="14"/>
        <v>78.25</v>
      </c>
      <c r="L33" s="39">
        <f t="shared" si="18"/>
        <v>1.25</v>
      </c>
      <c r="M33" s="148">
        <f t="shared" si="17"/>
        <v>24196</v>
      </c>
      <c r="N33" s="39">
        <f t="shared" si="16"/>
        <v>302.45</v>
      </c>
      <c r="O33" s="39">
        <f t="shared" si="10"/>
        <v>159.99605</v>
      </c>
      <c r="P33" s="42">
        <f t="shared" si="11"/>
        <v>1866.3539232499998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44592</v>
      </c>
      <c r="B34" s="41">
        <v>74</v>
      </c>
      <c r="C34" s="39">
        <f t="shared" si="7"/>
        <v>1</v>
      </c>
      <c r="D34" s="41">
        <v>76</v>
      </c>
      <c r="E34" s="39">
        <f t="shared" si="8"/>
        <v>3</v>
      </c>
      <c r="F34" s="41">
        <v>79</v>
      </c>
      <c r="G34" s="39">
        <f t="shared" si="9"/>
        <v>2</v>
      </c>
      <c r="H34" s="41">
        <v>79</v>
      </c>
      <c r="I34" s="39">
        <f t="shared" si="12"/>
        <v>2</v>
      </c>
      <c r="J34" s="39">
        <f>B34+D34+F34+H34</f>
        <v>308</v>
      </c>
      <c r="K34" s="39">
        <f>J34/4</f>
        <v>77</v>
      </c>
      <c r="L34" s="39">
        <f>IF(AC34&gt;0,((K34-AD34)+(AE34-K35)),IF(K35=0, ,(K34-K35)))</f>
        <v>2</v>
      </c>
      <c r="M34" s="148">
        <f t="shared" si="17"/>
        <v>24196</v>
      </c>
      <c r="N34" s="39">
        <f>L34*M34/100</f>
        <v>483.92</v>
      </c>
      <c r="O34" s="39">
        <f t="shared" si="10"/>
        <v>255.99368000000001</v>
      </c>
      <c r="P34" s="42">
        <f t="shared" si="11"/>
        <v>2986.1662772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44593</v>
      </c>
      <c r="B35" s="41">
        <v>73</v>
      </c>
      <c r="C35" s="39">
        <f t="shared" si="7"/>
        <v>0</v>
      </c>
      <c r="D35" s="41">
        <v>73</v>
      </c>
      <c r="E35" s="39">
        <f t="shared" si="8"/>
        <v>0</v>
      </c>
      <c r="F35" s="41">
        <v>77</v>
      </c>
      <c r="G35" s="39">
        <f t="shared" si="9"/>
        <v>0</v>
      </c>
      <c r="H35" s="41">
        <v>77</v>
      </c>
      <c r="I35" s="39">
        <f t="shared" si="12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2">N35*0.529</f>
        <v>0</v>
      </c>
      <c r="P35" s="42">
        <f t="shared" si="11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2"/>
        <v>0</v>
      </c>
      <c r="P36" s="42">
        <f t="shared" si="11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2"/>
        <v>0</v>
      </c>
      <c r="P37" s="42">
        <f t="shared" si="11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11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11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si="11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ref="P41:P42" si="28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13307.800000000001</v>
      </c>
      <c r="O43" s="39">
        <f>N43*0.529</f>
        <v>7039.8262000000013</v>
      </c>
      <c r="P43" s="42">
        <f>O43*11.665</f>
        <v>82119.572623000015</v>
      </c>
      <c r="Q43" s="284">
        <f>SUM(Q4:Q42)</f>
        <v>4322</v>
      </c>
      <c r="R43" s="285"/>
      <c r="S43" s="286"/>
      <c r="T43" s="287">
        <f>SUM(T4:T42)</f>
        <v>4348</v>
      </c>
      <c r="U43" s="285"/>
      <c r="V43" s="286"/>
      <c r="W43" s="287">
        <f>SUM(W4:W42)</f>
        <v>4076</v>
      </c>
      <c r="X43" s="285"/>
      <c r="Y43" s="286"/>
      <c r="Z43" s="287">
        <f>SUM(Z4:Z42)</f>
        <v>4001</v>
      </c>
      <c r="AA43" s="285"/>
      <c r="AB43" s="286"/>
      <c r="AC43" s="39">
        <f t="shared" si="20"/>
        <v>16747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16747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16747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13307.800000000001</v>
      </c>
      <c r="L47" s="46">
        <f>O43</f>
        <v>7039.8262000000013</v>
      </c>
      <c r="M47" s="46">
        <f>P43</f>
        <v>82119.572623000015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16747</v>
      </c>
      <c r="L48" s="44">
        <f>K48*0.529</f>
        <v>8859.1630000000005</v>
      </c>
      <c r="M48" s="44">
        <f>L48*11.665</f>
        <v>103342.13639499999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>
        <v>44558</v>
      </c>
      <c r="D8" s="324"/>
      <c r="E8" s="113">
        <v>44589</v>
      </c>
      <c r="F8" s="162" t="s">
        <v>97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417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40"/>
      <c r="H17" s="341"/>
      <c r="I17" s="340">
        <f>+E17</f>
        <v>92248</v>
      </c>
      <c r="J17" s="341"/>
    </row>
    <row r="18" spans="1:10" x14ac:dyDescent="0.2">
      <c r="A18" s="338" t="s">
        <v>111</v>
      </c>
      <c r="B18" s="339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40"/>
      <c r="H18" s="341"/>
      <c r="I18" s="340">
        <f>+E18</f>
        <v>71146</v>
      </c>
      <c r="J18" s="341"/>
    </row>
    <row r="19" spans="1:10" x14ac:dyDescent="0.2">
      <c r="A19" s="338" t="s">
        <v>112</v>
      </c>
      <c r="B19" s="339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40"/>
      <c r="H19" s="341"/>
      <c r="I19" s="340">
        <f>+E19</f>
        <v>43085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206479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3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92248</v>
      </c>
      <c r="E25" s="72">
        <v>0.95140000000000002</v>
      </c>
      <c r="F25" s="73">
        <f>PRODUCT(D25*E25)</f>
        <v>87764.747199999998</v>
      </c>
      <c r="G25" s="150">
        <v>14</v>
      </c>
      <c r="H25" s="65">
        <f>PRODUCT(0.14,F25)</f>
        <v>12287.064608000001</v>
      </c>
      <c r="I25" s="362">
        <f>SUM(H25,F25)</f>
        <v>100051.811808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62">
        <f t="shared" ref="I26:I31" si="0">SUM(H26,F26)</f>
        <v>56652.848339999997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62">
        <f>SUM(H27,F27)</f>
        <v>65345.123760000002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240995.18219999998</v>
      </c>
      <c r="G32" s="85"/>
      <c r="H32" s="86"/>
      <c r="I32" s="374">
        <f>SUM(I25:J31)</f>
        <v>274680.52770799998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>
        <v>44297</v>
      </c>
      <c r="D8" s="324"/>
      <c r="E8" s="113">
        <v>44327</v>
      </c>
      <c r="F8" s="162" t="s">
        <v>132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 x14ac:dyDescent="0.2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 x14ac:dyDescent="0.2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3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133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398">
        <f>PRODUCT(D13,B13)</f>
        <v>14020.929000000049</v>
      </c>
      <c r="G13" s="398"/>
      <c r="H13" s="398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 x14ac:dyDescent="0.3">
      <c r="A20" s="412" t="s">
        <v>149</v>
      </c>
      <c r="B20" s="413"/>
      <c r="C20" s="413"/>
      <c r="D20" s="413"/>
      <c r="E20" s="414"/>
      <c r="F20" s="415">
        <f>SUM(F11+F13+F16+F17+F18+F19)</f>
        <v>18207.140000000065</v>
      </c>
      <c r="G20" s="415"/>
      <c r="H20" s="415"/>
    </row>
    <row r="21" spans="1:8" ht="15" x14ac:dyDescent="0.25">
      <c r="A21" s="401" t="s">
        <v>150</v>
      </c>
      <c r="B21" s="402"/>
      <c r="C21" s="402"/>
      <c r="D21" s="402"/>
      <c r="E21" s="403"/>
      <c r="F21" s="396">
        <f>PRODUCT(F20,0.07)</f>
        <v>1274.4998000000046</v>
      </c>
      <c r="G21" s="396"/>
      <c r="H21" s="396"/>
    </row>
    <row r="22" spans="1:8" ht="15" x14ac:dyDescent="0.25">
      <c r="A22" s="416" t="s">
        <v>151</v>
      </c>
      <c r="B22" s="417"/>
      <c r="C22" s="417"/>
      <c r="D22" s="417"/>
      <c r="E22" s="418"/>
      <c r="F22" s="396">
        <v>208.26</v>
      </c>
      <c r="G22" s="396"/>
      <c r="H22" s="396"/>
    </row>
    <row r="23" spans="1:8" ht="15.75" x14ac:dyDescent="0.25">
      <c r="A23" s="401" t="s">
        <v>152</v>
      </c>
      <c r="B23" s="402"/>
      <c r="C23" s="402"/>
      <c r="D23" s="402"/>
      <c r="E23" s="403"/>
      <c r="F23" s="404">
        <f>SUM(F21:H22)</f>
        <v>1482.7598000000046</v>
      </c>
      <c r="G23" s="404"/>
      <c r="H23" s="404"/>
    </row>
    <row r="24" spans="1:8" x14ac:dyDescent="0.2">
      <c r="A24" s="405" t="s">
        <v>153</v>
      </c>
      <c r="B24" s="406"/>
      <c r="C24" s="406"/>
      <c r="D24" s="406"/>
      <c r="E24" s="407"/>
      <c r="F24" s="411">
        <f>SUM(F20,F23)</f>
        <v>19689.899800000068</v>
      </c>
      <c r="G24" s="411"/>
      <c r="H24" s="411"/>
    </row>
    <row r="25" spans="1:8" x14ac:dyDescent="0.2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133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19">
        <v>0</v>
      </c>
      <c r="E19" s="420"/>
      <c r="F19" s="419">
        <v>0</v>
      </c>
      <c r="G19" s="420"/>
      <c r="H19" s="164"/>
    </row>
    <row r="20" spans="1:8" ht="15" x14ac:dyDescent="0.2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 x14ac:dyDescent="0.3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 x14ac:dyDescent="0.2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 x14ac:dyDescent="0.25">
      <c r="A23" s="416" t="s">
        <v>151</v>
      </c>
      <c r="B23" s="417"/>
      <c r="C23" s="417"/>
      <c r="D23" s="417"/>
      <c r="E23" s="418"/>
      <c r="F23" s="396">
        <v>208.26</v>
      </c>
      <c r="G23" s="396"/>
      <c r="H23" s="396"/>
    </row>
    <row r="24" spans="1:8" ht="15.75" x14ac:dyDescent="0.2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 x14ac:dyDescent="0.2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 x14ac:dyDescent="0.2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155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 x14ac:dyDescent="0.25">
      <c r="A14" s="102" t="s">
        <v>157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158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159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160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4"/>
    </row>
    <row r="25" spans="1:8" ht="18.75" x14ac:dyDescent="0.3">
      <c r="A25" s="412" t="s">
        <v>149</v>
      </c>
      <c r="B25" s="413"/>
      <c r="C25" s="413"/>
      <c r="D25" s="413"/>
      <c r="E25" s="414"/>
      <c r="F25" s="421">
        <f>SUM(F11+F13+F20+F21+F22+F23)</f>
        <v>15</v>
      </c>
      <c r="G25" s="415"/>
      <c r="H25" s="415"/>
    </row>
    <row r="26" spans="1:8" ht="15" x14ac:dyDescent="0.2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 x14ac:dyDescent="0.25">
      <c r="A27" s="416" t="s">
        <v>151</v>
      </c>
      <c r="B27" s="417"/>
      <c r="C27" s="417"/>
      <c r="D27" s="417"/>
      <c r="E27" s="418"/>
      <c r="F27" s="396">
        <v>2.4300000000000002</v>
      </c>
      <c r="G27" s="396"/>
      <c r="H27" s="396"/>
    </row>
    <row r="28" spans="1:8" ht="15.75" x14ac:dyDescent="0.2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 x14ac:dyDescent="0.2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 x14ac:dyDescent="0.2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161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182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183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184</v>
      </c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4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5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185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5" t="s">
        <v>186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