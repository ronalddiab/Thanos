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L:\BAL-ENG\4. Energy\4.3 Utilities\HEP\2022\1. January 2022\"/>
    </mc:Choice>
  </mc:AlternateContent>
  <bookViews>
    <workbookView xWindow="0" yWindow="0" windowWidth="28800" windowHeight="12435" tabRatio="762" activeTab="1"/>
  </bookViews>
  <sheets>
    <sheet name="TOTAL" sheetId="11" r:id="rId1"/>
    <sheet name="FS Jimbaran January 2022" sheetId="14" r:id="rId2"/>
    <sheet name="RNs &amp; Covers January 2022" sheetId="10" r:id="rId3"/>
    <sheet name="Residence Electricity Jan 2022" sheetId="15" r:id="rId4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12" i="14" l="1"/>
  <c r="AH11" i="14" l="1"/>
  <c r="AL46" i="14"/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2" i="11"/>
  <c r="X46" i="14"/>
  <c r="E29" i="15"/>
  <c r="E28" i="15"/>
  <c r="I46" i="14"/>
  <c r="AK13" i="14" l="1"/>
  <c r="AK14" i="14"/>
  <c r="AK15" i="14"/>
  <c r="AK16" i="14"/>
  <c r="AK17" i="14"/>
  <c r="AK18" i="14"/>
  <c r="AK19" i="14"/>
  <c r="AK20" i="14"/>
  <c r="AK21" i="14"/>
  <c r="AK22" i="14"/>
  <c r="AK23" i="14"/>
  <c r="AK24" i="14"/>
  <c r="AK25" i="14"/>
  <c r="AK26" i="14"/>
  <c r="AK27" i="14"/>
  <c r="AK28" i="14"/>
  <c r="AK29" i="14"/>
  <c r="AK30" i="14"/>
  <c r="AK31" i="14"/>
  <c r="AK32" i="14"/>
  <c r="AK33" i="14"/>
  <c r="AK34" i="14"/>
  <c r="AK35" i="14"/>
  <c r="AK36" i="14"/>
  <c r="AK37" i="14"/>
  <c r="AK38" i="14"/>
  <c r="AK39" i="14"/>
  <c r="AK40" i="14"/>
  <c r="AK41" i="14"/>
  <c r="AK42" i="14"/>
  <c r="AK12" i="14"/>
  <c r="AI26" i="14" l="1"/>
  <c r="AI12" i="14"/>
  <c r="AH13" i="14"/>
  <c r="AI13" i="14" s="1"/>
  <c r="AH14" i="14"/>
  <c r="AI14" i="14" s="1"/>
  <c r="AH15" i="14"/>
  <c r="AI15" i="14" s="1"/>
  <c r="AH16" i="14"/>
  <c r="AI16" i="14" s="1"/>
  <c r="AH17" i="14"/>
  <c r="AI17" i="14" s="1"/>
  <c r="AH18" i="14"/>
  <c r="AI18" i="14" s="1"/>
  <c r="AH19" i="14"/>
  <c r="AI19" i="14" s="1"/>
  <c r="AH20" i="14"/>
  <c r="AI20" i="14" s="1"/>
  <c r="AH21" i="14"/>
  <c r="AI21" i="14" s="1"/>
  <c r="AH22" i="14"/>
  <c r="AI22" i="14" s="1"/>
  <c r="AH23" i="14"/>
  <c r="AI23" i="14" s="1"/>
  <c r="AH24" i="14"/>
  <c r="AI24" i="14" s="1"/>
  <c r="AH25" i="14"/>
  <c r="AI25" i="14" s="1"/>
  <c r="AH26" i="14"/>
  <c r="AH27" i="14"/>
  <c r="AI27" i="14" s="1"/>
  <c r="AH28" i="14"/>
  <c r="AI28" i="14" s="1"/>
  <c r="AH29" i="14"/>
  <c r="AI29" i="14" s="1"/>
  <c r="AH30" i="14"/>
  <c r="AI30" i="14" s="1"/>
  <c r="AH31" i="14"/>
  <c r="AI31" i="14" s="1"/>
  <c r="AH32" i="14"/>
  <c r="AI32" i="14" s="1"/>
  <c r="AH33" i="14"/>
  <c r="AI33" i="14" s="1"/>
  <c r="AH34" i="14"/>
  <c r="AI34" i="14" s="1"/>
  <c r="AH35" i="14"/>
  <c r="AI35" i="14" s="1"/>
  <c r="AH36" i="14"/>
  <c r="AI36" i="14" s="1"/>
  <c r="AH37" i="14"/>
  <c r="AI37" i="14" s="1"/>
  <c r="AH38" i="14"/>
  <c r="AI38" i="14" s="1"/>
  <c r="AH39" i="14"/>
  <c r="AI39" i="14" s="1"/>
  <c r="AH40" i="14"/>
  <c r="AI40" i="14" s="1"/>
  <c r="AH41" i="14"/>
  <c r="AI41" i="14" s="1"/>
  <c r="AH42" i="14"/>
  <c r="AI42" i="14" s="1"/>
  <c r="AG13" i="14"/>
  <c r="AG14" i="14"/>
  <c r="AG15" i="14"/>
  <c r="AG16" i="14"/>
  <c r="AG17" i="14"/>
  <c r="AG18" i="14"/>
  <c r="AG19" i="14"/>
  <c r="AG20" i="14"/>
  <c r="AG21" i="14"/>
  <c r="AG22" i="14"/>
  <c r="AG23" i="14"/>
  <c r="AG24" i="14"/>
  <c r="AG25" i="14"/>
  <c r="AG26" i="14"/>
  <c r="AG27" i="14"/>
  <c r="AG28" i="14"/>
  <c r="AG29" i="14"/>
  <c r="AG30" i="14"/>
  <c r="AG31" i="14"/>
  <c r="AG32" i="14"/>
  <c r="AG33" i="14"/>
  <c r="AG34" i="14"/>
  <c r="AG35" i="14"/>
  <c r="AG36" i="14"/>
  <c r="AG37" i="14"/>
  <c r="AG38" i="14"/>
  <c r="AG39" i="14"/>
  <c r="AG40" i="14"/>
  <c r="AG41" i="14"/>
  <c r="AG42" i="14"/>
  <c r="AG12" i="14"/>
  <c r="AA17" i="14" l="1"/>
  <c r="AB17" i="14" s="1"/>
  <c r="AA18" i="14"/>
  <c r="AB18" i="14" s="1"/>
  <c r="AA20" i="14"/>
  <c r="AB20" i="14" s="1"/>
  <c r="AA25" i="14"/>
  <c r="AB25" i="14" s="1"/>
  <c r="AA26" i="14"/>
  <c r="AB26" i="14" s="1"/>
  <c r="AA28" i="14"/>
  <c r="AB28" i="14" s="1"/>
  <c r="AA33" i="14"/>
  <c r="AB33" i="14" s="1"/>
  <c r="AA34" i="14"/>
  <c r="AB34" i="14" s="1"/>
  <c r="AA36" i="14"/>
  <c r="AB36" i="14" s="1"/>
  <c r="AA41" i="14"/>
  <c r="AB41" i="14" s="1"/>
  <c r="AA42" i="14"/>
  <c r="AB42" i="14" s="1"/>
  <c r="V13" i="14"/>
  <c r="V14" i="14"/>
  <c r="V15" i="14"/>
  <c r="V16" i="14"/>
  <c r="V17" i="14"/>
  <c r="V18" i="14"/>
  <c r="V46" i="14" s="1"/>
  <c r="V19" i="14"/>
  <c r="V20" i="14"/>
  <c r="V21" i="14"/>
  <c r="V22" i="14"/>
  <c r="V23" i="14"/>
  <c r="V24" i="14"/>
  <c r="V25" i="14"/>
  <c r="V26" i="14"/>
  <c r="V27" i="14"/>
  <c r="V28" i="14"/>
  <c r="V29" i="14"/>
  <c r="V30" i="14"/>
  <c r="V31" i="14"/>
  <c r="V32" i="14"/>
  <c r="V33" i="14"/>
  <c r="V34" i="14"/>
  <c r="V35" i="14"/>
  <c r="V36" i="14"/>
  <c r="V37" i="14"/>
  <c r="V38" i="14"/>
  <c r="V39" i="14"/>
  <c r="V40" i="14"/>
  <c r="V41" i="14"/>
  <c r="V42" i="14"/>
  <c r="V12" i="14"/>
  <c r="AA13" i="14"/>
  <c r="AB13" i="14" s="1"/>
  <c r="AA14" i="14"/>
  <c r="AB14" i="14" s="1"/>
  <c r="AA15" i="14"/>
  <c r="AB15" i="14" s="1"/>
  <c r="AA16" i="14"/>
  <c r="AB16" i="14" s="1"/>
  <c r="AA19" i="14"/>
  <c r="AB19" i="14" s="1"/>
  <c r="AA21" i="14"/>
  <c r="AB21" i="14" s="1"/>
  <c r="AA22" i="14"/>
  <c r="AB22" i="14" s="1"/>
  <c r="AA23" i="14"/>
  <c r="AB23" i="14" s="1"/>
  <c r="AA24" i="14"/>
  <c r="AB24" i="14" s="1"/>
  <c r="AA27" i="14"/>
  <c r="AB27" i="14" s="1"/>
  <c r="AA29" i="14"/>
  <c r="AB29" i="14" s="1"/>
  <c r="AA30" i="14"/>
  <c r="AB30" i="14" s="1"/>
  <c r="AA31" i="14"/>
  <c r="AB31" i="14" s="1"/>
  <c r="AA32" i="14"/>
  <c r="AB32" i="14" s="1"/>
  <c r="AA35" i="14"/>
  <c r="AB35" i="14" s="1"/>
  <c r="AA37" i="14"/>
  <c r="AB37" i="14" s="1"/>
  <c r="AA38" i="14"/>
  <c r="AB38" i="14" s="1"/>
  <c r="AA39" i="14"/>
  <c r="AB39" i="14" s="1"/>
  <c r="AA40" i="14"/>
  <c r="AB40" i="14" s="1"/>
  <c r="AA12" i="14"/>
  <c r="AB12" i="14" s="1"/>
  <c r="AB46" i="14" l="1"/>
  <c r="C7" i="10" l="1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6" i="10"/>
  <c r="P13" i="14"/>
  <c r="P14" i="14"/>
  <c r="P15" i="14"/>
  <c r="P16" i="14"/>
  <c r="P17" i="14"/>
  <c r="P18" i="14"/>
  <c r="P19" i="14"/>
  <c r="P20" i="14"/>
  <c r="P21" i="14"/>
  <c r="P22" i="14"/>
  <c r="P23" i="14"/>
  <c r="P24" i="14"/>
  <c r="P25" i="14"/>
  <c r="P26" i="14"/>
  <c r="P27" i="14"/>
  <c r="P28" i="14"/>
  <c r="P29" i="14"/>
  <c r="P30" i="14"/>
  <c r="P31" i="14"/>
  <c r="P32" i="14"/>
  <c r="P33" i="14"/>
  <c r="P34" i="14"/>
  <c r="P35" i="14"/>
  <c r="P36" i="14"/>
  <c r="P37" i="14"/>
  <c r="P38" i="14"/>
  <c r="P39" i="14"/>
  <c r="P40" i="14"/>
  <c r="P41" i="14"/>
  <c r="P42" i="14"/>
  <c r="P12" i="14"/>
  <c r="N13" i="14"/>
  <c r="O13" i="14" s="1"/>
  <c r="N14" i="14"/>
  <c r="N15" i="14"/>
  <c r="N16" i="14"/>
  <c r="N17" i="14"/>
  <c r="N18" i="14"/>
  <c r="N19" i="14"/>
  <c r="N20" i="14"/>
  <c r="N21" i="14"/>
  <c r="O21" i="14" s="1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N12" i="14"/>
  <c r="I13" i="14"/>
  <c r="I14" i="14"/>
  <c r="I15" i="14"/>
  <c r="I16" i="14"/>
  <c r="O16" i="14" s="1"/>
  <c r="I17" i="14"/>
  <c r="O17" i="14" s="1"/>
  <c r="I18" i="14"/>
  <c r="O18" i="14" s="1"/>
  <c r="I19" i="14"/>
  <c r="I20" i="14"/>
  <c r="O20" i="14" s="1"/>
  <c r="I21" i="14"/>
  <c r="I22" i="14"/>
  <c r="I23" i="14"/>
  <c r="I24" i="14"/>
  <c r="O24" i="14" s="1"/>
  <c r="I25" i="14"/>
  <c r="O25" i="14" s="1"/>
  <c r="I26" i="14"/>
  <c r="O26" i="14" s="1"/>
  <c r="I27" i="14"/>
  <c r="I28" i="14"/>
  <c r="O28" i="14" s="1"/>
  <c r="I29" i="14"/>
  <c r="I30" i="14"/>
  <c r="I31" i="14"/>
  <c r="I32" i="14"/>
  <c r="O32" i="14" s="1"/>
  <c r="I33" i="14"/>
  <c r="O33" i="14" s="1"/>
  <c r="I34" i="14"/>
  <c r="O34" i="14" s="1"/>
  <c r="I35" i="14"/>
  <c r="I36" i="14"/>
  <c r="O36" i="14" s="1"/>
  <c r="I37" i="14"/>
  <c r="I38" i="14"/>
  <c r="I39" i="14"/>
  <c r="I40" i="14"/>
  <c r="O40" i="14" s="1"/>
  <c r="I41" i="14"/>
  <c r="O41" i="14" s="1"/>
  <c r="I42" i="14"/>
  <c r="O42" i="14" s="1"/>
  <c r="I12" i="14"/>
  <c r="O38" i="14" l="1"/>
  <c r="O22" i="14"/>
  <c r="O14" i="14"/>
  <c r="O30" i="14"/>
  <c r="O23" i="14"/>
  <c r="O15" i="14"/>
  <c r="O39" i="14"/>
  <c r="O31" i="14"/>
  <c r="O37" i="14"/>
  <c r="O29" i="14"/>
  <c r="O35" i="14"/>
  <c r="O27" i="14"/>
  <c r="O19" i="14"/>
  <c r="O12" i="14"/>
  <c r="P46" i="14"/>
  <c r="L46" i="14"/>
  <c r="K46" i="14"/>
  <c r="J46" i="14"/>
  <c r="H46" i="14"/>
  <c r="G46" i="14"/>
  <c r="F46" i="14"/>
  <c r="E46" i="14"/>
  <c r="AK46" i="14" l="1"/>
  <c r="AJ46" i="14"/>
  <c r="AH46" i="14"/>
  <c r="AI46" i="14" s="1"/>
  <c r="AF46" i="14"/>
  <c r="AE46" i="14"/>
  <c r="M46" i="14"/>
  <c r="C46" i="14"/>
  <c r="D46" i="14"/>
  <c r="Z46" i="14"/>
  <c r="Y46" i="14"/>
  <c r="W46" i="14"/>
  <c r="E32" i="11" l="1"/>
  <c r="F32" i="11"/>
  <c r="G32" i="11"/>
  <c r="H32" i="11"/>
  <c r="I32" i="11"/>
  <c r="J32" i="11"/>
  <c r="K32" i="11"/>
  <c r="L32" i="11"/>
  <c r="C37" i="10" l="1"/>
  <c r="B37" i="10"/>
  <c r="AG46" i="14" l="1"/>
  <c r="N46" i="14" l="1"/>
  <c r="F31" i="11" l="1"/>
  <c r="F30" i="11"/>
  <c r="E30" i="11"/>
  <c r="G30" i="11"/>
  <c r="H30" i="11"/>
  <c r="I30" i="11"/>
  <c r="J30" i="11"/>
  <c r="K30" i="11"/>
  <c r="L30" i="11"/>
  <c r="E31" i="11"/>
  <c r="G31" i="11"/>
  <c r="H31" i="11"/>
  <c r="I31" i="11"/>
  <c r="J31" i="11"/>
  <c r="K31" i="11"/>
  <c r="L31" i="11"/>
  <c r="J21" i="11" l="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H29" i="11" l="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K21" i="11"/>
  <c r="K22" i="11"/>
  <c r="K23" i="11"/>
  <c r="K24" i="11"/>
  <c r="K25" i="11"/>
  <c r="K26" i="11"/>
  <c r="K27" i="11"/>
  <c r="K28" i="11"/>
  <c r="K29" i="11"/>
  <c r="AA46" i="14" l="1"/>
  <c r="L29" i="11"/>
  <c r="L27" i="11"/>
  <c r="L25" i="11"/>
  <c r="L23" i="11"/>
  <c r="L21" i="11"/>
  <c r="E23" i="11"/>
  <c r="E24" i="11"/>
  <c r="E25" i="11"/>
  <c r="E26" i="11"/>
  <c r="E27" i="11"/>
  <c r="E28" i="11"/>
  <c r="E29" i="11"/>
  <c r="L28" i="11"/>
  <c r="L26" i="11"/>
  <c r="L24" i="11"/>
  <c r="L22" i="11"/>
  <c r="E21" i="11" l="1"/>
  <c r="E22" i="11"/>
  <c r="F28" i="11"/>
  <c r="F26" i="11"/>
  <c r="F24" i="11"/>
  <c r="F22" i="11"/>
  <c r="F29" i="11"/>
  <c r="F27" i="11"/>
  <c r="F25" i="11"/>
  <c r="F23" i="11"/>
  <c r="F21" i="11"/>
  <c r="K9" i="11" l="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AD46" i="14"/>
  <c r="J20" i="11"/>
  <c r="I15" i="11"/>
  <c r="K14" i="11"/>
  <c r="I9" i="11"/>
  <c r="I7" i="11"/>
  <c r="K6" i="11"/>
  <c r="K2" i="11"/>
  <c r="H11" i="11" l="1"/>
  <c r="H5" i="11"/>
  <c r="G2" i="11"/>
  <c r="H7" i="11"/>
  <c r="H13" i="11"/>
  <c r="H3" i="11"/>
  <c r="E7" i="11"/>
  <c r="E5" i="11"/>
  <c r="E13" i="11"/>
  <c r="E11" i="11"/>
  <c r="E15" i="11"/>
  <c r="E8" i="11"/>
  <c r="G8" i="11"/>
  <c r="H8" i="11"/>
  <c r="G9" i="11"/>
  <c r="H9" i="11"/>
  <c r="H12" i="11"/>
  <c r="H14" i="11"/>
  <c r="H15" i="11"/>
  <c r="G16" i="11"/>
  <c r="H16" i="11"/>
  <c r="H18" i="11"/>
  <c r="H19" i="11"/>
  <c r="H20" i="11"/>
  <c r="H4" i="11"/>
  <c r="H6" i="11"/>
  <c r="H10" i="11"/>
  <c r="H17" i="11"/>
  <c r="G20" i="11"/>
  <c r="G15" i="11"/>
  <c r="G14" i="11"/>
  <c r="J13" i="11"/>
  <c r="J14" i="11"/>
  <c r="J6" i="11"/>
  <c r="J5" i="11"/>
  <c r="G7" i="11"/>
  <c r="G11" i="11"/>
  <c r="J17" i="11"/>
  <c r="G13" i="11"/>
  <c r="J4" i="11"/>
  <c r="G5" i="11"/>
  <c r="G3" i="11"/>
  <c r="J11" i="11"/>
  <c r="J12" i="11"/>
  <c r="J16" i="11"/>
  <c r="J8" i="11"/>
  <c r="K3" i="11"/>
  <c r="G6" i="11"/>
  <c r="I12" i="11"/>
  <c r="I4" i="11"/>
  <c r="J15" i="11"/>
  <c r="G12" i="11"/>
  <c r="G4" i="11"/>
  <c r="I18" i="11"/>
  <c r="K16" i="11"/>
  <c r="K8" i="11"/>
  <c r="G19" i="11"/>
  <c r="I17" i="11"/>
  <c r="K15" i="11"/>
  <c r="K7" i="11"/>
  <c r="L10" i="11"/>
  <c r="I10" i="11"/>
  <c r="G18" i="11"/>
  <c r="G10" i="11"/>
  <c r="I16" i="11"/>
  <c r="I8" i="11"/>
  <c r="J19" i="11"/>
  <c r="J3" i="11"/>
  <c r="L9" i="11"/>
  <c r="G17" i="11"/>
  <c r="J18" i="11"/>
  <c r="J10" i="11"/>
  <c r="K13" i="11"/>
  <c r="K5" i="11"/>
  <c r="I14" i="11"/>
  <c r="I6" i="11"/>
  <c r="K12" i="11"/>
  <c r="K4" i="11"/>
  <c r="L2" i="11"/>
  <c r="H2" i="11"/>
  <c r="J2" i="11"/>
  <c r="AC46" i="14"/>
  <c r="F5" i="11" l="1"/>
  <c r="E2" i="11"/>
  <c r="F15" i="11"/>
  <c r="E4" i="11"/>
  <c r="E6" i="11"/>
  <c r="F11" i="11"/>
  <c r="E19" i="11"/>
  <c r="E16" i="11"/>
  <c r="E18" i="11"/>
  <c r="F13" i="11"/>
  <c r="F12" i="11"/>
  <c r="E12" i="11"/>
  <c r="E9" i="11"/>
  <c r="E3" i="11"/>
  <c r="E10" i="11"/>
  <c r="E20" i="11"/>
  <c r="E14" i="11"/>
  <c r="F8" i="11"/>
  <c r="E17" i="11"/>
  <c r="F6" i="11"/>
  <c r="F16" i="11"/>
  <c r="F4" i="11"/>
  <c r="F18" i="11"/>
  <c r="F9" i="11"/>
  <c r="F20" i="11"/>
  <c r="F10" i="11"/>
  <c r="F3" i="11"/>
  <c r="F14" i="11"/>
  <c r="F17" i="11"/>
  <c r="F19" i="11"/>
  <c r="L14" i="11"/>
  <c r="L12" i="11"/>
  <c r="L18" i="11"/>
  <c r="L4" i="11"/>
  <c r="L20" i="11"/>
  <c r="L19" i="11"/>
  <c r="L8" i="11"/>
  <c r="L15" i="11"/>
  <c r="L13" i="11"/>
  <c r="L16" i="11"/>
  <c r="L7" i="11"/>
  <c r="L17" i="11"/>
  <c r="L5" i="11"/>
  <c r="L11" i="11"/>
  <c r="J9" i="11"/>
  <c r="L3" i="11"/>
  <c r="O46" i="14" l="1"/>
  <c r="O48" i="14" s="1"/>
  <c r="F7" i="11"/>
  <c r="F2" i="11"/>
  <c r="L6" i="11"/>
  <c r="U47" i="14" l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</calcChain>
</file>

<file path=xl/sharedStrings.xml><?xml version="1.0" encoding="utf-8"?>
<sst xmlns="http://schemas.openxmlformats.org/spreadsheetml/2006/main" count="134" uniqueCount="79">
  <si>
    <t>Municipal Water (m3)</t>
  </si>
  <si>
    <t>Date</t>
  </si>
  <si>
    <t>Room Nights</t>
  </si>
  <si>
    <t>Food Covers</t>
  </si>
  <si>
    <t>Water (m3)</t>
  </si>
  <si>
    <t>Electricity - Sundara</t>
  </si>
  <si>
    <t>Cost (IDR)</t>
  </si>
  <si>
    <t>LPG Bulk (m3)</t>
  </si>
  <si>
    <t>Water consumption (m3)</t>
  </si>
  <si>
    <t>12 Kg (tube)</t>
  </si>
  <si>
    <t>Deepwell Consumption (m3)</t>
  </si>
  <si>
    <t>Sundara 50 kg (tube)</t>
  </si>
  <si>
    <t>Sub Total (Resort &amp; Sundara) Cost  (IDR)</t>
  </si>
  <si>
    <t>TOTAL  Electricity consumption (KWh)</t>
  </si>
  <si>
    <t>Resort Cost  (IDR)</t>
  </si>
  <si>
    <t>Sundara Cost  (IDR)</t>
  </si>
  <si>
    <t>IDR</t>
  </si>
  <si>
    <t>USD</t>
  </si>
  <si>
    <t>TOTAL  Electricity cost</t>
  </si>
  <si>
    <t>WATER</t>
  </si>
  <si>
    <t>Diesel</t>
  </si>
  <si>
    <t>Residences- Electricity cost (IDR)</t>
  </si>
  <si>
    <t xml:space="preserve">LPG </t>
  </si>
  <si>
    <t>Used (liters)</t>
  </si>
  <si>
    <t>GAS</t>
  </si>
  <si>
    <t>Total kg</t>
  </si>
  <si>
    <t>Municipal Water cost (IDR)</t>
  </si>
  <si>
    <t xml:space="preserve">Total Water Cost </t>
  </si>
  <si>
    <t>Four Seasons Resort Bali at Jimbaran Bay</t>
  </si>
  <si>
    <t>kWh rate</t>
  </si>
  <si>
    <t>Deepwell water Cost (IDR)</t>
  </si>
  <si>
    <t>50 Kg (tube) IVD &amp; TW</t>
  </si>
  <si>
    <t>Sub Total (Resort &amp; Sundara), KWh</t>
  </si>
  <si>
    <t>Electricity Resort</t>
  </si>
  <si>
    <t>ELECTRICITY Resort, Sundara &amp; Residences</t>
  </si>
  <si>
    <t>BASED LOAD KWh (from 10 pm - 6 pm)</t>
  </si>
  <si>
    <t>PEAK LOAD KWh (from 6 pm - 10 pm)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</si>
  <si>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</si>
  <si>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</si>
  <si>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</si>
  <si>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</si>
  <si>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</si>
  <si>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</si>
  <si>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</si>
  <si>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</si>
  <si>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</si>
  <si>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</si>
  <si>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 xml:space="preserve">LPG (Kg) </t>
  </si>
  <si>
    <t>LPG $/Kg</t>
  </si>
  <si>
    <t>Bali Jimbaran</t>
  </si>
  <si>
    <t>Fuel Oil  $/Liter</t>
  </si>
  <si>
    <t>Residences- Electricity KWh</t>
  </si>
  <si>
    <t>m3/RNs</t>
  </si>
  <si>
    <t xml:space="preserve">Total Fuel Oil  (Liter) </t>
  </si>
  <si>
    <t>.</t>
  </si>
  <si>
    <t>Office &amp; Pantry</t>
  </si>
  <si>
    <t>Unit (KWh) - bill Estate Common</t>
  </si>
  <si>
    <t>Charge</t>
  </si>
  <si>
    <t>Residence 001</t>
  </si>
  <si>
    <t>Unit (KWh) - bill Estate 1</t>
  </si>
  <si>
    <t>Residence 002</t>
  </si>
  <si>
    <t>Unit (KWh) - bill Estate 2</t>
  </si>
  <si>
    <t>Residence 003</t>
  </si>
  <si>
    <t>Unit (KWh) - bill Estate 3</t>
  </si>
  <si>
    <t>Residence 005</t>
  </si>
  <si>
    <t xml:space="preserve">Unit (KWh) - bill Estate 4 </t>
  </si>
  <si>
    <t>Residence 006</t>
  </si>
  <si>
    <t>Unit (KWh)-bill Estate 5</t>
  </si>
  <si>
    <t>Residence 007</t>
  </si>
  <si>
    <t>Unit (KWh)-bill Estate 6</t>
  </si>
  <si>
    <t>Residence 008</t>
  </si>
  <si>
    <t>Unit (KWh)-bill Estate 7</t>
  </si>
  <si>
    <t>Residence 009</t>
  </si>
  <si>
    <t>Unit (KWh)-bill Estate 8</t>
  </si>
  <si>
    <t>Residence 010</t>
  </si>
  <si>
    <t>Unit (KWh)-billa Estate 9</t>
  </si>
  <si>
    <t>Total KWH</t>
  </si>
  <si>
    <t>Total Charge Residence</t>
  </si>
  <si>
    <t>JANUARY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</si>
</sst>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-* #,##0.00_-;\-* #,##0.00_-;_-* &quot;-&quot;??_-;_-@_-"/>
    <numFmt numFmtId="164" formatCode="&quot;$&quot;#,##0.00_);\(&quot;$&quot;#,##0.00\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_-;\-* #,##0_-;_-* &quot;-&quot;??_-;_-@_-"/>
    <numFmt numFmtId="169" formatCode="_(* #,##0_);_(* \(#,##0\);_(* &quot;-&quot;??_);_(@_)"/>
    <numFmt numFmtId="170" formatCode="&quot;$&quot;#,##0"/>
    <numFmt numFmtId="171" formatCode="_-* #,##0.0_-;\-* #,##0.0_-;_-* &quot;-&quot;??_-;_-@_-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6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1">
    <xf numFmtId="0" fontId="0" fillId="0" borderId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165" fontId="16" fillId="0" borderId="0" applyFont="0" applyFill="0" applyBorder="0" applyAlignment="0" applyProtection="0"/>
    <xf numFmtId="0" fontId="16" fillId="0" borderId="0"/>
    <xf numFmtId="167" fontId="2" fillId="0" borderId="0" applyFont="0" applyFill="0" applyBorder="0" applyAlignment="0" applyProtection="0"/>
  </cellStyleXfs>
  <cellXfs count="269">
    <xf numFmtId="0" fontId="0" fillId="0" borderId="0" xfId="0"/>
    <xf numFmtId="0" fontId="0" fillId="0" borderId="0" xfId="0" applyBorder="1"/>
    <xf numFmtId="0" fontId="0" fillId="0" borderId="8" xfId="0" applyBorder="1"/>
    <xf numFmtId="168" fontId="0" fillId="0" borderId="8" xfId="2" applyNumberFormat="1" applyFont="1" applyBorder="1"/>
    <xf numFmtId="168" fontId="0" fillId="0" borderId="0" xfId="2" applyNumberFormat="1" applyFont="1"/>
    <xf numFmtId="168" fontId="0" fillId="0" borderId="0" xfId="2" applyNumberFormat="1" applyFont="1" applyBorder="1"/>
    <xf numFmtId="168" fontId="1" fillId="0" borderId="0" xfId="2" applyNumberFormat="1" applyFont="1"/>
    <xf numFmtId="168" fontId="0" fillId="3" borderId="0" xfId="2" applyNumberFormat="1" applyFont="1" applyFill="1" applyBorder="1"/>
    <xf numFmtId="0" fontId="0" fillId="3" borderId="0" xfId="0" applyFill="1"/>
    <xf numFmtId="43" fontId="4" fillId="0" borderId="0" xfId="2" applyFont="1" applyBorder="1"/>
    <xf numFmtId="43" fontId="4" fillId="0" borderId="0" xfId="0" applyNumberFormat="1" applyFont="1" applyBorder="1"/>
    <xf numFmtId="168" fontId="0" fillId="0" borderId="0" xfId="0" applyNumberFormat="1" applyBorder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Border="1" applyAlignment="1">
      <alignment horizontal="right"/>
    </xf>
    <xf numFmtId="0" fontId="0" fillId="3" borderId="0" xfId="0" applyFill="1" applyBorder="1"/>
    <xf numFmtId="43" fontId="0" fillId="3" borderId="0" xfId="0" applyNumberFormat="1" applyFill="1" applyBorder="1"/>
    <xf numFmtId="168" fontId="4" fillId="0" borderId="0" xfId="2" applyNumberFormat="1" applyFont="1" applyBorder="1"/>
    <xf numFmtId="168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8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168" fontId="0" fillId="3" borderId="0" xfId="0" applyNumberFormat="1" applyFill="1" applyBorder="1"/>
    <xf numFmtId="0" fontId="6" fillId="3" borderId="0" xfId="0" applyFont="1" applyFill="1" applyBorder="1" applyAlignment="1"/>
    <xf numFmtId="0" fontId="1" fillId="3" borderId="0" xfId="0" applyFont="1" applyFill="1" applyBorder="1" applyAlignment="1"/>
    <xf numFmtId="0" fontId="0" fillId="3" borderId="0" xfId="0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/>
    </xf>
    <xf numFmtId="0" fontId="0" fillId="3" borderId="0" xfId="0" applyFill="1" applyBorder="1" applyAlignment="1"/>
    <xf numFmtId="0" fontId="9" fillId="3" borderId="0" xfId="0" applyFont="1" applyFill="1" applyBorder="1" applyAlignment="1"/>
    <xf numFmtId="168" fontId="0" fillId="0" borderId="9" xfId="0" applyNumberFormat="1" applyBorder="1"/>
    <xf numFmtId="0" fontId="0" fillId="3" borderId="5" xfId="0" applyFill="1" applyBorder="1"/>
    <xf numFmtId="168" fontId="0" fillId="3" borderId="0" xfId="2" applyNumberFormat="1" applyFont="1" applyFill="1" applyBorder="1" applyAlignment="1">
      <alignment horizontal="right"/>
    </xf>
    <xf numFmtId="168" fontId="6" fillId="3" borderId="0" xfId="2" applyNumberFormat="1" applyFont="1" applyFill="1" applyBorder="1" applyAlignment="1"/>
    <xf numFmtId="170" fontId="6" fillId="3" borderId="0" xfId="0" applyNumberFormat="1" applyFont="1" applyFill="1" applyBorder="1" applyAlignment="1"/>
    <xf numFmtId="170" fontId="0" fillId="0" borderId="21" xfId="2" applyNumberFormat="1" applyFont="1" applyBorder="1"/>
    <xf numFmtId="170" fontId="0" fillId="3" borderId="5" xfId="0" applyNumberFormat="1" applyFill="1" applyBorder="1"/>
    <xf numFmtId="170" fontId="0" fillId="0" borderId="0" xfId="0" applyNumberFormat="1"/>
    <xf numFmtId="0" fontId="0" fillId="0" borderId="13" xfId="0" applyBorder="1" applyAlignment="1">
      <alignment horizontal="center" vertical="center" wrapText="1"/>
    </xf>
    <xf numFmtId="170" fontId="0" fillId="0" borderId="9" xfId="2" applyNumberFormat="1" applyFont="1" applyBorder="1"/>
    <xf numFmtId="43" fontId="0" fillId="3" borderId="23" xfId="0" applyNumberFormat="1" applyFill="1" applyBorder="1"/>
    <xf numFmtId="168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168" fontId="0" fillId="0" borderId="42" xfId="2" applyNumberFormat="1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70" fontId="0" fillId="0" borderId="26" xfId="0" applyNumberFormat="1" applyBorder="1" applyAlignment="1">
      <alignment horizontal="center" vertical="center" wrapText="1"/>
    </xf>
    <xf numFmtId="170" fontId="0" fillId="0" borderId="43" xfId="0" applyNumberFormat="1" applyBorder="1" applyAlignment="1">
      <alignment horizontal="center" vertical="center" wrapText="1"/>
    </xf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0" fillId="0" borderId="44" xfId="0" applyBorder="1" applyAlignment="1">
      <alignment horizontal="center" vertical="center" wrapText="1"/>
    </xf>
    <xf numFmtId="0" fontId="11" fillId="11" borderId="44" xfId="0" applyFont="1" applyFill="1" applyBorder="1" applyAlignment="1">
      <alignment horizontal="center" vertical="center" shrinkToFit="1"/>
    </xf>
    <xf numFmtId="0" fontId="11" fillId="11" borderId="45" xfId="0" applyFont="1" applyFill="1" applyBorder="1" applyAlignment="1">
      <alignment horizontal="center" vertical="center" shrinkToFit="1"/>
    </xf>
    <xf numFmtId="43" fontId="9" fillId="3" borderId="0" xfId="2" applyFont="1" applyFill="1" applyBorder="1" applyAlignment="1"/>
    <xf numFmtId="43" fontId="8" fillId="0" borderId="16" xfId="2" applyFont="1" applyBorder="1" applyAlignment="1">
      <alignment horizontal="center" vertical="center" wrapText="1"/>
    </xf>
    <xf numFmtId="43" fontId="8" fillId="0" borderId="28" xfId="2" applyFont="1" applyBorder="1" applyAlignment="1">
      <alignment horizontal="center" vertical="center" wrapText="1"/>
    </xf>
    <xf numFmtId="43" fontId="8" fillId="3" borderId="0" xfId="2" applyFont="1" applyFill="1" applyBorder="1"/>
    <xf numFmtId="43" fontId="12" fillId="0" borderId="0" xfId="2" applyFont="1" applyBorder="1"/>
    <xf numFmtId="43" fontId="8" fillId="0" borderId="0" xfId="2" applyFont="1"/>
    <xf numFmtId="168" fontId="9" fillId="3" borderId="0" xfId="2" applyNumberFormat="1" applyFont="1" applyFill="1" applyBorder="1" applyAlignment="1"/>
    <xf numFmtId="168" fontId="8" fillId="3" borderId="0" xfId="2" applyNumberFormat="1" applyFont="1" applyFill="1" applyBorder="1"/>
    <xf numFmtId="168" fontId="12" fillId="0" borderId="0" xfId="2" applyNumberFormat="1" applyFont="1" applyBorder="1"/>
    <xf numFmtId="168" fontId="8" fillId="0" borderId="0" xfId="2" applyNumberFormat="1" applyFont="1"/>
    <xf numFmtId="168" fontId="0" fillId="3" borderId="39" xfId="0" applyNumberFormat="1" applyFill="1" applyBorder="1"/>
    <xf numFmtId="168" fontId="1" fillId="0" borderId="39" xfId="0" applyNumberFormat="1" applyFont="1" applyBorder="1"/>
    <xf numFmtId="0" fontId="0" fillId="3" borderId="47" xfId="0" applyFill="1" applyBorder="1"/>
    <xf numFmtId="168" fontId="0" fillId="3" borderId="47" xfId="2" applyNumberFormat="1" applyFont="1" applyFill="1" applyBorder="1"/>
    <xf numFmtId="43" fontId="8" fillId="3" borderId="47" xfId="2" applyFont="1" applyFill="1" applyBorder="1"/>
    <xf numFmtId="168" fontId="8" fillId="3" borderId="47" xfId="2" applyNumberFormat="1" applyFont="1" applyFill="1" applyBorder="1"/>
    <xf numFmtId="43" fontId="0" fillId="3" borderId="47" xfId="0" applyNumberFormat="1" applyFill="1" applyBorder="1"/>
    <xf numFmtId="0" fontId="0" fillId="3" borderId="49" xfId="0" applyFill="1" applyBorder="1"/>
    <xf numFmtId="167" fontId="0" fillId="3" borderId="47" xfId="0" applyNumberFormat="1" applyFill="1" applyBorder="1"/>
    <xf numFmtId="168" fontId="0" fillId="3" borderId="47" xfId="0" applyNumberFormat="1" applyFill="1" applyBorder="1"/>
    <xf numFmtId="168" fontId="0" fillId="0" borderId="47" xfId="2" applyNumberFormat="1" applyFont="1" applyBorder="1"/>
    <xf numFmtId="170" fontId="0" fillId="3" borderId="49" xfId="0" applyNumberFormat="1" applyFill="1" applyBorder="1"/>
    <xf numFmtId="168" fontId="0" fillId="0" borderId="0" xfId="2" applyNumberFormat="1" applyFont="1" applyBorder="1" applyAlignment="1">
      <alignment horizontal="right"/>
    </xf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71" fontId="6" fillId="3" borderId="0" xfId="2" applyNumberFormat="1" applyFont="1" applyFill="1" applyBorder="1" applyAlignment="1"/>
    <xf numFmtId="171" fontId="0" fillId="3" borderId="0" xfId="2" applyNumberFormat="1" applyFont="1" applyFill="1" applyBorder="1"/>
    <xf numFmtId="171" fontId="0" fillId="3" borderId="47" xfId="2" applyNumberFormat="1" applyFont="1" applyFill="1" applyBorder="1"/>
    <xf numFmtId="171" fontId="0" fillId="0" borderId="0" xfId="2" applyNumberFormat="1" applyFont="1" applyBorder="1"/>
    <xf numFmtId="171" fontId="0" fillId="0" borderId="0" xfId="2" applyNumberFormat="1" applyFont="1"/>
    <xf numFmtId="168" fontId="0" fillId="0" borderId="19" xfId="2" applyNumberFormat="1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168" fontId="9" fillId="0" borderId="53" xfId="2" applyNumberFormat="1" applyFont="1" applyBorder="1" applyAlignment="1">
      <alignment horizontal="center" vertical="center" wrapText="1"/>
    </xf>
    <xf numFmtId="168" fontId="8" fillId="0" borderId="54" xfId="2" applyNumberFormat="1" applyFont="1" applyBorder="1" applyAlignment="1">
      <alignment horizontal="center" vertical="center" wrapText="1"/>
    </xf>
    <xf numFmtId="168" fontId="0" fillId="0" borderId="29" xfId="2" applyNumberFormat="1" applyFont="1" applyBorder="1"/>
    <xf numFmtId="0" fontId="1" fillId="0" borderId="52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168" fontId="0" fillId="0" borderId="18" xfId="2" applyNumberFormat="1" applyFont="1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43" fontId="0" fillId="0" borderId="21" xfId="0" applyNumberFormat="1" applyBorder="1"/>
    <xf numFmtId="168" fontId="8" fillId="0" borderId="44" xfId="2" applyNumberFormat="1" applyFont="1" applyBorder="1" applyAlignment="1">
      <alignment horizontal="center" vertical="center" wrapText="1"/>
    </xf>
    <xf numFmtId="171" fontId="0" fillId="0" borderId="35" xfId="2" applyNumberFormat="1" applyFont="1" applyBorder="1" applyAlignment="1">
      <alignment horizontal="center" vertical="center" wrapText="1"/>
    </xf>
    <xf numFmtId="171" fontId="4" fillId="0" borderId="0" xfId="2" applyNumberFormat="1" applyFont="1" applyBorder="1"/>
    <xf numFmtId="168" fontId="0" fillId="3" borderId="14" xfId="2" applyNumberFormat="1" applyFont="1" applyFill="1" applyBorder="1"/>
    <xf numFmtId="0" fontId="0" fillId="3" borderId="58" xfId="0" applyFill="1" applyBorder="1"/>
    <xf numFmtId="0" fontId="0" fillId="3" borderId="15" xfId="0" applyFill="1" applyBorder="1"/>
    <xf numFmtId="0" fontId="0" fillId="3" borderId="59" xfId="0" applyFill="1" applyBorder="1"/>
    <xf numFmtId="0" fontId="0" fillId="3" borderId="60" xfId="0" applyFill="1" applyBorder="1"/>
    <xf numFmtId="168" fontId="0" fillId="3" borderId="48" xfId="2" applyNumberFormat="1" applyFont="1" applyFill="1" applyBorder="1"/>
    <xf numFmtId="0" fontId="11" fillId="11" borderId="56" xfId="0" applyFont="1" applyFill="1" applyBorder="1" applyAlignment="1">
      <alignment horizontal="center" vertical="center" shrinkToFit="1"/>
    </xf>
    <xf numFmtId="0" fontId="0" fillId="0" borderId="61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168" fontId="0" fillId="0" borderId="21" xfId="0" applyNumberFormat="1" applyBorder="1"/>
    <xf numFmtId="0" fontId="0" fillId="3" borderId="50" xfId="0" applyFill="1" applyBorder="1"/>
    <xf numFmtId="167" fontId="0" fillId="3" borderId="5" xfId="0" applyNumberFormat="1" applyFill="1" applyBorder="1"/>
    <xf numFmtId="0" fontId="0" fillId="3" borderId="62" xfId="0" applyFill="1" applyBorder="1"/>
    <xf numFmtId="168" fontId="1" fillId="0" borderId="12" xfId="2" applyNumberFormat="1" applyFont="1" applyBorder="1" applyAlignment="1">
      <alignment horizontal="center" vertical="center" wrapText="1"/>
    </xf>
    <xf numFmtId="0" fontId="0" fillId="3" borderId="52" xfId="0" applyFill="1" applyBorder="1" applyAlignment="1">
      <alignment wrapText="1"/>
    </xf>
    <xf numFmtId="168" fontId="0" fillId="3" borderId="23" xfId="2" applyNumberFormat="1" applyFont="1" applyFill="1" applyBorder="1"/>
    <xf numFmtId="167" fontId="0" fillId="0" borderId="0" xfId="0" applyNumberFormat="1" applyBorder="1"/>
    <xf numFmtId="171" fontId="0" fillId="0" borderId="41" xfId="2" applyNumberFormat="1" applyFont="1" applyBorder="1" applyAlignment="1">
      <alignment horizontal="center" vertical="center" wrapText="1"/>
    </xf>
    <xf numFmtId="171" fontId="0" fillId="0" borderId="25" xfId="2" applyNumberFormat="1" applyFont="1" applyBorder="1" applyAlignment="1">
      <alignment horizontal="center" vertical="center" wrapText="1"/>
    </xf>
    <xf numFmtId="171" fontId="0" fillId="0" borderId="22" xfId="2" applyNumberFormat="1" applyFont="1" applyBorder="1"/>
    <xf numFmtId="171" fontId="0" fillId="0" borderId="47" xfId="2" applyNumberFormat="1" applyFont="1" applyBorder="1"/>
    <xf numFmtId="168" fontId="1" fillId="12" borderId="6" xfId="2" applyNumberFormat="1" applyFont="1" applyFill="1" applyBorder="1"/>
    <xf numFmtId="170" fontId="1" fillId="12" borderId="7" xfId="0" applyNumberFormat="1" applyFont="1" applyFill="1" applyBorder="1"/>
    <xf numFmtId="168" fontId="1" fillId="12" borderId="31" xfId="2" applyNumberFormat="1" applyFont="1" applyFill="1" applyBorder="1"/>
    <xf numFmtId="170" fontId="1" fillId="12" borderId="33" xfId="2" applyNumberFormat="1" applyFont="1" applyFill="1" applyBorder="1"/>
    <xf numFmtId="43" fontId="5" fillId="0" borderId="0" xfId="2" applyFont="1" applyBorder="1"/>
    <xf numFmtId="164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/>
    </xf>
    <xf numFmtId="9" fontId="8" fillId="0" borderId="0" xfId="5" applyFont="1"/>
    <xf numFmtId="9" fontId="0" fillId="0" borderId="0" xfId="0" applyNumberFormat="1"/>
    <xf numFmtId="0" fontId="1" fillId="0" borderId="11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8" fontId="1" fillId="0" borderId="10" xfId="2" applyNumberFormat="1" applyFont="1" applyBorder="1"/>
    <xf numFmtId="43" fontId="0" fillId="3" borderId="49" xfId="0" applyNumberFormat="1" applyFill="1" applyBorder="1"/>
    <xf numFmtId="0" fontId="0" fillId="3" borderId="58" xfId="0" applyFill="1" applyBorder="1" applyAlignment="1">
      <alignment wrapText="1"/>
    </xf>
    <xf numFmtId="0" fontId="7" fillId="3" borderId="58" xfId="4" quotePrefix="1" applyFill="1" applyBorder="1" applyAlignment="1"/>
    <xf numFmtId="168" fontId="19" fillId="0" borderId="0" xfId="2" applyNumberFormat="1" applyFont="1" applyBorder="1"/>
    <xf numFmtId="0" fontId="17" fillId="3" borderId="0" xfId="0" applyFont="1" applyFill="1" applyBorder="1"/>
    <xf numFmtId="168" fontId="17" fillId="0" borderId="0" xfId="2" applyNumberFormat="1" applyFont="1"/>
    <xf numFmtId="0" fontId="17" fillId="0" borderId="0" xfId="0" applyFont="1"/>
    <xf numFmtId="43" fontId="18" fillId="0" borderId="0" xfId="2" applyFont="1"/>
    <xf numFmtId="168" fontId="18" fillId="0" borderId="0" xfId="2" applyNumberFormat="1" applyFont="1"/>
    <xf numFmtId="171" fontId="17" fillId="0" borderId="0" xfId="2" applyNumberFormat="1" applyFont="1"/>
    <xf numFmtId="170" fontId="17" fillId="0" borderId="0" xfId="0" applyNumberFormat="1" applyFont="1"/>
    <xf numFmtId="171" fontId="0" fillId="0" borderId="16" xfId="2" applyNumberFormat="1" applyFont="1" applyBorder="1"/>
    <xf numFmtId="171" fontId="0" fillId="0" borderId="14" xfId="2" applyNumberFormat="1" applyFont="1" applyBorder="1"/>
    <xf numFmtId="171" fontId="7" fillId="3" borderId="14" xfId="2" applyNumberFormat="1" applyFont="1" applyFill="1" applyBorder="1" applyAlignment="1">
      <alignment vertical="top" wrapText="1"/>
    </xf>
    <xf numFmtId="0" fontId="0" fillId="3" borderId="50" xfId="0" applyFill="1" applyBorder="1" applyAlignment="1">
      <alignment wrapText="1"/>
    </xf>
    <xf numFmtId="0" fontId="7" fillId="3" borderId="50" xfId="4" quotePrefix="1" applyFill="1" applyBorder="1" applyAlignment="1"/>
    <xf numFmtId="171" fontId="17" fillId="3" borderId="14" xfId="2" applyNumberFormat="1" applyFont="1" applyFill="1" applyBorder="1" applyAlignment="1">
      <alignment vertical="top" wrapText="1"/>
    </xf>
    <xf numFmtId="171" fontId="7" fillId="3" borderId="14" xfId="4" quotePrefix="1" applyNumberFormat="1" applyFill="1" applyBorder="1" applyAlignment="1">
      <alignment vertical="top"/>
    </xf>
    <xf numFmtId="0" fontId="7" fillId="3" borderId="14" xfId="4" applyFill="1" applyBorder="1" applyAlignment="1">
      <alignment vertical="top" wrapText="1"/>
    </xf>
    <xf numFmtId="43" fontId="0" fillId="3" borderId="65" xfId="2" applyFont="1" applyFill="1" applyBorder="1"/>
    <xf numFmtId="43" fontId="0" fillId="3" borderId="46" xfId="2" applyFont="1" applyFill="1" applyBorder="1"/>
    <xf numFmtId="171" fontId="0" fillId="13" borderId="6" xfId="2" applyNumberFormat="1" applyFont="1" applyFill="1" applyBorder="1"/>
    <xf numFmtId="168" fontId="13" fillId="3" borderId="23" xfId="0" applyNumberFormat="1" applyFont="1" applyFill="1" applyBorder="1"/>
    <xf numFmtId="43" fontId="0" fillId="3" borderId="45" xfId="2" applyFont="1" applyFill="1" applyBorder="1"/>
    <xf numFmtId="43" fontId="0" fillId="3" borderId="56" xfId="2" applyFont="1" applyFill="1" applyBorder="1"/>
    <xf numFmtId="43" fontId="17" fillId="0" borderId="0" xfId="0" applyNumberFormat="1" applyFont="1"/>
    <xf numFmtId="43" fontId="0" fillId="0" borderId="0" xfId="0" applyNumberFormat="1" applyBorder="1"/>
    <xf numFmtId="43" fontId="0" fillId="0" borderId="0" xfId="2" applyNumberFormat="1" applyFont="1" applyBorder="1"/>
    <xf numFmtId="43" fontId="0" fillId="0" borderId="0" xfId="2" applyNumberFormat="1" applyFont="1" applyBorder="1" applyAlignment="1">
      <alignment horizontal="right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3" borderId="63" xfId="0" applyFill="1" applyBorder="1" applyAlignment="1">
      <alignment wrapText="1"/>
    </xf>
    <xf numFmtId="0" fontId="7" fillId="3" borderId="33" xfId="4" applyFill="1" applyBorder="1" applyAlignment="1">
      <alignment vertical="top" wrapText="1"/>
    </xf>
    <xf numFmtId="43" fontId="0" fillId="3" borderId="66" xfId="2" applyFont="1" applyFill="1" applyBorder="1"/>
    <xf numFmtId="168" fontId="0" fillId="0" borderId="30" xfId="0" applyNumberFormat="1" applyBorder="1"/>
    <xf numFmtId="171" fontId="0" fillId="0" borderId="67" xfId="2" applyNumberFormat="1" applyFont="1" applyBorder="1"/>
    <xf numFmtId="170" fontId="0" fillId="0" borderId="32" xfId="2" applyNumberFormat="1" applyFont="1" applyBorder="1"/>
    <xf numFmtId="9" fontId="17" fillId="0" borderId="0" xfId="5" applyFont="1"/>
    <xf numFmtId="43" fontId="0" fillId="3" borderId="0" xfId="2" applyNumberFormat="1" applyFont="1" applyFill="1" applyBorder="1"/>
    <xf numFmtId="168" fontId="20" fillId="0" borderId="8" xfId="2" applyNumberFormat="1" applyFont="1" applyBorder="1"/>
    <xf numFmtId="168" fontId="1" fillId="0" borderId="8" xfId="2" applyNumberFormat="1" applyFont="1" applyBorder="1"/>
    <xf numFmtId="168" fontId="21" fillId="0" borderId="8" xfId="2" applyNumberFormat="1" applyFont="1" applyBorder="1"/>
    <xf numFmtId="0" fontId="0" fillId="0" borderId="68" xfId="0" applyBorder="1" applyAlignment="1">
      <alignment horizontal="center" vertical="center" wrapText="1"/>
    </xf>
    <xf numFmtId="169" fontId="22" fillId="0" borderId="8" xfId="0" applyNumberFormat="1" applyFont="1" applyBorder="1"/>
    <xf numFmtId="37" fontId="22" fillId="0" borderId="8" xfId="0" applyNumberFormat="1" applyFont="1" applyBorder="1"/>
    <xf numFmtId="37" fontId="0" fillId="0" borderId="8" xfId="0" applyNumberFormat="1" applyBorder="1"/>
    <xf numFmtId="0" fontId="0" fillId="0" borderId="29" xfId="0" applyFont="1" applyBorder="1" applyAlignment="1">
      <alignment horizontal="center" vertical="center" wrapText="1"/>
    </xf>
    <xf numFmtId="1" fontId="0" fillId="0" borderId="9" xfId="2" applyNumberFormat="1" applyFont="1" applyBorder="1"/>
    <xf numFmtId="1" fontId="0" fillId="0" borderId="8" xfId="2" applyNumberFormat="1" applyFont="1" applyBorder="1"/>
    <xf numFmtId="1" fontId="0" fillId="0" borderId="45" xfId="2" applyNumberFormat="1" applyFont="1" applyBorder="1"/>
    <xf numFmtId="1" fontId="2" fillId="0" borderId="45" xfId="2" applyNumberFormat="1" applyFont="1" applyBorder="1"/>
    <xf numFmtId="1" fontId="0" fillId="0" borderId="10" xfId="2" applyNumberFormat="1" applyFont="1" applyBorder="1"/>
    <xf numFmtId="1" fontId="0" fillId="0" borderId="21" xfId="0" applyNumberFormat="1" applyBorder="1"/>
    <xf numFmtId="1" fontId="2" fillId="0" borderId="8" xfId="2" applyNumberFormat="1" applyFont="1" applyBorder="1"/>
    <xf numFmtId="1" fontId="0" fillId="0" borderId="55" xfId="2" applyNumberFormat="1" applyFont="1" applyBorder="1"/>
    <xf numFmtId="1" fontId="0" fillId="0" borderId="29" xfId="2" applyNumberFormat="1" applyFont="1" applyBorder="1"/>
    <xf numFmtId="1" fontId="2" fillId="0" borderId="29" xfId="2" applyNumberFormat="1" applyFont="1" applyBorder="1"/>
    <xf numFmtId="1" fontId="0" fillId="3" borderId="14" xfId="2" applyNumberFormat="1" applyFont="1" applyFill="1" applyBorder="1"/>
    <xf numFmtId="1" fontId="0" fillId="3" borderId="0" xfId="2" applyNumberFormat="1" applyFont="1" applyFill="1" applyBorder="1"/>
    <xf numFmtId="1" fontId="0" fillId="3" borderId="0" xfId="0" applyNumberFormat="1" applyFill="1" applyBorder="1"/>
    <xf numFmtId="1" fontId="8" fillId="3" borderId="0" xfId="2" applyNumberFormat="1" applyFont="1" applyFill="1" applyBorder="1"/>
    <xf numFmtId="1" fontId="1" fillId="0" borderId="39" xfId="0" applyNumberFormat="1" applyFont="1" applyBorder="1"/>
    <xf numFmtId="1" fontId="9" fillId="6" borderId="23" xfId="2" applyNumberFormat="1" applyFont="1" applyFill="1" applyBorder="1"/>
    <xf numFmtId="1" fontId="1" fillId="6" borderId="23" xfId="2" applyNumberFormat="1" applyFont="1" applyFill="1" applyBorder="1"/>
    <xf numFmtId="1" fontId="1" fillId="0" borderId="23" xfId="2" applyNumberFormat="1" applyFont="1" applyBorder="1"/>
    <xf numFmtId="1" fontId="9" fillId="6" borderId="23" xfId="0" applyNumberFormat="1" applyFont="1" applyFill="1" applyBorder="1"/>
    <xf numFmtId="1" fontId="9" fillId="12" borderId="7" xfId="1" applyNumberFormat="1" applyFont="1" applyFill="1" applyBorder="1"/>
    <xf numFmtId="1" fontId="1" fillId="5" borderId="6" xfId="0" applyNumberFormat="1" applyFont="1" applyFill="1" applyBorder="1"/>
    <xf numFmtId="1" fontId="1" fillId="3" borderId="6" xfId="0" applyNumberFormat="1" applyFont="1" applyFill="1" applyBorder="1"/>
    <xf numFmtId="1" fontId="1" fillId="12" borderId="6" xfId="0" applyNumberFormat="1" applyFont="1" applyFill="1" applyBorder="1"/>
    <xf numFmtId="43" fontId="14" fillId="3" borderId="8" xfId="2" applyNumberFormat="1" applyFont="1" applyFill="1" applyBorder="1" applyProtection="1">
      <protection locked="0"/>
    </xf>
    <xf numFmtId="43" fontId="0" fillId="0" borderId="29" xfId="2" applyNumberFormat="1" applyFont="1" applyBorder="1"/>
    <xf numFmtId="43" fontId="0" fillId="0" borderId="8" xfId="2" applyNumberFormat="1" applyFont="1" applyBorder="1"/>
    <xf numFmtId="0" fontId="1" fillId="0" borderId="64" xfId="0" applyFont="1" applyBorder="1" applyAlignment="1">
      <alignment horizontal="center" vertical="center" wrapText="1"/>
    </xf>
    <xf numFmtId="0" fontId="1" fillId="0" borderId="63" xfId="0" applyFont="1" applyBorder="1" applyAlignment="1">
      <alignment horizontal="center" vertical="center" wrapText="1"/>
    </xf>
    <xf numFmtId="171" fontId="1" fillId="4" borderId="1" xfId="2" applyNumberFormat="1" applyFont="1" applyFill="1" applyBorder="1" applyAlignment="1">
      <alignment horizontal="center" vertical="center"/>
    </xf>
    <xf numFmtId="171" fontId="1" fillId="4" borderId="40" xfId="2" applyNumberFormat="1" applyFont="1" applyFill="1" applyBorder="1" applyAlignment="1">
      <alignment horizontal="center" vertical="center"/>
    </xf>
    <xf numFmtId="171" fontId="1" fillId="4" borderId="2" xfId="2" applyNumberFormat="1" applyFont="1" applyFill="1" applyBorder="1" applyAlignment="1">
      <alignment horizontal="center" vertical="center"/>
    </xf>
    <xf numFmtId="171" fontId="1" fillId="0" borderId="35" xfId="2" applyNumberFormat="1" applyFont="1" applyBorder="1" applyAlignment="1">
      <alignment horizontal="center" vertical="center" wrapText="1"/>
    </xf>
    <xf numFmtId="171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40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8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43" fontId="0" fillId="0" borderId="27" xfId="2" applyFont="1" applyBorder="1" applyAlignment="1">
      <alignment horizontal="center" vertical="center" wrapText="1"/>
    </xf>
    <xf numFmtId="43" fontId="0" fillId="0" borderId="38" xfId="2" applyFont="1" applyBorder="1" applyAlignment="1">
      <alignment horizontal="center" vertical="center" wrapText="1"/>
    </xf>
    <xf numFmtId="43" fontId="0" fillId="0" borderId="39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1" fillId="8" borderId="36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6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0" fontId="0" fillId="0" borderId="39" xfId="0" applyBorder="1" applyAlignment="1">
      <alignment horizontal="center" vertical="center" wrapText="1"/>
    </xf>
    <xf numFmtId="168" fontId="9" fillId="0" borderId="27" xfId="2" applyNumberFormat="1" applyFont="1" applyBorder="1" applyAlignment="1">
      <alignment horizontal="center" vertical="center" wrapText="1"/>
    </xf>
    <xf numFmtId="168" fontId="9" fillId="0" borderId="39" xfId="2" applyNumberFormat="1" applyFont="1" applyBorder="1" applyAlignment="1">
      <alignment horizontal="center" vertical="center" wrapText="1"/>
    </xf>
    <xf numFmtId="17" fontId="6" fillId="3" borderId="57" xfId="0" applyNumberFormat="1" applyFont="1" applyFill="1" applyBorder="1" applyAlignment="1">
      <alignment horizontal="center"/>
    </xf>
    <xf numFmtId="0" fontId="6" fillId="3" borderId="57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right"/>
    </xf>
  </cellXfs>
  <cellStyles count="11">
    <cellStyle name="Comma" xfId="2" builtinId="3"/>
    <cellStyle name="Comma [0] 2" xfId="8"/>
    <cellStyle name="Comma 10" xfId="3"/>
    <cellStyle name="Comma 2" xfId="6"/>
    <cellStyle name="Comma 3" xfId="10"/>
    <cellStyle name="Currency" xfId="1" builtinId="4"/>
    <cellStyle name="Hyperlink" xfId="4" builtinId="8"/>
    <cellStyle name="Hyperlink 2" xfId="7"/>
    <cellStyle name="Normal" xfId="0" builtinId="0"/>
    <cellStyle name="Normal 2" xfId="9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441217</xdr:colOff>
      <xdr:row>4</xdr:row>
      <xdr:rowOff>138265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Z32"/>
  <sheetViews>
    <sheetView workbookViewId="0">
      <selection activeCell="L25" sqref="L25"/>
    </sheetView>
  </sheetViews>
  <sheetFormatPr defaultColWidth="11.5703125" defaultRowHeight="15" x14ac:dyDescent="0.25"/>
  <cols>
    <col min="1" max="1" width="18.42578125" style="136" customWidth="1"/>
    <col min="2" max="2" width="11.5703125" style="137"/>
    <col min="3" max="3" width="11.5703125" style="138"/>
    <col min="4" max="4" width="13.42578125" style="137" customWidth="1"/>
    <col min="5" max="5" width="12.5703125" style="135" customWidth="1"/>
    <col min="6" max="6" width="12.5703125" style="139" customWidth="1"/>
    <col min="7" max="7" width="11.5703125" style="135"/>
    <col min="8" max="8" width="11.5703125" style="139"/>
    <col min="9" max="9" width="11.5703125" style="140"/>
    <col min="10" max="10" width="11.5703125" style="141"/>
    <col min="11" max="11" width="11.5703125" style="135"/>
    <col min="12" max="12" width="11.5703125" style="141"/>
    <col min="13" max="26" width="11.5703125" style="135"/>
  </cols>
  <sheetData>
    <row r="1" spans="1:15" s="129" customFormat="1" ht="60" x14ac:dyDescent="0.25">
      <c r="A1" s="125" t="s">
        <v>37</v>
      </c>
      <c r="B1" s="125" t="s">
        <v>38</v>
      </c>
      <c r="C1" s="126" t="s">
        <v>39</v>
      </c>
      <c r="D1" s="125" t="s">
        <v>40</v>
      </c>
      <c r="E1" s="124" t="s">
        <v>41</v>
      </c>
      <c r="F1" s="127" t="s">
        <v>42</v>
      </c>
      <c r="G1" s="124" t="s">
        <v>47</v>
      </c>
      <c r="H1" s="127" t="s">
        <v>48</v>
      </c>
      <c r="I1" s="143" t="s">
        <v>53</v>
      </c>
      <c r="J1" s="127" t="s">
        <v>50</v>
      </c>
      <c r="K1" s="124" t="s">
        <v>43</v>
      </c>
      <c r="L1" s="128" t="s">
        <v>44</v>
      </c>
      <c r="M1" s="124" t="s">
        <v>45</v>
      </c>
      <c r="N1" s="124" t="s">
        <v>3</v>
      </c>
    </row>
    <row r="2" spans="1:15" ht="14.45" x14ac:dyDescent="0.3">
      <c r="A2" s="130" t="s">
        <v>49</v>
      </c>
      <c r="B2" s="131">
        <v>1</v>
      </c>
      <c r="C2" s="132">
        <v>1</v>
      </c>
      <c r="D2" s="131">
        <v>2022</v>
      </c>
      <c r="E2" s="133">
        <f>'FS Jimbaran January 2022'!P12</f>
        <v>16180.000000000262</v>
      </c>
      <c r="F2" s="142">
        <f>'FS Jimbaran January 2022'!O12/'FS Jimbaran January 2022'!P12</f>
        <v>1185.0334653893665</v>
      </c>
      <c r="G2" s="133">
        <f>'FS Jimbaran January 2022'!AG12</f>
        <v>107.26220000000001</v>
      </c>
      <c r="H2" s="142">
        <f>'FS Jimbaran January 2022'!AH12/'FS Jimbaran January 2022'!AG12</f>
        <v>29523.333333333336</v>
      </c>
      <c r="I2" s="133">
        <f>'FS Jimbaran January 2022'!AJ12</f>
        <v>242.08000000000175</v>
      </c>
      <c r="J2" s="134">
        <f>'FS Jimbaran January 2022'!AK12/'FS Jimbaran January 2022'!AJ12</f>
        <v>12000</v>
      </c>
      <c r="K2" s="133">
        <f>'FS Jimbaran January 2022'!V12</f>
        <v>1014</v>
      </c>
      <c r="L2" s="142">
        <f>'FS Jimbaran January 2022'!AA12/'FS Jimbaran January 2022'!V12</f>
        <v>6596.7109952251994</v>
      </c>
      <c r="M2" s="133">
        <f>'RNs &amp; Covers January 2022'!B6</f>
        <v>30</v>
      </c>
      <c r="N2" s="144">
        <f>'RNs &amp; Covers January 2022'!C6</f>
        <v>263</v>
      </c>
    </row>
    <row r="3" spans="1:15" ht="14.45" x14ac:dyDescent="0.3">
      <c r="A3" s="130" t="s">
        <v>49</v>
      </c>
      <c r="B3" s="131">
        <f>B2+1</f>
        <v>2</v>
      </c>
      <c r="C3" s="132">
        <v>1</v>
      </c>
      <c r="D3" s="131">
        <v>2022</v>
      </c>
      <c r="E3" s="144">
        <f>'FS Jimbaran January 2022'!P13</f>
        <v>15360.000000000211</v>
      </c>
      <c r="F3" s="142">
        <f>'FS Jimbaran January 2022'!O13/'FS Jimbaran January 2022'!P13</f>
        <v>1182.4480664062501</v>
      </c>
      <c r="G3" s="144">
        <f>'FS Jimbaran January 2022'!AG13</f>
        <v>116.24463999999998</v>
      </c>
      <c r="H3" s="142">
        <f>'FS Jimbaran January 2022'!AH13/'FS Jimbaran January 2022'!AG13</f>
        <v>29523.333333333336</v>
      </c>
      <c r="I3" s="144">
        <f>'FS Jimbaran January 2022'!AJ13</f>
        <v>370.97000000000116</v>
      </c>
      <c r="J3" s="134">
        <f>'FS Jimbaran January 2022'!AK13/'FS Jimbaran January 2022'!AJ13</f>
        <v>12000</v>
      </c>
      <c r="K3" s="144">
        <f>'FS Jimbaran January 2022'!V13</f>
        <v>929</v>
      </c>
      <c r="L3" s="142">
        <f>'FS Jimbaran January 2022'!AA13/'FS Jimbaran January 2022'!V13</f>
        <v>6745.8808274079602</v>
      </c>
      <c r="M3" s="144">
        <f>'RNs &amp; Covers January 2022'!B7</f>
        <v>18</v>
      </c>
      <c r="N3" s="144">
        <f>'RNs &amp; Covers January 2022'!C7</f>
        <v>240</v>
      </c>
    </row>
    <row r="4" spans="1:15" ht="14.45" x14ac:dyDescent="0.3">
      <c r="A4" s="130" t="s">
        <v>49</v>
      </c>
      <c r="B4" s="131">
        <f t="shared" ref="B4:B32" si="0">B3+1</f>
        <v>3</v>
      </c>
      <c r="C4" s="132">
        <v>1</v>
      </c>
      <c r="D4" s="131">
        <v>2022</v>
      </c>
      <c r="E4" s="144">
        <f>'FS Jimbaran January 2022'!P14</f>
        <v>14579.999999999556</v>
      </c>
      <c r="F4" s="142">
        <f>'FS Jimbaran January 2022'!O14/'FS Jimbaran January 2022'!P14</f>
        <v>1187.523901234568</v>
      </c>
      <c r="G4" s="144">
        <f>'FS Jimbaran January 2022'!AG14</f>
        <v>111.57215999999998</v>
      </c>
      <c r="H4" s="142">
        <f>'FS Jimbaran January 2022'!AH14/'FS Jimbaran January 2022'!AG14</f>
        <v>29523.333333333336</v>
      </c>
      <c r="I4" s="144">
        <f>'FS Jimbaran January 2022'!AJ14</f>
        <v>347.19999999999709</v>
      </c>
      <c r="J4" s="134">
        <f>'FS Jimbaran January 2022'!AK14/'FS Jimbaran January 2022'!AJ14</f>
        <v>12000</v>
      </c>
      <c r="K4" s="144">
        <f>'FS Jimbaran January 2022'!V14</f>
        <v>980</v>
      </c>
      <c r="L4" s="142">
        <f>'FS Jimbaran January 2022'!AA14/'FS Jimbaran January 2022'!V14</f>
        <v>6668.2410471273188</v>
      </c>
      <c r="M4" s="144">
        <f>'RNs &amp; Covers January 2022'!B8</f>
        <v>10</v>
      </c>
      <c r="N4" s="144">
        <f>'RNs &amp; Covers January 2022'!C8</f>
        <v>125</v>
      </c>
    </row>
    <row r="5" spans="1:15" ht="14.45" x14ac:dyDescent="0.3">
      <c r="A5" s="130" t="s">
        <v>49</v>
      </c>
      <c r="B5" s="131">
        <f t="shared" si="0"/>
        <v>4</v>
      </c>
      <c r="C5" s="132">
        <v>1</v>
      </c>
      <c r="D5" s="131">
        <v>2022</v>
      </c>
      <c r="E5" s="144">
        <f>'FS Jimbaran January 2022'!P15</f>
        <v>14220.000000000169</v>
      </c>
      <c r="F5" s="142">
        <f>'FS Jimbaran January 2022'!O15/'FS Jimbaran January 2022'!P15</f>
        <v>1193.8784873417756</v>
      </c>
      <c r="G5" s="144">
        <f>'FS Jimbaran January 2022'!AG15</f>
        <v>129.73843999999994</v>
      </c>
      <c r="H5" s="142">
        <f>'FS Jimbaran January 2022'!AH15/'FS Jimbaran January 2022'!AG15</f>
        <v>29523.333333333336</v>
      </c>
      <c r="I5" s="144">
        <f>'FS Jimbaran January 2022'!AJ15</f>
        <v>281.7899999999936</v>
      </c>
      <c r="J5" s="134">
        <f>'FS Jimbaran January 2022'!AK15/'FS Jimbaran January 2022'!AJ15</f>
        <v>12000</v>
      </c>
      <c r="K5" s="144">
        <f>'FS Jimbaran January 2022'!V15</f>
        <v>961</v>
      </c>
      <c r="L5" s="142">
        <f>'FS Jimbaran January 2022'!AA15/'FS Jimbaran January 2022'!V15</f>
        <v>6751.2697742931996</v>
      </c>
      <c r="M5" s="144">
        <f>'RNs &amp; Covers January 2022'!B9</f>
        <v>10</v>
      </c>
      <c r="N5" s="144">
        <f>'RNs &amp; Covers January 2022'!C9</f>
        <v>107</v>
      </c>
    </row>
    <row r="6" spans="1:15" ht="14.45" x14ac:dyDescent="0.3">
      <c r="A6" s="130" t="s">
        <v>49</v>
      </c>
      <c r="B6" s="131">
        <f t="shared" si="0"/>
        <v>5</v>
      </c>
      <c r="C6" s="132">
        <v>1</v>
      </c>
      <c r="D6" s="131">
        <v>2022</v>
      </c>
      <c r="E6" s="144">
        <f>'FS Jimbaran January 2022'!P16</f>
        <v>14780.000000000287</v>
      </c>
      <c r="F6" s="142">
        <f>'FS Jimbaran January 2022'!O16/'FS Jimbaran January 2022'!P16</f>
        <v>1192.0580378890334</v>
      </c>
      <c r="G6" s="144">
        <f>'FS Jimbaran January 2022'!AG16</f>
        <v>106.61772000000002</v>
      </c>
      <c r="H6" s="142">
        <f>'FS Jimbaran January 2022'!AH16/'FS Jimbaran January 2022'!AG16</f>
        <v>29523.333333333336</v>
      </c>
      <c r="I6" s="144">
        <f>'FS Jimbaran January 2022'!AJ16</f>
        <v>716.51000000000931</v>
      </c>
      <c r="J6" s="134">
        <f>'FS Jimbaran January 2022'!AK16/'FS Jimbaran January 2022'!AJ16</f>
        <v>12000</v>
      </c>
      <c r="K6" s="144">
        <f>'FS Jimbaran January 2022'!V16</f>
        <v>994</v>
      </c>
      <c r="L6" s="142">
        <f>'FS Jimbaran January 2022'!AA16/'FS Jimbaran January 2022'!V16</f>
        <v>6546.1838759681632</v>
      </c>
      <c r="M6" s="144">
        <f>'RNs &amp; Covers January 2022'!B10</f>
        <v>15</v>
      </c>
      <c r="N6" s="144">
        <f>'RNs &amp; Covers January 2022'!C10</f>
        <v>112</v>
      </c>
    </row>
    <row r="7" spans="1:15" ht="14.45" x14ac:dyDescent="0.3">
      <c r="A7" s="130" t="s">
        <v>49</v>
      </c>
      <c r="B7" s="131">
        <f t="shared" si="0"/>
        <v>6</v>
      </c>
      <c r="C7" s="132">
        <v>1</v>
      </c>
      <c r="D7" s="131">
        <v>2022</v>
      </c>
      <c r="E7" s="144">
        <f>'FS Jimbaran January 2022'!P17</f>
        <v>15020.00000000018</v>
      </c>
      <c r="F7" s="142">
        <f>'FS Jimbaran January 2022'!O17/'FS Jimbaran January 2022'!P17</f>
        <v>1176.6309087882817</v>
      </c>
      <c r="G7" s="144">
        <f>'FS Jimbaran January 2022'!AG17</f>
        <v>91.556439999999952</v>
      </c>
      <c r="H7" s="142">
        <f>'FS Jimbaran January 2022'!AH17/'FS Jimbaran January 2022'!AG17</f>
        <v>29523.333333333336</v>
      </c>
      <c r="I7" s="144">
        <f>'FS Jimbaran January 2022'!AJ17</f>
        <v>337.72000000000116</v>
      </c>
      <c r="J7" s="134">
        <f>'FS Jimbaran January 2022'!AK17/'FS Jimbaran January 2022'!AJ17</f>
        <v>12000</v>
      </c>
      <c r="K7" s="144">
        <f>'FS Jimbaran January 2022'!V17</f>
        <v>1000</v>
      </c>
      <c r="L7" s="142">
        <f>'FS Jimbaran January 2022'!AA17/'FS Jimbaran January 2022'!V17</f>
        <v>6643.6946965059506</v>
      </c>
      <c r="M7" s="144">
        <f>'RNs &amp; Covers January 2022'!B11</f>
        <v>11</v>
      </c>
      <c r="N7" s="144">
        <f>'RNs &amp; Covers January 2022'!C11</f>
        <v>189</v>
      </c>
    </row>
    <row r="8" spans="1:15" ht="14.45" x14ac:dyDescent="0.3">
      <c r="A8" s="130" t="s">
        <v>49</v>
      </c>
      <c r="B8" s="131">
        <f t="shared" si="0"/>
        <v>7</v>
      </c>
      <c r="C8" s="132">
        <v>1</v>
      </c>
      <c r="D8" s="131">
        <v>2022</v>
      </c>
      <c r="E8" s="144">
        <f>'FS Jimbaran January 2022'!P18</f>
        <v>14459.999999999751</v>
      </c>
      <c r="F8" s="142">
        <f>'FS Jimbaran January 2022'!O18/'FS Jimbaran January 2022'!P18</f>
        <v>1189.8576473029098</v>
      </c>
      <c r="G8" s="144">
        <f>'FS Jimbaran January 2022'!AG18</f>
        <v>119.06423999999993</v>
      </c>
      <c r="H8" s="142">
        <f>'FS Jimbaran January 2022'!AH18/'FS Jimbaran January 2022'!AG18</f>
        <v>29523.333333333336</v>
      </c>
      <c r="I8" s="144">
        <f>'FS Jimbaran January 2022'!AJ18</f>
        <v>139.20000000001164</v>
      </c>
      <c r="J8" s="134">
        <f>'FS Jimbaran January 2022'!AK18/'FS Jimbaran January 2022'!AJ18</f>
        <v>12000</v>
      </c>
      <c r="K8" s="144">
        <f>'FS Jimbaran January 2022'!V18</f>
        <v>1013</v>
      </c>
      <c r="L8" s="142">
        <f>'FS Jimbaran January 2022'!AA18/'FS Jimbaran January 2022'!V18</f>
        <v>6571.0644959290321</v>
      </c>
      <c r="M8" s="144">
        <f>'RNs &amp; Covers January 2022'!B12</f>
        <v>11</v>
      </c>
      <c r="N8" s="144">
        <f>'RNs &amp; Covers January 2022'!C12</f>
        <v>115</v>
      </c>
    </row>
    <row r="9" spans="1:15" ht="14.45" x14ac:dyDescent="0.3">
      <c r="A9" s="130" t="s">
        <v>49</v>
      </c>
      <c r="B9" s="131">
        <f t="shared" si="0"/>
        <v>8</v>
      </c>
      <c r="C9" s="132">
        <v>1</v>
      </c>
      <c r="D9" s="131">
        <v>2022</v>
      </c>
      <c r="E9" s="144">
        <f>'FS Jimbaran January 2022'!P19</f>
        <v>14279.999999999773</v>
      </c>
      <c r="F9" s="142">
        <f>'FS Jimbaran January 2022'!O19/'FS Jimbaran January 2022'!P19</f>
        <v>1180.4845588235296</v>
      </c>
      <c r="G9" s="144">
        <f>'FS Jimbaran January 2022'!AG19</f>
        <v>98.440880000000135</v>
      </c>
      <c r="H9" s="142">
        <f>'FS Jimbaran January 2022'!AH19/'FS Jimbaran January 2022'!AG19</f>
        <v>29523.333333333336</v>
      </c>
      <c r="I9" s="144">
        <f>'FS Jimbaran January 2022'!AJ19</f>
        <v>237.75999999999476</v>
      </c>
      <c r="J9" s="134">
        <f>'FS Jimbaran January 2022'!AK19/'FS Jimbaran January 2022'!AJ19</f>
        <v>12000</v>
      </c>
      <c r="K9" s="144">
        <f>'FS Jimbaran January 2022'!V19</f>
        <v>985</v>
      </c>
      <c r="L9" s="142">
        <f>'FS Jimbaran January 2022'!AA19/'FS Jimbaran January 2022'!V19</f>
        <v>6546.603349514312</v>
      </c>
      <c r="M9" s="144">
        <f>'RNs &amp; Covers January 2022'!B13</f>
        <v>11</v>
      </c>
      <c r="N9" s="144">
        <f>'RNs &amp; Covers January 2022'!C13</f>
        <v>175</v>
      </c>
      <c r="O9" s="135" t="s">
        <v>46</v>
      </c>
    </row>
    <row r="10" spans="1:15" ht="14.45" x14ac:dyDescent="0.3">
      <c r="A10" s="130" t="s">
        <v>49</v>
      </c>
      <c r="B10" s="131">
        <f t="shared" si="0"/>
        <v>9</v>
      </c>
      <c r="C10" s="132">
        <v>1</v>
      </c>
      <c r="D10" s="131">
        <v>2022</v>
      </c>
      <c r="E10" s="144">
        <f>'FS Jimbaran January 2022'!P20</f>
        <v>13800.00000000004</v>
      </c>
      <c r="F10" s="142">
        <f>'FS Jimbaran January 2022'!O20/'FS Jimbaran January 2022'!P20</f>
        <v>1182.9283108695668</v>
      </c>
      <c r="G10" s="144">
        <f>'FS Jimbaran January 2022'!AG20</f>
        <v>107.74555999999991</v>
      </c>
      <c r="H10" s="142">
        <f>'FS Jimbaran January 2022'!AH20/'FS Jimbaran January 2022'!AG20</f>
        <v>29523.333333333336</v>
      </c>
      <c r="I10" s="144">
        <f>'FS Jimbaran January 2022'!AJ20</f>
        <v>326.52999999999884</v>
      </c>
      <c r="J10" s="134">
        <f>'FS Jimbaran January 2022'!AK20/'FS Jimbaran January 2022'!AJ20</f>
        <v>12000</v>
      </c>
      <c r="K10" s="144">
        <f>'FS Jimbaran January 2022'!V20</f>
        <v>1000</v>
      </c>
      <c r="L10" s="142">
        <f>'FS Jimbaran January 2022'!AA20/'FS Jimbaran January 2022'!V20</f>
        <v>6614.3588140560241</v>
      </c>
      <c r="M10" s="144">
        <f>'RNs &amp; Covers January 2022'!B14</f>
        <v>6</v>
      </c>
      <c r="N10" s="144">
        <f>'RNs &amp; Covers January 2022'!C14</f>
        <v>131</v>
      </c>
    </row>
    <row r="11" spans="1:15" ht="14.45" x14ac:dyDescent="0.3">
      <c r="A11" s="130" t="s">
        <v>49</v>
      </c>
      <c r="B11" s="131">
        <f t="shared" si="0"/>
        <v>10</v>
      </c>
      <c r="C11" s="132">
        <v>1</v>
      </c>
      <c r="D11" s="131">
        <v>2022</v>
      </c>
      <c r="E11" s="144">
        <f>'FS Jimbaran January 2022'!P21</f>
        <v>13659.999999999911</v>
      </c>
      <c r="F11" s="142">
        <f>'FS Jimbaran January 2022'!O21/'FS Jimbaran January 2022'!P21</f>
        <v>1182.3132979502179</v>
      </c>
      <c r="G11" s="144">
        <f>'FS Jimbaran January 2022'!AG21</f>
        <v>94.171200000000127</v>
      </c>
      <c r="H11" s="142">
        <f>'FS Jimbaran January 2022'!AH21/'FS Jimbaran January 2022'!AG21</f>
        <v>29523.333333333336</v>
      </c>
      <c r="I11" s="144">
        <f>'FS Jimbaran January 2022'!AJ21</f>
        <v>331.76000000000931</v>
      </c>
      <c r="J11" s="134">
        <f>'FS Jimbaran January 2022'!AK21/'FS Jimbaran January 2022'!AJ21</f>
        <v>12000</v>
      </c>
      <c r="K11" s="144">
        <f>'FS Jimbaran January 2022'!V21</f>
        <v>985</v>
      </c>
      <c r="L11" s="142">
        <f>'FS Jimbaran January 2022'!AA21/'FS Jimbaran January 2022'!V21</f>
        <v>6680.6251475089057</v>
      </c>
      <c r="M11" s="144">
        <f>'RNs &amp; Covers January 2022'!B15</f>
        <v>5</v>
      </c>
      <c r="N11" s="144">
        <f>'RNs &amp; Covers January 2022'!C15</f>
        <v>70</v>
      </c>
    </row>
    <row r="12" spans="1:15" ht="14.45" x14ac:dyDescent="0.3">
      <c r="A12" s="130" t="s">
        <v>49</v>
      </c>
      <c r="B12" s="131">
        <f t="shared" si="0"/>
        <v>11</v>
      </c>
      <c r="C12" s="132">
        <v>1</v>
      </c>
      <c r="D12" s="131">
        <v>2022</v>
      </c>
      <c r="E12" s="144">
        <f>'FS Jimbaran January 2022'!P22</f>
        <v>12760.000000000531</v>
      </c>
      <c r="F12" s="142">
        <f>'FS Jimbaran January 2022'!O22/'FS Jimbaran January 2022'!P22</f>
        <v>1178.767967868333</v>
      </c>
      <c r="G12" s="144">
        <f>'FS Jimbaran January 2022'!AG22</f>
        <v>120.15179999999985</v>
      </c>
      <c r="H12" s="142">
        <f>'FS Jimbaran January 2022'!AH22/'FS Jimbaran January 2022'!AG22</f>
        <v>29523.333333333336</v>
      </c>
      <c r="I12" s="144">
        <f>'FS Jimbaran January 2022'!AJ22</f>
        <v>265.94999999999709</v>
      </c>
      <c r="J12" s="134">
        <f>'FS Jimbaran January 2022'!AK22/'FS Jimbaran January 2022'!AJ22</f>
        <v>12000</v>
      </c>
      <c r="K12" s="144">
        <f>'FS Jimbaran January 2022'!V22</f>
        <v>1013</v>
      </c>
      <c r="L12" s="142">
        <f>'FS Jimbaran January 2022'!AA22/'FS Jimbaran January 2022'!V22</f>
        <v>6527.6253807514495</v>
      </c>
      <c r="M12" s="144">
        <f>'RNs &amp; Covers January 2022'!B16</f>
        <v>6</v>
      </c>
      <c r="N12" s="144">
        <f>'RNs &amp; Covers January 2022'!C16</f>
        <v>60</v>
      </c>
    </row>
    <row r="13" spans="1:15" ht="14.45" x14ac:dyDescent="0.3">
      <c r="A13" s="130" t="s">
        <v>49</v>
      </c>
      <c r="B13" s="131">
        <f t="shared" si="0"/>
        <v>12</v>
      </c>
      <c r="C13" s="132">
        <v>1</v>
      </c>
      <c r="D13" s="131">
        <v>2022</v>
      </c>
      <c r="E13" s="144">
        <f>'FS Jimbaran January 2022'!P23</f>
        <v>13299.999999999329</v>
      </c>
      <c r="F13" s="142">
        <f>'FS Jimbaran January 2022'!O23/'FS Jimbaran January 2022'!P23</f>
        <v>1178.3360368421133</v>
      </c>
      <c r="G13" s="144">
        <f>'FS Jimbaran January 2022'!AG23</f>
        <v>97.474160000000097</v>
      </c>
      <c r="H13" s="142">
        <f>'FS Jimbaran January 2022'!AH23/'FS Jimbaran January 2022'!AG23</f>
        <v>29523.333333333336</v>
      </c>
      <c r="I13" s="144">
        <f>'FS Jimbaran January 2022'!AJ23</f>
        <v>179.95999999999185</v>
      </c>
      <c r="J13" s="134">
        <f>'FS Jimbaran January 2022'!AK23/'FS Jimbaran January 2022'!AJ23</f>
        <v>12000</v>
      </c>
      <c r="K13" s="144">
        <f>'FS Jimbaran January 2022'!V23</f>
        <v>622</v>
      </c>
      <c r="L13" s="142">
        <f>'FS Jimbaran January 2022'!AA23/'FS Jimbaran January 2022'!V23</f>
        <v>3924.6074055039662</v>
      </c>
      <c r="M13" s="144">
        <f>'RNs &amp; Covers January 2022'!B17</f>
        <v>4</v>
      </c>
      <c r="N13" s="144">
        <f>'RNs &amp; Covers January 2022'!C17</f>
        <v>39</v>
      </c>
    </row>
    <row r="14" spans="1:15" ht="14.45" x14ac:dyDescent="0.3">
      <c r="A14" s="130" t="s">
        <v>49</v>
      </c>
      <c r="B14" s="131">
        <f t="shared" si="0"/>
        <v>13</v>
      </c>
      <c r="C14" s="132">
        <v>1</v>
      </c>
      <c r="D14" s="131">
        <v>2022</v>
      </c>
      <c r="E14" s="144">
        <f>'FS Jimbaran January 2022'!P24</f>
        <v>14400.000000000346</v>
      </c>
      <c r="F14" s="142">
        <f>'FS Jimbaran January 2022'!O24/'FS Jimbaran January 2022'!P24</f>
        <v>1185.7523124999955</v>
      </c>
      <c r="G14" s="144">
        <f>'FS Jimbaran January 2022'!AG24</f>
        <v>92.442599999999942</v>
      </c>
      <c r="H14" s="142">
        <f>'FS Jimbaran January 2022'!AH24/'FS Jimbaran January 2022'!AG24</f>
        <v>29523.333333333339</v>
      </c>
      <c r="I14" s="144">
        <f>'FS Jimbaran January 2022'!AJ24</f>
        <v>0</v>
      </c>
      <c r="J14" s="134" t="e">
        <f>'FS Jimbaran January 2022'!AK24/'FS Jimbaran January 2022'!AJ24</f>
        <v>#DIV/0!</v>
      </c>
      <c r="K14" s="144">
        <f>'FS Jimbaran January 2022'!V24</f>
        <v>994</v>
      </c>
      <c r="L14" s="142">
        <f>'FS Jimbaran January 2022'!AA24/'FS Jimbaran January 2022'!V24</f>
        <v>9600.7752578268392</v>
      </c>
      <c r="M14" s="144">
        <f>'RNs &amp; Covers January 2022'!B18</f>
        <v>3</v>
      </c>
      <c r="N14" s="144">
        <f>'RNs &amp; Covers January 2022'!C18</f>
        <v>73</v>
      </c>
    </row>
    <row r="15" spans="1:15" ht="14.45" x14ac:dyDescent="0.3">
      <c r="A15" s="130" t="s">
        <v>49</v>
      </c>
      <c r="B15" s="131">
        <f t="shared" si="0"/>
        <v>14</v>
      </c>
      <c r="C15" s="132">
        <v>1</v>
      </c>
      <c r="D15" s="131">
        <v>2022</v>
      </c>
      <c r="E15" s="144">
        <f>'FS Jimbaran January 2022'!P25</f>
        <v>16700.000000000273</v>
      </c>
      <c r="F15" s="142">
        <f>'FS Jimbaran January 2022'!O25/'FS Jimbaran January 2022'!P25</f>
        <v>1200.8845724550883</v>
      </c>
      <c r="G15" s="144">
        <f>'FS Jimbaran January 2022'!AG25</f>
        <v>95.822680000000005</v>
      </c>
      <c r="H15" s="142">
        <f>'FS Jimbaran January 2022'!AH25/'FS Jimbaran January 2022'!AG25</f>
        <v>29523.333333333336</v>
      </c>
      <c r="I15" s="144">
        <f>'FS Jimbaran January 2022'!AJ25</f>
        <v>547.6200000000099</v>
      </c>
      <c r="J15" s="134">
        <f>'FS Jimbaran January 2022'!AK25/'FS Jimbaran January 2022'!AJ25</f>
        <v>12000</v>
      </c>
      <c r="K15" s="144">
        <f>'FS Jimbaran January 2022'!V25</f>
        <v>956</v>
      </c>
      <c r="L15" s="142">
        <f>'FS Jimbaran January 2022'!AA25/'FS Jimbaran January 2022'!V25</f>
        <v>6769.6303257679838</v>
      </c>
      <c r="M15" s="144">
        <f>'RNs &amp; Covers January 2022'!B19</f>
        <v>31</v>
      </c>
      <c r="N15" s="144">
        <f>'RNs &amp; Covers January 2022'!C19</f>
        <v>143</v>
      </c>
    </row>
    <row r="16" spans="1:15" ht="14.45" x14ac:dyDescent="0.3">
      <c r="A16" s="130" t="s">
        <v>49</v>
      </c>
      <c r="B16" s="131">
        <f t="shared" si="0"/>
        <v>15</v>
      </c>
      <c r="C16" s="132">
        <v>1</v>
      </c>
      <c r="D16" s="131">
        <v>2022</v>
      </c>
      <c r="E16" s="144">
        <f>'FS Jimbaran January 2022'!P26</f>
        <v>15799.999999999927</v>
      </c>
      <c r="F16" s="142">
        <f>'FS Jimbaran January 2022'!O26/'FS Jimbaran January 2022'!P26</f>
        <v>1165.350833544303</v>
      </c>
      <c r="G16" s="144">
        <f>'FS Jimbaran January 2022'!AG26</f>
        <v>98.440879999999908</v>
      </c>
      <c r="H16" s="142">
        <f>'FS Jimbaran January 2022'!AH26/'FS Jimbaran January 2022'!AG26</f>
        <v>29523.333333333336</v>
      </c>
      <c r="I16" s="144">
        <f>'FS Jimbaran January 2022'!AJ26</f>
        <v>171.79999999998836</v>
      </c>
      <c r="J16" s="134">
        <f>'FS Jimbaran January 2022'!AK26/'FS Jimbaran January 2022'!AJ26</f>
        <v>12000</v>
      </c>
      <c r="K16" s="144">
        <f>'FS Jimbaran January 2022'!V26</f>
        <v>858</v>
      </c>
      <c r="L16" s="142">
        <f>'FS Jimbaran January 2022'!AA26/'FS Jimbaran January 2022'!V26</f>
        <v>6471.7823224287522</v>
      </c>
      <c r="M16" s="144">
        <f>'RNs &amp; Covers January 2022'!B20</f>
        <v>2</v>
      </c>
      <c r="N16" s="144">
        <f>'RNs &amp; Covers January 2022'!C20</f>
        <v>98</v>
      </c>
    </row>
    <row r="17" spans="1:14" ht="14.45" x14ac:dyDescent="0.3">
      <c r="A17" s="130" t="s">
        <v>49</v>
      </c>
      <c r="B17" s="131">
        <f t="shared" si="0"/>
        <v>16</v>
      </c>
      <c r="C17" s="132">
        <v>1</v>
      </c>
      <c r="D17" s="131">
        <v>2022</v>
      </c>
      <c r="E17" s="144">
        <f>'FS Jimbaran January 2022'!P27</f>
        <v>13419.999999999363</v>
      </c>
      <c r="F17" s="142">
        <f>'FS Jimbaran January 2022'!O27/'FS Jimbaran January 2022'!P27</f>
        <v>1180.7660454545514</v>
      </c>
      <c r="G17" s="144">
        <f>'FS Jimbaran January 2022'!AG27</f>
        <v>111.37076000000005</v>
      </c>
      <c r="H17" s="142">
        <f>'FS Jimbaran January 2022'!AH27/'FS Jimbaran January 2022'!AG27</f>
        <v>29523.333333333336</v>
      </c>
      <c r="I17" s="144">
        <f>'FS Jimbaran January 2022'!AJ27</f>
        <v>246.80000000000291</v>
      </c>
      <c r="J17" s="134">
        <f>'FS Jimbaran January 2022'!AK27/'FS Jimbaran January 2022'!AJ27</f>
        <v>12000</v>
      </c>
      <c r="K17" s="144">
        <f>'FS Jimbaran January 2022'!V27</f>
        <v>999</v>
      </c>
      <c r="L17" s="142">
        <f>'FS Jimbaran January 2022'!AA27/'FS Jimbaran January 2022'!V27</f>
        <v>6720.5141844829395</v>
      </c>
      <c r="M17" s="144">
        <f>'RNs &amp; Covers January 2022'!B21</f>
        <v>1</v>
      </c>
      <c r="N17" s="144">
        <f>'RNs &amp; Covers January 2022'!C21</f>
        <v>77</v>
      </c>
    </row>
    <row r="18" spans="1:14" ht="14.45" x14ac:dyDescent="0.3">
      <c r="A18" s="130" t="s">
        <v>49</v>
      </c>
      <c r="B18" s="131">
        <f t="shared" si="0"/>
        <v>17</v>
      </c>
      <c r="C18" s="132">
        <v>1</v>
      </c>
      <c r="D18" s="131">
        <v>2022</v>
      </c>
      <c r="E18" s="144">
        <f>'FS Jimbaran January 2022'!P28</f>
        <v>13260.000000000331</v>
      </c>
      <c r="F18" s="142">
        <f>'FS Jimbaran January 2022'!O28/'FS Jimbaran January 2022'!P28</f>
        <v>1185.991533936648</v>
      </c>
      <c r="G18" s="144">
        <f>'FS Jimbaran January 2022'!AG28</f>
        <v>93.446159999999878</v>
      </c>
      <c r="H18" s="142">
        <f>'FS Jimbaran January 2022'!AH28/'FS Jimbaran January 2022'!AG28</f>
        <v>29523.333333333332</v>
      </c>
      <c r="I18" s="144">
        <f>'FS Jimbaran January 2022'!AJ28</f>
        <v>268.19999999999709</v>
      </c>
      <c r="J18" s="134">
        <f>'FS Jimbaran January 2022'!AK28/'FS Jimbaran January 2022'!AJ28</f>
        <v>12000</v>
      </c>
      <c r="K18" s="144">
        <f>'FS Jimbaran January 2022'!V28</f>
        <v>863</v>
      </c>
      <c r="L18" s="142">
        <f>'FS Jimbaran January 2022'!AA28/'FS Jimbaran January 2022'!V28</f>
        <v>7285.8887767423766</v>
      </c>
      <c r="M18" s="144">
        <f>'RNs &amp; Covers January 2022'!B22</f>
        <v>0</v>
      </c>
      <c r="N18" s="144">
        <f>'RNs &amp; Covers January 2022'!C22</f>
        <v>31</v>
      </c>
    </row>
    <row r="19" spans="1:14" ht="14.45" x14ac:dyDescent="0.3">
      <c r="A19" s="130" t="s">
        <v>49</v>
      </c>
      <c r="B19" s="131">
        <f t="shared" si="0"/>
        <v>18</v>
      </c>
      <c r="C19" s="132">
        <v>1</v>
      </c>
      <c r="D19" s="131">
        <v>2022</v>
      </c>
      <c r="E19" s="144">
        <f>'FS Jimbaran January 2022'!P29</f>
        <v>12499.999999999802</v>
      </c>
      <c r="F19" s="142">
        <f>'FS Jimbaran January 2022'!O29/'FS Jimbaran January 2022'!P29</f>
        <v>1178.9247960000037</v>
      </c>
      <c r="G19" s="144">
        <f>'FS Jimbaran January 2022'!AG29</f>
        <v>108.37392799999994</v>
      </c>
      <c r="H19" s="142">
        <f>'FS Jimbaran January 2022'!AH29/'FS Jimbaran January 2022'!AG29</f>
        <v>29523.333333333336</v>
      </c>
      <c r="I19" s="144">
        <f>'FS Jimbaran January 2022'!AJ29</f>
        <v>235.9600000000064</v>
      </c>
      <c r="J19" s="134">
        <f>'FS Jimbaran January 2022'!AK29/'FS Jimbaran January 2022'!AJ29</f>
        <v>12000</v>
      </c>
      <c r="K19" s="144">
        <f>'FS Jimbaran January 2022'!V29</f>
        <v>984</v>
      </c>
      <c r="L19" s="142">
        <f>'FS Jimbaran January 2022'!AA29/'FS Jimbaran January 2022'!V29</f>
        <v>6549.9629745317916</v>
      </c>
      <c r="M19" s="144">
        <f>'RNs &amp; Covers January 2022'!B23</f>
        <v>0</v>
      </c>
      <c r="N19" s="144">
        <f>'RNs &amp; Covers January 2022'!C23</f>
        <v>32</v>
      </c>
    </row>
    <row r="20" spans="1:14" x14ac:dyDescent="0.25">
      <c r="A20" s="130" t="s">
        <v>49</v>
      </c>
      <c r="B20" s="131">
        <f t="shared" si="0"/>
        <v>19</v>
      </c>
      <c r="C20" s="132">
        <v>1</v>
      </c>
      <c r="D20" s="131">
        <v>2022</v>
      </c>
      <c r="E20" s="144">
        <f>'FS Jimbaran January 2022'!P30</f>
        <v>13380.000000000109</v>
      </c>
      <c r="F20" s="142">
        <f>'FS Jimbaran January 2022'!O30/'FS Jimbaran January 2022'!P30</f>
        <v>1183.4831569506723</v>
      </c>
      <c r="G20" s="144">
        <f>'FS Jimbaran January 2022'!AG30</f>
        <v>104.45871200000025</v>
      </c>
      <c r="H20" s="142">
        <f>'FS Jimbaran January 2022'!AH30/'FS Jimbaran January 2022'!AG30</f>
        <v>29523.333333333336</v>
      </c>
      <c r="I20" s="144">
        <f>'FS Jimbaran January 2022'!AJ30</f>
        <v>212.88999999999942</v>
      </c>
      <c r="J20" s="134">
        <f>'FS Jimbaran January 2022'!AK30/'FS Jimbaran January 2022'!AJ30</f>
        <v>12000</v>
      </c>
      <c r="K20" s="144">
        <f>'FS Jimbaran January 2022'!V30</f>
        <v>932</v>
      </c>
      <c r="L20" s="142">
        <f>'FS Jimbaran January 2022'!AA30/'FS Jimbaran January 2022'!V30</f>
        <v>6718.8600262167101</v>
      </c>
      <c r="M20" s="144">
        <f>'RNs &amp; Covers January 2022'!B24</f>
        <v>3</v>
      </c>
      <c r="N20" s="144">
        <f>'RNs &amp; Covers January 2022'!C24</f>
        <v>44</v>
      </c>
    </row>
    <row r="21" spans="1:14" x14ac:dyDescent="0.25">
      <c r="A21" s="130" t="s">
        <v>49</v>
      </c>
      <c r="B21" s="131">
        <f t="shared" si="0"/>
        <v>20</v>
      </c>
      <c r="C21" s="132">
        <v>1</v>
      </c>
      <c r="D21" s="131">
        <v>2022</v>
      </c>
      <c r="E21" s="144">
        <f>'FS Jimbaran January 2022'!P31</f>
        <v>13340.000000000458</v>
      </c>
      <c r="F21" s="142">
        <f>'FS Jimbaran January 2022'!O31/'FS Jimbaran January 2022'!P31</f>
        <v>1178.0638718140899</v>
      </c>
      <c r="G21" s="144">
        <f>'FS Jimbaran January 2022'!AG31</f>
        <v>117.61072000000003</v>
      </c>
      <c r="H21" s="142">
        <f>'FS Jimbaran January 2022'!AH31/'FS Jimbaran January 2022'!AG31</f>
        <v>29523.333333333336</v>
      </c>
      <c r="I21" s="144">
        <f>'FS Jimbaran January 2022'!AJ31</f>
        <v>100.43000000000757</v>
      </c>
      <c r="J21" s="134">
        <f>'FS Jimbaran January 2022'!AK31/'FS Jimbaran January 2022'!AJ31</f>
        <v>12000</v>
      </c>
      <c r="K21" s="144">
        <f>'FS Jimbaran January 2022'!V31</f>
        <v>1057</v>
      </c>
      <c r="L21" s="142">
        <f>'FS Jimbaran January 2022'!AA31/'FS Jimbaran January 2022'!V31</f>
        <v>7417.6957275027207</v>
      </c>
      <c r="M21" s="144">
        <f>'RNs &amp; Covers January 2022'!B25</f>
        <v>3</v>
      </c>
      <c r="N21" s="144">
        <f>'RNs &amp; Covers January 2022'!C25</f>
        <v>56</v>
      </c>
    </row>
    <row r="22" spans="1:14" x14ac:dyDescent="0.25">
      <c r="A22" s="130" t="s">
        <v>49</v>
      </c>
      <c r="B22" s="131">
        <f t="shared" si="0"/>
        <v>21</v>
      </c>
      <c r="C22" s="132">
        <v>1</v>
      </c>
      <c r="D22" s="131">
        <v>2022</v>
      </c>
      <c r="E22" s="144">
        <f>'FS Jimbaran January 2022'!P32</f>
        <v>13299.999999999585</v>
      </c>
      <c r="F22" s="142">
        <f>'FS Jimbaran January 2022'!O32/'FS Jimbaran January 2022'!P32</f>
        <v>1184.0600842105289</v>
      </c>
      <c r="G22" s="144">
        <f>'FS Jimbaran January 2022'!AG32</f>
        <v>90.227199999999897</v>
      </c>
      <c r="H22" s="142">
        <f>'FS Jimbaran January 2022'!AH32/'FS Jimbaran January 2022'!AG32</f>
        <v>29523.333333333336</v>
      </c>
      <c r="I22" s="144">
        <f>'FS Jimbaran January 2022'!AJ32</f>
        <v>332.66000000000349</v>
      </c>
      <c r="J22" s="134">
        <f>'FS Jimbaran January 2022'!AK32/'FS Jimbaran January 2022'!AJ32</f>
        <v>12000</v>
      </c>
      <c r="K22" s="144">
        <f>'FS Jimbaran January 2022'!V32</f>
        <v>987</v>
      </c>
      <c r="L22" s="142">
        <f>'FS Jimbaran January 2022'!AA32/'FS Jimbaran January 2022'!V32</f>
        <v>6629.0713386889656</v>
      </c>
      <c r="M22" s="144">
        <f>'RNs &amp; Covers January 2022'!B26</f>
        <v>3</v>
      </c>
      <c r="N22" s="144">
        <f>'RNs &amp; Covers January 2022'!C26</f>
        <v>100</v>
      </c>
    </row>
    <row r="23" spans="1:14" x14ac:dyDescent="0.25">
      <c r="A23" s="130" t="s">
        <v>49</v>
      </c>
      <c r="B23" s="131">
        <f t="shared" si="0"/>
        <v>22</v>
      </c>
      <c r="C23" s="132">
        <v>1</v>
      </c>
      <c r="D23" s="131">
        <v>2022</v>
      </c>
      <c r="E23" s="144">
        <f>'FS Jimbaran January 2022'!P33</f>
        <v>13899.999999999834</v>
      </c>
      <c r="F23" s="142">
        <f>'FS Jimbaran January 2022'!O33/'FS Jimbaran January 2022'!P33</f>
        <v>1178.3301539568322</v>
      </c>
      <c r="G23" s="144">
        <f>'FS Jimbaran January 2022'!AG33</f>
        <v>87.726399999999813</v>
      </c>
      <c r="H23" s="142">
        <f>'FS Jimbaran January 2022'!AH33/'FS Jimbaran January 2022'!AG33</f>
        <v>29523.333333333336</v>
      </c>
      <c r="I23" s="144">
        <f>'FS Jimbaran January 2022'!AJ33</f>
        <v>135.92999999999302</v>
      </c>
      <c r="J23" s="134">
        <f>'FS Jimbaran January 2022'!AK33/'FS Jimbaran January 2022'!AJ33</f>
        <v>12000</v>
      </c>
      <c r="K23" s="144">
        <f>'FS Jimbaran January 2022'!V33</f>
        <v>894</v>
      </c>
      <c r="L23" s="142">
        <f>'FS Jimbaran January 2022'!AA33/'FS Jimbaran January 2022'!V33</f>
        <v>6899.5140920089007</v>
      </c>
      <c r="M23" s="144">
        <f>'RNs &amp; Covers January 2022'!B27</f>
        <v>6</v>
      </c>
      <c r="N23" s="144">
        <f>'RNs &amp; Covers January 2022'!C27</f>
        <v>111</v>
      </c>
    </row>
    <row r="24" spans="1:14" x14ac:dyDescent="0.25">
      <c r="A24" s="130" t="s">
        <v>49</v>
      </c>
      <c r="B24" s="131">
        <f t="shared" si="0"/>
        <v>23</v>
      </c>
      <c r="C24" s="132">
        <v>1</v>
      </c>
      <c r="D24" s="131">
        <v>2022</v>
      </c>
      <c r="E24" s="144">
        <f>'FS Jimbaran January 2022'!P34</f>
        <v>13880.00000000008</v>
      </c>
      <c r="F24" s="142">
        <f>'FS Jimbaran January 2022'!O34/'FS Jimbaran January 2022'!P34</f>
        <v>1184.7293429394849</v>
      </c>
      <c r="G24" s="144">
        <f>'FS Jimbaran January 2022'!AG34</f>
        <v>105.89268000000023</v>
      </c>
      <c r="H24" s="142">
        <f>'FS Jimbaran January 2022'!AH34/'FS Jimbaran January 2022'!AG34</f>
        <v>29523.333333333336</v>
      </c>
      <c r="I24" s="144">
        <f>'FS Jimbaran January 2022'!AJ34</f>
        <v>73.910000000003492</v>
      </c>
      <c r="J24" s="134">
        <f>'FS Jimbaran January 2022'!AK34/'FS Jimbaran January 2022'!AJ34</f>
        <v>12000</v>
      </c>
      <c r="K24" s="144">
        <f>'FS Jimbaran January 2022'!V34</f>
        <v>1003</v>
      </c>
      <c r="L24" s="142">
        <f>'FS Jimbaran January 2022'!AA34/'FS Jimbaran January 2022'!V34</f>
        <v>6984.4940008993299</v>
      </c>
      <c r="M24" s="144">
        <f>'RNs &amp; Covers January 2022'!B28</f>
        <v>5</v>
      </c>
      <c r="N24" s="144">
        <f>'RNs &amp; Covers January 2022'!C28</f>
        <v>86</v>
      </c>
    </row>
    <row r="25" spans="1:14" x14ac:dyDescent="0.25">
      <c r="A25" s="130" t="s">
        <v>49</v>
      </c>
      <c r="B25" s="131">
        <f t="shared" si="0"/>
        <v>24</v>
      </c>
      <c r="C25" s="132">
        <v>1</v>
      </c>
      <c r="D25" s="131">
        <v>2022</v>
      </c>
      <c r="E25" s="144">
        <f>'FS Jimbaran January 2022'!P35</f>
        <v>13639.999999999902</v>
      </c>
      <c r="F25" s="142">
        <f>'FS Jimbaran January 2022'!O35/'FS Jimbaran January 2022'!P35</f>
        <v>1182.4522192082081</v>
      </c>
      <c r="G25" s="144">
        <f>'FS Jimbaran January 2022'!AG35</f>
        <v>100.37775999999982</v>
      </c>
      <c r="H25" s="142">
        <f>'FS Jimbaran January 2022'!AH35/'FS Jimbaran January 2022'!AG35</f>
        <v>29523.333333333336</v>
      </c>
      <c r="I25" s="144">
        <f>'FS Jimbaran January 2022'!AJ35</f>
        <v>159.69999999999709</v>
      </c>
      <c r="J25" s="134">
        <f>'FS Jimbaran January 2022'!AK35/'FS Jimbaran January 2022'!AJ35</f>
        <v>12000</v>
      </c>
      <c r="K25" s="144">
        <f>'FS Jimbaran January 2022'!V35</f>
        <v>953</v>
      </c>
      <c r="L25" s="142">
        <f>'FS Jimbaran January 2022'!AA35/'FS Jimbaran January 2022'!V35</f>
        <v>6257.4337804705965</v>
      </c>
      <c r="M25" s="144">
        <f>'RNs &amp; Covers January 2022'!B29</f>
        <v>2</v>
      </c>
      <c r="N25" s="144">
        <f>'RNs &amp; Covers January 2022'!C29</f>
        <v>43</v>
      </c>
    </row>
    <row r="26" spans="1:14" x14ac:dyDescent="0.25">
      <c r="A26" s="130" t="s">
        <v>49</v>
      </c>
      <c r="B26" s="131">
        <f>B25+1</f>
        <v>25</v>
      </c>
      <c r="C26" s="132">
        <v>1</v>
      </c>
      <c r="D26" s="131">
        <v>2022</v>
      </c>
      <c r="E26" s="144">
        <f>'FS Jimbaran January 2022'!P36</f>
        <v>14340.000000000487</v>
      </c>
      <c r="F26" s="142">
        <f>'FS Jimbaran January 2022'!O36/'FS Jimbaran January 2022'!P36</f>
        <v>1183.8878723849371</v>
      </c>
      <c r="G26" s="144">
        <f>'FS Jimbaran January 2022'!AG36</f>
        <v>94.614279999999951</v>
      </c>
      <c r="H26" s="142">
        <f>'FS Jimbaran January 2022'!AH36/'FS Jimbaran January 2022'!AG36</f>
        <v>29523.333333333336</v>
      </c>
      <c r="I26" s="144">
        <f>'FS Jimbaran January 2022'!AJ36</f>
        <v>97.570000000006985</v>
      </c>
      <c r="J26" s="134">
        <f>'FS Jimbaran January 2022'!AK36/'FS Jimbaran January 2022'!AJ36</f>
        <v>12000</v>
      </c>
      <c r="K26" s="144">
        <f>'FS Jimbaran January 2022'!V36</f>
        <v>781</v>
      </c>
      <c r="L26" s="142">
        <f>'FS Jimbaran January 2022'!AA36/'FS Jimbaran January 2022'!V36</f>
        <v>7391.3277365614731</v>
      </c>
      <c r="M26" s="144">
        <f>'RNs &amp; Covers January 2022'!B30</f>
        <v>3</v>
      </c>
      <c r="N26" s="144">
        <f>'RNs &amp; Covers January 2022'!C30</f>
        <v>31</v>
      </c>
    </row>
    <row r="27" spans="1:14" x14ac:dyDescent="0.25">
      <c r="A27" s="130" t="s">
        <v>49</v>
      </c>
      <c r="B27" s="131">
        <f t="shared" si="0"/>
        <v>26</v>
      </c>
      <c r="C27" s="132">
        <v>1</v>
      </c>
      <c r="D27" s="131">
        <v>2022</v>
      </c>
      <c r="E27" s="144">
        <f>'FS Jimbaran January 2022'!P37</f>
        <v>14619.999999999975</v>
      </c>
      <c r="F27" s="142">
        <f>'FS Jimbaran January 2022'!O37/'FS Jimbaran January 2022'!P37</f>
        <v>1181.2992968536239</v>
      </c>
      <c r="G27" s="144">
        <f>'FS Jimbaran January 2022'!AG37</f>
        <v>92.475999999999999</v>
      </c>
      <c r="H27" s="142">
        <f>'FS Jimbaran January 2022'!AH37/'FS Jimbaran January 2022'!AG37</f>
        <v>29523.333333333336</v>
      </c>
      <c r="I27" s="144">
        <f>'FS Jimbaran January 2022'!AJ37</f>
        <v>489.38000000000466</v>
      </c>
      <c r="J27" s="134">
        <f>'FS Jimbaran January 2022'!AK37/'FS Jimbaran January 2022'!AJ37</f>
        <v>12000</v>
      </c>
      <c r="K27" s="144">
        <f>'FS Jimbaran January 2022'!V37</f>
        <v>808</v>
      </c>
      <c r="L27" s="142">
        <f>'FS Jimbaran January 2022'!AA37/'FS Jimbaran January 2022'!V37</f>
        <v>7089.2515646068341</v>
      </c>
      <c r="M27" s="144">
        <f>'RNs &amp; Covers January 2022'!B31</f>
        <v>4</v>
      </c>
      <c r="N27" s="144">
        <f>'RNs &amp; Covers January 2022'!C31</f>
        <v>32</v>
      </c>
    </row>
    <row r="28" spans="1:14" x14ac:dyDescent="0.25">
      <c r="A28" s="130" t="s">
        <v>49</v>
      </c>
      <c r="B28" s="131">
        <f t="shared" si="0"/>
        <v>27</v>
      </c>
      <c r="C28" s="132">
        <v>1</v>
      </c>
      <c r="D28" s="131">
        <v>2022</v>
      </c>
      <c r="E28" s="144">
        <f>'FS Jimbaran January 2022'!P38</f>
        <v>13740.000000000095</v>
      </c>
      <c r="F28" s="142">
        <f>'FS Jimbaran January 2022'!O38/'FS Jimbaran January 2022'!P38</f>
        <v>1183.344727074237</v>
      </c>
      <c r="G28" s="144">
        <f>'FS Jimbaran January 2022'!AG38</f>
        <v>75.565279999999959</v>
      </c>
      <c r="H28" s="142">
        <f>'FS Jimbaran January 2022'!AH38/'FS Jimbaran January 2022'!AG38</f>
        <v>29523.333333333336</v>
      </c>
      <c r="I28" s="144">
        <f>'FS Jimbaran January 2022'!AJ38</f>
        <v>98.25</v>
      </c>
      <c r="J28" s="134">
        <f>'FS Jimbaran January 2022'!AK38/'FS Jimbaran January 2022'!AJ38</f>
        <v>12000</v>
      </c>
      <c r="K28" s="144">
        <f>'FS Jimbaran January 2022'!V38</f>
        <v>890</v>
      </c>
      <c r="L28" s="142">
        <f>'FS Jimbaran January 2022'!AA38/'FS Jimbaran January 2022'!V38</f>
        <v>5548.0489294996614</v>
      </c>
      <c r="M28" s="144">
        <f>'RNs &amp; Covers January 2022'!B32</f>
        <v>7</v>
      </c>
      <c r="N28" s="144">
        <f>'RNs &amp; Covers January 2022'!C32</f>
        <v>40</v>
      </c>
    </row>
    <row r="29" spans="1:14" x14ac:dyDescent="0.25">
      <c r="A29" s="130" t="s">
        <v>49</v>
      </c>
      <c r="B29" s="131">
        <f t="shared" si="0"/>
        <v>28</v>
      </c>
      <c r="C29" s="132">
        <v>1</v>
      </c>
      <c r="D29" s="131">
        <v>2022</v>
      </c>
      <c r="E29" s="144">
        <f>'FS Jimbaran January 2022'!P39</f>
        <v>13780.000000000058</v>
      </c>
      <c r="F29" s="142">
        <f>'FS Jimbaran January 2022'!O39/'FS Jimbaran January 2022'!P39</f>
        <v>1183.8559506531212</v>
      </c>
      <c r="G29" s="144">
        <f>'FS Jimbaran January 2022'!AG39</f>
        <v>90.868240000000156</v>
      </c>
      <c r="H29" s="142">
        <f>'FS Jimbaran January 2022'!AH39/'FS Jimbaran January 2022'!AG39</f>
        <v>29523.333333333332</v>
      </c>
      <c r="I29" s="144">
        <f>'FS Jimbaran January 2022'!AJ39</f>
        <v>259.09999999999127</v>
      </c>
      <c r="J29" s="134">
        <f>'FS Jimbaran January 2022'!AK39/'FS Jimbaran January 2022'!AJ39</f>
        <v>12000</v>
      </c>
      <c r="K29" s="144">
        <f>'FS Jimbaran January 2022'!V39</f>
        <v>1002</v>
      </c>
      <c r="L29" s="142">
        <f>'FS Jimbaran January 2022'!AA39/'FS Jimbaran January 2022'!V39</f>
        <v>6431.961061897292</v>
      </c>
      <c r="M29" s="144">
        <f>'RNs &amp; Covers January 2022'!B33</f>
        <v>5</v>
      </c>
      <c r="N29" s="144">
        <f>'RNs &amp; Covers January 2022'!C33</f>
        <v>107</v>
      </c>
    </row>
    <row r="30" spans="1:14" x14ac:dyDescent="0.25">
      <c r="A30" s="130" t="s">
        <v>49</v>
      </c>
      <c r="B30" s="131">
        <f t="shared" si="0"/>
        <v>29</v>
      </c>
      <c r="C30" s="132">
        <v>1</v>
      </c>
      <c r="D30" s="131">
        <v>2022</v>
      </c>
      <c r="E30" s="144">
        <f>'FS Jimbaran January 2022'!P40</f>
        <v>14119.999999999378</v>
      </c>
      <c r="F30" s="142">
        <f>'FS Jimbaran January 2022'!O40/'FS Jimbaran January 2022'!P40</f>
        <v>1183.0778923512776</v>
      </c>
      <c r="G30" s="144">
        <f>'FS Jimbaran January 2022'!AG40</f>
        <v>77.0521999999999</v>
      </c>
      <c r="H30" s="142">
        <f>'FS Jimbaran January 2022'!AH40/'FS Jimbaran January 2022'!AG40</f>
        <v>29523.333333333336</v>
      </c>
      <c r="I30" s="144">
        <f>'FS Jimbaran January 2022'!AJ40</f>
        <v>167</v>
      </c>
      <c r="J30" s="134">
        <f>'FS Jimbaran January 2022'!AK40/'FS Jimbaran January 2022'!AJ40</f>
        <v>12000</v>
      </c>
      <c r="K30" s="144">
        <f>'FS Jimbaran January 2022'!V40</f>
        <v>990</v>
      </c>
      <c r="L30" s="142">
        <f>'FS Jimbaran January 2022'!AA40/'FS Jimbaran January 2022'!V40</f>
        <v>6500.2748267507495</v>
      </c>
      <c r="M30" s="144">
        <f>'RNs &amp; Covers January 2022'!B34</f>
        <v>4</v>
      </c>
      <c r="N30" s="144">
        <f>'RNs &amp; Covers January 2022'!C34</f>
        <v>66</v>
      </c>
    </row>
    <row r="31" spans="1:14" x14ac:dyDescent="0.25">
      <c r="A31" s="130" t="s">
        <v>49</v>
      </c>
      <c r="B31" s="131">
        <f t="shared" si="0"/>
        <v>30</v>
      </c>
      <c r="C31" s="132">
        <v>1</v>
      </c>
      <c r="D31" s="131">
        <v>2022</v>
      </c>
      <c r="E31" s="144">
        <f>'FS Jimbaran January 2022'!P41</f>
        <v>13520.000000000126</v>
      </c>
      <c r="F31" s="142">
        <f>'FS Jimbaran January 2022'!O41/'FS Jimbaran January 2022'!P41</f>
        <v>1180.8811331360923</v>
      </c>
      <c r="G31" s="144">
        <f>'FS Jimbaran January 2022'!AG41</f>
        <v>79.150199999999899</v>
      </c>
      <c r="H31" s="142">
        <f>'FS Jimbaran January 2022'!AH41/'FS Jimbaran January 2022'!AG41</f>
        <v>29523.333333333336</v>
      </c>
      <c r="I31" s="144">
        <f>'FS Jimbaran January 2022'!AJ41</f>
        <v>156.27000000000407</v>
      </c>
      <c r="J31" s="134">
        <f>'FS Jimbaran January 2022'!AK41/'FS Jimbaran January 2022'!AJ41</f>
        <v>12000</v>
      </c>
      <c r="K31" s="144">
        <f>'FS Jimbaran January 2022'!V41</f>
        <v>868</v>
      </c>
      <c r="L31" s="142">
        <f>'FS Jimbaran January 2022'!AA41/'FS Jimbaran January 2022'!V41</f>
        <v>6958.4132879503377</v>
      </c>
      <c r="M31" s="144">
        <f>'RNs &amp; Covers January 2022'!B35</f>
        <v>5</v>
      </c>
      <c r="N31" s="144">
        <f>'RNs &amp; Covers January 2022'!C35</f>
        <v>62</v>
      </c>
    </row>
    <row r="32" spans="1:14" x14ac:dyDescent="0.25">
      <c r="A32" s="130" t="s">
        <v>49</v>
      </c>
      <c r="B32" s="131">
        <f t="shared" si="0"/>
        <v>31</v>
      </c>
      <c r="C32" s="132">
        <v>1</v>
      </c>
      <c r="D32" s="131">
        <v>2022</v>
      </c>
      <c r="E32" s="144">
        <f>'FS Jimbaran January 2022'!P42</f>
        <v>13200.000000000215</v>
      </c>
      <c r="F32" s="142">
        <f>'FS Jimbaran January 2022'!O42/'FS Jimbaran January 2022'!P42</f>
        <v>1187.2628249999993</v>
      </c>
      <c r="G32" s="144">
        <f>'FS Jimbaran January 2022'!AG42</f>
        <v>88.572279999999949</v>
      </c>
      <c r="H32" s="142">
        <f>'FS Jimbaran January 2022'!AH42/'FS Jimbaran January 2022'!AG42</f>
        <v>29523.333333333336</v>
      </c>
      <c r="I32" s="144">
        <f>'FS Jimbaran January 2022'!AJ42</f>
        <v>218.13999999999942</v>
      </c>
      <c r="J32" s="134">
        <f>'FS Jimbaran January 2022'!AK42/'FS Jimbaran January 2022'!AJ42</f>
        <v>12000</v>
      </c>
      <c r="K32" s="144">
        <f>'FS Jimbaran January 2022'!V42</f>
        <v>895</v>
      </c>
      <c r="L32" s="142">
        <f>'FS Jimbaran January 2022'!AA42/'FS Jimbaran January 2022'!V42</f>
        <v>6928.2035899868151</v>
      </c>
      <c r="M32" s="144">
        <f>'RNs &amp; Covers January 2022'!B36</f>
        <v>8</v>
      </c>
      <c r="N32" s="144">
        <f>'RNs &amp; Covers January 2022'!C36</f>
        <v>77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M69"/>
  <sheetViews>
    <sheetView tabSelected="1" zoomScale="98" zoomScaleNormal="98" workbookViewId="0">
      <pane xSplit="4" ySplit="10" topLeftCell="AC11" activePane="bottomRight" state="frozen"/>
      <selection pane="topRight" activeCell="E1" sqref="E1"/>
      <selection pane="bottomLeft" activeCell="A11" sqref="A11"/>
      <selection pane="bottomRight" activeCell="AJ20" sqref="AJ20"/>
    </sheetView>
  </sheetViews>
  <sheetFormatPr defaultRowHeight="15.75" x14ac:dyDescent="0.25"/>
  <cols>
    <col min="1" max="1" width="3.7109375" style="15" customWidth="1"/>
    <col min="2" max="2" width="8.7109375" style="15" customWidth="1"/>
    <col min="3" max="3" width="7.28515625" style="4" customWidth="1"/>
    <col min="4" max="4" width="7.28515625" customWidth="1"/>
    <col min="5" max="5" width="14.7109375" style="4" customWidth="1"/>
    <col min="6" max="6" width="17.7109375" style="4" customWidth="1"/>
    <col min="7" max="7" width="14.85546875" customWidth="1"/>
    <col min="8" max="8" width="17.140625" style="4" customWidth="1"/>
    <col min="9" max="9" width="17" customWidth="1"/>
    <col min="10" max="10" width="14" customWidth="1"/>
    <col min="11" max="11" width="17.42578125" customWidth="1"/>
    <col min="12" max="12" width="14.140625" style="4" customWidth="1"/>
    <col min="13" max="13" width="18.28515625" style="59" bestFit="1" customWidth="1"/>
    <col min="14" max="14" width="20.42578125" style="63" customWidth="1"/>
    <col min="15" max="15" width="18.85546875" customWidth="1"/>
    <col min="16" max="16" width="15.140625" style="63" customWidth="1"/>
    <col min="17" max="17" width="19.7109375" hidden="1" customWidth="1"/>
    <col min="18" max="18" width="18.140625" style="83" hidden="1" customWidth="1"/>
    <col min="19" max="19" width="24.28515625" hidden="1" customWidth="1"/>
    <col min="20" max="20" width="21.140625" hidden="1" customWidth="1"/>
    <col min="21" max="21" width="18.85546875" hidden="1" customWidth="1"/>
    <col min="22" max="22" width="19.7109375" customWidth="1"/>
    <col min="23" max="23" width="14.140625" customWidth="1"/>
    <col min="24" max="24" width="21.140625" bestFit="1" customWidth="1"/>
    <col min="25" max="25" width="19.7109375" bestFit="1" customWidth="1"/>
    <col min="26" max="26" width="21.28515625" bestFit="1" customWidth="1"/>
    <col min="27" max="27" width="17.85546875" bestFit="1" customWidth="1"/>
    <col min="28" max="28" width="14.28515625" customWidth="1"/>
    <col min="29" max="29" width="13.42578125" customWidth="1"/>
    <col min="30" max="30" width="12.85546875" style="4" bestFit="1" customWidth="1"/>
    <col min="31" max="31" width="14.85546875" customWidth="1"/>
    <col min="32" max="32" width="12.28515625" bestFit="1" customWidth="1"/>
    <col min="33" max="33" width="11.42578125" bestFit="1" customWidth="1"/>
    <col min="34" max="34" width="19" style="4" customWidth="1"/>
    <col min="35" max="35" width="10.5703125" customWidth="1"/>
    <col min="36" max="36" width="13.28515625" style="83" bestFit="1" customWidth="1"/>
    <col min="37" max="37" width="20.7109375" bestFit="1" customWidth="1"/>
    <col min="38" max="38" width="12.140625" style="38" customWidth="1"/>
    <col min="39" max="39" width="2.28515625" style="15" customWidth="1"/>
  </cols>
  <sheetData>
    <row r="5" spans="1:39" x14ac:dyDescent="0.25">
      <c r="N5" s="145"/>
      <c r="X5" s="146"/>
    </row>
    <row r="6" spans="1:39" s="25" customFormat="1" ht="19.5" thickBot="1" x14ac:dyDescent="0.35">
      <c r="B6" s="25" t="s">
        <v>28</v>
      </c>
      <c r="C6" s="34"/>
      <c r="E6" s="34"/>
      <c r="F6" s="34"/>
      <c r="H6" s="34"/>
      <c r="L6" s="34"/>
      <c r="M6" s="54"/>
      <c r="N6" s="60"/>
      <c r="P6" s="60"/>
      <c r="R6" s="79"/>
      <c r="AD6" s="34"/>
      <c r="AH6" s="34"/>
      <c r="AJ6" s="79"/>
      <c r="AL6" s="35"/>
    </row>
    <row r="7" spans="1:39" s="12" customFormat="1" ht="16.5" thickBot="1" x14ac:dyDescent="0.3">
      <c r="A7" s="30"/>
      <c r="B7" s="238" t="s">
        <v>78</v>
      </c>
      <c r="C7" s="239"/>
      <c r="D7" s="239"/>
      <c r="E7" s="239"/>
      <c r="F7" s="239"/>
      <c r="G7" s="239"/>
      <c r="H7" s="239"/>
      <c r="I7" s="239"/>
      <c r="J7" s="239"/>
      <c r="K7" s="239"/>
      <c r="L7" s="239"/>
      <c r="M7" s="239"/>
      <c r="N7" s="239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40"/>
      <c r="AM7" s="30"/>
    </row>
    <row r="8" spans="1:39" s="8" customFormat="1" ht="15.75" customHeight="1" thickBot="1" x14ac:dyDescent="0.3">
      <c r="A8" s="26"/>
      <c r="B8" s="241" t="s">
        <v>1</v>
      </c>
      <c r="C8" s="244" t="s">
        <v>2</v>
      </c>
      <c r="D8" s="247" t="s">
        <v>3</v>
      </c>
      <c r="E8" s="249" t="s">
        <v>34</v>
      </c>
      <c r="F8" s="249"/>
      <c r="G8" s="249"/>
      <c r="H8" s="249"/>
      <c r="I8" s="249"/>
      <c r="J8" s="249"/>
      <c r="K8" s="249"/>
      <c r="L8" s="249"/>
      <c r="M8" s="249"/>
      <c r="N8" s="249"/>
      <c r="O8" s="249"/>
      <c r="P8" s="249"/>
      <c r="Q8" s="249"/>
      <c r="R8" s="249"/>
      <c r="S8" s="249"/>
      <c r="T8" s="249"/>
      <c r="U8" s="250"/>
      <c r="V8" s="251" t="s">
        <v>19</v>
      </c>
      <c r="W8" s="252"/>
      <c r="X8" s="252"/>
      <c r="Y8" s="252"/>
      <c r="Z8" s="252"/>
      <c r="AA8" s="252"/>
      <c r="AB8" s="253"/>
      <c r="AC8" s="254" t="s">
        <v>24</v>
      </c>
      <c r="AD8" s="254"/>
      <c r="AE8" s="254"/>
      <c r="AF8" s="254"/>
      <c r="AG8" s="254"/>
      <c r="AH8" s="254"/>
      <c r="AI8" s="254"/>
      <c r="AJ8" s="254"/>
      <c r="AK8" s="254"/>
      <c r="AL8" s="255"/>
      <c r="AM8" s="28"/>
    </row>
    <row r="9" spans="1:39" ht="15" customHeight="1" thickBot="1" x14ac:dyDescent="0.3">
      <c r="A9" s="29"/>
      <c r="B9" s="242"/>
      <c r="C9" s="245"/>
      <c r="D9" s="248"/>
      <c r="E9" s="256" t="s">
        <v>33</v>
      </c>
      <c r="F9" s="257"/>
      <c r="G9" s="257"/>
      <c r="H9" s="257"/>
      <c r="I9" s="258"/>
      <c r="J9" s="259" t="s">
        <v>5</v>
      </c>
      <c r="K9" s="259"/>
      <c r="L9" s="259"/>
      <c r="M9" s="259"/>
      <c r="N9" s="260"/>
      <c r="O9" s="247" t="s">
        <v>12</v>
      </c>
      <c r="P9" s="262" t="s">
        <v>32</v>
      </c>
      <c r="Q9" s="225" t="s">
        <v>51</v>
      </c>
      <c r="R9" s="230" t="s">
        <v>21</v>
      </c>
      <c r="S9" s="232" t="s">
        <v>13</v>
      </c>
      <c r="T9" s="234" t="s">
        <v>18</v>
      </c>
      <c r="U9" s="235"/>
      <c r="V9" s="49"/>
      <c r="W9" s="49" t="s">
        <v>4</v>
      </c>
      <c r="X9" s="49"/>
      <c r="Y9" s="50"/>
      <c r="Z9" s="182"/>
      <c r="AA9" s="236" t="s">
        <v>27</v>
      </c>
      <c r="AB9" s="237"/>
      <c r="AC9" s="254" t="s">
        <v>22</v>
      </c>
      <c r="AD9" s="254"/>
      <c r="AE9" s="254"/>
      <c r="AF9" s="254"/>
      <c r="AG9" s="254"/>
      <c r="AH9" s="254"/>
      <c r="AI9" s="255"/>
      <c r="AJ9" s="227" t="s">
        <v>20</v>
      </c>
      <c r="AK9" s="228"/>
      <c r="AL9" s="229"/>
      <c r="AM9" s="29"/>
    </row>
    <row r="10" spans="1:39" ht="61.5" customHeight="1" thickBot="1" x14ac:dyDescent="0.3">
      <c r="A10" s="27"/>
      <c r="B10" s="243"/>
      <c r="C10" s="246"/>
      <c r="D10" s="248"/>
      <c r="E10" s="89" t="s">
        <v>35</v>
      </c>
      <c r="F10" s="77" t="s">
        <v>6</v>
      </c>
      <c r="G10" s="110" t="s">
        <v>36</v>
      </c>
      <c r="H10" s="18" t="s">
        <v>6</v>
      </c>
      <c r="I10" s="90" t="s">
        <v>14</v>
      </c>
      <c r="J10" s="89" t="s">
        <v>35</v>
      </c>
      <c r="K10" s="78" t="s">
        <v>6</v>
      </c>
      <c r="L10" s="110" t="s">
        <v>36</v>
      </c>
      <c r="M10" s="55" t="s">
        <v>6</v>
      </c>
      <c r="N10" s="86" t="s">
        <v>15</v>
      </c>
      <c r="O10" s="261"/>
      <c r="P10" s="263"/>
      <c r="Q10" s="226"/>
      <c r="R10" s="231"/>
      <c r="S10" s="233"/>
      <c r="T10" s="147" t="s">
        <v>16</v>
      </c>
      <c r="U10" s="23" t="s">
        <v>17</v>
      </c>
      <c r="V10" s="148" t="s">
        <v>8</v>
      </c>
      <c r="W10" s="198" t="s">
        <v>0</v>
      </c>
      <c r="X10" s="198" t="s">
        <v>26</v>
      </c>
      <c r="Y10" s="22" t="s">
        <v>10</v>
      </c>
      <c r="Z10" s="22" t="s">
        <v>30</v>
      </c>
      <c r="AA10" s="22" t="s">
        <v>16</v>
      </c>
      <c r="AB10" s="13" t="s">
        <v>17</v>
      </c>
      <c r="AC10" s="104" t="s">
        <v>7</v>
      </c>
      <c r="AD10" s="45" t="s">
        <v>31</v>
      </c>
      <c r="AE10" s="44" t="s">
        <v>11</v>
      </c>
      <c r="AF10" s="44" t="s">
        <v>9</v>
      </c>
      <c r="AG10" s="44" t="s">
        <v>25</v>
      </c>
      <c r="AH10" s="45" t="s">
        <v>16</v>
      </c>
      <c r="AI10" s="46" t="s">
        <v>17</v>
      </c>
      <c r="AJ10" s="114" t="s">
        <v>23</v>
      </c>
      <c r="AK10" s="44" t="s">
        <v>16</v>
      </c>
      <c r="AL10" s="48" t="s">
        <v>17</v>
      </c>
      <c r="AM10" s="27"/>
    </row>
    <row r="11" spans="1:39" x14ac:dyDescent="0.25">
      <c r="A11" s="27"/>
      <c r="B11" s="52"/>
      <c r="C11" s="91"/>
      <c r="D11" s="194"/>
      <c r="E11" s="20"/>
      <c r="F11" s="84"/>
      <c r="G11" s="19"/>
      <c r="H11" s="20"/>
      <c r="I11" s="92"/>
      <c r="J11" s="85"/>
      <c r="K11" s="19"/>
      <c r="L11" s="20"/>
      <c r="M11" s="56"/>
      <c r="N11" s="87"/>
      <c r="O11" s="51"/>
      <c r="P11" s="94"/>
      <c r="Q11" s="149"/>
      <c r="R11" s="95"/>
      <c r="S11" s="150"/>
      <c r="T11" s="150"/>
      <c r="U11" s="181"/>
      <c r="V11" s="85"/>
      <c r="W11" s="19"/>
      <c r="X11" s="19"/>
      <c r="Y11" s="21"/>
      <c r="Z11" s="21"/>
      <c r="AA11" s="21"/>
      <c r="AB11" s="92">
        <v>14522</v>
      </c>
      <c r="AC11" s="105"/>
      <c r="AD11" s="42"/>
      <c r="AE11" s="39">
        <v>797000</v>
      </c>
      <c r="AF11" s="39">
        <v>163000</v>
      </c>
      <c r="AG11" s="39"/>
      <c r="AH11" s="42">
        <f>(AE11/50)+(AF11/12)</f>
        <v>29523.333333333336</v>
      </c>
      <c r="AI11" s="43"/>
      <c r="AJ11" s="115"/>
      <c r="AK11" s="39">
        <v>12000</v>
      </c>
      <c r="AL11" s="47"/>
      <c r="AM11" s="27"/>
    </row>
    <row r="12" spans="1:39" ht="15" x14ac:dyDescent="0.25">
      <c r="A12" s="33"/>
      <c r="B12" s="53">
        <v>1</v>
      </c>
      <c r="C12" s="195">
        <v>30</v>
      </c>
      <c r="D12" s="196">
        <v>263</v>
      </c>
      <c r="E12" s="203">
        <v>11600.000000000364</v>
      </c>
      <c r="F12" s="200">
        <v>12015048.000000376</v>
      </c>
      <c r="G12" s="200">
        <v>2439.9999999999409</v>
      </c>
      <c r="H12" s="200">
        <v>3790954.7999999085</v>
      </c>
      <c r="I12" s="204">
        <f>(F12+H12)*1.05</f>
        <v>16596302.940000299</v>
      </c>
      <c r="J12" s="203">
        <v>1679.99999999995</v>
      </c>
      <c r="K12" s="200">
        <v>1740110.3999999482</v>
      </c>
      <c r="L12" s="205">
        <v>460.00000000000796</v>
      </c>
      <c r="M12" s="205">
        <v>714688.20000001241</v>
      </c>
      <c r="N12" s="204">
        <f>(K12+M12)*1.05</f>
        <v>2577538.5299999588</v>
      </c>
      <c r="O12" s="201">
        <f>I12+N12</f>
        <v>19173841.47000026</v>
      </c>
      <c r="P12" s="202">
        <f>E12+G12+J12+L12</f>
        <v>16180.000000000262</v>
      </c>
      <c r="Q12" s="111"/>
      <c r="R12" s="163"/>
      <c r="S12" s="175"/>
      <c r="T12" s="172"/>
      <c r="U12" s="171">
        <v>0</v>
      </c>
      <c r="V12" s="151">
        <f>W12+Y12</f>
        <v>1014</v>
      </c>
      <c r="W12" s="3">
        <v>232</v>
      </c>
      <c r="X12" s="200">
        <v>4154812.2652885444</v>
      </c>
      <c r="Y12" s="31">
        <v>782</v>
      </c>
      <c r="Z12" s="199">
        <v>2534252.6838698075</v>
      </c>
      <c r="AA12" s="199">
        <f>X12+Z12</f>
        <v>6689064.9491583519</v>
      </c>
      <c r="AB12" s="93">
        <f>AA12/$AB$11</f>
        <v>460.61595848769809</v>
      </c>
      <c r="AC12" s="222">
        <v>0</v>
      </c>
      <c r="AD12" s="3">
        <v>0</v>
      </c>
      <c r="AE12" s="3">
        <v>95.262200000000007</v>
      </c>
      <c r="AF12" s="3">
        <v>12</v>
      </c>
      <c r="AG12" s="3">
        <f>AE12+AF12</f>
        <v>107.26220000000001</v>
      </c>
      <c r="AH12" s="224">
        <f>(AE12+AF12)*$AH$11</f>
        <v>3166737.6846666671</v>
      </c>
      <c r="AI12" s="40">
        <f>AH12/14522</f>
        <v>218.06484538401509</v>
      </c>
      <c r="AJ12" s="116">
        <v>242.08000000000175</v>
      </c>
      <c r="AK12" s="3">
        <f>AJ12*$AK$11</f>
        <v>2904960.000000021</v>
      </c>
      <c r="AL12" s="36"/>
      <c r="AM12" s="7"/>
    </row>
    <row r="13" spans="1:39" ht="15" x14ac:dyDescent="0.25">
      <c r="A13" s="33"/>
      <c r="B13" s="53">
        <v>2</v>
      </c>
      <c r="C13" s="195">
        <v>18</v>
      </c>
      <c r="D13" s="196">
        <v>240</v>
      </c>
      <c r="E13" s="203">
        <v>10880.000000000109</v>
      </c>
      <c r="F13" s="200">
        <v>11269286.400000112</v>
      </c>
      <c r="G13" s="200">
        <v>2200.0000000000455</v>
      </c>
      <c r="H13" s="200">
        <v>3418074.0000000708</v>
      </c>
      <c r="I13" s="204">
        <f t="shared" ref="I13:I42" si="0">(F13+H13)*1.05</f>
        <v>15421728.420000192</v>
      </c>
      <c r="J13" s="203">
        <v>1800.0000000000682</v>
      </c>
      <c r="K13" s="200">
        <v>1864404.0000000705</v>
      </c>
      <c r="L13" s="205">
        <v>479.99999999998977</v>
      </c>
      <c r="M13" s="205">
        <v>745761.59999998414</v>
      </c>
      <c r="N13" s="204">
        <f t="shared" ref="N13:N42" si="1">(K13+M13)*1.05</f>
        <v>2740673.8800000576</v>
      </c>
      <c r="O13" s="201">
        <f t="shared" ref="O13:O42" si="2">I13+N13</f>
        <v>18162402.30000025</v>
      </c>
      <c r="P13" s="202">
        <f t="shared" ref="P13:P42" si="3">E13+G13+J13+L13</f>
        <v>15360.000000000211</v>
      </c>
      <c r="Q13" s="153"/>
      <c r="R13" s="164"/>
      <c r="S13" s="175"/>
      <c r="T13" s="172"/>
      <c r="U13" s="171">
        <v>0</v>
      </c>
      <c r="V13" s="151">
        <f t="shared" ref="V13:V42" si="4">W13+Y13</f>
        <v>929</v>
      </c>
      <c r="W13" s="3">
        <v>222</v>
      </c>
      <c r="X13" s="200">
        <v>3975725.5297157625</v>
      </c>
      <c r="Y13" s="31">
        <v>707</v>
      </c>
      <c r="Z13" s="199">
        <v>2291197.7589462325</v>
      </c>
      <c r="AA13" s="199">
        <f t="shared" ref="AA13:AA42" si="5">X13+Z13</f>
        <v>6266923.288661995</v>
      </c>
      <c r="AB13" s="93">
        <f t="shared" ref="AB13:AB42" si="6">AA13/$AB$11</f>
        <v>431.54684538369338</v>
      </c>
      <c r="AC13" s="222">
        <v>0</v>
      </c>
      <c r="AD13" s="3">
        <v>0</v>
      </c>
      <c r="AE13" s="3">
        <v>104.24463999999998</v>
      </c>
      <c r="AF13" s="3">
        <v>12</v>
      </c>
      <c r="AG13" s="3">
        <f t="shared" ref="AG13:AG42" si="7">AE13+AF13</f>
        <v>116.24463999999998</v>
      </c>
      <c r="AH13" s="224">
        <f t="shared" ref="AH13:AH42" si="8">(AE13+AF13)*$AH$11</f>
        <v>3431929.254933333</v>
      </c>
      <c r="AI13" s="40">
        <f t="shared" ref="AI13:AI42" si="9">AH13/14522</f>
        <v>236.32621229399069</v>
      </c>
      <c r="AJ13" s="116">
        <v>370.97000000000116</v>
      </c>
      <c r="AK13" s="3">
        <f t="shared" ref="AK13:AK42" si="10">AJ13*$AK$11</f>
        <v>4451640.000000014</v>
      </c>
      <c r="AL13" s="36"/>
      <c r="AM13" s="7"/>
    </row>
    <row r="14" spans="1:39" ht="15" x14ac:dyDescent="0.25">
      <c r="A14" s="33"/>
      <c r="B14" s="53">
        <v>3</v>
      </c>
      <c r="C14" s="195">
        <v>10</v>
      </c>
      <c r="D14" s="196">
        <v>125</v>
      </c>
      <c r="E14" s="203">
        <v>10359.999999999673</v>
      </c>
      <c r="F14" s="200">
        <v>10730680.79999966</v>
      </c>
      <c r="G14" s="200">
        <v>2199.9999999999318</v>
      </c>
      <c r="H14" s="200">
        <v>3418073.9999998943</v>
      </c>
      <c r="I14" s="204">
        <f t="shared" si="0"/>
        <v>14856192.539999532</v>
      </c>
      <c r="J14" s="203">
        <v>1539.9999999999636</v>
      </c>
      <c r="K14" s="200">
        <v>1595101.1999999622</v>
      </c>
      <c r="L14" s="205">
        <v>479.99999999998977</v>
      </c>
      <c r="M14" s="205">
        <v>745761.59999998414</v>
      </c>
      <c r="N14" s="204">
        <f t="shared" si="1"/>
        <v>2457905.9399999436</v>
      </c>
      <c r="O14" s="201">
        <f t="shared" si="2"/>
        <v>17314098.479999475</v>
      </c>
      <c r="P14" s="202">
        <f t="shared" si="3"/>
        <v>14579.999999999556</v>
      </c>
      <c r="Q14" s="153"/>
      <c r="R14" s="164"/>
      <c r="S14" s="175"/>
      <c r="T14" s="172"/>
      <c r="U14" s="171">
        <v>0</v>
      </c>
      <c r="V14" s="151">
        <f t="shared" si="4"/>
        <v>980</v>
      </c>
      <c r="W14" s="3">
        <v>229</v>
      </c>
      <c r="X14" s="200">
        <v>4101086.2446167096</v>
      </c>
      <c r="Y14" s="31">
        <v>751</v>
      </c>
      <c r="Z14" s="199">
        <v>2433789.9815680631</v>
      </c>
      <c r="AA14" s="199">
        <f t="shared" si="5"/>
        <v>6534876.2261847723</v>
      </c>
      <c r="AB14" s="93">
        <f t="shared" si="6"/>
        <v>449.99836291039611</v>
      </c>
      <c r="AC14" s="222">
        <v>5.3999999999941792</v>
      </c>
      <c r="AD14" s="3">
        <v>0</v>
      </c>
      <c r="AE14" s="3">
        <v>99.572159999999982</v>
      </c>
      <c r="AF14" s="3">
        <v>12</v>
      </c>
      <c r="AG14" s="3">
        <f t="shared" si="7"/>
        <v>111.57215999999998</v>
      </c>
      <c r="AH14" s="224">
        <f t="shared" si="8"/>
        <v>3293982.0703999996</v>
      </c>
      <c r="AI14" s="40">
        <f t="shared" si="9"/>
        <v>226.82702591929484</v>
      </c>
      <c r="AJ14" s="116">
        <v>347.19999999999709</v>
      </c>
      <c r="AK14" s="3">
        <f t="shared" si="10"/>
        <v>4166399.9999999651</v>
      </c>
      <c r="AL14" s="36"/>
      <c r="AM14" s="7"/>
    </row>
    <row r="15" spans="1:39" ht="15" x14ac:dyDescent="0.25">
      <c r="A15" s="33"/>
      <c r="B15" s="53">
        <v>4</v>
      </c>
      <c r="C15" s="195">
        <v>10</v>
      </c>
      <c r="D15" s="196">
        <v>107</v>
      </c>
      <c r="E15" s="203">
        <v>9920.0000000000728</v>
      </c>
      <c r="F15" s="200">
        <v>10274937.600000076</v>
      </c>
      <c r="G15" s="200">
        <v>2400.0000000000909</v>
      </c>
      <c r="H15" s="200">
        <v>3728808.0000001416</v>
      </c>
      <c r="I15" s="204">
        <f t="shared" si="0"/>
        <v>14703932.88000023</v>
      </c>
      <c r="J15" s="203">
        <v>1519.9999999999818</v>
      </c>
      <c r="K15" s="200">
        <v>1574385.5999999812</v>
      </c>
      <c r="L15" s="205">
        <v>380.00000000002387</v>
      </c>
      <c r="M15" s="205">
        <v>590394.60000003711</v>
      </c>
      <c r="N15" s="204">
        <f t="shared" si="1"/>
        <v>2273019.2100000195</v>
      </c>
      <c r="O15" s="201">
        <f t="shared" si="2"/>
        <v>16976952.090000249</v>
      </c>
      <c r="P15" s="202">
        <f t="shared" si="3"/>
        <v>14220.000000000169</v>
      </c>
      <c r="Q15" s="153"/>
      <c r="R15" s="164"/>
      <c r="S15" s="175"/>
      <c r="T15" s="172"/>
      <c r="U15" s="171">
        <v>0</v>
      </c>
      <c r="V15" s="151">
        <f t="shared" si="4"/>
        <v>961</v>
      </c>
      <c r="W15" s="3">
        <v>230</v>
      </c>
      <c r="X15" s="200">
        <v>4118994.9181739879</v>
      </c>
      <c r="Y15" s="31">
        <v>731</v>
      </c>
      <c r="Z15" s="199">
        <v>2368975.3349217768</v>
      </c>
      <c r="AA15" s="199">
        <f t="shared" si="5"/>
        <v>6487970.2530957647</v>
      </c>
      <c r="AB15" s="93">
        <f t="shared" si="6"/>
        <v>446.76836889517728</v>
      </c>
      <c r="AC15" s="222">
        <v>0</v>
      </c>
      <c r="AD15" s="3">
        <v>0</v>
      </c>
      <c r="AE15" s="3">
        <v>117.73843999999994</v>
      </c>
      <c r="AF15" s="3">
        <v>12</v>
      </c>
      <c r="AG15" s="3">
        <f t="shared" si="7"/>
        <v>129.73843999999994</v>
      </c>
      <c r="AH15" s="224">
        <f t="shared" si="8"/>
        <v>3830311.2102666651</v>
      </c>
      <c r="AI15" s="40">
        <f t="shared" si="9"/>
        <v>263.75920742781057</v>
      </c>
      <c r="AJ15" s="116">
        <v>281.7899999999936</v>
      </c>
      <c r="AK15" s="3">
        <f t="shared" si="10"/>
        <v>3381479.9999999232</v>
      </c>
      <c r="AL15" s="36"/>
      <c r="AM15" s="7"/>
    </row>
    <row r="16" spans="1:39" ht="15" x14ac:dyDescent="0.25">
      <c r="A16" s="33"/>
      <c r="B16" s="53">
        <v>5</v>
      </c>
      <c r="C16" s="195">
        <v>15</v>
      </c>
      <c r="D16" s="196">
        <v>112</v>
      </c>
      <c r="E16" s="203">
        <v>10560.0000000004</v>
      </c>
      <c r="F16" s="200">
        <v>10937836.800000414</v>
      </c>
      <c r="G16" s="200">
        <v>2479.9999999999045</v>
      </c>
      <c r="H16" s="200">
        <v>3853101.599999852</v>
      </c>
      <c r="I16" s="204">
        <f t="shared" si="0"/>
        <v>15530485.320000282</v>
      </c>
      <c r="J16" s="203">
        <v>1379.9999999999955</v>
      </c>
      <c r="K16" s="200">
        <v>1429376.3999999953</v>
      </c>
      <c r="L16" s="205">
        <v>359.99999999998522</v>
      </c>
      <c r="M16" s="205">
        <v>559321.19999997702</v>
      </c>
      <c r="N16" s="204">
        <f t="shared" si="1"/>
        <v>2088132.4799999709</v>
      </c>
      <c r="O16" s="201">
        <f t="shared" si="2"/>
        <v>17618617.800000254</v>
      </c>
      <c r="P16" s="202">
        <f t="shared" si="3"/>
        <v>14780.000000000287</v>
      </c>
      <c r="Q16" s="153"/>
      <c r="R16" s="164"/>
      <c r="S16" s="175"/>
      <c r="T16" s="172"/>
      <c r="U16" s="171">
        <v>0</v>
      </c>
      <c r="V16" s="151">
        <f t="shared" si="4"/>
        <v>994</v>
      </c>
      <c r="W16" s="3">
        <v>224</v>
      </c>
      <c r="X16" s="200">
        <v>4011542.8768303189</v>
      </c>
      <c r="Y16" s="31">
        <v>770</v>
      </c>
      <c r="Z16" s="199">
        <v>2495363.8958820356</v>
      </c>
      <c r="AA16" s="199">
        <f t="shared" si="5"/>
        <v>6506906.7727123545</v>
      </c>
      <c r="AB16" s="93">
        <f t="shared" si="6"/>
        <v>448.07235730012081</v>
      </c>
      <c r="AC16" s="222">
        <v>0</v>
      </c>
      <c r="AD16" s="3">
        <v>0</v>
      </c>
      <c r="AE16" s="3">
        <v>94.61772000000002</v>
      </c>
      <c r="AF16" s="3">
        <v>12</v>
      </c>
      <c r="AG16" s="3">
        <f t="shared" si="7"/>
        <v>106.61772000000002</v>
      </c>
      <c r="AH16" s="224">
        <f t="shared" si="8"/>
        <v>3147710.486800001</v>
      </c>
      <c r="AI16" s="40">
        <f t="shared" si="9"/>
        <v>216.7546127806088</v>
      </c>
      <c r="AJ16" s="116">
        <v>716.51000000000931</v>
      </c>
      <c r="AK16" s="3">
        <f t="shared" si="10"/>
        <v>8598120.0000001118</v>
      </c>
      <c r="AL16" s="36"/>
      <c r="AM16" s="7"/>
    </row>
    <row r="17" spans="1:39" ht="15" x14ac:dyDescent="0.25">
      <c r="A17" s="33"/>
      <c r="B17" s="53">
        <v>6</v>
      </c>
      <c r="C17" s="195">
        <v>11</v>
      </c>
      <c r="D17" s="196">
        <v>189</v>
      </c>
      <c r="E17" s="203">
        <v>10880.000000000109</v>
      </c>
      <c r="F17" s="200">
        <v>11269286.400000112</v>
      </c>
      <c r="G17" s="200">
        <v>2120.0000000000045</v>
      </c>
      <c r="H17" s="200">
        <v>3293780.4000000074</v>
      </c>
      <c r="I17" s="204">
        <f t="shared" si="0"/>
        <v>15291220.140000127</v>
      </c>
      <c r="J17" s="203">
        <v>1680.0000000000637</v>
      </c>
      <c r="K17" s="200">
        <v>1740110.4000000658</v>
      </c>
      <c r="L17" s="205">
        <v>340.00000000000341</v>
      </c>
      <c r="M17" s="205">
        <v>528247.80000000529</v>
      </c>
      <c r="N17" s="204">
        <f t="shared" si="1"/>
        <v>2381776.1100000748</v>
      </c>
      <c r="O17" s="201">
        <f t="shared" si="2"/>
        <v>17672996.250000201</v>
      </c>
      <c r="P17" s="202">
        <f t="shared" si="3"/>
        <v>15020.00000000018</v>
      </c>
      <c r="Q17" s="153"/>
      <c r="R17" s="164"/>
      <c r="S17" s="175"/>
      <c r="T17" s="172"/>
      <c r="U17" s="171">
        <v>0</v>
      </c>
      <c r="V17" s="151">
        <f t="shared" si="4"/>
        <v>1000</v>
      </c>
      <c r="W17" s="3">
        <v>232</v>
      </c>
      <c r="X17" s="200">
        <v>4154812.2652885444</v>
      </c>
      <c r="Y17" s="31">
        <v>768</v>
      </c>
      <c r="Z17" s="199">
        <v>2488882.4312174069</v>
      </c>
      <c r="AA17" s="199">
        <f t="shared" si="5"/>
        <v>6643694.6965059508</v>
      </c>
      <c r="AB17" s="93">
        <f t="shared" si="6"/>
        <v>457.49171577647365</v>
      </c>
      <c r="AC17" s="222">
        <v>0</v>
      </c>
      <c r="AD17" s="3">
        <v>0</v>
      </c>
      <c r="AE17" s="3">
        <v>91.556439999999952</v>
      </c>
      <c r="AF17" s="3">
        <v>0</v>
      </c>
      <c r="AG17" s="3">
        <f t="shared" si="7"/>
        <v>91.556439999999952</v>
      </c>
      <c r="AH17" s="224">
        <f t="shared" si="8"/>
        <v>2703051.296933332</v>
      </c>
      <c r="AI17" s="40">
        <f t="shared" si="9"/>
        <v>186.13491922141111</v>
      </c>
      <c r="AJ17" s="116">
        <v>337.72000000000116</v>
      </c>
      <c r="AK17" s="3">
        <f t="shared" si="10"/>
        <v>4052640.000000014</v>
      </c>
      <c r="AL17" s="36"/>
      <c r="AM17" s="7"/>
    </row>
    <row r="18" spans="1:39" ht="15" x14ac:dyDescent="0.25">
      <c r="A18" s="33"/>
      <c r="B18" s="53">
        <v>7</v>
      </c>
      <c r="C18" s="195">
        <v>11</v>
      </c>
      <c r="D18" s="196">
        <v>115</v>
      </c>
      <c r="E18" s="203">
        <v>10279.999999999745</v>
      </c>
      <c r="F18" s="200">
        <v>10647818.399999736</v>
      </c>
      <c r="G18" s="200">
        <v>2160.0000000000819</v>
      </c>
      <c r="H18" s="200">
        <v>3355927.2000001273</v>
      </c>
      <c r="I18" s="204">
        <f t="shared" si="0"/>
        <v>14703932.879999857</v>
      </c>
      <c r="J18" s="203">
        <v>1459.9999999999227</v>
      </c>
      <c r="K18" s="200">
        <v>1512238.79999992</v>
      </c>
      <c r="L18" s="205">
        <v>560.00000000000227</v>
      </c>
      <c r="M18" s="205">
        <v>870055.20000000356</v>
      </c>
      <c r="N18" s="204">
        <f t="shared" si="1"/>
        <v>2501408.6999999201</v>
      </c>
      <c r="O18" s="201">
        <f t="shared" si="2"/>
        <v>17205341.579999778</v>
      </c>
      <c r="P18" s="202">
        <f t="shared" si="3"/>
        <v>14459.999999999751</v>
      </c>
      <c r="Q18" s="153"/>
      <c r="R18" s="164"/>
      <c r="S18" s="175"/>
      <c r="T18" s="172"/>
      <c r="U18" s="171">
        <v>0</v>
      </c>
      <c r="V18" s="151">
        <f t="shared" si="4"/>
        <v>1013</v>
      </c>
      <c r="W18" s="3">
        <v>230</v>
      </c>
      <c r="X18" s="200">
        <v>4118994.9181739879</v>
      </c>
      <c r="Y18" s="31">
        <v>783</v>
      </c>
      <c r="Z18" s="199">
        <v>2537493.4162021219</v>
      </c>
      <c r="AA18" s="199">
        <f t="shared" si="5"/>
        <v>6656488.3343761098</v>
      </c>
      <c r="AB18" s="93">
        <f t="shared" si="6"/>
        <v>458.37269896543933</v>
      </c>
      <c r="AC18" s="222">
        <v>0</v>
      </c>
      <c r="AD18" s="3">
        <v>0</v>
      </c>
      <c r="AE18" s="3">
        <v>107.06423999999993</v>
      </c>
      <c r="AF18" s="3">
        <v>12</v>
      </c>
      <c r="AG18" s="3">
        <f t="shared" si="7"/>
        <v>119.06423999999993</v>
      </c>
      <c r="AH18" s="224">
        <f t="shared" si="8"/>
        <v>3515173.2455999982</v>
      </c>
      <c r="AI18" s="40">
        <f t="shared" si="9"/>
        <v>242.05847993389327</v>
      </c>
      <c r="AJ18" s="116">
        <v>139.20000000001164</v>
      </c>
      <c r="AK18" s="3">
        <f t="shared" si="10"/>
        <v>1670400.0000001397</v>
      </c>
      <c r="AL18" s="36"/>
      <c r="AM18" s="7"/>
    </row>
    <row r="19" spans="1:39" ht="15" x14ac:dyDescent="0.25">
      <c r="A19" s="33"/>
      <c r="B19" s="53">
        <v>8</v>
      </c>
      <c r="C19" s="195">
        <v>11</v>
      </c>
      <c r="D19" s="196">
        <v>175</v>
      </c>
      <c r="E19" s="203">
        <v>10199.999999999818</v>
      </c>
      <c r="F19" s="200">
        <v>10564955.999999812</v>
      </c>
      <c r="G19" s="200">
        <v>2039.9999999999636</v>
      </c>
      <c r="H19" s="200">
        <v>3169486.7999999435</v>
      </c>
      <c r="I19" s="204">
        <f t="shared" si="0"/>
        <v>14421164.939999742</v>
      </c>
      <c r="J19" s="203">
        <v>1639.9999999999864</v>
      </c>
      <c r="K19" s="200">
        <v>1698679.1999999858</v>
      </c>
      <c r="L19" s="205">
        <v>400.00000000000568</v>
      </c>
      <c r="M19" s="205">
        <v>621468.00000000885</v>
      </c>
      <c r="N19" s="204">
        <f t="shared" si="1"/>
        <v>2436154.5599999945</v>
      </c>
      <c r="O19" s="201">
        <f t="shared" si="2"/>
        <v>16857319.499999736</v>
      </c>
      <c r="P19" s="202">
        <f t="shared" si="3"/>
        <v>14279.999999999773</v>
      </c>
      <c r="Q19" s="153"/>
      <c r="R19" s="164"/>
      <c r="S19" s="175"/>
      <c r="T19" s="172"/>
      <c r="U19" s="171">
        <v>0</v>
      </c>
      <c r="V19" s="151">
        <f t="shared" si="4"/>
        <v>985</v>
      </c>
      <c r="W19" s="3">
        <v>222</v>
      </c>
      <c r="X19" s="200">
        <v>3975725.5297157625</v>
      </c>
      <c r="Y19" s="31">
        <v>763</v>
      </c>
      <c r="Z19" s="199">
        <v>2472678.7695558351</v>
      </c>
      <c r="AA19" s="199">
        <f t="shared" si="5"/>
        <v>6448404.2992715975</v>
      </c>
      <c r="AB19" s="106">
        <f t="shared" si="6"/>
        <v>444.04381622859091</v>
      </c>
      <c r="AC19" s="222">
        <v>0</v>
      </c>
      <c r="AD19" s="3">
        <v>0</v>
      </c>
      <c r="AE19" s="3">
        <v>86.440880000000135</v>
      </c>
      <c r="AF19" s="3">
        <v>12</v>
      </c>
      <c r="AG19" s="3">
        <f t="shared" si="7"/>
        <v>98.440880000000135</v>
      </c>
      <c r="AH19" s="224">
        <f t="shared" si="8"/>
        <v>2906302.9138666708</v>
      </c>
      <c r="AI19" s="40">
        <f t="shared" si="9"/>
        <v>200.13103662489127</v>
      </c>
      <c r="AJ19" s="116">
        <v>237.75999999999476</v>
      </c>
      <c r="AK19" s="3">
        <f t="shared" si="10"/>
        <v>2853119.9999999371</v>
      </c>
      <c r="AL19" s="36"/>
      <c r="AM19" s="7"/>
    </row>
    <row r="20" spans="1:39" ht="15" x14ac:dyDescent="0.25">
      <c r="A20" s="33"/>
      <c r="B20" s="53">
        <v>9</v>
      </c>
      <c r="C20" s="195">
        <v>6</v>
      </c>
      <c r="D20" s="196">
        <v>131</v>
      </c>
      <c r="E20" s="203">
        <v>10039.999999999964</v>
      </c>
      <c r="F20" s="200">
        <v>10399231.199999962</v>
      </c>
      <c r="G20" s="200">
        <v>2080.0000000000409</v>
      </c>
      <c r="H20" s="200">
        <v>3231633.6000000639</v>
      </c>
      <c r="I20" s="204">
        <f t="shared" si="0"/>
        <v>14312408.040000029</v>
      </c>
      <c r="J20" s="203">
        <v>1340.0000000000318</v>
      </c>
      <c r="K20" s="200">
        <v>1387945.200000033</v>
      </c>
      <c r="L20" s="205">
        <v>340.00000000000341</v>
      </c>
      <c r="M20" s="205">
        <v>528247.80000000529</v>
      </c>
      <c r="N20" s="204">
        <f t="shared" si="1"/>
        <v>2012002.6500000402</v>
      </c>
      <c r="O20" s="201">
        <f t="shared" si="2"/>
        <v>16324410.690000068</v>
      </c>
      <c r="P20" s="202">
        <f t="shared" si="3"/>
        <v>13800.00000000004</v>
      </c>
      <c r="Q20" s="153"/>
      <c r="R20" s="164"/>
      <c r="S20" s="175"/>
      <c r="T20" s="172"/>
      <c r="U20" s="171">
        <v>0</v>
      </c>
      <c r="V20" s="151">
        <f t="shared" si="4"/>
        <v>1000</v>
      </c>
      <c r="W20" s="3">
        <v>230</v>
      </c>
      <c r="X20" s="200">
        <v>4118994.9181739879</v>
      </c>
      <c r="Y20" s="31">
        <v>770</v>
      </c>
      <c r="Z20" s="199">
        <v>2495363.8958820356</v>
      </c>
      <c r="AA20" s="199">
        <f t="shared" si="5"/>
        <v>6614358.814056024</v>
      </c>
      <c r="AB20" s="106">
        <f t="shared" si="6"/>
        <v>455.47161644787383</v>
      </c>
      <c r="AC20" s="222">
        <v>0</v>
      </c>
      <c r="AD20" s="3">
        <v>0</v>
      </c>
      <c r="AE20" s="3">
        <v>95.745559999999912</v>
      </c>
      <c r="AF20" s="3">
        <v>12</v>
      </c>
      <c r="AG20" s="3">
        <f t="shared" si="7"/>
        <v>107.74555999999991</v>
      </c>
      <c r="AH20" s="224">
        <f t="shared" si="8"/>
        <v>3181008.0830666642</v>
      </c>
      <c r="AI20" s="40">
        <f t="shared" si="9"/>
        <v>219.04751983656962</v>
      </c>
      <c r="AJ20" s="116">
        <v>326.52999999999884</v>
      </c>
      <c r="AK20" s="3">
        <f t="shared" si="10"/>
        <v>3918359.999999986</v>
      </c>
      <c r="AL20" s="36"/>
      <c r="AM20" s="7"/>
    </row>
    <row r="21" spans="1:39" ht="15" x14ac:dyDescent="0.25">
      <c r="A21" s="33"/>
      <c r="B21" s="53">
        <v>10</v>
      </c>
      <c r="C21" s="195">
        <v>5</v>
      </c>
      <c r="D21" s="196">
        <v>70</v>
      </c>
      <c r="E21" s="203">
        <v>10039.999999999964</v>
      </c>
      <c r="F21" s="200">
        <v>10399231.199999962</v>
      </c>
      <c r="G21" s="200">
        <v>2039.9999999999636</v>
      </c>
      <c r="H21" s="200">
        <v>3169486.7999999435</v>
      </c>
      <c r="I21" s="204">
        <f t="shared" si="0"/>
        <v>14247153.899999902</v>
      </c>
      <c r="J21" s="203">
        <v>1240.0000000000091</v>
      </c>
      <c r="K21" s="200">
        <v>1284367.2000000095</v>
      </c>
      <c r="L21" s="205">
        <v>339.99999999997499</v>
      </c>
      <c r="M21" s="205">
        <v>528247.79999996116</v>
      </c>
      <c r="N21" s="204">
        <f t="shared" si="1"/>
        <v>1903245.7499999693</v>
      </c>
      <c r="O21" s="201">
        <f t="shared" si="2"/>
        <v>16150399.649999872</v>
      </c>
      <c r="P21" s="202">
        <f t="shared" si="3"/>
        <v>13659.999999999911</v>
      </c>
      <c r="Q21" s="153"/>
      <c r="R21" s="164"/>
      <c r="S21" s="175"/>
      <c r="T21" s="172"/>
      <c r="U21" s="171">
        <v>0</v>
      </c>
      <c r="V21" s="151">
        <f t="shared" si="4"/>
        <v>985</v>
      </c>
      <c r="W21" s="3">
        <v>231</v>
      </c>
      <c r="X21" s="200">
        <v>4136903.5917312661</v>
      </c>
      <c r="Y21" s="31">
        <v>754</v>
      </c>
      <c r="Z21" s="199">
        <v>2443512.1785650062</v>
      </c>
      <c r="AA21" s="199">
        <f t="shared" si="5"/>
        <v>6580415.7702962719</v>
      </c>
      <c r="AB21" s="106">
        <f t="shared" si="6"/>
        <v>453.13426320729047</v>
      </c>
      <c r="AC21" s="222">
        <v>0.30000000000291038</v>
      </c>
      <c r="AD21" s="3">
        <v>0</v>
      </c>
      <c r="AE21" s="3">
        <v>82.171200000000127</v>
      </c>
      <c r="AF21" s="3">
        <v>12</v>
      </c>
      <c r="AG21" s="3">
        <f t="shared" si="7"/>
        <v>94.171200000000127</v>
      </c>
      <c r="AH21" s="224">
        <f t="shared" si="8"/>
        <v>2780247.7280000038</v>
      </c>
      <c r="AI21" s="40">
        <f t="shared" si="9"/>
        <v>191.45074562732432</v>
      </c>
      <c r="AJ21" s="116">
        <v>331.76000000000931</v>
      </c>
      <c r="AK21" s="3">
        <f t="shared" si="10"/>
        <v>3981120.0000001118</v>
      </c>
      <c r="AL21" s="36"/>
      <c r="AM21" s="7"/>
    </row>
    <row r="22" spans="1:39" ht="15" x14ac:dyDescent="0.25">
      <c r="A22" s="33"/>
      <c r="B22" s="53">
        <v>11</v>
      </c>
      <c r="C22" s="195">
        <v>6</v>
      </c>
      <c r="D22" s="196">
        <v>60</v>
      </c>
      <c r="E22" s="203">
        <v>9360.0000000005821</v>
      </c>
      <c r="F22" s="200">
        <v>9694900.8000006024</v>
      </c>
      <c r="G22" s="200">
        <v>1799.9999999999545</v>
      </c>
      <c r="H22" s="200">
        <v>2796605.9999999297</v>
      </c>
      <c r="I22" s="204">
        <f t="shared" si="0"/>
        <v>13116082.140000559</v>
      </c>
      <c r="J22" s="203">
        <v>1259.9999999999909</v>
      </c>
      <c r="K22" s="200">
        <v>1305082.7999999905</v>
      </c>
      <c r="L22" s="205">
        <v>340.00000000000341</v>
      </c>
      <c r="M22" s="205">
        <v>528247.80000000529</v>
      </c>
      <c r="N22" s="204">
        <f t="shared" si="1"/>
        <v>1924997.1299999957</v>
      </c>
      <c r="O22" s="201">
        <f t="shared" si="2"/>
        <v>15041079.270000555</v>
      </c>
      <c r="P22" s="202">
        <f t="shared" si="3"/>
        <v>12760.000000000531</v>
      </c>
      <c r="Q22" s="153"/>
      <c r="R22" s="164"/>
      <c r="S22" s="175"/>
      <c r="T22" s="172"/>
      <c r="U22" s="171">
        <v>0</v>
      </c>
      <c r="V22" s="151">
        <f t="shared" si="4"/>
        <v>1013</v>
      </c>
      <c r="W22" s="3">
        <v>227</v>
      </c>
      <c r="X22" s="200">
        <v>4065268.8975021536</v>
      </c>
      <c r="Y22" s="31">
        <v>786</v>
      </c>
      <c r="Z22" s="199">
        <v>2547215.613199065</v>
      </c>
      <c r="AA22" s="199">
        <f t="shared" si="5"/>
        <v>6612484.5107012186</v>
      </c>
      <c r="AB22" s="106">
        <f t="shared" si="6"/>
        <v>455.34254997253947</v>
      </c>
      <c r="AC22" s="222">
        <v>0</v>
      </c>
      <c r="AD22" s="3">
        <v>0</v>
      </c>
      <c r="AE22" s="3">
        <v>108.15179999999985</v>
      </c>
      <c r="AF22" s="3">
        <v>12</v>
      </c>
      <c r="AG22" s="3">
        <f t="shared" si="7"/>
        <v>120.15179999999985</v>
      </c>
      <c r="AH22" s="224">
        <f t="shared" si="8"/>
        <v>3547281.6419999958</v>
      </c>
      <c r="AI22" s="40">
        <f t="shared" si="9"/>
        <v>244.26949745214128</v>
      </c>
      <c r="AJ22" s="116">
        <v>265.94999999999709</v>
      </c>
      <c r="AK22" s="3">
        <f t="shared" si="10"/>
        <v>3191399.9999999651</v>
      </c>
      <c r="AL22" s="36"/>
      <c r="AM22" s="7"/>
    </row>
    <row r="23" spans="1:39" ht="15" x14ac:dyDescent="0.25">
      <c r="A23" s="33"/>
      <c r="B23" s="53">
        <v>12</v>
      </c>
      <c r="C23" s="195">
        <v>4</v>
      </c>
      <c r="D23" s="196">
        <v>39</v>
      </c>
      <c r="E23" s="203">
        <v>9839.999999999236</v>
      </c>
      <c r="F23" s="200">
        <v>10192075.199999208</v>
      </c>
      <c r="G23" s="200">
        <v>1920.0000000000728</v>
      </c>
      <c r="H23" s="200">
        <v>2983046.4000001131</v>
      </c>
      <c r="I23" s="204">
        <f t="shared" si="0"/>
        <v>13833877.679999286</v>
      </c>
      <c r="J23" s="203">
        <v>1240.0000000000091</v>
      </c>
      <c r="K23" s="200">
        <v>1284367.2000000095</v>
      </c>
      <c r="L23" s="205">
        <v>300.00000000001137</v>
      </c>
      <c r="M23" s="205">
        <v>466101.0000000177</v>
      </c>
      <c r="N23" s="204">
        <f t="shared" si="1"/>
        <v>1837991.6100000287</v>
      </c>
      <c r="O23" s="201">
        <f t="shared" si="2"/>
        <v>15671869.289999316</v>
      </c>
      <c r="P23" s="202">
        <f t="shared" si="3"/>
        <v>13299.999999999329</v>
      </c>
      <c r="Q23" s="153"/>
      <c r="R23" s="164"/>
      <c r="S23" s="175"/>
      <c r="T23" s="172"/>
      <c r="U23" s="171">
        <v>0</v>
      </c>
      <c r="V23" s="151">
        <f t="shared" si="4"/>
        <v>622</v>
      </c>
      <c r="W23" s="3">
        <v>29</v>
      </c>
      <c r="X23" s="200">
        <v>519351.53316106804</v>
      </c>
      <c r="Y23" s="31">
        <v>593</v>
      </c>
      <c r="Z23" s="199">
        <v>1921754.2730623989</v>
      </c>
      <c r="AA23" s="199">
        <f t="shared" si="5"/>
        <v>2441105.806223467</v>
      </c>
      <c r="AB23" s="106">
        <f t="shared" si="6"/>
        <v>168.09708072052521</v>
      </c>
      <c r="AC23" s="222">
        <v>0</v>
      </c>
      <c r="AD23" s="3">
        <v>0</v>
      </c>
      <c r="AE23" s="3">
        <v>85.474160000000097</v>
      </c>
      <c r="AF23" s="3">
        <v>12</v>
      </c>
      <c r="AG23" s="3">
        <f t="shared" si="7"/>
        <v>97.474160000000097</v>
      </c>
      <c r="AH23" s="224">
        <f t="shared" si="8"/>
        <v>2877762.1170666697</v>
      </c>
      <c r="AI23" s="40">
        <f t="shared" si="9"/>
        <v>198.16568771978169</v>
      </c>
      <c r="AJ23" s="116">
        <v>179.95999999999185</v>
      </c>
      <c r="AK23" s="3">
        <f t="shared" si="10"/>
        <v>2159519.9999999022</v>
      </c>
      <c r="AL23" s="36"/>
      <c r="AM23" s="7"/>
    </row>
    <row r="24" spans="1:39" ht="15" x14ac:dyDescent="0.25">
      <c r="A24" s="33"/>
      <c r="B24" s="53">
        <v>13</v>
      </c>
      <c r="C24" s="195">
        <v>3</v>
      </c>
      <c r="D24" s="196">
        <v>73</v>
      </c>
      <c r="E24" s="203">
        <v>10600.000000000364</v>
      </c>
      <c r="F24" s="200">
        <v>10979268.000000376</v>
      </c>
      <c r="G24" s="200">
        <v>2199.9999999999318</v>
      </c>
      <c r="H24" s="200">
        <v>3418073.9999998943</v>
      </c>
      <c r="I24" s="204">
        <f t="shared" si="0"/>
        <v>15117209.100000285</v>
      </c>
      <c r="J24" s="203">
        <v>1200.0000000000455</v>
      </c>
      <c r="K24" s="200">
        <v>1242936.000000047</v>
      </c>
      <c r="L24" s="205">
        <v>400.00000000000568</v>
      </c>
      <c r="M24" s="205">
        <v>621468.00000000885</v>
      </c>
      <c r="N24" s="204">
        <f t="shared" si="1"/>
        <v>1957624.2000000589</v>
      </c>
      <c r="O24" s="201">
        <f t="shared" si="2"/>
        <v>17074833.300000343</v>
      </c>
      <c r="P24" s="202">
        <f t="shared" si="3"/>
        <v>14400.000000000346</v>
      </c>
      <c r="Q24" s="153"/>
      <c r="R24" s="153"/>
      <c r="S24" s="175"/>
      <c r="T24" s="172"/>
      <c r="U24" s="171">
        <v>0</v>
      </c>
      <c r="V24" s="151">
        <f t="shared" si="4"/>
        <v>994</v>
      </c>
      <c r="W24" s="3">
        <v>431</v>
      </c>
      <c r="X24" s="200">
        <v>7718638.3031869084</v>
      </c>
      <c r="Y24" s="31">
        <v>563</v>
      </c>
      <c r="Z24" s="199">
        <v>1824532.3030929689</v>
      </c>
      <c r="AA24" s="199">
        <f t="shared" si="5"/>
        <v>9543170.6062798779</v>
      </c>
      <c r="AB24" s="106">
        <f t="shared" si="6"/>
        <v>657.15263781021054</v>
      </c>
      <c r="AC24" s="222">
        <v>7.0000000006984919E-2</v>
      </c>
      <c r="AD24" s="3">
        <v>0</v>
      </c>
      <c r="AE24" s="3">
        <v>92.442599999999942</v>
      </c>
      <c r="AF24" s="3">
        <v>0</v>
      </c>
      <c r="AG24" s="3">
        <f t="shared" si="7"/>
        <v>92.442599999999942</v>
      </c>
      <c r="AH24" s="224">
        <f t="shared" si="8"/>
        <v>2729213.6939999987</v>
      </c>
      <c r="AI24" s="40">
        <f t="shared" si="9"/>
        <v>187.93648905109481</v>
      </c>
      <c r="AJ24" s="116">
        <v>0</v>
      </c>
      <c r="AK24" s="3">
        <f t="shared" si="10"/>
        <v>0</v>
      </c>
      <c r="AL24" s="36"/>
      <c r="AM24" s="7"/>
    </row>
    <row r="25" spans="1:39" ht="15" x14ac:dyDescent="0.25">
      <c r="A25" s="33"/>
      <c r="B25" s="53">
        <v>14</v>
      </c>
      <c r="C25" s="195">
        <v>31</v>
      </c>
      <c r="D25" s="196">
        <v>143</v>
      </c>
      <c r="E25" s="203">
        <v>11720.000000000255</v>
      </c>
      <c r="F25" s="200">
        <v>12139341.600000264</v>
      </c>
      <c r="G25" s="200">
        <v>3080.0000000000409</v>
      </c>
      <c r="H25" s="200">
        <v>4785303.6000000639</v>
      </c>
      <c r="I25" s="204">
        <f t="shared" si="0"/>
        <v>17770877.460000344</v>
      </c>
      <c r="J25" s="203">
        <v>1500</v>
      </c>
      <c r="K25" s="200">
        <v>1553670</v>
      </c>
      <c r="L25" s="205">
        <v>399.99999999997726</v>
      </c>
      <c r="M25" s="205">
        <v>621467.99999996473</v>
      </c>
      <c r="N25" s="204">
        <f t="shared" si="1"/>
        <v>2283894.8999999631</v>
      </c>
      <c r="O25" s="201">
        <f t="shared" si="2"/>
        <v>20054772.360000305</v>
      </c>
      <c r="P25" s="202">
        <f t="shared" si="3"/>
        <v>16700.000000000273</v>
      </c>
      <c r="Q25" s="154"/>
      <c r="R25" s="154"/>
      <c r="S25" s="175"/>
      <c r="T25" s="172"/>
      <c r="U25" s="171">
        <v>0</v>
      </c>
      <c r="V25" s="151">
        <f t="shared" si="4"/>
        <v>956</v>
      </c>
      <c r="W25" s="3">
        <v>230</v>
      </c>
      <c r="X25" s="200">
        <v>4118994.9181739879</v>
      </c>
      <c r="Y25" s="31">
        <v>726</v>
      </c>
      <c r="Z25" s="199">
        <v>2352771.673260205</v>
      </c>
      <c r="AA25" s="199">
        <f t="shared" si="5"/>
        <v>6471766.5914341928</v>
      </c>
      <c r="AB25" s="106">
        <f t="shared" si="6"/>
        <v>445.65256792688285</v>
      </c>
      <c r="AC25" s="222">
        <v>0</v>
      </c>
      <c r="AD25" s="3">
        <v>0</v>
      </c>
      <c r="AE25" s="3">
        <v>83.822680000000005</v>
      </c>
      <c r="AF25" s="3">
        <v>12</v>
      </c>
      <c r="AG25" s="3">
        <f t="shared" si="7"/>
        <v>95.822680000000005</v>
      </c>
      <c r="AH25" s="224">
        <f t="shared" si="8"/>
        <v>2829004.9225333338</v>
      </c>
      <c r="AI25" s="40">
        <f t="shared" si="9"/>
        <v>194.80821667355281</v>
      </c>
      <c r="AJ25" s="116">
        <v>547.6200000000099</v>
      </c>
      <c r="AK25" s="3">
        <f t="shared" si="10"/>
        <v>6571440.0000001192</v>
      </c>
      <c r="AL25" s="36"/>
      <c r="AM25" s="7"/>
    </row>
    <row r="26" spans="1:39" ht="15" x14ac:dyDescent="0.25">
      <c r="A26" s="33"/>
      <c r="B26" s="53">
        <v>15</v>
      </c>
      <c r="C26" s="195">
        <v>2</v>
      </c>
      <c r="D26" s="196">
        <v>98</v>
      </c>
      <c r="E26" s="203">
        <v>11960.000000000036</v>
      </c>
      <c r="F26" s="200">
        <v>12387928.800000038</v>
      </c>
      <c r="G26" s="200">
        <v>1919.9999999999591</v>
      </c>
      <c r="H26" s="200">
        <v>2983046.3999999366</v>
      </c>
      <c r="I26" s="204">
        <f t="shared" si="0"/>
        <v>16139523.959999975</v>
      </c>
      <c r="J26" s="203">
        <v>1579.9999999999272</v>
      </c>
      <c r="K26" s="200">
        <v>1636532.3999999247</v>
      </c>
      <c r="L26" s="205">
        <v>340.00000000000341</v>
      </c>
      <c r="M26" s="205">
        <v>528247.80000000529</v>
      </c>
      <c r="N26" s="204">
        <f t="shared" si="1"/>
        <v>2273019.2099999264</v>
      </c>
      <c r="O26" s="201">
        <f t="shared" si="2"/>
        <v>18412543.169999901</v>
      </c>
      <c r="P26" s="202">
        <f t="shared" si="3"/>
        <v>15799.999999999927</v>
      </c>
      <c r="Q26" s="153"/>
      <c r="R26" s="164"/>
      <c r="S26" s="175"/>
      <c r="T26" s="172"/>
      <c r="U26" s="171">
        <v>0</v>
      </c>
      <c r="V26" s="151">
        <f t="shared" si="4"/>
        <v>858</v>
      </c>
      <c r="W26" s="3">
        <v>189</v>
      </c>
      <c r="X26" s="200">
        <v>3384739.3023255817</v>
      </c>
      <c r="Y26" s="31">
        <v>669</v>
      </c>
      <c r="Z26" s="199">
        <v>2168049.930318288</v>
      </c>
      <c r="AA26" s="199">
        <f t="shared" si="5"/>
        <v>5552789.2326438697</v>
      </c>
      <c r="AB26" s="106">
        <f t="shared" si="6"/>
        <v>382.37083271201419</v>
      </c>
      <c r="AC26" s="222">
        <v>0</v>
      </c>
      <c r="AD26" s="3">
        <v>0</v>
      </c>
      <c r="AE26" s="3">
        <v>86.440879999999908</v>
      </c>
      <c r="AF26" s="3">
        <v>12</v>
      </c>
      <c r="AG26" s="3">
        <f t="shared" si="7"/>
        <v>98.440879999999908</v>
      </c>
      <c r="AH26" s="224">
        <f t="shared" si="8"/>
        <v>2906302.9138666643</v>
      </c>
      <c r="AI26" s="40">
        <f t="shared" si="9"/>
        <v>200.13103662489081</v>
      </c>
      <c r="AJ26" s="116">
        <v>171.79999999998836</v>
      </c>
      <c r="AK26" s="3">
        <f t="shared" si="10"/>
        <v>2061599.9999998603</v>
      </c>
      <c r="AL26" s="36"/>
      <c r="AM26" s="7"/>
    </row>
    <row r="27" spans="1:39" ht="15" x14ac:dyDescent="0.25">
      <c r="A27" s="33"/>
      <c r="B27" s="53">
        <v>16</v>
      </c>
      <c r="C27" s="195">
        <v>1</v>
      </c>
      <c r="D27" s="196">
        <v>77</v>
      </c>
      <c r="E27" s="203">
        <v>9799.9999999992724</v>
      </c>
      <c r="F27" s="200">
        <v>10150643.999999246</v>
      </c>
      <c r="G27" s="200">
        <v>1960.0000000000364</v>
      </c>
      <c r="H27" s="200">
        <v>3045193.2000000565</v>
      </c>
      <c r="I27" s="204">
        <f t="shared" si="0"/>
        <v>13855629.059999269</v>
      </c>
      <c r="J27" s="203">
        <v>1320.00000000005</v>
      </c>
      <c r="K27" s="200">
        <v>1367229.6000000518</v>
      </c>
      <c r="L27" s="205">
        <v>340.00000000000341</v>
      </c>
      <c r="M27" s="205">
        <v>528247.80000000529</v>
      </c>
      <c r="N27" s="204">
        <f t="shared" si="1"/>
        <v>1990251.2700000601</v>
      </c>
      <c r="O27" s="201">
        <f t="shared" si="2"/>
        <v>15845880.329999328</v>
      </c>
      <c r="P27" s="202">
        <f t="shared" si="3"/>
        <v>13419.999999999363</v>
      </c>
      <c r="Q27" s="153"/>
      <c r="R27" s="153"/>
      <c r="S27" s="175"/>
      <c r="T27" s="172"/>
      <c r="U27" s="171">
        <v>0</v>
      </c>
      <c r="V27" s="151">
        <f t="shared" si="4"/>
        <v>999</v>
      </c>
      <c r="W27" s="3">
        <v>237</v>
      </c>
      <c r="X27" s="200">
        <v>4244355.6330749355</v>
      </c>
      <c r="Y27" s="31">
        <v>762</v>
      </c>
      <c r="Z27" s="199">
        <v>2469438.0372235207</v>
      </c>
      <c r="AA27" s="199">
        <f t="shared" si="5"/>
        <v>6713793.6702984562</v>
      </c>
      <c r="AB27" s="106">
        <f t="shared" si="6"/>
        <v>462.31880390431456</v>
      </c>
      <c r="AC27" s="222">
        <v>0</v>
      </c>
      <c r="AD27" s="3">
        <v>0</v>
      </c>
      <c r="AE27" s="3">
        <v>99.370760000000047</v>
      </c>
      <c r="AF27" s="3">
        <v>12</v>
      </c>
      <c r="AG27" s="3">
        <f t="shared" si="7"/>
        <v>111.37076000000005</v>
      </c>
      <c r="AH27" s="224">
        <f t="shared" si="8"/>
        <v>3288036.0710666683</v>
      </c>
      <c r="AI27" s="40">
        <f t="shared" si="9"/>
        <v>226.4175782307305</v>
      </c>
      <c r="AJ27" s="116">
        <v>246.80000000000291</v>
      </c>
      <c r="AK27" s="3">
        <f t="shared" si="10"/>
        <v>2961600.0000000349</v>
      </c>
      <c r="AL27" s="36"/>
      <c r="AM27" s="7"/>
    </row>
    <row r="28" spans="1:39" ht="15" x14ac:dyDescent="0.25">
      <c r="A28" s="33"/>
      <c r="B28" s="53">
        <v>17</v>
      </c>
      <c r="C28" s="195">
        <v>0</v>
      </c>
      <c r="D28" s="196">
        <v>31</v>
      </c>
      <c r="E28" s="203">
        <v>9640.0000000003274</v>
      </c>
      <c r="F28" s="200">
        <v>9984919.2000003383</v>
      </c>
      <c r="G28" s="200">
        <v>2039.9999999999636</v>
      </c>
      <c r="H28" s="200">
        <v>3169486.7999999435</v>
      </c>
      <c r="I28" s="204">
        <f t="shared" si="0"/>
        <v>13812126.300000295</v>
      </c>
      <c r="J28" s="203">
        <v>1220.0000000000273</v>
      </c>
      <c r="K28" s="200">
        <v>1263651.6000000283</v>
      </c>
      <c r="L28" s="205">
        <v>360.00000000001364</v>
      </c>
      <c r="M28" s="205">
        <v>559321.20000002126</v>
      </c>
      <c r="N28" s="204">
        <f t="shared" si="1"/>
        <v>1914121.4400000521</v>
      </c>
      <c r="O28" s="201">
        <f t="shared" si="2"/>
        <v>15726247.740000347</v>
      </c>
      <c r="P28" s="202">
        <f t="shared" si="3"/>
        <v>13260.000000000331</v>
      </c>
      <c r="Q28" s="154"/>
      <c r="R28" s="154"/>
      <c r="S28" s="175"/>
      <c r="T28" s="172"/>
      <c r="U28" s="171">
        <v>0</v>
      </c>
      <c r="V28" s="151">
        <f t="shared" si="4"/>
        <v>863</v>
      </c>
      <c r="W28" s="3">
        <v>238</v>
      </c>
      <c r="X28" s="200">
        <v>4262264.3066322133</v>
      </c>
      <c r="Y28" s="31">
        <v>625</v>
      </c>
      <c r="Z28" s="199">
        <v>2025457.7076964574</v>
      </c>
      <c r="AA28" s="199">
        <f t="shared" si="5"/>
        <v>6287722.0143286707</v>
      </c>
      <c r="AB28" s="106">
        <f t="shared" si="6"/>
        <v>432.97906723100613</v>
      </c>
      <c r="AC28" s="222">
        <v>0</v>
      </c>
      <c r="AD28" s="3">
        <v>0</v>
      </c>
      <c r="AE28" s="3">
        <v>81.446159999999878</v>
      </c>
      <c r="AF28" s="3">
        <v>12</v>
      </c>
      <c r="AG28" s="3">
        <f t="shared" si="7"/>
        <v>93.446159999999878</v>
      </c>
      <c r="AH28" s="224">
        <f t="shared" si="8"/>
        <v>2758842.1303999964</v>
      </c>
      <c r="AI28" s="40">
        <f t="shared" si="9"/>
        <v>189.9767339484917</v>
      </c>
      <c r="AJ28" s="116">
        <v>268.19999999999709</v>
      </c>
      <c r="AK28" s="3">
        <f t="shared" si="10"/>
        <v>3218399.9999999651</v>
      </c>
      <c r="AL28" s="36"/>
      <c r="AM28" s="7"/>
    </row>
    <row r="29" spans="1:39" ht="15" x14ac:dyDescent="0.25">
      <c r="A29" s="33"/>
      <c r="B29" s="53">
        <v>18</v>
      </c>
      <c r="C29" s="195">
        <v>0</v>
      </c>
      <c r="D29" s="196">
        <v>32</v>
      </c>
      <c r="E29" s="203">
        <v>9239.9999999997817</v>
      </c>
      <c r="F29" s="200">
        <v>9570607.1999997739</v>
      </c>
      <c r="G29" s="200">
        <v>1800.0000000000682</v>
      </c>
      <c r="H29" s="200">
        <v>2796606.0000001062</v>
      </c>
      <c r="I29" s="204">
        <f t="shared" si="0"/>
        <v>12985573.859999875</v>
      </c>
      <c r="J29" s="203">
        <v>1159.9999999999682</v>
      </c>
      <c r="K29" s="200">
        <v>1201504.799999967</v>
      </c>
      <c r="L29" s="205">
        <v>299.99999999998295</v>
      </c>
      <c r="M29" s="205">
        <v>466100.99999997352</v>
      </c>
      <c r="N29" s="204">
        <f t="shared" si="1"/>
        <v>1750986.0899999375</v>
      </c>
      <c r="O29" s="201">
        <f t="shared" si="2"/>
        <v>14736559.949999813</v>
      </c>
      <c r="P29" s="202">
        <f t="shared" si="3"/>
        <v>12499.999999999802</v>
      </c>
      <c r="Q29" s="154"/>
      <c r="R29" s="154"/>
      <c r="S29" s="175"/>
      <c r="T29" s="172"/>
      <c r="U29" s="171">
        <v>0</v>
      </c>
      <c r="V29" s="151">
        <f t="shared" si="4"/>
        <v>984</v>
      </c>
      <c r="W29" s="3">
        <v>222</v>
      </c>
      <c r="X29" s="200">
        <v>3975725.5297157625</v>
      </c>
      <c r="Y29" s="31">
        <v>762</v>
      </c>
      <c r="Z29" s="199">
        <v>2469438.0372235207</v>
      </c>
      <c r="AA29" s="199">
        <f t="shared" si="5"/>
        <v>6445163.5669392832</v>
      </c>
      <c r="AB29" s="106">
        <f t="shared" si="6"/>
        <v>443.82065603493203</v>
      </c>
      <c r="AC29" s="222">
        <v>0</v>
      </c>
      <c r="AD29" s="3">
        <v>0</v>
      </c>
      <c r="AE29" s="3">
        <v>96.373927999999935</v>
      </c>
      <c r="AF29" s="3">
        <v>12</v>
      </c>
      <c r="AG29" s="3">
        <f t="shared" si="7"/>
        <v>108.37392799999994</v>
      </c>
      <c r="AH29" s="224">
        <f t="shared" si="8"/>
        <v>3199559.6009866651</v>
      </c>
      <c r="AI29" s="40">
        <f t="shared" si="9"/>
        <v>220.32499662489087</v>
      </c>
      <c r="AJ29" s="116">
        <v>235.9600000000064</v>
      </c>
      <c r="AK29" s="3">
        <f t="shared" si="10"/>
        <v>2831520.0000000768</v>
      </c>
      <c r="AL29" s="36"/>
      <c r="AM29" s="7"/>
    </row>
    <row r="30" spans="1:39" ht="15" x14ac:dyDescent="0.25">
      <c r="A30" s="33"/>
      <c r="B30" s="53">
        <v>19</v>
      </c>
      <c r="C30" s="195">
        <v>3</v>
      </c>
      <c r="D30" s="196">
        <v>44</v>
      </c>
      <c r="E30" s="203">
        <v>9880.0000000001091</v>
      </c>
      <c r="F30" s="200">
        <v>10233506.400000112</v>
      </c>
      <c r="G30" s="200">
        <v>2000</v>
      </c>
      <c r="H30" s="200">
        <v>3107340</v>
      </c>
      <c r="I30" s="204">
        <f t="shared" si="0"/>
        <v>14007888.720000118</v>
      </c>
      <c r="J30" s="203">
        <v>1139.9999999999864</v>
      </c>
      <c r="K30" s="200">
        <v>1180789.1999999858</v>
      </c>
      <c r="L30" s="205">
        <v>360.00000000001364</v>
      </c>
      <c r="M30" s="205">
        <v>559321.20000002126</v>
      </c>
      <c r="N30" s="204">
        <f t="shared" si="1"/>
        <v>1827115.9200000074</v>
      </c>
      <c r="O30" s="201">
        <f t="shared" si="2"/>
        <v>15835004.640000125</v>
      </c>
      <c r="P30" s="202">
        <f t="shared" si="3"/>
        <v>13380.000000000109</v>
      </c>
      <c r="Q30" s="153"/>
      <c r="R30" s="153"/>
      <c r="S30" s="175"/>
      <c r="T30" s="172"/>
      <c r="U30" s="171">
        <v>0</v>
      </c>
      <c r="V30" s="151">
        <f t="shared" si="4"/>
        <v>932</v>
      </c>
      <c r="W30" s="3">
        <v>221</v>
      </c>
      <c r="X30" s="200">
        <v>3957816.8561584842</v>
      </c>
      <c r="Y30" s="31">
        <v>711</v>
      </c>
      <c r="Z30" s="199">
        <v>2304160.68827549</v>
      </c>
      <c r="AA30" s="199">
        <f t="shared" si="5"/>
        <v>6261977.5444339737</v>
      </c>
      <c r="AB30" s="106">
        <f t="shared" si="6"/>
        <v>431.20627630037006</v>
      </c>
      <c r="AC30" s="222">
        <v>0</v>
      </c>
      <c r="AD30" s="3">
        <v>0</v>
      </c>
      <c r="AE30" s="3">
        <v>92.458712000000247</v>
      </c>
      <c r="AF30" s="3">
        <v>12</v>
      </c>
      <c r="AG30" s="3">
        <f t="shared" si="7"/>
        <v>104.45871200000025</v>
      </c>
      <c r="AH30" s="224">
        <f t="shared" si="8"/>
        <v>3083969.3739466742</v>
      </c>
      <c r="AI30" s="40">
        <f t="shared" si="9"/>
        <v>212.36533355919806</v>
      </c>
      <c r="AJ30" s="116">
        <v>212.88999999999942</v>
      </c>
      <c r="AK30" s="3">
        <f t="shared" si="10"/>
        <v>2554679.999999993</v>
      </c>
      <c r="AL30" s="36"/>
      <c r="AM30" s="7"/>
    </row>
    <row r="31" spans="1:39" ht="15" x14ac:dyDescent="0.25">
      <c r="A31" s="33"/>
      <c r="B31" s="53">
        <v>20</v>
      </c>
      <c r="C31" s="195">
        <v>3</v>
      </c>
      <c r="D31" s="196">
        <v>56</v>
      </c>
      <c r="E31" s="203">
        <v>9520.0000000004366</v>
      </c>
      <c r="F31" s="200">
        <v>9860625.6000004523</v>
      </c>
      <c r="G31" s="200">
        <v>1879.9999999999955</v>
      </c>
      <c r="H31" s="200">
        <v>2920899.5999999931</v>
      </c>
      <c r="I31" s="204">
        <f t="shared" si="0"/>
        <v>13420601.460000468</v>
      </c>
      <c r="J31" s="203">
        <v>1600.0000000000227</v>
      </c>
      <c r="K31" s="200">
        <v>1657248.0000000235</v>
      </c>
      <c r="L31" s="205">
        <v>340.00000000000341</v>
      </c>
      <c r="M31" s="205">
        <v>528247.80000000529</v>
      </c>
      <c r="N31" s="204">
        <f t="shared" si="1"/>
        <v>2294770.5900000301</v>
      </c>
      <c r="O31" s="201">
        <f t="shared" si="2"/>
        <v>15715372.050000498</v>
      </c>
      <c r="P31" s="202">
        <f t="shared" si="3"/>
        <v>13340.000000000458</v>
      </c>
      <c r="Q31" s="154"/>
      <c r="R31" s="154"/>
      <c r="S31" s="175"/>
      <c r="T31" s="172"/>
      <c r="U31" s="171">
        <v>0</v>
      </c>
      <c r="V31" s="151">
        <f t="shared" si="4"/>
        <v>1057</v>
      </c>
      <c r="W31" s="3">
        <v>301</v>
      </c>
      <c r="X31" s="200">
        <v>5390510.7407407407</v>
      </c>
      <c r="Y31" s="31">
        <v>756</v>
      </c>
      <c r="Z31" s="199">
        <v>2449993.643229635</v>
      </c>
      <c r="AA31" s="199">
        <f t="shared" si="5"/>
        <v>7840504.3839703761</v>
      </c>
      <c r="AB31" s="106">
        <f t="shared" si="6"/>
        <v>539.90527365172682</v>
      </c>
      <c r="AC31" s="222">
        <v>0</v>
      </c>
      <c r="AD31" s="3">
        <v>0</v>
      </c>
      <c r="AE31" s="3">
        <v>93.610720000000029</v>
      </c>
      <c r="AF31" s="3">
        <v>24</v>
      </c>
      <c r="AG31" s="3">
        <f t="shared" si="7"/>
        <v>117.61072000000003</v>
      </c>
      <c r="AH31" s="224">
        <f t="shared" si="8"/>
        <v>3472260.4901333344</v>
      </c>
      <c r="AI31" s="40">
        <f t="shared" si="9"/>
        <v>239.10346303080391</v>
      </c>
      <c r="AJ31" s="116">
        <v>100.43000000000757</v>
      </c>
      <c r="AK31" s="3">
        <f t="shared" si="10"/>
        <v>1205160.0000000908</v>
      </c>
      <c r="AL31" s="36"/>
      <c r="AM31" s="7"/>
    </row>
    <row r="32" spans="1:39" ht="15" x14ac:dyDescent="0.25">
      <c r="A32" s="33"/>
      <c r="B32" s="53">
        <v>21</v>
      </c>
      <c r="C32" s="195">
        <v>3</v>
      </c>
      <c r="D32" s="196">
        <v>100</v>
      </c>
      <c r="E32" s="203">
        <v>9399.9999999996362</v>
      </c>
      <c r="F32" s="200">
        <v>9736331.9999996237</v>
      </c>
      <c r="G32" s="200">
        <v>1879.9999999999955</v>
      </c>
      <c r="H32" s="200">
        <v>2920899.5999999931</v>
      </c>
      <c r="I32" s="204">
        <f t="shared" si="0"/>
        <v>13290093.179999599</v>
      </c>
      <c r="J32" s="203">
        <v>1539.9999999999636</v>
      </c>
      <c r="K32" s="200">
        <v>1595101.1999999622</v>
      </c>
      <c r="L32" s="205">
        <v>479.99999999998977</v>
      </c>
      <c r="M32" s="205">
        <v>745761.59999998414</v>
      </c>
      <c r="N32" s="204">
        <f t="shared" si="1"/>
        <v>2457905.9399999436</v>
      </c>
      <c r="O32" s="201">
        <f t="shared" si="2"/>
        <v>15747999.119999543</v>
      </c>
      <c r="P32" s="202">
        <f t="shared" si="3"/>
        <v>13299.999999999585</v>
      </c>
      <c r="Q32" s="153"/>
      <c r="R32" s="165"/>
      <c r="S32" s="175"/>
      <c r="T32" s="172"/>
      <c r="U32" s="171">
        <v>0</v>
      </c>
      <c r="V32" s="151">
        <f t="shared" si="4"/>
        <v>987</v>
      </c>
      <c r="W32" s="3">
        <v>228</v>
      </c>
      <c r="X32" s="200">
        <v>4083177.5710594319</v>
      </c>
      <c r="Y32" s="31">
        <v>759</v>
      </c>
      <c r="Z32" s="199">
        <v>2459715.8402265781</v>
      </c>
      <c r="AA32" s="199">
        <f t="shared" si="5"/>
        <v>6542893.4112860095</v>
      </c>
      <c r="AB32" s="106">
        <f t="shared" si="6"/>
        <v>450.55043460170839</v>
      </c>
      <c r="AC32" s="222">
        <v>0</v>
      </c>
      <c r="AD32" s="3">
        <v>0</v>
      </c>
      <c r="AE32" s="3">
        <v>90.227199999999897</v>
      </c>
      <c r="AF32" s="3">
        <v>0</v>
      </c>
      <c r="AG32" s="3">
        <f t="shared" si="7"/>
        <v>90.227199999999897</v>
      </c>
      <c r="AH32" s="224">
        <f t="shared" si="8"/>
        <v>2663807.7013333305</v>
      </c>
      <c r="AI32" s="40">
        <f t="shared" si="9"/>
        <v>183.43256447688546</v>
      </c>
      <c r="AJ32" s="116">
        <v>332.66000000000349</v>
      </c>
      <c r="AK32" s="3">
        <f t="shared" si="10"/>
        <v>3991920.0000000419</v>
      </c>
      <c r="AL32" s="36"/>
      <c r="AM32" s="7"/>
    </row>
    <row r="33" spans="1:39" ht="15" x14ac:dyDescent="0.25">
      <c r="A33" s="33"/>
      <c r="B33" s="53">
        <v>22</v>
      </c>
      <c r="C33" s="195">
        <v>6</v>
      </c>
      <c r="D33" s="196">
        <v>111</v>
      </c>
      <c r="E33" s="203">
        <v>10079.999999999927</v>
      </c>
      <c r="F33" s="200">
        <v>10440662.399999924</v>
      </c>
      <c r="G33" s="200">
        <v>1839.9999999999181</v>
      </c>
      <c r="H33" s="200">
        <v>2858752.7999998732</v>
      </c>
      <c r="I33" s="204">
        <f t="shared" si="0"/>
        <v>13964385.959999789</v>
      </c>
      <c r="J33" s="203">
        <v>1500</v>
      </c>
      <c r="K33" s="200">
        <v>1553670</v>
      </c>
      <c r="L33" s="205">
        <v>479.99999999998977</v>
      </c>
      <c r="M33" s="205">
        <v>745761.59999998414</v>
      </c>
      <c r="N33" s="204">
        <f t="shared" si="1"/>
        <v>2414403.1799999834</v>
      </c>
      <c r="O33" s="201">
        <f t="shared" si="2"/>
        <v>16378789.139999771</v>
      </c>
      <c r="P33" s="202">
        <f t="shared" si="3"/>
        <v>13899.999999999834</v>
      </c>
      <c r="Q33" s="153"/>
      <c r="R33" s="166"/>
      <c r="S33" s="175"/>
      <c r="T33" s="172"/>
      <c r="U33" s="171">
        <v>0</v>
      </c>
      <c r="V33" s="151">
        <f t="shared" si="4"/>
        <v>894</v>
      </c>
      <c r="W33" s="3">
        <v>223</v>
      </c>
      <c r="X33" s="200">
        <v>3993634.2032730407</v>
      </c>
      <c r="Y33" s="31">
        <v>671</v>
      </c>
      <c r="Z33" s="199">
        <v>2174531.3949829168</v>
      </c>
      <c r="AA33" s="199">
        <f t="shared" si="5"/>
        <v>6168165.5982559575</v>
      </c>
      <c r="AB33" s="106">
        <f t="shared" si="6"/>
        <v>424.74628826993234</v>
      </c>
      <c r="AC33" s="222">
        <v>0</v>
      </c>
      <c r="AD33" s="3">
        <v>0</v>
      </c>
      <c r="AE33" s="3">
        <v>75.726399999999813</v>
      </c>
      <c r="AF33" s="3">
        <v>12</v>
      </c>
      <c r="AG33" s="3">
        <f t="shared" si="7"/>
        <v>87.726399999999813</v>
      </c>
      <c r="AH33" s="224">
        <f t="shared" si="8"/>
        <v>2589975.7493333281</v>
      </c>
      <c r="AI33" s="40">
        <f t="shared" si="9"/>
        <v>178.34841959326045</v>
      </c>
      <c r="AJ33" s="116">
        <v>135.92999999999302</v>
      </c>
      <c r="AK33" s="3">
        <f t="shared" si="10"/>
        <v>1631159.9999999162</v>
      </c>
      <c r="AL33" s="36"/>
      <c r="AM33" s="7"/>
    </row>
    <row r="34" spans="1:39" ht="15" x14ac:dyDescent="0.25">
      <c r="A34" s="33"/>
      <c r="B34" s="53">
        <v>23</v>
      </c>
      <c r="C34" s="195">
        <v>5</v>
      </c>
      <c r="D34" s="196">
        <v>86</v>
      </c>
      <c r="E34" s="203">
        <v>10000</v>
      </c>
      <c r="F34" s="200">
        <v>10357800</v>
      </c>
      <c r="G34" s="200">
        <v>2160.0000000000819</v>
      </c>
      <c r="H34" s="200">
        <v>3355927.2000001273</v>
      </c>
      <c r="I34" s="204">
        <f t="shared" si="0"/>
        <v>14399413.560000135</v>
      </c>
      <c r="J34" s="203">
        <v>1399.9999999999773</v>
      </c>
      <c r="K34" s="200">
        <v>1450091.9999999765</v>
      </c>
      <c r="L34" s="205">
        <v>320.0000000000216</v>
      </c>
      <c r="M34" s="205">
        <v>497174.40000003361</v>
      </c>
      <c r="N34" s="204">
        <f t="shared" si="1"/>
        <v>2044629.7200000107</v>
      </c>
      <c r="O34" s="201">
        <f t="shared" si="2"/>
        <v>16444043.280000145</v>
      </c>
      <c r="P34" s="202">
        <f t="shared" si="3"/>
        <v>13880.00000000008</v>
      </c>
      <c r="Q34" s="154"/>
      <c r="R34" s="167"/>
      <c r="S34" s="175"/>
      <c r="T34" s="172"/>
      <c r="U34" s="171">
        <v>0</v>
      </c>
      <c r="V34" s="151">
        <f t="shared" si="4"/>
        <v>1003</v>
      </c>
      <c r="W34" s="3">
        <v>256</v>
      </c>
      <c r="X34" s="200">
        <v>4584620.4306632215</v>
      </c>
      <c r="Y34" s="31">
        <v>747</v>
      </c>
      <c r="Z34" s="199">
        <v>2420827.0522388057</v>
      </c>
      <c r="AA34" s="199">
        <f t="shared" si="5"/>
        <v>7005447.4829020277</v>
      </c>
      <c r="AB34" s="106">
        <f t="shared" si="6"/>
        <v>482.40238830064919</v>
      </c>
      <c r="AC34" s="222">
        <v>0</v>
      </c>
      <c r="AD34" s="3">
        <v>0</v>
      </c>
      <c r="AE34" s="3">
        <v>93.892680000000226</v>
      </c>
      <c r="AF34" s="3">
        <v>12</v>
      </c>
      <c r="AG34" s="3">
        <f t="shared" si="7"/>
        <v>105.89268000000023</v>
      </c>
      <c r="AH34" s="224">
        <f t="shared" si="8"/>
        <v>3126304.8892000071</v>
      </c>
      <c r="AI34" s="40">
        <f t="shared" si="9"/>
        <v>215.28060110177711</v>
      </c>
      <c r="AJ34" s="116">
        <v>73.910000000003492</v>
      </c>
      <c r="AK34" s="3">
        <f t="shared" si="10"/>
        <v>886920.00000004191</v>
      </c>
      <c r="AL34" s="36"/>
      <c r="AM34" s="7"/>
    </row>
    <row r="35" spans="1:39" ht="15" x14ac:dyDescent="0.25">
      <c r="A35" s="33"/>
      <c r="B35" s="53">
        <v>24</v>
      </c>
      <c r="C35" s="195">
        <v>2</v>
      </c>
      <c r="D35" s="196">
        <v>43</v>
      </c>
      <c r="E35" s="203">
        <v>10079.999999999927</v>
      </c>
      <c r="F35" s="200">
        <v>10440662.399999924</v>
      </c>
      <c r="G35" s="200">
        <v>2079.9999999999272</v>
      </c>
      <c r="H35" s="200">
        <v>3231633.5999998869</v>
      </c>
      <c r="I35" s="204">
        <f t="shared" si="0"/>
        <v>14355910.799999801</v>
      </c>
      <c r="J35" s="203">
        <v>1180.0000000000637</v>
      </c>
      <c r="K35" s="200">
        <v>1222220.4000000658</v>
      </c>
      <c r="L35" s="205">
        <v>299.99999999998295</v>
      </c>
      <c r="M35" s="205">
        <v>466100.99999997352</v>
      </c>
      <c r="N35" s="204">
        <f t="shared" si="1"/>
        <v>1772737.4700000412</v>
      </c>
      <c r="O35" s="201">
        <f t="shared" si="2"/>
        <v>16128648.269999843</v>
      </c>
      <c r="P35" s="202">
        <f t="shared" si="3"/>
        <v>13639.999999999902</v>
      </c>
      <c r="Q35" s="153"/>
      <c r="R35" s="165"/>
      <c r="S35" s="175"/>
      <c r="T35" s="172"/>
      <c r="U35" s="171">
        <v>0</v>
      </c>
      <c r="V35" s="151">
        <f t="shared" si="4"/>
        <v>953</v>
      </c>
      <c r="W35" s="3">
        <v>196</v>
      </c>
      <c r="X35" s="200">
        <v>3510100.0172265288</v>
      </c>
      <c r="Y35" s="31">
        <v>757</v>
      </c>
      <c r="Z35" s="199">
        <v>2453234.3755619493</v>
      </c>
      <c r="AA35" s="199">
        <f t="shared" si="5"/>
        <v>5963334.3927884782</v>
      </c>
      <c r="AB35" s="106">
        <f t="shared" si="6"/>
        <v>410.6413987597079</v>
      </c>
      <c r="AC35" s="222">
        <v>0</v>
      </c>
      <c r="AD35" s="3">
        <v>0</v>
      </c>
      <c r="AE35" s="3">
        <v>100.37775999999982</v>
      </c>
      <c r="AF35" s="3">
        <v>0</v>
      </c>
      <c r="AG35" s="3">
        <f t="shared" si="7"/>
        <v>100.37775999999982</v>
      </c>
      <c r="AH35" s="224">
        <f t="shared" si="8"/>
        <v>2963486.0677333283</v>
      </c>
      <c r="AI35" s="40">
        <f t="shared" si="9"/>
        <v>204.06872798053493</v>
      </c>
      <c r="AJ35" s="116">
        <v>159.69999999999709</v>
      </c>
      <c r="AK35" s="3">
        <f t="shared" si="10"/>
        <v>1916399.9999999651</v>
      </c>
      <c r="AL35" s="36"/>
      <c r="AM35" s="7"/>
    </row>
    <row r="36" spans="1:39" ht="15" x14ac:dyDescent="0.25">
      <c r="A36" s="33"/>
      <c r="B36" s="53">
        <v>25</v>
      </c>
      <c r="C36" s="195">
        <v>3</v>
      </c>
      <c r="D36" s="196">
        <v>31</v>
      </c>
      <c r="E36" s="203">
        <v>10480.000000000473</v>
      </c>
      <c r="F36" s="200">
        <v>10854974.40000049</v>
      </c>
      <c r="G36" s="200">
        <v>2160.0000000000819</v>
      </c>
      <c r="H36" s="200">
        <v>3355927.2000001273</v>
      </c>
      <c r="I36" s="204">
        <f t="shared" si="0"/>
        <v>14921446.68000065</v>
      </c>
      <c r="J36" s="203">
        <v>1319.9999999999363</v>
      </c>
      <c r="K36" s="200">
        <v>1367229.599999934</v>
      </c>
      <c r="L36" s="205">
        <v>379.99999999999545</v>
      </c>
      <c r="M36" s="205">
        <v>590394.59999999299</v>
      </c>
      <c r="N36" s="204">
        <f t="shared" si="1"/>
        <v>2055505.4099999235</v>
      </c>
      <c r="O36" s="201">
        <f t="shared" si="2"/>
        <v>16976952.090000574</v>
      </c>
      <c r="P36" s="202">
        <f t="shared" si="3"/>
        <v>14340.000000000487</v>
      </c>
      <c r="Q36" s="153"/>
      <c r="R36" s="165"/>
      <c r="S36" s="175"/>
      <c r="T36" s="172"/>
      <c r="U36" s="171">
        <v>0</v>
      </c>
      <c r="V36" s="151">
        <f t="shared" si="4"/>
        <v>781</v>
      </c>
      <c r="W36" s="3">
        <v>221</v>
      </c>
      <c r="X36" s="200">
        <v>3957816.8561584842</v>
      </c>
      <c r="Y36" s="31">
        <v>560</v>
      </c>
      <c r="Z36" s="199">
        <v>1814810.1060960258</v>
      </c>
      <c r="AA36" s="199">
        <f t="shared" si="5"/>
        <v>5772626.9622545103</v>
      </c>
      <c r="AB36" s="106">
        <f t="shared" si="6"/>
        <v>397.50908705787839</v>
      </c>
      <c r="AC36" s="222">
        <v>0</v>
      </c>
      <c r="AD36" s="3">
        <v>0</v>
      </c>
      <c r="AE36" s="3">
        <v>82.614279999999951</v>
      </c>
      <c r="AF36" s="3">
        <v>12</v>
      </c>
      <c r="AG36" s="3">
        <f t="shared" si="7"/>
        <v>94.614279999999951</v>
      </c>
      <c r="AH36" s="224">
        <f t="shared" si="8"/>
        <v>2793328.9265333321</v>
      </c>
      <c r="AI36" s="40">
        <f t="shared" si="9"/>
        <v>192.35153054216582</v>
      </c>
      <c r="AJ36" s="116">
        <v>97.570000000006985</v>
      </c>
      <c r="AK36" s="3">
        <f t="shared" si="10"/>
        <v>1170840.0000000838</v>
      </c>
      <c r="AL36" s="36"/>
      <c r="AM36" s="7"/>
    </row>
    <row r="37" spans="1:39" ht="15" x14ac:dyDescent="0.25">
      <c r="A37" s="33"/>
      <c r="B37" s="53">
        <v>26</v>
      </c>
      <c r="C37" s="195">
        <v>4</v>
      </c>
      <c r="D37" s="196">
        <v>32</v>
      </c>
      <c r="E37" s="203">
        <v>10960.000000000036</v>
      </c>
      <c r="F37" s="200">
        <v>11352148.800000038</v>
      </c>
      <c r="G37" s="200">
        <v>2199.9999999999318</v>
      </c>
      <c r="H37" s="200">
        <v>3418073.9999998943</v>
      </c>
      <c r="I37" s="204">
        <f t="shared" si="0"/>
        <v>15508733.939999929</v>
      </c>
      <c r="J37" s="203">
        <v>1139.9999999999864</v>
      </c>
      <c r="K37" s="200">
        <v>1180789.1999999858</v>
      </c>
      <c r="L37" s="205">
        <v>320.0000000000216</v>
      </c>
      <c r="M37" s="205">
        <v>497174.40000003361</v>
      </c>
      <c r="N37" s="204">
        <f t="shared" si="1"/>
        <v>1761861.7800000205</v>
      </c>
      <c r="O37" s="201">
        <f t="shared" si="2"/>
        <v>17270595.71999995</v>
      </c>
      <c r="P37" s="202">
        <f t="shared" si="3"/>
        <v>14619.999999999975</v>
      </c>
      <c r="Q37" s="153"/>
      <c r="R37" s="165"/>
      <c r="S37" s="175"/>
      <c r="T37" s="172"/>
      <c r="U37" s="171">
        <v>0</v>
      </c>
      <c r="V37" s="151">
        <f t="shared" si="4"/>
        <v>808</v>
      </c>
      <c r="W37" s="3">
        <v>212</v>
      </c>
      <c r="X37" s="200">
        <v>3796638.7941429801</v>
      </c>
      <c r="Y37" s="31">
        <v>596</v>
      </c>
      <c r="Z37" s="199">
        <v>1931476.4700593418</v>
      </c>
      <c r="AA37" s="199">
        <f t="shared" si="5"/>
        <v>5728115.2642023219</v>
      </c>
      <c r="AB37" s="106">
        <f t="shared" si="6"/>
        <v>394.44396530796871</v>
      </c>
      <c r="AC37" s="222">
        <v>0</v>
      </c>
      <c r="AD37" s="3">
        <v>0</v>
      </c>
      <c r="AE37" s="3">
        <v>68.475999999999999</v>
      </c>
      <c r="AF37" s="3">
        <v>24</v>
      </c>
      <c r="AG37" s="3">
        <f t="shared" si="7"/>
        <v>92.475999999999999</v>
      </c>
      <c r="AH37" s="224">
        <f t="shared" si="8"/>
        <v>2730199.7733333334</v>
      </c>
      <c r="AI37" s="40">
        <f t="shared" si="9"/>
        <v>188.00439149795713</v>
      </c>
      <c r="AJ37" s="116">
        <v>489.38000000000466</v>
      </c>
      <c r="AK37" s="3">
        <f t="shared" si="10"/>
        <v>5872560.0000000559</v>
      </c>
      <c r="AL37" s="36"/>
      <c r="AM37" s="7"/>
    </row>
    <row r="38" spans="1:39" ht="15" x14ac:dyDescent="0.25">
      <c r="A38" s="33"/>
      <c r="B38" s="53">
        <v>27</v>
      </c>
      <c r="C38" s="195">
        <v>7</v>
      </c>
      <c r="D38" s="196">
        <v>40</v>
      </c>
      <c r="E38" s="203">
        <v>10039.999999999964</v>
      </c>
      <c r="F38" s="200">
        <v>10399231.199999962</v>
      </c>
      <c r="G38" s="200">
        <v>2080.0000000000409</v>
      </c>
      <c r="H38" s="200">
        <v>3231633.6000000639</v>
      </c>
      <c r="I38" s="204">
        <f t="shared" si="0"/>
        <v>14312408.040000029</v>
      </c>
      <c r="J38" s="203">
        <v>1280.0000000000864</v>
      </c>
      <c r="K38" s="200">
        <v>1325798.4000000895</v>
      </c>
      <c r="L38" s="205">
        <v>340.00000000000341</v>
      </c>
      <c r="M38" s="205">
        <v>528247.80000000529</v>
      </c>
      <c r="N38" s="204">
        <f t="shared" si="1"/>
        <v>1946748.5100000994</v>
      </c>
      <c r="O38" s="201">
        <f t="shared" si="2"/>
        <v>16259156.550000127</v>
      </c>
      <c r="P38" s="202">
        <f t="shared" si="3"/>
        <v>13740.000000000095</v>
      </c>
      <c r="Q38" s="153"/>
      <c r="R38" s="165"/>
      <c r="S38" s="175"/>
      <c r="T38" s="172"/>
      <c r="U38" s="171">
        <v>0</v>
      </c>
      <c r="V38" s="151">
        <f t="shared" si="4"/>
        <v>890</v>
      </c>
      <c r="W38" s="3">
        <v>140</v>
      </c>
      <c r="X38" s="200">
        <v>2507214.2980189491</v>
      </c>
      <c r="Y38" s="31">
        <v>750</v>
      </c>
      <c r="Z38" s="199">
        <v>2430549.2492357488</v>
      </c>
      <c r="AA38" s="199">
        <f t="shared" si="5"/>
        <v>4937763.5472546984</v>
      </c>
      <c r="AB38" s="106">
        <f t="shared" si="6"/>
        <v>340.01952535840093</v>
      </c>
      <c r="AC38" s="222">
        <v>0</v>
      </c>
      <c r="AD38" s="3">
        <v>0</v>
      </c>
      <c r="AE38" s="3">
        <v>75.565279999999959</v>
      </c>
      <c r="AF38" s="3">
        <v>0</v>
      </c>
      <c r="AG38" s="3">
        <f t="shared" si="7"/>
        <v>75.565279999999959</v>
      </c>
      <c r="AH38" s="224">
        <f t="shared" si="8"/>
        <v>2230938.9498666655</v>
      </c>
      <c r="AI38" s="40">
        <f t="shared" si="9"/>
        <v>153.62477274939164</v>
      </c>
      <c r="AJ38" s="116">
        <v>98.25</v>
      </c>
      <c r="AK38" s="3">
        <f t="shared" si="10"/>
        <v>1179000</v>
      </c>
      <c r="AL38" s="36"/>
      <c r="AM38" s="7"/>
    </row>
    <row r="39" spans="1:39" ht="15" x14ac:dyDescent="0.25">
      <c r="A39" s="33"/>
      <c r="B39" s="53">
        <v>28</v>
      </c>
      <c r="C39" s="195">
        <v>5</v>
      </c>
      <c r="D39" s="196">
        <v>107</v>
      </c>
      <c r="E39" s="203">
        <v>9960.0000000000364</v>
      </c>
      <c r="F39" s="200">
        <v>10316368.800000038</v>
      </c>
      <c r="G39" s="200">
        <v>1960.0000000000364</v>
      </c>
      <c r="H39" s="200">
        <v>3045193.2000000565</v>
      </c>
      <c r="I39" s="204">
        <f t="shared" si="0"/>
        <v>14029640.1000001</v>
      </c>
      <c r="J39" s="203">
        <v>1379.9999999999955</v>
      </c>
      <c r="K39" s="200">
        <v>1429376.3999999953</v>
      </c>
      <c r="L39" s="205">
        <v>479.99999999998977</v>
      </c>
      <c r="M39" s="205">
        <v>745761.59999998414</v>
      </c>
      <c r="N39" s="204">
        <f t="shared" si="1"/>
        <v>2283894.8999999785</v>
      </c>
      <c r="O39" s="201">
        <f t="shared" si="2"/>
        <v>16313535.000000078</v>
      </c>
      <c r="P39" s="202">
        <f t="shared" si="3"/>
        <v>13780.000000000058</v>
      </c>
      <c r="Q39" s="153"/>
      <c r="R39" s="168"/>
      <c r="S39" s="175"/>
      <c r="T39" s="172"/>
      <c r="U39" s="171">
        <v>0</v>
      </c>
      <c r="V39" s="151">
        <f t="shared" si="4"/>
        <v>1002</v>
      </c>
      <c r="W39" s="3">
        <v>218</v>
      </c>
      <c r="X39" s="200">
        <v>3904090.8354866495</v>
      </c>
      <c r="Y39" s="31">
        <v>784</v>
      </c>
      <c r="Z39" s="199">
        <v>2540734.1485344362</v>
      </c>
      <c r="AA39" s="199">
        <f t="shared" si="5"/>
        <v>6444824.9840210862</v>
      </c>
      <c r="AB39" s="106">
        <f t="shared" si="6"/>
        <v>443.79734086359224</v>
      </c>
      <c r="AC39" s="222">
        <v>0</v>
      </c>
      <c r="AD39" s="3">
        <v>0</v>
      </c>
      <c r="AE39" s="3">
        <v>78.868240000000156</v>
      </c>
      <c r="AF39" s="3">
        <v>12</v>
      </c>
      <c r="AG39" s="3">
        <f t="shared" si="7"/>
        <v>90.868240000000156</v>
      </c>
      <c r="AH39" s="224">
        <f t="shared" si="8"/>
        <v>2682733.3389333379</v>
      </c>
      <c r="AI39" s="40">
        <f t="shared" si="9"/>
        <v>184.73580353486696</v>
      </c>
      <c r="AJ39" s="116">
        <v>259.09999999999127</v>
      </c>
      <c r="AK39" s="3">
        <f t="shared" si="10"/>
        <v>3109199.9999998952</v>
      </c>
      <c r="AL39" s="36"/>
      <c r="AM39" s="7"/>
    </row>
    <row r="40" spans="1:39" ht="15" x14ac:dyDescent="0.25">
      <c r="A40" s="33"/>
      <c r="B40" s="53">
        <v>29</v>
      </c>
      <c r="C40" s="195">
        <v>4</v>
      </c>
      <c r="D40" s="196">
        <v>66</v>
      </c>
      <c r="E40" s="203">
        <v>10599.999999999454</v>
      </c>
      <c r="F40" s="200">
        <v>10979267.999999434</v>
      </c>
      <c r="G40" s="200">
        <v>2159.9999999999682</v>
      </c>
      <c r="H40" s="200">
        <v>3355927.1999999508</v>
      </c>
      <c r="I40" s="204">
        <f t="shared" si="0"/>
        <v>15051954.959999355</v>
      </c>
      <c r="J40" s="203">
        <v>1039.9999999999636</v>
      </c>
      <c r="K40" s="200">
        <v>1077211.1999999622</v>
      </c>
      <c r="L40" s="205">
        <v>319.99999999999318</v>
      </c>
      <c r="M40" s="205">
        <v>497174.39999998943</v>
      </c>
      <c r="N40" s="204">
        <f t="shared" si="1"/>
        <v>1653104.8799999494</v>
      </c>
      <c r="O40" s="201">
        <f t="shared" si="2"/>
        <v>16705059.839999303</v>
      </c>
      <c r="P40" s="202">
        <f t="shared" si="3"/>
        <v>14119.999999999378</v>
      </c>
      <c r="Q40" s="154"/>
      <c r="R40" s="169"/>
      <c r="S40" s="175"/>
      <c r="T40" s="172"/>
      <c r="U40" s="171">
        <v>0</v>
      </c>
      <c r="V40" s="151">
        <f t="shared" si="4"/>
        <v>990</v>
      </c>
      <c r="W40" s="3">
        <v>220</v>
      </c>
      <c r="X40" s="200">
        <v>3939908.182601206</v>
      </c>
      <c r="Y40" s="31">
        <v>770</v>
      </c>
      <c r="Z40" s="199">
        <v>2495363.8958820356</v>
      </c>
      <c r="AA40" s="199">
        <f t="shared" si="5"/>
        <v>6435272.0784832416</v>
      </c>
      <c r="AB40" s="106">
        <f t="shared" si="6"/>
        <v>443.13951786828545</v>
      </c>
      <c r="AC40" s="222">
        <v>0</v>
      </c>
      <c r="AD40" s="3">
        <v>0</v>
      </c>
      <c r="AE40" s="3">
        <v>65.0521999999999</v>
      </c>
      <c r="AF40" s="3">
        <v>12</v>
      </c>
      <c r="AG40" s="3">
        <f t="shared" si="7"/>
        <v>77.0521999999999</v>
      </c>
      <c r="AH40" s="224">
        <f t="shared" si="8"/>
        <v>2274837.784666664</v>
      </c>
      <c r="AI40" s="40">
        <f t="shared" si="9"/>
        <v>156.64769209934335</v>
      </c>
      <c r="AJ40" s="116">
        <v>167</v>
      </c>
      <c r="AK40" s="3">
        <f t="shared" si="10"/>
        <v>2004000</v>
      </c>
      <c r="AL40" s="36"/>
      <c r="AM40" s="7"/>
    </row>
    <row r="41" spans="1:39" ht="17.25" customHeight="1" x14ac:dyDescent="0.25">
      <c r="A41" s="33"/>
      <c r="B41" s="53">
        <v>30</v>
      </c>
      <c r="C41" s="195">
        <v>5</v>
      </c>
      <c r="D41" s="196">
        <v>62</v>
      </c>
      <c r="E41" s="203">
        <v>9880.0000000001091</v>
      </c>
      <c r="F41" s="200">
        <v>10233506.400000112</v>
      </c>
      <c r="G41" s="200">
        <v>2039.9999999999636</v>
      </c>
      <c r="H41" s="200">
        <v>3169486.7999999435</v>
      </c>
      <c r="I41" s="204">
        <f t="shared" si="0"/>
        <v>14073142.860000059</v>
      </c>
      <c r="J41" s="203">
        <v>1320.00000000005</v>
      </c>
      <c r="K41" s="200">
        <v>1367229.6000000518</v>
      </c>
      <c r="L41" s="205">
        <v>280.00000000000114</v>
      </c>
      <c r="M41" s="205">
        <v>435027.60000000178</v>
      </c>
      <c r="N41" s="204">
        <f t="shared" si="1"/>
        <v>1892370.0600000562</v>
      </c>
      <c r="O41" s="201">
        <f t="shared" si="2"/>
        <v>15965512.920000115</v>
      </c>
      <c r="P41" s="202">
        <f t="shared" si="3"/>
        <v>13520.000000000126</v>
      </c>
      <c r="Q41" s="153"/>
      <c r="R41" s="170"/>
      <c r="S41" s="175"/>
      <c r="T41" s="172"/>
      <c r="U41" s="171">
        <v>0</v>
      </c>
      <c r="V41" s="151">
        <f t="shared" si="4"/>
        <v>868</v>
      </c>
      <c r="W41" s="3">
        <v>220</v>
      </c>
      <c r="X41" s="200">
        <v>3939908.182601206</v>
      </c>
      <c r="Y41" s="31">
        <v>648</v>
      </c>
      <c r="Z41" s="199">
        <v>2099994.5513396868</v>
      </c>
      <c r="AA41" s="199">
        <f t="shared" si="5"/>
        <v>6039902.7339408929</v>
      </c>
      <c r="AB41" s="106">
        <f t="shared" si="6"/>
        <v>415.91397424190143</v>
      </c>
      <c r="AC41" s="222">
        <v>0</v>
      </c>
      <c r="AD41" s="3">
        <v>0</v>
      </c>
      <c r="AE41" s="3">
        <v>79.150199999999899</v>
      </c>
      <c r="AF41" s="3">
        <v>0</v>
      </c>
      <c r="AG41" s="3">
        <f t="shared" si="7"/>
        <v>79.150199999999899</v>
      </c>
      <c r="AH41" s="224">
        <f t="shared" si="8"/>
        <v>2336777.7379999971</v>
      </c>
      <c r="AI41" s="40">
        <f t="shared" si="9"/>
        <v>160.91294160583922</v>
      </c>
      <c r="AJ41" s="116">
        <v>156.27000000000407</v>
      </c>
      <c r="AK41" s="3">
        <f t="shared" si="10"/>
        <v>1875240.0000000489</v>
      </c>
      <c r="AL41" s="36"/>
      <c r="AM41" s="7"/>
    </row>
    <row r="42" spans="1:39" thickBot="1" x14ac:dyDescent="0.3">
      <c r="A42" s="33"/>
      <c r="B42" s="103">
        <v>31</v>
      </c>
      <c r="C42" s="195">
        <v>8</v>
      </c>
      <c r="D42" s="196">
        <v>77</v>
      </c>
      <c r="E42" s="206">
        <v>9720.0000000002547</v>
      </c>
      <c r="F42" s="207">
        <v>10067781.600000264</v>
      </c>
      <c r="G42" s="207">
        <v>2120.0000000000045</v>
      </c>
      <c r="H42" s="207">
        <v>3293780.4000000074</v>
      </c>
      <c r="I42" s="204">
        <f t="shared" si="0"/>
        <v>14029640.100000286</v>
      </c>
      <c r="J42" s="206">
        <v>1059.9999999999454</v>
      </c>
      <c r="K42" s="207">
        <v>1097926.7999999435</v>
      </c>
      <c r="L42" s="208">
        <v>300.00000000001137</v>
      </c>
      <c r="M42" s="208">
        <v>466101.0000000177</v>
      </c>
      <c r="N42" s="204">
        <f t="shared" si="1"/>
        <v>1642229.1899999592</v>
      </c>
      <c r="O42" s="201">
        <f t="shared" si="2"/>
        <v>15671869.290000245</v>
      </c>
      <c r="P42" s="202">
        <f t="shared" si="3"/>
        <v>13200.000000000215</v>
      </c>
      <c r="Q42" s="183"/>
      <c r="R42" s="184"/>
      <c r="S42" s="176"/>
      <c r="T42" s="176"/>
      <c r="U42" s="185"/>
      <c r="V42" s="151">
        <f t="shared" si="4"/>
        <v>895</v>
      </c>
      <c r="W42" s="88">
        <v>225</v>
      </c>
      <c r="X42" s="200">
        <v>4029451.5503875972</v>
      </c>
      <c r="Y42" s="186">
        <v>670</v>
      </c>
      <c r="Z42" s="199">
        <v>2171290.6626506024</v>
      </c>
      <c r="AA42" s="199">
        <f t="shared" si="5"/>
        <v>6200742.2130381996</v>
      </c>
      <c r="AB42" s="106">
        <f t="shared" si="6"/>
        <v>426.9895477921911</v>
      </c>
      <c r="AC42" s="223">
        <v>0</v>
      </c>
      <c r="AD42" s="3">
        <v>0</v>
      </c>
      <c r="AE42" s="88">
        <v>76.572279999999949</v>
      </c>
      <c r="AF42" s="3">
        <v>12</v>
      </c>
      <c r="AG42" s="3">
        <f t="shared" si="7"/>
        <v>88.572279999999949</v>
      </c>
      <c r="AH42" s="224">
        <f t="shared" si="8"/>
        <v>2614948.9465333321</v>
      </c>
      <c r="AI42" s="40">
        <f t="shared" si="9"/>
        <v>180.06809988523153</v>
      </c>
      <c r="AJ42" s="187">
        <v>218.13999999999942</v>
      </c>
      <c r="AK42" s="3">
        <f t="shared" si="10"/>
        <v>2617679.999999993</v>
      </c>
      <c r="AL42" s="188"/>
      <c r="AM42" s="7"/>
    </row>
    <row r="43" spans="1:39" s="8" customFormat="1" ht="13.5" customHeight="1" x14ac:dyDescent="0.25">
      <c r="A43" s="15"/>
      <c r="B43" s="98"/>
      <c r="C43" s="99"/>
      <c r="D43" s="99"/>
      <c r="E43" s="209"/>
      <c r="F43" s="210"/>
      <c r="G43" s="211"/>
      <c r="H43" s="210"/>
      <c r="I43" s="211"/>
      <c r="J43" s="211"/>
      <c r="K43" s="211"/>
      <c r="L43" s="210"/>
      <c r="M43" s="212"/>
      <c r="N43" s="212"/>
      <c r="O43" s="15"/>
      <c r="P43" s="61"/>
      <c r="Q43" s="15"/>
      <c r="R43" s="80"/>
      <c r="S43" s="7"/>
      <c r="T43" s="15"/>
      <c r="U43" s="32"/>
      <c r="V43" s="107"/>
      <c r="W43" s="15"/>
      <c r="X43" s="15"/>
      <c r="Y43" s="15"/>
      <c r="Z43" s="15"/>
      <c r="AA43" s="15"/>
      <c r="AB43" s="32"/>
      <c r="AC43" s="15"/>
      <c r="AD43" s="7"/>
      <c r="AE43" s="15"/>
      <c r="AF43" s="15"/>
      <c r="AG43" s="15"/>
      <c r="AH43" s="15"/>
      <c r="AI43" s="15"/>
      <c r="AJ43" s="80"/>
      <c r="AK43" s="15"/>
      <c r="AL43" s="32"/>
      <c r="AM43" s="15"/>
    </row>
    <row r="44" spans="1:39" s="8" customFormat="1" ht="6" customHeight="1" x14ac:dyDescent="0.25">
      <c r="A44" s="15"/>
      <c r="B44" s="98"/>
      <c r="C44" s="99"/>
      <c r="D44" s="99"/>
      <c r="E44" s="97"/>
      <c r="F44" s="7"/>
      <c r="G44" s="15"/>
      <c r="H44" s="7"/>
      <c r="I44" s="15"/>
      <c r="J44" s="15"/>
      <c r="K44" s="15"/>
      <c r="L44" s="7"/>
      <c r="M44" s="57"/>
      <c r="N44" s="61"/>
      <c r="O44" s="15"/>
      <c r="P44" s="61"/>
      <c r="Q44" s="15"/>
      <c r="R44" s="80"/>
      <c r="S44" s="16"/>
      <c r="T44" s="16"/>
      <c r="U44" s="32"/>
      <c r="V44" s="107"/>
      <c r="W44" s="15"/>
      <c r="X44" s="15"/>
      <c r="Y44" s="15"/>
      <c r="Z44" s="15"/>
      <c r="AA44" s="15"/>
      <c r="AB44" s="108"/>
      <c r="AC44" s="15"/>
      <c r="AD44" s="7"/>
      <c r="AE44" s="15"/>
      <c r="AF44" s="15"/>
      <c r="AG44" s="15"/>
      <c r="AH44" s="7"/>
      <c r="AI44" s="15"/>
      <c r="AJ44" s="82"/>
      <c r="AK44" s="5"/>
      <c r="AL44" s="37"/>
      <c r="AM44" s="15"/>
    </row>
    <row r="45" spans="1:39" s="8" customFormat="1" ht="16.5" thickBot="1" x14ac:dyDescent="0.3">
      <c r="A45" s="15"/>
      <c r="B45" s="100"/>
      <c r="C45" s="101"/>
      <c r="D45" s="101"/>
      <c r="E45" s="102"/>
      <c r="F45" s="67"/>
      <c r="G45" s="66"/>
      <c r="H45" s="67"/>
      <c r="I45" s="66"/>
      <c r="J45" s="66"/>
      <c r="K45" s="66"/>
      <c r="L45" s="67"/>
      <c r="M45" s="68"/>
      <c r="N45" s="69"/>
      <c r="O45" s="66"/>
      <c r="P45" s="69"/>
      <c r="Q45" s="66"/>
      <c r="R45" s="81"/>
      <c r="S45" s="70"/>
      <c r="T45" s="66"/>
      <c r="U45" s="152"/>
      <c r="V45" s="109"/>
      <c r="W45" s="72"/>
      <c r="X45" s="66"/>
      <c r="Y45" s="66"/>
      <c r="Z45" s="66"/>
      <c r="AA45" s="66"/>
      <c r="AB45" s="71"/>
      <c r="AC45" s="73"/>
      <c r="AD45" s="67"/>
      <c r="AE45" s="73"/>
      <c r="AF45" s="73"/>
      <c r="AG45" s="73"/>
      <c r="AH45" s="67"/>
      <c r="AI45" s="66"/>
      <c r="AJ45" s="117"/>
      <c r="AK45" s="74"/>
      <c r="AL45" s="75"/>
      <c r="AM45" s="15"/>
    </row>
    <row r="46" spans="1:39" ht="17.25" thickTop="1" thickBot="1" x14ac:dyDescent="0.3">
      <c r="A46" s="24"/>
      <c r="B46" s="64"/>
      <c r="C46" s="65">
        <f t="shared" ref="C46:O46" si="11">SUM(C12:C42)</f>
        <v>232</v>
      </c>
      <c r="D46" s="65">
        <f t="shared" si="11"/>
        <v>2935</v>
      </c>
      <c r="E46" s="213">
        <f t="shared" si="11"/>
        <v>317520.00000000047</v>
      </c>
      <c r="F46" s="213">
        <f t="shared" si="11"/>
        <v>328880865.60000038</v>
      </c>
      <c r="G46" s="213">
        <f t="shared" si="11"/>
        <v>65439.999999999935</v>
      </c>
      <c r="H46" s="213">
        <f t="shared" si="11"/>
        <v>101672164.79999991</v>
      </c>
      <c r="I46" s="213">
        <f>SUM(I12:I42)</f>
        <v>452080681.92000031</v>
      </c>
      <c r="J46" s="213">
        <f t="shared" si="11"/>
        <v>42659.999999999956</v>
      </c>
      <c r="K46" s="213">
        <f t="shared" si="11"/>
        <v>44186374.799999975</v>
      </c>
      <c r="L46" s="213">
        <f t="shared" si="11"/>
        <v>11620.000000000005</v>
      </c>
      <c r="M46" s="213">
        <f t="shared" si="11"/>
        <v>18053645.40000001</v>
      </c>
      <c r="N46" s="213">
        <f t="shared" si="11"/>
        <v>65352021.209999993</v>
      </c>
      <c r="O46" s="213">
        <f t="shared" si="11"/>
        <v>517432703.13000035</v>
      </c>
      <c r="P46" s="214">
        <f>SUM(P12:P42)</f>
        <v>437240.00000000029</v>
      </c>
      <c r="Q46" s="215"/>
      <c r="R46" s="216"/>
      <c r="S46" s="217"/>
      <c r="T46" s="217"/>
      <c r="U46" s="218"/>
      <c r="V46" s="219">
        <f t="shared" ref="V46:AB46" si="12">SUM(V12:V42)</f>
        <v>29210</v>
      </c>
      <c r="W46" s="220">
        <f t="shared" si="12"/>
        <v>6966</v>
      </c>
      <c r="X46" s="220">
        <f>SUM(X12:X42)</f>
        <v>124751820</v>
      </c>
      <c r="Y46" s="220">
        <f t="shared" si="12"/>
        <v>22244</v>
      </c>
      <c r="Z46" s="220">
        <f t="shared" si="12"/>
        <v>72086850.000000015</v>
      </c>
      <c r="AA46" s="221">
        <f t="shared" si="12"/>
        <v>196838670.00000006</v>
      </c>
      <c r="AB46" s="220">
        <f t="shared" si="12"/>
        <v>13554.515218289487</v>
      </c>
      <c r="AC46" s="41">
        <f>SUM(AC12:AC41)</f>
        <v>5.7700000000040745</v>
      </c>
      <c r="AD46" s="112">
        <f>SUM(AD12:AD41)</f>
        <v>0</v>
      </c>
      <c r="AE46" s="41">
        <f>SUM(AE12:AE42)</f>
        <v>2780.5284000000001</v>
      </c>
      <c r="AF46" s="41">
        <f>SUM(AF12:AF42)</f>
        <v>324</v>
      </c>
      <c r="AG46" s="174">
        <f>SUM(AG12:AG42)</f>
        <v>3104.5284000000001</v>
      </c>
      <c r="AH46" s="120">
        <f>SUM(AH12:AH42)</f>
        <v>91656026.795999974</v>
      </c>
      <c r="AI46" s="121">
        <f>AH46/$AL$47</f>
        <v>7063.4549233243588</v>
      </c>
      <c r="AJ46" s="173">
        <f>SUM(AJ12:AJ42)</f>
        <v>7749.0400000000227</v>
      </c>
      <c r="AK46" s="118">
        <f>SUM(AK12:AK42)</f>
        <v>92988480.000000283</v>
      </c>
      <c r="AL46" s="119">
        <f>AK46/AL47</f>
        <v>7166.1401855258619</v>
      </c>
      <c r="AM46" s="24"/>
    </row>
    <row r="47" spans="1:39" s="1" customFormat="1" x14ac:dyDescent="0.25">
      <c r="A47" s="24"/>
      <c r="B47" s="24"/>
      <c r="C47" s="5"/>
      <c r="D47" s="11"/>
      <c r="E47" s="5"/>
      <c r="F47" s="5"/>
      <c r="G47" s="11"/>
      <c r="H47" s="5"/>
      <c r="I47" s="9"/>
      <c r="J47" s="9"/>
      <c r="K47" s="9"/>
      <c r="L47" s="17"/>
      <c r="M47" s="58"/>
      <c r="N47" s="62"/>
      <c r="O47" s="10"/>
      <c r="P47" s="62"/>
      <c r="Q47" s="10"/>
      <c r="R47" s="96"/>
      <c r="S47" s="14"/>
      <c r="T47" s="76" t="s">
        <v>29</v>
      </c>
      <c r="U47" s="123" t="e">
        <f>U46/S46</f>
        <v>#DIV/0!</v>
      </c>
      <c r="V47" s="155" t="s">
        <v>52</v>
      </c>
      <c r="W47" s="11"/>
      <c r="X47" s="11"/>
      <c r="Y47" s="113"/>
      <c r="Z47" s="11"/>
      <c r="AA47" s="11"/>
      <c r="AB47" s="11"/>
      <c r="AC47" s="16"/>
      <c r="AD47" s="7"/>
      <c r="AE47" s="16"/>
      <c r="AF47" s="16"/>
      <c r="AG47" s="7"/>
      <c r="AH47" s="179"/>
      <c r="AI47" s="11"/>
      <c r="AJ47" s="82"/>
      <c r="AK47" s="11" t="s">
        <v>54</v>
      </c>
      <c r="AL47" s="122">
        <v>12976.09</v>
      </c>
      <c r="AM47" s="24"/>
    </row>
    <row r="48" spans="1:39" s="1" customFormat="1" x14ac:dyDescent="0.25">
      <c r="A48" s="24"/>
      <c r="B48" s="24"/>
      <c r="C48" s="5"/>
      <c r="D48" s="11"/>
      <c r="E48" s="5"/>
      <c r="F48" s="5"/>
      <c r="G48" s="11"/>
      <c r="H48" s="5"/>
      <c r="I48" s="9"/>
      <c r="J48" s="9"/>
      <c r="K48" s="9"/>
      <c r="L48" s="17"/>
      <c r="M48" s="58"/>
      <c r="N48" s="62"/>
      <c r="O48" s="10">
        <f>+O46/P46</f>
        <v>1183.4066030784008</v>
      </c>
      <c r="P48" s="62"/>
      <c r="Q48" s="10"/>
      <c r="R48" s="96"/>
      <c r="S48" s="14"/>
      <c r="T48" s="180"/>
      <c r="U48" s="123"/>
      <c r="V48" s="155"/>
      <c r="W48" s="178"/>
      <c r="X48" s="178"/>
      <c r="Y48" s="113"/>
      <c r="Z48" s="178"/>
      <c r="AA48" s="11"/>
      <c r="AB48" s="11"/>
      <c r="AC48" s="16"/>
      <c r="AD48" s="7"/>
      <c r="AE48" s="16"/>
      <c r="AF48" s="16"/>
      <c r="AG48" s="7"/>
      <c r="AH48" s="179"/>
      <c r="AI48" s="11"/>
      <c r="AJ48" s="82"/>
      <c r="AK48" s="11"/>
      <c r="AL48" s="122"/>
      <c r="AM48" s="24"/>
    </row>
    <row r="49" spans="1:39" s="1" customFormat="1" x14ac:dyDescent="0.25">
      <c r="A49" s="24"/>
      <c r="B49" s="24"/>
      <c r="C49" s="5"/>
      <c r="D49" s="11"/>
      <c r="E49" s="5"/>
      <c r="F49" s="5"/>
      <c r="G49" s="11"/>
      <c r="H49" s="5"/>
      <c r="I49" s="9"/>
      <c r="J49" s="9"/>
      <c r="K49" s="9"/>
      <c r="L49" s="17"/>
      <c r="M49" s="58"/>
      <c r="N49" s="62"/>
      <c r="O49" s="10"/>
      <c r="P49" s="62"/>
      <c r="Q49" s="10"/>
      <c r="R49" s="96"/>
      <c r="S49" s="14"/>
      <c r="T49" s="76"/>
      <c r="U49" s="123"/>
      <c r="V49" s="155"/>
      <c r="W49" s="11"/>
      <c r="X49" s="11"/>
      <c r="Y49" s="113"/>
      <c r="Z49" s="178"/>
      <c r="AA49" s="11"/>
      <c r="AB49" s="11"/>
      <c r="AC49" s="16"/>
      <c r="AD49" s="7"/>
      <c r="AE49" s="16"/>
      <c r="AF49" s="16"/>
      <c r="AG49" s="190"/>
      <c r="AH49" s="179"/>
      <c r="AI49" s="11"/>
      <c r="AJ49" s="82"/>
      <c r="AK49" s="11"/>
      <c r="AL49" s="122"/>
      <c r="AM49" s="24"/>
    </row>
    <row r="50" spans="1:39" s="158" customFormat="1" x14ac:dyDescent="0.25">
      <c r="A50" s="156"/>
      <c r="B50" s="156"/>
      <c r="C50" s="157"/>
      <c r="E50" s="157"/>
      <c r="F50" s="157"/>
      <c r="H50" s="157"/>
      <c r="L50" s="157"/>
      <c r="M50" s="159"/>
      <c r="N50" s="160"/>
      <c r="P50" s="160"/>
      <c r="R50" s="161"/>
      <c r="T50" s="177"/>
      <c r="Y50" s="189"/>
      <c r="AD50" s="157"/>
      <c r="AG50" s="177"/>
      <c r="AH50" s="157"/>
      <c r="AJ50" s="161"/>
      <c r="AL50" s="162"/>
      <c r="AM50" s="156"/>
    </row>
    <row r="51" spans="1:39" s="158" customFormat="1" x14ac:dyDescent="0.25">
      <c r="A51" s="156"/>
      <c r="B51" s="156"/>
      <c r="C51" s="157"/>
      <c r="E51" s="157"/>
      <c r="F51" s="157"/>
      <c r="H51" s="157"/>
      <c r="L51" s="157"/>
      <c r="M51" s="159"/>
      <c r="N51" s="160"/>
      <c r="P51" s="160"/>
      <c r="R51" s="161"/>
      <c r="S51" s="177"/>
      <c r="T51" s="177"/>
      <c r="Z51" s="177"/>
      <c r="AD51" s="157"/>
      <c r="AH51" s="157"/>
      <c r="AJ51" s="161"/>
      <c r="AL51" s="162"/>
      <c r="AM51" s="156"/>
    </row>
    <row r="52" spans="1:39" s="158" customFormat="1" x14ac:dyDescent="0.25">
      <c r="A52" s="156"/>
      <c r="B52" s="156"/>
      <c r="C52" s="157"/>
      <c r="E52" s="157"/>
      <c r="F52" s="157"/>
      <c r="H52" s="157"/>
      <c r="L52" s="157"/>
      <c r="M52" s="159"/>
      <c r="N52" s="160"/>
      <c r="P52" s="160"/>
      <c r="R52" s="161"/>
      <c r="X52" s="177"/>
      <c r="AD52" s="157"/>
      <c r="AH52" s="157"/>
      <c r="AJ52" s="161"/>
      <c r="AL52" s="162"/>
      <c r="AM52" s="156"/>
    </row>
    <row r="53" spans="1:39" s="158" customFormat="1" x14ac:dyDescent="0.25">
      <c r="A53" s="156"/>
      <c r="B53" s="156"/>
      <c r="C53" s="157"/>
      <c r="E53" s="157"/>
      <c r="F53" s="157"/>
      <c r="H53" s="157"/>
      <c r="L53" s="157"/>
      <c r="M53" s="159"/>
      <c r="N53" s="160"/>
      <c r="P53" s="160"/>
      <c r="R53" s="161"/>
      <c r="S53" s="177"/>
      <c r="AD53" s="157"/>
      <c r="AH53" s="157"/>
      <c r="AJ53" s="161"/>
      <c r="AL53" s="162"/>
      <c r="AM53" s="156"/>
    </row>
    <row r="54" spans="1:39" s="158" customFormat="1" x14ac:dyDescent="0.25">
      <c r="A54" s="156"/>
      <c r="B54" s="156"/>
      <c r="C54" s="157"/>
      <c r="E54" s="157"/>
      <c r="F54" s="157"/>
      <c r="H54" s="157"/>
      <c r="L54" s="157"/>
      <c r="M54" s="159"/>
      <c r="N54" s="160"/>
      <c r="P54" s="160"/>
      <c r="R54" s="161"/>
      <c r="T54" s="177"/>
      <c r="AD54" s="157"/>
      <c r="AH54" s="157"/>
      <c r="AJ54" s="161"/>
      <c r="AL54" s="162"/>
      <c r="AM54" s="156"/>
    </row>
    <row r="55" spans="1:39" s="158" customFormat="1" x14ac:dyDescent="0.25">
      <c r="A55" s="156"/>
      <c r="B55" s="156"/>
      <c r="C55" s="157"/>
      <c r="E55" s="157"/>
      <c r="F55" s="157"/>
      <c r="H55" s="157"/>
      <c r="L55" s="157"/>
      <c r="M55" s="159"/>
      <c r="N55" s="160"/>
      <c r="P55" s="160"/>
      <c r="R55" s="161"/>
      <c r="AD55" s="157"/>
      <c r="AH55" s="157"/>
      <c r="AJ55" s="161"/>
      <c r="AL55" s="162"/>
      <c r="AM55" s="156"/>
    </row>
    <row r="56" spans="1:39" s="158" customFormat="1" x14ac:dyDescent="0.25">
      <c r="A56" s="156"/>
      <c r="B56" s="156"/>
      <c r="C56" s="157"/>
      <c r="E56" s="157"/>
      <c r="F56" s="157"/>
      <c r="H56" s="157"/>
      <c r="L56" s="157"/>
      <c r="M56" s="159"/>
      <c r="N56" s="160"/>
      <c r="P56" s="160"/>
      <c r="R56" s="161"/>
      <c r="AD56" s="157"/>
      <c r="AH56" s="157"/>
      <c r="AJ56" s="161"/>
      <c r="AL56" s="162"/>
      <c r="AM56" s="156"/>
    </row>
    <row r="57" spans="1:39" s="158" customFormat="1" x14ac:dyDescent="0.25">
      <c r="A57" s="156"/>
      <c r="B57" s="156"/>
      <c r="C57" s="157"/>
      <c r="E57" s="157"/>
      <c r="F57" s="157"/>
      <c r="H57" s="157"/>
      <c r="L57" s="157"/>
      <c r="M57" s="159"/>
      <c r="N57" s="160"/>
      <c r="P57" s="160"/>
      <c r="R57" s="161"/>
      <c r="AD57" s="157"/>
      <c r="AH57" s="157"/>
      <c r="AJ57" s="161"/>
      <c r="AL57" s="162"/>
      <c r="AM57" s="156"/>
    </row>
    <row r="58" spans="1:39" s="158" customFormat="1" x14ac:dyDescent="0.25">
      <c r="A58" s="156"/>
      <c r="B58" s="156"/>
      <c r="C58" s="157"/>
      <c r="E58" s="157"/>
      <c r="F58" s="157"/>
      <c r="H58" s="157"/>
      <c r="L58" s="157"/>
      <c r="M58" s="159"/>
      <c r="N58" s="160"/>
      <c r="P58" s="160"/>
      <c r="R58" s="161"/>
      <c r="AD58" s="157"/>
      <c r="AH58" s="157"/>
      <c r="AJ58" s="161"/>
      <c r="AL58" s="162"/>
      <c r="AM58" s="156"/>
    </row>
    <row r="59" spans="1:39" s="158" customFormat="1" x14ac:dyDescent="0.25">
      <c r="A59" s="156"/>
      <c r="B59" s="156"/>
      <c r="C59" s="157"/>
      <c r="E59" s="157"/>
      <c r="F59" s="157"/>
      <c r="H59" s="157"/>
      <c r="L59" s="157"/>
      <c r="M59" s="159"/>
      <c r="N59" s="160"/>
      <c r="P59" s="160"/>
      <c r="R59" s="161"/>
      <c r="AD59" s="157"/>
      <c r="AH59" s="157"/>
      <c r="AJ59" s="161"/>
      <c r="AL59" s="162"/>
      <c r="AM59" s="156"/>
    </row>
    <row r="60" spans="1:39" s="158" customFormat="1" x14ac:dyDescent="0.25">
      <c r="A60" s="156"/>
      <c r="B60" s="156"/>
      <c r="C60" s="157"/>
      <c r="E60" s="157"/>
      <c r="F60" s="157"/>
      <c r="H60" s="157"/>
      <c r="L60" s="157"/>
      <c r="M60" s="159"/>
      <c r="N60" s="160"/>
      <c r="P60" s="160"/>
      <c r="R60" s="161"/>
      <c r="AD60" s="157"/>
      <c r="AH60" s="157"/>
      <c r="AJ60" s="161"/>
      <c r="AL60" s="162"/>
      <c r="AM60" s="156"/>
    </row>
    <row r="61" spans="1:39" s="158" customFormat="1" x14ac:dyDescent="0.25">
      <c r="A61" s="156"/>
      <c r="B61" s="156"/>
      <c r="C61" s="157"/>
      <c r="E61" s="157"/>
      <c r="F61" s="157"/>
      <c r="H61" s="157"/>
      <c r="L61" s="157"/>
      <c r="M61" s="159"/>
      <c r="N61" s="160"/>
      <c r="P61" s="160"/>
      <c r="R61" s="161"/>
      <c r="AD61" s="157"/>
      <c r="AH61" s="157"/>
      <c r="AJ61" s="161"/>
      <c r="AL61" s="162"/>
      <c r="AM61" s="156"/>
    </row>
    <row r="62" spans="1:39" s="158" customFormat="1" x14ac:dyDescent="0.25">
      <c r="A62" s="156"/>
      <c r="B62" s="156"/>
      <c r="C62" s="157"/>
      <c r="E62" s="157"/>
      <c r="F62" s="157"/>
      <c r="H62" s="157"/>
      <c r="I62" s="157"/>
      <c r="J62" s="157"/>
      <c r="L62" s="157"/>
      <c r="M62" s="159"/>
      <c r="N62" s="160"/>
      <c r="P62" s="160"/>
      <c r="R62" s="161"/>
      <c r="AD62" s="157"/>
      <c r="AH62" s="157"/>
      <c r="AJ62" s="161"/>
      <c r="AL62" s="162"/>
      <c r="AM62" s="156"/>
    </row>
    <row r="63" spans="1:39" s="158" customFormat="1" x14ac:dyDescent="0.25">
      <c r="A63" s="156"/>
      <c r="B63" s="156"/>
      <c r="C63" s="157"/>
      <c r="E63" s="157"/>
      <c r="F63" s="157"/>
      <c r="H63" s="157"/>
      <c r="L63" s="157"/>
      <c r="M63" s="159"/>
      <c r="N63" s="160"/>
      <c r="P63" s="160"/>
      <c r="R63" s="161"/>
      <c r="AD63" s="157"/>
      <c r="AH63" s="157"/>
      <c r="AJ63" s="161"/>
      <c r="AL63" s="162"/>
      <c r="AM63" s="156"/>
    </row>
    <row r="64" spans="1:39" s="158" customFormat="1" x14ac:dyDescent="0.25">
      <c r="A64" s="156"/>
      <c r="B64" s="156"/>
      <c r="C64" s="157"/>
      <c r="E64" s="157"/>
      <c r="F64" s="157"/>
      <c r="H64" s="157"/>
      <c r="L64" s="157"/>
      <c r="M64" s="159"/>
      <c r="N64" s="160"/>
      <c r="P64" s="160"/>
      <c r="R64" s="161"/>
      <c r="AD64" s="157"/>
      <c r="AH64" s="157"/>
      <c r="AJ64" s="161"/>
      <c r="AL64" s="162"/>
      <c r="AM64" s="156"/>
    </row>
    <row r="65" spans="1:39" s="158" customFormat="1" x14ac:dyDescent="0.25">
      <c r="A65" s="156"/>
      <c r="B65" s="156"/>
      <c r="C65" s="157"/>
      <c r="E65" s="157"/>
      <c r="F65" s="157"/>
      <c r="H65" s="157"/>
      <c r="L65" s="157"/>
      <c r="M65" s="159"/>
      <c r="N65" s="160"/>
      <c r="P65" s="160"/>
      <c r="R65" s="161"/>
      <c r="AD65" s="157"/>
      <c r="AH65" s="157"/>
      <c r="AJ65" s="161"/>
      <c r="AL65" s="162"/>
      <c r="AM65" s="156"/>
    </row>
    <row r="66" spans="1:39" s="158" customFormat="1" x14ac:dyDescent="0.25">
      <c r="A66" s="156"/>
      <c r="B66" s="156"/>
      <c r="C66" s="157"/>
      <c r="E66" s="157"/>
      <c r="F66" s="157"/>
      <c r="H66" s="157"/>
      <c r="L66" s="157"/>
      <c r="M66" s="159"/>
      <c r="N66" s="160"/>
      <c r="P66" s="160"/>
      <c r="R66" s="161"/>
      <c r="AD66" s="157"/>
      <c r="AH66" s="157"/>
      <c r="AJ66" s="161"/>
      <c r="AL66" s="162"/>
      <c r="AM66" s="156"/>
    </row>
    <row r="67" spans="1:39" s="158" customFormat="1" x14ac:dyDescent="0.25">
      <c r="A67" s="156"/>
      <c r="B67" s="156"/>
      <c r="C67" s="157"/>
      <c r="E67" s="157"/>
      <c r="F67" s="157"/>
      <c r="H67" s="157"/>
      <c r="L67" s="157"/>
      <c r="M67" s="159"/>
      <c r="N67" s="160"/>
      <c r="P67" s="160"/>
      <c r="R67" s="161"/>
      <c r="AD67" s="157"/>
      <c r="AH67" s="157"/>
      <c r="AJ67" s="161"/>
      <c r="AL67" s="162"/>
      <c r="AM67" s="156"/>
    </row>
    <row r="68" spans="1:39" s="158" customFormat="1" x14ac:dyDescent="0.25">
      <c r="A68" s="156"/>
      <c r="B68" s="156"/>
      <c r="C68" s="157"/>
      <c r="E68" s="157"/>
      <c r="F68" s="157"/>
      <c r="H68" s="157"/>
      <c r="L68" s="157"/>
      <c r="M68" s="159"/>
      <c r="N68" s="160"/>
      <c r="P68" s="160"/>
      <c r="R68" s="161"/>
      <c r="AD68" s="157"/>
      <c r="AH68" s="157"/>
      <c r="AJ68" s="161"/>
      <c r="AL68" s="162"/>
      <c r="AM68" s="156"/>
    </row>
    <row r="69" spans="1:39" s="158" customFormat="1" x14ac:dyDescent="0.25">
      <c r="A69" s="156"/>
      <c r="B69" s="156"/>
      <c r="C69" s="157"/>
      <c r="E69" s="157"/>
      <c r="F69" s="157"/>
      <c r="H69" s="157"/>
      <c r="L69" s="157"/>
      <c r="M69" s="159"/>
      <c r="N69" s="160"/>
      <c r="P69" s="160"/>
      <c r="R69" s="161"/>
      <c r="AD69" s="157"/>
      <c r="AH69" s="157"/>
      <c r="AJ69" s="161"/>
      <c r="AL69" s="162"/>
      <c r="AM69" s="156"/>
    </row>
  </sheetData>
  <mergeCells count="18"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  <mergeCell ref="Q9:Q10"/>
    <mergeCell ref="AJ9:AL9"/>
    <mergeCell ref="R9:R10"/>
    <mergeCell ref="S9:S10"/>
    <mergeCell ref="T9:U9"/>
    <mergeCell ref="AA9:AB9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G12" sqref="G12"/>
    </sheetView>
  </sheetViews>
  <sheetFormatPr defaultRowHeight="15" x14ac:dyDescent="0.2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" x14ac:dyDescent="0.35">
      <c r="A1" s="25" t="s">
        <v>28</v>
      </c>
    </row>
    <row r="2" spans="1:3" ht="18" x14ac:dyDescent="0.35">
      <c r="A2" s="264">
        <v>44562</v>
      </c>
      <c r="B2" s="265"/>
      <c r="C2" s="265"/>
    </row>
    <row r="3" spans="1:3" x14ac:dyDescent="0.25">
      <c r="A3" s="267" t="s">
        <v>1</v>
      </c>
      <c r="B3" s="266" t="s">
        <v>2</v>
      </c>
      <c r="C3" s="266" t="s">
        <v>3</v>
      </c>
    </row>
    <row r="4" spans="1:3" x14ac:dyDescent="0.25">
      <c r="A4" s="267"/>
      <c r="B4" s="266"/>
      <c r="C4" s="266"/>
    </row>
    <row r="5" spans="1:3" x14ac:dyDescent="0.25">
      <c r="A5" s="267"/>
      <c r="B5" s="266"/>
      <c r="C5" s="266"/>
    </row>
    <row r="6" spans="1:3" x14ac:dyDescent="0.25">
      <c r="A6" s="2">
        <v>1</v>
      </c>
      <c r="B6" s="2">
        <f>'FS Jimbaran January 2022'!C12</f>
        <v>30</v>
      </c>
      <c r="C6" s="197">
        <f>'FS Jimbaran January 2022'!D12</f>
        <v>263</v>
      </c>
    </row>
    <row r="7" spans="1:3" x14ac:dyDescent="0.25">
      <c r="A7" s="2">
        <v>2</v>
      </c>
      <c r="B7" s="2">
        <f>'FS Jimbaran January 2022'!C13</f>
        <v>18</v>
      </c>
      <c r="C7" s="197">
        <f>'FS Jimbaran January 2022'!D13</f>
        <v>240</v>
      </c>
    </row>
    <row r="8" spans="1:3" x14ac:dyDescent="0.25">
      <c r="A8" s="2">
        <f>A7+1</f>
        <v>3</v>
      </c>
      <c r="B8" s="2">
        <f>'FS Jimbaran January 2022'!C14</f>
        <v>10</v>
      </c>
      <c r="C8" s="197">
        <f>'FS Jimbaran January 2022'!D14</f>
        <v>125</v>
      </c>
    </row>
    <row r="9" spans="1:3" x14ac:dyDescent="0.25">
      <c r="A9" s="2">
        <f>A8+1</f>
        <v>4</v>
      </c>
      <c r="B9" s="2">
        <f>'FS Jimbaran January 2022'!C15</f>
        <v>10</v>
      </c>
      <c r="C9" s="197">
        <f>'FS Jimbaran January 2022'!D15</f>
        <v>107</v>
      </c>
    </row>
    <row r="10" spans="1:3" x14ac:dyDescent="0.25">
      <c r="A10" s="2">
        <f t="shared" ref="A10:A36" si="0">A9+1</f>
        <v>5</v>
      </c>
      <c r="B10" s="2">
        <f>'FS Jimbaran January 2022'!C16</f>
        <v>15</v>
      </c>
      <c r="C10" s="197">
        <f>'FS Jimbaran January 2022'!D16</f>
        <v>112</v>
      </c>
    </row>
    <row r="11" spans="1:3" x14ac:dyDescent="0.25">
      <c r="A11" s="2">
        <f t="shared" si="0"/>
        <v>6</v>
      </c>
      <c r="B11" s="2">
        <f>'FS Jimbaran January 2022'!C17</f>
        <v>11</v>
      </c>
      <c r="C11" s="197">
        <f>'FS Jimbaran January 2022'!D17</f>
        <v>189</v>
      </c>
    </row>
    <row r="12" spans="1:3" x14ac:dyDescent="0.25">
      <c r="A12" s="2">
        <f t="shared" si="0"/>
        <v>7</v>
      </c>
      <c r="B12" s="2">
        <f>'FS Jimbaran January 2022'!C18</f>
        <v>11</v>
      </c>
      <c r="C12" s="197">
        <f>'FS Jimbaran January 2022'!D18</f>
        <v>115</v>
      </c>
    </row>
    <row r="13" spans="1:3" x14ac:dyDescent="0.25">
      <c r="A13" s="2">
        <f t="shared" si="0"/>
        <v>8</v>
      </c>
      <c r="B13" s="2">
        <f>'FS Jimbaran January 2022'!C19</f>
        <v>11</v>
      </c>
      <c r="C13" s="197">
        <f>'FS Jimbaran January 2022'!D19</f>
        <v>175</v>
      </c>
    </row>
    <row r="14" spans="1:3" x14ac:dyDescent="0.25">
      <c r="A14" s="2">
        <f t="shared" si="0"/>
        <v>9</v>
      </c>
      <c r="B14" s="2">
        <f>'FS Jimbaran January 2022'!C20</f>
        <v>6</v>
      </c>
      <c r="C14" s="197">
        <f>'FS Jimbaran January 2022'!D20</f>
        <v>131</v>
      </c>
    </row>
    <row r="15" spans="1:3" x14ac:dyDescent="0.25">
      <c r="A15" s="2">
        <f t="shared" si="0"/>
        <v>10</v>
      </c>
      <c r="B15" s="2">
        <f>'FS Jimbaran January 2022'!C21</f>
        <v>5</v>
      </c>
      <c r="C15" s="197">
        <f>'FS Jimbaran January 2022'!D21</f>
        <v>70</v>
      </c>
    </row>
    <row r="16" spans="1:3" x14ac:dyDescent="0.25">
      <c r="A16" s="2">
        <f t="shared" si="0"/>
        <v>11</v>
      </c>
      <c r="B16" s="2">
        <f>'FS Jimbaran January 2022'!C22</f>
        <v>6</v>
      </c>
      <c r="C16" s="197">
        <f>'FS Jimbaran January 2022'!D22</f>
        <v>60</v>
      </c>
    </row>
    <row r="17" spans="1:3" x14ac:dyDescent="0.25">
      <c r="A17" s="2">
        <f t="shared" si="0"/>
        <v>12</v>
      </c>
      <c r="B17" s="2">
        <f>'FS Jimbaran January 2022'!C23</f>
        <v>4</v>
      </c>
      <c r="C17" s="197">
        <f>'FS Jimbaran January 2022'!D23</f>
        <v>39</v>
      </c>
    </row>
    <row r="18" spans="1:3" x14ac:dyDescent="0.25">
      <c r="A18" s="2">
        <f t="shared" si="0"/>
        <v>13</v>
      </c>
      <c r="B18" s="2">
        <f>'FS Jimbaran January 2022'!C24</f>
        <v>3</v>
      </c>
      <c r="C18" s="197">
        <f>'FS Jimbaran January 2022'!D24</f>
        <v>73</v>
      </c>
    </row>
    <row r="19" spans="1:3" x14ac:dyDescent="0.25">
      <c r="A19" s="2">
        <f t="shared" si="0"/>
        <v>14</v>
      </c>
      <c r="B19" s="2">
        <f>'FS Jimbaran January 2022'!C25</f>
        <v>31</v>
      </c>
      <c r="C19" s="197">
        <f>'FS Jimbaran January 2022'!D25</f>
        <v>143</v>
      </c>
    </row>
    <row r="20" spans="1:3" x14ac:dyDescent="0.25">
      <c r="A20" s="2">
        <f t="shared" si="0"/>
        <v>15</v>
      </c>
      <c r="B20" s="2">
        <f>'FS Jimbaran January 2022'!C26</f>
        <v>2</v>
      </c>
      <c r="C20" s="197">
        <f>'FS Jimbaran January 2022'!D26</f>
        <v>98</v>
      </c>
    </row>
    <row r="21" spans="1:3" x14ac:dyDescent="0.25">
      <c r="A21" s="2">
        <f t="shared" si="0"/>
        <v>16</v>
      </c>
      <c r="B21" s="2">
        <f>'FS Jimbaran January 2022'!C27</f>
        <v>1</v>
      </c>
      <c r="C21" s="197">
        <f>'FS Jimbaran January 2022'!D27</f>
        <v>77</v>
      </c>
    </row>
    <row r="22" spans="1:3" x14ac:dyDescent="0.25">
      <c r="A22" s="2">
        <f t="shared" si="0"/>
        <v>17</v>
      </c>
      <c r="B22" s="2">
        <f>'FS Jimbaran January 2022'!C28</f>
        <v>0</v>
      </c>
      <c r="C22" s="197">
        <f>'FS Jimbaran January 2022'!D28</f>
        <v>31</v>
      </c>
    </row>
    <row r="23" spans="1:3" x14ac:dyDescent="0.25">
      <c r="A23" s="2">
        <f t="shared" si="0"/>
        <v>18</v>
      </c>
      <c r="B23" s="2">
        <f>'FS Jimbaran January 2022'!C29</f>
        <v>0</v>
      </c>
      <c r="C23" s="197">
        <f>'FS Jimbaran January 2022'!D29</f>
        <v>32</v>
      </c>
    </row>
    <row r="24" spans="1:3" x14ac:dyDescent="0.25">
      <c r="A24" s="2">
        <f t="shared" si="0"/>
        <v>19</v>
      </c>
      <c r="B24" s="2">
        <f>'FS Jimbaran January 2022'!C30</f>
        <v>3</v>
      </c>
      <c r="C24" s="197">
        <f>'FS Jimbaran January 2022'!D30</f>
        <v>44</v>
      </c>
    </row>
    <row r="25" spans="1:3" x14ac:dyDescent="0.25">
      <c r="A25" s="2">
        <f t="shared" si="0"/>
        <v>20</v>
      </c>
      <c r="B25" s="2">
        <f>'FS Jimbaran January 2022'!C31</f>
        <v>3</v>
      </c>
      <c r="C25" s="197">
        <f>'FS Jimbaran January 2022'!D31</f>
        <v>56</v>
      </c>
    </row>
    <row r="26" spans="1:3" x14ac:dyDescent="0.25">
      <c r="A26" s="2">
        <f t="shared" si="0"/>
        <v>21</v>
      </c>
      <c r="B26" s="2">
        <f>'FS Jimbaran January 2022'!C32</f>
        <v>3</v>
      </c>
      <c r="C26" s="197">
        <f>'FS Jimbaran January 2022'!D32</f>
        <v>100</v>
      </c>
    </row>
    <row r="27" spans="1:3" x14ac:dyDescent="0.25">
      <c r="A27" s="2">
        <f t="shared" si="0"/>
        <v>22</v>
      </c>
      <c r="B27" s="2">
        <f>'FS Jimbaran January 2022'!C33</f>
        <v>6</v>
      </c>
      <c r="C27" s="197">
        <f>'FS Jimbaran January 2022'!D33</f>
        <v>111</v>
      </c>
    </row>
    <row r="28" spans="1:3" x14ac:dyDescent="0.25">
      <c r="A28" s="2">
        <f t="shared" si="0"/>
        <v>23</v>
      </c>
      <c r="B28" s="2">
        <f>'FS Jimbaran January 2022'!C34</f>
        <v>5</v>
      </c>
      <c r="C28" s="197">
        <f>'FS Jimbaran January 2022'!D34</f>
        <v>86</v>
      </c>
    </row>
    <row r="29" spans="1:3" x14ac:dyDescent="0.25">
      <c r="A29" s="2">
        <f t="shared" si="0"/>
        <v>24</v>
      </c>
      <c r="B29" s="2">
        <f>'FS Jimbaran January 2022'!C35</f>
        <v>2</v>
      </c>
      <c r="C29" s="197">
        <f>'FS Jimbaran January 2022'!D35</f>
        <v>43</v>
      </c>
    </row>
    <row r="30" spans="1:3" x14ac:dyDescent="0.25">
      <c r="A30" s="2">
        <f t="shared" si="0"/>
        <v>25</v>
      </c>
      <c r="B30" s="2">
        <f>'FS Jimbaran January 2022'!C36</f>
        <v>3</v>
      </c>
      <c r="C30" s="197">
        <f>'FS Jimbaran January 2022'!D36</f>
        <v>31</v>
      </c>
    </row>
    <row r="31" spans="1:3" x14ac:dyDescent="0.25">
      <c r="A31" s="2">
        <f t="shared" si="0"/>
        <v>26</v>
      </c>
      <c r="B31" s="2">
        <f>'FS Jimbaran January 2022'!C37</f>
        <v>4</v>
      </c>
      <c r="C31" s="197">
        <f>'FS Jimbaran January 2022'!D37</f>
        <v>32</v>
      </c>
    </row>
    <row r="32" spans="1:3" x14ac:dyDescent="0.25">
      <c r="A32" s="2">
        <f t="shared" si="0"/>
        <v>27</v>
      </c>
      <c r="B32" s="2">
        <f>'FS Jimbaran January 2022'!C38</f>
        <v>7</v>
      </c>
      <c r="C32" s="197">
        <f>'FS Jimbaran January 2022'!D38</f>
        <v>40</v>
      </c>
    </row>
    <row r="33" spans="1:3" x14ac:dyDescent="0.25">
      <c r="A33" s="2">
        <f t="shared" si="0"/>
        <v>28</v>
      </c>
      <c r="B33" s="2">
        <f>'FS Jimbaran January 2022'!C39</f>
        <v>5</v>
      </c>
      <c r="C33" s="197">
        <f>'FS Jimbaran January 2022'!D39</f>
        <v>107</v>
      </c>
    </row>
    <row r="34" spans="1:3" x14ac:dyDescent="0.25">
      <c r="A34" s="2">
        <f t="shared" si="0"/>
        <v>29</v>
      </c>
      <c r="B34" s="2">
        <f>'FS Jimbaran January 2022'!C40</f>
        <v>4</v>
      </c>
      <c r="C34" s="197">
        <f>'FS Jimbaran January 2022'!D40</f>
        <v>66</v>
      </c>
    </row>
    <row r="35" spans="1:3" x14ac:dyDescent="0.25">
      <c r="A35" s="2">
        <f t="shared" si="0"/>
        <v>30</v>
      </c>
      <c r="B35" s="2">
        <f>'FS Jimbaran January 2022'!C41</f>
        <v>5</v>
      </c>
      <c r="C35" s="197">
        <f>'FS Jimbaran January 2022'!D41</f>
        <v>62</v>
      </c>
    </row>
    <row r="36" spans="1:3" x14ac:dyDescent="0.25">
      <c r="A36" s="2">
        <f t="shared" si="0"/>
        <v>31</v>
      </c>
      <c r="B36" s="2">
        <f>'FS Jimbaran January 2022'!C42</f>
        <v>8</v>
      </c>
      <c r="C36" s="197">
        <f>'FS Jimbaran January 2022'!D42</f>
        <v>77</v>
      </c>
    </row>
    <row r="37" spans="1:3" x14ac:dyDescent="0.25">
      <c r="B37" s="6">
        <f>SUM(B6:B36)</f>
        <v>232</v>
      </c>
      <c r="C37" s="6">
        <f>SUM(C6:C36)</f>
        <v>2935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8:E29"/>
  <sheetViews>
    <sheetView workbookViewId="0">
      <selection activeCell="E30" sqref="E30"/>
    </sheetView>
  </sheetViews>
  <sheetFormatPr defaultRowHeight="15" x14ac:dyDescent="0.25"/>
  <cols>
    <col min="3" max="3" width="14.5703125" bestFit="1" customWidth="1"/>
    <col min="4" max="4" width="30.140625" bestFit="1" customWidth="1"/>
    <col min="5" max="5" width="14.28515625" style="4" bestFit="1" customWidth="1"/>
  </cols>
  <sheetData>
    <row r="8" spans="3:5" x14ac:dyDescent="0.25">
      <c r="C8" s="2" t="s">
        <v>55</v>
      </c>
      <c r="D8" s="2" t="s">
        <v>56</v>
      </c>
      <c r="E8" s="3">
        <v>2585</v>
      </c>
    </row>
    <row r="9" spans="3:5" x14ac:dyDescent="0.25">
      <c r="C9" s="2"/>
      <c r="D9" s="2" t="s">
        <v>57</v>
      </c>
      <c r="E9" s="191">
        <v>3921276.9750000001</v>
      </c>
    </row>
    <row r="10" spans="3:5" x14ac:dyDescent="0.25">
      <c r="C10" s="2" t="s">
        <v>58</v>
      </c>
      <c r="D10" s="2" t="s">
        <v>59</v>
      </c>
      <c r="E10" s="3">
        <v>6110.9999999999854</v>
      </c>
    </row>
    <row r="11" spans="3:5" x14ac:dyDescent="0.25">
      <c r="C11" s="2"/>
      <c r="D11" s="2" t="s">
        <v>57</v>
      </c>
      <c r="E11" s="191">
        <v>10152845.954999976</v>
      </c>
    </row>
    <row r="12" spans="3:5" x14ac:dyDescent="0.25">
      <c r="C12" s="2" t="s">
        <v>60</v>
      </c>
      <c r="D12" s="2" t="s">
        <v>61</v>
      </c>
      <c r="E12" s="3">
        <v>2120</v>
      </c>
    </row>
    <row r="13" spans="3:5" x14ac:dyDescent="0.25">
      <c r="C13" s="2"/>
      <c r="D13" s="2" t="s">
        <v>57</v>
      </c>
      <c r="E13" s="191">
        <v>3537492.4200000004</v>
      </c>
    </row>
    <row r="14" spans="3:5" x14ac:dyDescent="0.25">
      <c r="C14" s="2" t="s">
        <v>62</v>
      </c>
      <c r="D14" s="2" t="s">
        <v>63</v>
      </c>
      <c r="E14" s="3">
        <v>6919.0000000000146</v>
      </c>
    </row>
    <row r="15" spans="3:5" x14ac:dyDescent="0.25">
      <c r="C15" s="2"/>
      <c r="D15" s="2" t="s">
        <v>57</v>
      </c>
      <c r="E15" s="191">
        <v>11495261.195000026</v>
      </c>
    </row>
    <row r="16" spans="3:5" x14ac:dyDescent="0.25">
      <c r="C16" s="2" t="s">
        <v>64</v>
      </c>
      <c r="D16" s="2" t="s">
        <v>65</v>
      </c>
      <c r="E16" s="3">
        <v>8694.0000000000146</v>
      </c>
    </row>
    <row r="17" spans="3:5" x14ac:dyDescent="0.25">
      <c r="C17" s="2"/>
      <c r="D17" s="2" t="s">
        <v>57</v>
      </c>
      <c r="E17" s="191">
        <v>14444255.070000025</v>
      </c>
    </row>
    <row r="18" spans="3:5" x14ac:dyDescent="0.25">
      <c r="C18" s="2" t="s">
        <v>66</v>
      </c>
      <c r="D18" s="2" t="s">
        <v>67</v>
      </c>
      <c r="E18" s="3">
        <v>5470</v>
      </c>
    </row>
    <row r="19" spans="3:5" x14ac:dyDescent="0.25">
      <c r="C19" s="2"/>
      <c r="D19" s="2" t="s">
        <v>57</v>
      </c>
      <c r="E19" s="191">
        <v>9087885.3499999996</v>
      </c>
    </row>
    <row r="20" spans="3:5" x14ac:dyDescent="0.25">
      <c r="C20" s="2" t="s">
        <v>68</v>
      </c>
      <c r="D20" s="2" t="s">
        <v>69</v>
      </c>
      <c r="E20" s="3">
        <v>2661.0000000000036</v>
      </c>
    </row>
    <row r="21" spans="3:5" x14ac:dyDescent="0.25">
      <c r="C21" s="2"/>
      <c r="D21" s="2" t="s">
        <v>57</v>
      </c>
      <c r="E21" s="191">
        <v>4420998.7050000075</v>
      </c>
    </row>
    <row r="22" spans="3:5" x14ac:dyDescent="0.25">
      <c r="C22" s="2" t="s">
        <v>70</v>
      </c>
      <c r="D22" s="2" t="s">
        <v>71</v>
      </c>
      <c r="E22" s="3">
        <v>3030</v>
      </c>
    </row>
    <row r="23" spans="3:5" x14ac:dyDescent="0.25">
      <c r="C23" s="2"/>
      <c r="D23" s="2" t="s">
        <v>57</v>
      </c>
      <c r="E23" s="191">
        <v>5034057.1500000004</v>
      </c>
    </row>
    <row r="24" spans="3:5" x14ac:dyDescent="0.25">
      <c r="C24" s="2" t="s">
        <v>72</v>
      </c>
      <c r="D24" s="2" t="s">
        <v>73</v>
      </c>
      <c r="E24" s="3">
        <v>3916.0000000000036</v>
      </c>
    </row>
    <row r="25" spans="3:5" x14ac:dyDescent="0.25">
      <c r="C25" s="2"/>
      <c r="D25" s="2" t="s">
        <v>57</v>
      </c>
      <c r="E25" s="191">
        <v>6506061.9800000079</v>
      </c>
    </row>
    <row r="26" spans="3:5" x14ac:dyDescent="0.25">
      <c r="C26" s="2" t="s">
        <v>74</v>
      </c>
      <c r="D26" s="2" t="s">
        <v>75</v>
      </c>
      <c r="E26" s="3">
        <v>2617.9999999999927</v>
      </c>
    </row>
    <row r="27" spans="3:5" x14ac:dyDescent="0.25">
      <c r="C27" s="2"/>
      <c r="D27" s="2" t="s">
        <v>57</v>
      </c>
      <c r="E27" s="191">
        <v>4349558.2899999879</v>
      </c>
    </row>
    <row r="28" spans="3:5" x14ac:dyDescent="0.25">
      <c r="C28" s="268" t="s">
        <v>76</v>
      </c>
      <c r="D28" s="268"/>
      <c r="E28" s="192">
        <f>E8+E10+E12+E14+E16+E18+E20+E22+E24+E26</f>
        <v>44124.000000000007</v>
      </c>
    </row>
    <row r="29" spans="3:5" x14ac:dyDescent="0.25">
      <c r="C29" s="268" t="s">
        <v>77</v>
      </c>
      <c r="D29" s="268"/>
      <c r="E29" s="193">
        <f>E9+E11+E13+E15+E17+E19+E21+E23+E25+E27</f>
        <v>72949693.090000033</v>
      </c>
    </row>
  </sheetData>
  <mergeCells count="2">
    <mergeCell ref="C28:D28"/>
    <mergeCell ref="C29:D2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0f442fd14c8c2f27e599873b8aa4e1da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e4c8dcf7dcd090c9b8489b6930ce9acf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C324EC-38EF-4CFC-9AFF-4A199CEAD0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F63AC17-9EFD-48DA-BB12-4FD1F7102A5E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dcmitype/"/>
    <ds:schemaRef ds:uri="ed2f2222-2bff-489f-89bb-9539c67e7b9c"/>
    <ds:schemaRef ds:uri="77842aba-bda6-4832-96cd-e75cb5324294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FS Jimbaran January 2022</vt:lpstr>
      <vt:lpstr>RNs &amp; Covers January 2022</vt:lpstr>
      <vt:lpstr>Residence Electricity Jan 2022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Wu</dc:creator>
  <cp:lastModifiedBy>Mirah Candradewi</cp:lastModifiedBy>
  <cp:lastPrinted>2020-11-17T04:34:44Z</cp:lastPrinted>
  <dcterms:created xsi:type="dcterms:W3CDTF">2020-09-16T08:52:25Z</dcterms:created>
  <dcterms:modified xsi:type="dcterms:W3CDTF">2022-02-04T08:51:03Z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0x010100E0047CC794813E498F4E0E4373AD9880</vt:lpwstr>
  </property>
</Properties>
</file>