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8" i="3" l="1"/>
  <c r="K8" i="3"/>
  <c r="I8" i="3"/>
  <c r="G8" i="3"/>
  <c r="E8" i="3"/>
  <c r="J8" i="2"/>
  <c r="I8" i="2"/>
  <c r="H8" i="2"/>
  <c r="F8" i="2"/>
  <c r="E8" i="2"/>
  <c r="L5" i="3" l="1"/>
  <c r="K5" i="3"/>
  <c r="I5" i="3"/>
  <c r="G5" i="3"/>
  <c r="E5" i="3"/>
  <c r="J5" i="2"/>
  <c r="I5" i="2"/>
  <c r="H5" i="2"/>
  <c r="F5" i="2"/>
  <c r="E5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L29" i="3" l="1"/>
  <c r="K29" i="3"/>
  <c r="I29" i="3"/>
  <c r="G29" i="3"/>
  <c r="E29" i="3"/>
  <c r="J13" i="2" l="1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J16" i="2" l="1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<sst xmlns="http://schemas.openxmlformats.org/spreadsheetml/2006/main" count="105" uniqueCount="38">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</sst>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Q9" sqref="Q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v>0</v>
      </c>
      <c r="F4" s="22">
        <v>0.11799999999999999</v>
      </c>
      <c r="G4" s="24">
        <v>0</v>
      </c>
      <c r="H4" s="22">
        <v>0.99</v>
      </c>
      <c r="I4" s="24">
        <v>0</v>
      </c>
      <c r="J4" s="22">
        <v>8.1000000000000003E-2</v>
      </c>
      <c r="K4" s="56">
        <v>0</v>
      </c>
      <c r="L4" s="24">
        <v>0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0</v>
      </c>
      <c r="F5" s="22">
        <v>0.11799999999999999</v>
      </c>
      <c r="G5" s="24">
        <f>(('09 - 2020'!E11-'09 - 2020'!E10)+('09 - 2020'!F11-'09 - 2020'!F10)+('09 - 2020'!G11-'09 - 2020'!G10))*1.81</f>
        <v>0</v>
      </c>
      <c r="H5" s="22">
        <v>0.99</v>
      </c>
      <c r="I5" s="24">
        <f>'09 - 2020'!J11-'09 - 2020'!J10</f>
        <v>0</v>
      </c>
      <c r="J5" s="22">
        <v>8.1000000000000003E-2</v>
      </c>
      <c r="K5" s="56">
        <f>'09 - 2020'!H11-'09 - 2020'!H10</f>
        <v>0</v>
      </c>
      <c r="L5" s="24">
        <f>'09 - 2020'!I11-'09 - 2020'!I10</f>
        <v>0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0</v>
      </c>
      <c r="F6" s="22">
        <v>0.11799999999999999</v>
      </c>
      <c r="G6" s="24">
        <f>(('09 - 2020'!E12-'09 - 2020'!E11)+('09 - 2020'!F12-'09 - 2020'!F11)+('09 - 2020'!G12-'09 - 2020'!G11))*1.81</f>
        <v>0</v>
      </c>
      <c r="H6" s="22">
        <v>0.99</v>
      </c>
      <c r="I6" s="24">
        <f>'09 - 2020'!J12-'09 - 2020'!J11</f>
        <v>0</v>
      </c>
      <c r="J6" s="22">
        <v>8.1000000000000003E-2</v>
      </c>
      <c r="K6" s="56">
        <f>'09 - 2020'!H12-'09 - 2020'!H11</f>
        <v>0</v>
      </c>
      <c r="L6" s="24">
        <f>'09 - 2020'!I12-'09 - 2020'!I11</f>
        <v>0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0</v>
      </c>
      <c r="F7" s="22">
        <v>0.11799999999999999</v>
      </c>
      <c r="G7" s="24">
        <f>(('09 - 2020'!E13-'09 - 2020'!E12)+('09 - 2020'!F13-'09 - 2020'!F12)+('09 - 2020'!G13-'09 - 2020'!G12))*1.81</f>
        <v>0</v>
      </c>
      <c r="H7" s="22">
        <v>0.99</v>
      </c>
      <c r="I7" s="24">
        <f>'09 - 2020'!J13-'09 - 2020'!J12</f>
        <v>0</v>
      </c>
      <c r="J7" s="22">
        <v>8.1000000000000003E-2</v>
      </c>
      <c r="K7" s="56">
        <f>'09 - 2020'!H13-'09 - 2020'!H12</f>
        <v>0</v>
      </c>
      <c r="L7" s="24">
        <f>'09 - 2020'!I13-'09 - 2020'!I12</f>
        <v>0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0</v>
      </c>
      <c r="F8" s="22">
        <v>0.11799999999999999</v>
      </c>
      <c r="G8" s="24">
        <f>(('09 - 2020'!E14-'09 - 2020'!E13)+('09 - 2020'!F14-'09 - 2020'!F13)+('09 - 2020'!G14-'09 - 2020'!G13))*1.81</f>
        <v>0</v>
      </c>
      <c r="H8" s="22">
        <v>0.99</v>
      </c>
      <c r="I8" s="24">
        <f>'09 - 2020'!J14-'09 - 2020'!J13</f>
        <v>0</v>
      </c>
      <c r="J8" s="22">
        <v>8.1000000000000003E-2</v>
      </c>
      <c r="K8" s="56">
        <f>'09 - 2020'!H14-'09 - 2020'!H13</f>
        <v>0</v>
      </c>
      <c r="L8" s="24">
        <f>'09 - 2020'!I14-'09 - 2020'!I13</f>
        <v>0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0</v>
      </c>
      <c r="F9" s="22">
        <v>0.11799999999999999</v>
      </c>
      <c r="G9" s="24">
        <f>(('09 - 2020'!E15-'09 - 2020'!E14)+('09 - 2020'!F15-'09 - 2020'!F14)+('09 - 2020'!G15-'09 - 2020'!G14))*1.81</f>
        <v>0</v>
      </c>
      <c r="H9" s="22">
        <v>0.99</v>
      </c>
      <c r="I9" s="24">
        <f>'09 - 2020'!J15-'09 - 2020'!J14</f>
        <v>0</v>
      </c>
      <c r="J9" s="22">
        <v>8.1000000000000003E-2</v>
      </c>
      <c r="K9" s="56">
        <f>'09 - 2020'!H15-'09 - 2020'!H14</f>
        <v>0</v>
      </c>
      <c r="L9" s="24">
        <f>'09 - 2020'!I15-'09 - 2020'!I14</f>
        <v>0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0</v>
      </c>
      <c r="F10" s="22">
        <v>0.11799999999999999</v>
      </c>
      <c r="G10" s="24">
        <f>(('09 - 2020'!E16-'09 - 2020'!E15)+('09 - 2020'!F16-'09 - 2020'!F15)+('09 - 2020'!G16-'09 - 2020'!G15))*1.81</f>
        <v>0</v>
      </c>
      <c r="H10" s="22">
        <v>0.99</v>
      </c>
      <c r="I10" s="24">
        <f>'09 - 2020'!J16-'09 - 2020'!J15</f>
        <v>0</v>
      </c>
      <c r="J10" s="22">
        <v>8.1000000000000003E-2</v>
      </c>
      <c r="K10" s="56">
        <f>'09 - 2020'!H16-'09 - 2020'!H15</f>
        <v>0</v>
      </c>
      <c r="L10" s="24">
        <f>'09 - 2020'!I16-'09 - 2020'!I15</f>
        <v>0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'09 - 2020'!B17-'09 - 2020'!B16+'09 - 2020'!C17-'09 - 2020'!C16</f>
        <v>0</v>
      </c>
      <c r="F11" s="22">
        <v>0.11799999999999999</v>
      </c>
      <c r="G11" s="24">
        <f>(('09 - 2020'!E17-'09 - 2020'!E16)+('09 - 2020'!F17-'09 - 2020'!F16)+('09 - 2020'!G17-'09 - 2020'!G16))*1.81</f>
        <v>0</v>
      </c>
      <c r="H11" s="22">
        <v>0.99</v>
      </c>
      <c r="I11" s="24">
        <f>'09 - 2020'!J17-'09 - 2020'!J16</f>
        <v>0</v>
      </c>
      <c r="J11" s="22">
        <v>8.1000000000000003E-2</v>
      </c>
      <c r="K11" s="56">
        <f>'09 - 2020'!H17-'09 - 2020'!H16</f>
        <v>0</v>
      </c>
      <c r="L11" s="24">
        <f>'09 - 2020'!I17-'09 - 2020'!I16</f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L3" sqref="L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v>0</v>
      </c>
      <c r="F4" s="24">
        <v>0</v>
      </c>
      <c r="G4" s="22">
        <v>0.11799999999999999</v>
      </c>
      <c r="H4" s="24">
        <v>0</v>
      </c>
      <c r="I4" s="24">
        <v>0</v>
      </c>
      <c r="J4" s="24">
        <v>0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0</v>
      </c>
      <c r="F5" s="24">
        <f>'09 - 2020'!C11-'09 - 2020'!C10</f>
        <v>0</v>
      </c>
      <c r="G5" s="22">
        <v>0.11799999999999999</v>
      </c>
      <c r="H5" s="24">
        <f>'09 - 2020'!E11-'09 - 2020'!E10</f>
        <v>0</v>
      </c>
      <c r="I5" s="24">
        <f>'09 - 2020'!F11-'09 - 2020'!F10</f>
        <v>0</v>
      </c>
      <c r="J5" s="24">
        <f>'09 - 2020'!G11-'09 - 2020'!G10</f>
        <v>0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0</v>
      </c>
      <c r="F6" s="24">
        <f>'09 - 2020'!C12-'09 - 2020'!C11</f>
        <v>0</v>
      </c>
      <c r="G6" s="22">
        <v>0.11799999999999999</v>
      </c>
      <c r="H6" s="24">
        <f>'09 - 2020'!E12-'09 - 2020'!E11</f>
        <v>0</v>
      </c>
      <c r="I6" s="24">
        <f>'09 - 2020'!F12-'09 - 2020'!F11</f>
        <v>0</v>
      </c>
      <c r="J6" s="24">
        <f>'09 - 2020'!G12-'09 - 2020'!G11</f>
        <v>0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0</v>
      </c>
      <c r="F7" s="24">
        <f>'09 - 2020'!C13-'09 - 2020'!C12</f>
        <v>0</v>
      </c>
      <c r="G7" s="22">
        <v>0.11799999999999999</v>
      </c>
      <c r="H7" s="24">
        <f>'09 - 2020'!E13-'09 - 2020'!E12</f>
        <v>0</v>
      </c>
      <c r="I7" s="24">
        <f>'09 - 2020'!F13-'09 - 2020'!F12</f>
        <v>0</v>
      </c>
      <c r="J7" s="24">
        <f>'09 - 2020'!G13-'09 - 2020'!G12</f>
        <v>0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0</v>
      </c>
      <c r="F8" s="24">
        <f>'09 - 2020'!C14-'09 - 2020'!C13</f>
        <v>0</v>
      </c>
      <c r="G8" s="22">
        <v>0.11799999999999999</v>
      </c>
      <c r="H8" s="24">
        <f>'09 - 2020'!E14-'09 - 2020'!E13</f>
        <v>0</v>
      </c>
      <c r="I8" s="24">
        <f>'09 - 2020'!F14-'09 - 2020'!F13</f>
        <v>0</v>
      </c>
      <c r="J8" s="24">
        <f>'09 - 2020'!G14-'09 - 2020'!G13</f>
        <v>0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0</v>
      </c>
      <c r="F9" s="24">
        <f>'09 - 2020'!C15-'09 - 2020'!C14</f>
        <v>0</v>
      </c>
      <c r="G9" s="22">
        <v>0.11799999999999999</v>
      </c>
      <c r="H9" s="24">
        <f>'09 - 2020'!E15-'09 - 2020'!E14</f>
        <v>0</v>
      </c>
      <c r="I9" s="24">
        <f>'09 - 2020'!F15-'09 - 2020'!F14</f>
        <v>0</v>
      </c>
      <c r="J9" s="24">
        <f>'09 - 2020'!G15-'09 - 2020'!G14</f>
        <v>0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0</v>
      </c>
      <c r="F10" s="24">
        <f>'09 - 2020'!C16-'09 - 2020'!C15</f>
        <v>0</v>
      </c>
      <c r="G10" s="22">
        <v>0.11799999999999999</v>
      </c>
      <c r="H10" s="24">
        <f>'09 - 2020'!E16-'09 - 2020'!E15</f>
        <v>0</v>
      </c>
      <c r="I10" s="24">
        <f>'09 - 2020'!F16-'09 - 2020'!F15</f>
        <v>0</v>
      </c>
      <c r="J10" s="24">
        <f>'09 - 2020'!G16-'09 - 2020'!G15</f>
        <v>0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f>'09 - 2020'!B17-'09 - 2020'!B16</f>
        <v>0</v>
      </c>
      <c r="F11" s="24">
        <f>'09 - 2020'!C17-'09 - 2020'!C16</f>
        <v>0</v>
      </c>
      <c r="G11" s="22">
        <v>0.11799999999999999</v>
      </c>
      <c r="H11" s="24">
        <f>'09 - 2020'!E17-'09 - 2020'!E16</f>
        <v>0</v>
      </c>
      <c r="I11" s="24">
        <f>'09 - 2020'!F17-'09 - 2020'!F16</f>
        <v>0</v>
      </c>
      <c r="J11" s="24">
        <f>'09 - 2020'!G17-'09 - 2020'!G16</f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>
      <selection activeCell="K9" sqref="K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/>
      <c r="C10" s="15"/>
      <c r="D10" s="16"/>
      <c r="E10" s="21"/>
      <c r="F10" s="21"/>
      <c r="G10" s="21"/>
      <c r="H10" s="19"/>
      <c r="I10" s="15"/>
      <c r="J10" s="61"/>
      <c r="K10" s="18"/>
      <c r="L10" s="30"/>
      <c r="M10" s="46"/>
    </row>
    <row r="11" spans="1:15" ht="12.75" customHeight="1" x14ac:dyDescent="0.25">
      <c r="A11" s="45">
        <v>44078</v>
      </c>
      <c r="B11" s="15"/>
      <c r="C11" s="15"/>
      <c r="D11" s="16"/>
      <c r="E11" s="21"/>
      <c r="F11" s="21"/>
      <c r="G11" s="21"/>
      <c r="H11" s="19"/>
      <c r="I11" s="15"/>
      <c r="J11" s="15"/>
      <c r="K11" s="18"/>
      <c r="L11" s="30"/>
      <c r="M11" s="46"/>
    </row>
    <row r="12" spans="1:15" ht="12.75" customHeight="1" x14ac:dyDescent="0.25">
      <c r="A12" s="45">
        <v>44079</v>
      </c>
      <c r="B12" s="15"/>
      <c r="C12" s="15"/>
      <c r="D12" s="16"/>
      <c r="E12" s="21"/>
      <c r="F12" s="21"/>
      <c r="G12" s="21"/>
      <c r="H12" s="15"/>
      <c r="I12" s="15"/>
      <c r="J12" s="15"/>
      <c r="K12" s="18"/>
      <c r="L12" s="30"/>
      <c r="M12" s="46"/>
    </row>
    <row r="13" spans="1:15" ht="12.75" customHeight="1" x14ac:dyDescent="0.25">
      <c r="A13" s="45">
        <v>44080</v>
      </c>
      <c r="B13" s="15"/>
      <c r="C13" s="15"/>
      <c r="D13" s="16"/>
      <c r="E13" s="21"/>
      <c r="F13" s="21"/>
      <c r="G13" s="21"/>
      <c r="H13" s="15"/>
      <c r="I13" s="17"/>
      <c r="J13" s="17"/>
      <c r="K13" s="18"/>
      <c r="L13" s="30"/>
      <c r="M13" s="46"/>
    </row>
    <row r="14" spans="1:15" ht="12.75" customHeight="1" x14ac:dyDescent="0.25">
      <c r="A14" s="45">
        <v>44081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6"/>
      <c r="O14" s="24"/>
    </row>
    <row r="15" spans="1:15" ht="12.75" customHeight="1" x14ac:dyDescent="0.25">
      <c r="A15" s="45">
        <v>44082</v>
      </c>
      <c r="B15" s="19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6"/>
      <c r="O15" s="24"/>
    </row>
    <row r="16" spans="1:15" ht="12.75" customHeight="1" x14ac:dyDescent="0.25">
      <c r="A16" s="45">
        <v>44083</v>
      </c>
      <c r="B16" s="46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2020-09-02T04:06:07Z</dcterms:modified>
</cp:coreProperties>
</file>