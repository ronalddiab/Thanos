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<sst xmlns="http://schemas.openxmlformats.org/spreadsheetml/2006/main" count="315" uniqueCount="148">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</sst>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 t="e">
        <f>Submetering!E9+Submetering!F9+Submetering!G9+Submetering!H9+Submetering!J9-Submetering!AV9</f>
        <v>#VALUE!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 t="e">
        <f>'FS Desroches Daily'!CM11</f>
        <v>#VALUE!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24599.999999999953</v>
      </c>
      <c r="F33" s="17">
        <f t="shared" ref="F33:BC33" si="0">SUM(F2:F32)</f>
        <v>26800.0000000006</v>
      </c>
      <c r="G33" s="17">
        <f t="shared" si="0"/>
        <v>22800.000000000153</v>
      </c>
      <c r="H33" s="17">
        <f t="shared" si="0"/>
        <v>13399.999999999856</v>
      </c>
      <c r="I33" s="17">
        <f t="shared" si="0"/>
        <v>17499.999999999625</v>
      </c>
      <c r="J33" s="17">
        <f t="shared" si="0"/>
        <v>14999.999999999904</v>
      </c>
      <c r="K33" s="17">
        <f t="shared" si="0"/>
        <v>315</v>
      </c>
      <c r="L33" s="17">
        <f t="shared" si="0"/>
        <v>47</v>
      </c>
      <c r="M33" s="17">
        <f t="shared" si="0"/>
        <v>8.8000000000001819</v>
      </c>
      <c r="N33" s="17">
        <f t="shared" si="0"/>
        <v>3507.9000000000233</v>
      </c>
      <c r="O33" s="17">
        <f t="shared" si="0"/>
        <v>3180.0000000000068</v>
      </c>
      <c r="P33" s="17">
        <f t="shared" si="0"/>
        <v>23700.000000000273</v>
      </c>
      <c r="Q33" s="17">
        <f t="shared" si="0"/>
        <v>2899.9999999999773</v>
      </c>
      <c r="R33" s="17">
        <f t="shared" si="0"/>
        <v>4069.9999999999932</v>
      </c>
      <c r="S33" s="17">
        <f t="shared" si="0"/>
        <v>7299.9999999999545</v>
      </c>
      <c r="T33" s="17">
        <f t="shared" si="0"/>
        <v>359</v>
      </c>
      <c r="U33" s="35">
        <f t="shared" si="0"/>
        <v>5539.9999999999636</v>
      </c>
      <c r="V33" s="35">
        <f t="shared" si="0"/>
        <v>2240.0000000000091</v>
      </c>
      <c r="W33" s="35">
        <f t="shared" si="0"/>
        <v>1590.0000000000034</v>
      </c>
      <c r="X33" s="35">
        <f t="shared" si="0"/>
        <v>1871.9800000000216</v>
      </c>
      <c r="Y33" s="35">
        <f t="shared" si="0"/>
        <v>1529.9999999999727</v>
      </c>
      <c r="Z33" s="35">
        <f t="shared" si="0"/>
        <v>1349.9999999999659</v>
      </c>
      <c r="AA33" s="35">
        <f t="shared" si="0"/>
        <v>1349.9999999999659</v>
      </c>
      <c r="AB33" s="35">
        <f t="shared" si="0"/>
        <v>1990.0000000000091</v>
      </c>
      <c r="AC33" s="35">
        <f t="shared" si="0"/>
        <v>1830.0000000000409</v>
      </c>
      <c r="AD33" s="35">
        <f t="shared" si="0"/>
        <v>1579.9999999999841</v>
      </c>
      <c r="AE33" s="35">
        <f t="shared" si="0"/>
        <v>1040.0000000000205</v>
      </c>
      <c r="AF33" s="17">
        <f t="shared" si="0"/>
        <v>274</v>
      </c>
      <c r="AG33" s="32">
        <f t="shared" si="0"/>
        <v>340.00000000000341</v>
      </c>
      <c r="AH33" s="32">
        <f t="shared" si="0"/>
        <v>259.99999999999091</v>
      </c>
      <c r="AI33" s="32">
        <f t="shared" si="0"/>
        <v>389.99999999998636</v>
      </c>
      <c r="AJ33" s="32">
        <f t="shared" si="0"/>
        <v>310.00000000000227</v>
      </c>
      <c r="AK33" s="32">
        <f t="shared" si="0"/>
        <v>459.99999999997954</v>
      </c>
      <c r="AL33" s="32">
        <f t="shared" si="0"/>
        <v>346</v>
      </c>
      <c r="AM33" s="32">
        <f t="shared" si="0"/>
        <v>349.99999999999432</v>
      </c>
      <c r="AN33" s="32">
        <f t="shared" si="0"/>
        <v>366</v>
      </c>
      <c r="AO33" s="32">
        <f t="shared" si="0"/>
        <v>490.00000000000909</v>
      </c>
      <c r="AP33" s="32">
        <f t="shared" si="0"/>
        <v>361</v>
      </c>
      <c r="AQ33" s="17">
        <f t="shared" si="0"/>
        <v>341.40000000000146</v>
      </c>
      <c r="AR33" s="17">
        <f t="shared" si="0"/>
        <v>116.79999999999927</v>
      </c>
      <c r="AS33" s="17">
        <f t="shared" si="0"/>
        <v>31.100000000000364</v>
      </c>
      <c r="AT33" s="17">
        <f t="shared" si="0"/>
        <v>359.5</v>
      </c>
      <c r="AU33" s="17">
        <f t="shared" si="0"/>
        <v>2709</v>
      </c>
      <c r="AV33" s="17">
        <f t="shared" si="0"/>
        <v>5879.9999999999955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47.619</v>
      </c>
      <c r="BC33" s="17">
        <f t="shared" si="0"/>
        <v>224</v>
      </c>
    </row>
    <row r="35" spans="5:55" x14ac:dyDescent="0.25">
      <c r="E35" s="38">
        <f>E33/E37</f>
        <v>0.26243359149971018</v>
      </c>
      <c r="G35" s="29">
        <f>G33-M36</f>
        <v>19283.30000000013</v>
      </c>
      <c r="AE35" s="35">
        <f>SUM(U33:AE33)</f>
        <v>21911.979999999956</v>
      </c>
      <c r="AG35" s="32">
        <f>SUM(AG33:AP33)</f>
        <v>3672.9999999999663</v>
      </c>
    </row>
    <row r="36" spans="5:55" x14ac:dyDescent="0.25">
      <c r="G36" s="29">
        <f>G35-633*14</f>
        <v>10421.30000000013</v>
      </c>
      <c r="M36" s="29">
        <f>M33+N33</f>
        <v>3516.7000000000235</v>
      </c>
    </row>
    <row r="37" spans="5:55" x14ac:dyDescent="0.25">
      <c r="E37" s="17">
        <f>E33+F33+G33+H33+J33-633*14</f>
        <v>93738.000000000451</v>
      </c>
      <c r="G37" s="37">
        <f>M36/E37</f>
        <v>3.751626874906662E-2</v>
      </c>
      <c r="M37" s="35">
        <f>AE35</f>
        <v>21911.979999999956</v>
      </c>
    </row>
    <row r="38" spans="5:55" x14ac:dyDescent="0.25">
      <c r="L38" s="27">
        <f>M38/E37</f>
        <v>3.9183682177984902E-2</v>
      </c>
      <c r="M38" s="29">
        <f>AG35</f>
        <v>3672.9999999999663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zoomScale="85" zoomScaleNormal="85" workbookViewId="0">
      <pane ySplit="1" topLeftCell="A2" activePane="bottomLeft" state="frozen"/>
      <selection pane="bottomLeft" activeCell="AM13" sqref="AM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/>
      <c r="D11" s="64" t="str">
        <f t="shared" si="50"/>
        <v>0</v>
      </c>
      <c r="E11" s="58"/>
      <c r="F11" s="64" t="str">
        <f t="shared" si="51"/>
        <v>0</v>
      </c>
      <c r="G11" s="58"/>
      <c r="H11" s="64" t="str">
        <f t="shared" si="52"/>
        <v>0</v>
      </c>
      <c r="I11" s="58"/>
      <c r="J11" s="64" t="str">
        <f t="shared" si="53"/>
        <v>0</v>
      </c>
      <c r="K11" s="58"/>
      <c r="L11" s="64" t="str">
        <f t="shared" si="54"/>
        <v>0</v>
      </c>
      <c r="M11" s="58"/>
      <c r="N11" s="64" t="str">
        <f t="shared" si="55"/>
        <v/>
      </c>
      <c r="O11" s="58"/>
      <c r="P11" s="67" t="str">
        <f t="shared" si="56"/>
        <v/>
      </c>
      <c r="Q11" s="58"/>
      <c r="R11" s="67" t="str">
        <f t="shared" si="57"/>
        <v/>
      </c>
      <c r="S11" s="58"/>
      <c r="T11" s="67" t="str">
        <f t="shared" si="58"/>
        <v/>
      </c>
      <c r="U11" s="58"/>
      <c r="V11" s="67" t="str">
        <f t="shared" si="59"/>
        <v/>
      </c>
      <c r="W11" s="58"/>
      <c r="X11" s="65" t="str">
        <f t="shared" si="60"/>
        <v/>
      </c>
      <c r="Y11" s="58"/>
      <c r="Z11" s="65" t="str">
        <f t="shared" si="61"/>
        <v/>
      </c>
      <c r="AA11" s="58"/>
      <c r="AB11" s="65" t="str">
        <f t="shared" si="62"/>
        <v/>
      </c>
      <c r="AC11" s="58"/>
      <c r="AD11" s="65" t="str">
        <f t="shared" si="63"/>
        <v/>
      </c>
      <c r="AE11" s="58"/>
      <c r="AF11" s="65" t="str">
        <f t="shared" si="64"/>
        <v/>
      </c>
      <c r="AG11" s="58"/>
      <c r="AH11" s="67" t="str">
        <f t="shared" si="65"/>
        <v/>
      </c>
      <c r="AI11" s="58"/>
      <c r="AJ11" s="65" t="str">
        <f t="shared" si="66"/>
        <v/>
      </c>
      <c r="AK11" s="58"/>
      <c r="AL11" s="65" t="str">
        <f t="shared" si="67"/>
        <v/>
      </c>
      <c r="AM11" s="58"/>
      <c r="AN11" s="65" t="str">
        <f t="shared" si="68"/>
        <v/>
      </c>
      <c r="AO11" s="58"/>
      <c r="AP11" s="65" t="str">
        <f t="shared" si="69"/>
        <v/>
      </c>
      <c r="AQ11" s="58"/>
      <c r="AR11" s="65" t="str">
        <f t="shared" si="70"/>
        <v/>
      </c>
      <c r="AS11" s="58"/>
      <c r="AT11" s="65" t="str">
        <f t="shared" si="71"/>
        <v/>
      </c>
      <c r="AU11" s="58"/>
      <c r="AV11" s="65" t="str">
        <f t="shared" si="72"/>
        <v/>
      </c>
      <c r="AW11" s="58"/>
      <c r="AX11" s="65" t="str">
        <f t="shared" si="73"/>
        <v/>
      </c>
      <c r="AY11" s="58"/>
      <c r="AZ11" s="65" t="str">
        <f t="shared" si="74"/>
        <v/>
      </c>
      <c r="BA11" s="58"/>
      <c r="BB11" s="65" t="str">
        <f t="shared" si="75"/>
        <v/>
      </c>
      <c r="BC11" s="58"/>
      <c r="BD11" s="65" t="str">
        <f t="shared" si="76"/>
        <v/>
      </c>
      <c r="BE11" s="59"/>
      <c r="BF11" s="67" t="str">
        <f t="shared" si="77"/>
        <v/>
      </c>
      <c r="BG11" s="60"/>
      <c r="BH11" s="65" t="str">
        <f t="shared" si="78"/>
        <v/>
      </c>
      <c r="BI11" s="60"/>
      <c r="BJ11" s="65" t="str">
        <f t="shared" si="79"/>
        <v/>
      </c>
      <c r="BK11" s="60"/>
      <c r="BL11" s="65" t="str">
        <f t="shared" si="80"/>
        <v/>
      </c>
      <c r="BM11" s="60"/>
      <c r="BN11" s="65" t="str">
        <f t="shared" si="81"/>
        <v/>
      </c>
      <c r="BO11" s="60"/>
      <c r="BP11" s="65" t="str">
        <f t="shared" si="82"/>
        <v/>
      </c>
      <c r="BQ11" s="60"/>
      <c r="BR11" s="65" t="str">
        <f t="shared" si="83"/>
        <v/>
      </c>
      <c r="BS11" s="60"/>
      <c r="BT11" s="65" t="str">
        <f t="shared" si="84"/>
        <v/>
      </c>
      <c r="BU11" s="60"/>
      <c r="BV11" s="65" t="str">
        <f t="shared" si="85"/>
        <v/>
      </c>
      <c r="BW11" s="60"/>
      <c r="BX11" s="65" t="str">
        <f t="shared" si="86"/>
        <v/>
      </c>
      <c r="BY11" s="60"/>
      <c r="BZ11" s="67" t="str">
        <f t="shared" si="87"/>
        <v/>
      </c>
      <c r="CA11" s="60"/>
      <c r="CB11" s="67" t="str">
        <f t="shared" si="88"/>
        <v/>
      </c>
      <c r="CC11" s="60"/>
      <c r="CD11" s="67" t="str">
        <f t="shared" si="89"/>
        <v/>
      </c>
      <c r="CE11" s="60"/>
      <c r="CF11" s="67" t="str">
        <f t="shared" si="90"/>
        <v/>
      </c>
      <c r="CG11" s="60"/>
      <c r="CH11" s="67" t="str">
        <f t="shared" si="91"/>
        <v/>
      </c>
      <c r="CI11" s="60"/>
      <c r="CJ11" s="67" t="str">
        <f t="shared" si="92"/>
        <v/>
      </c>
      <c r="CK11" s="60"/>
      <c r="CL11" s="64" t="str">
        <f t="shared" si="93"/>
        <v/>
      </c>
      <c r="CM11" s="65" t="e">
        <f t="shared" si="94"/>
        <v>#VALUE!</v>
      </c>
      <c r="CN11" s="62"/>
      <c r="CO11" s="62"/>
      <c r="CP11" s="68"/>
      <c r="CQ11" s="67" t="str">
        <f t="shared" si="95"/>
        <v/>
      </c>
      <c r="CR11" s="68"/>
      <c r="CS11" s="67" t="str">
        <f t="shared" si="96"/>
        <v/>
      </c>
      <c r="CT11" s="75"/>
      <c r="CU11" s="67" t="str">
        <f t="shared" si="97"/>
        <v/>
      </c>
      <c r="CV11" s="68"/>
      <c r="CW11" s="67" t="str">
        <f t="shared" si="98"/>
        <v/>
      </c>
      <c r="CX11" s="58"/>
      <c r="CY11" s="67" t="str">
        <f t="shared" si="99"/>
        <v/>
      </c>
    </row>
    <row r="12" spans="1:103" ht="25.5" customHeight="1" thickBot="1" x14ac:dyDescent="0.45">
      <c r="A12" s="63">
        <v>44660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6"/>
        <v>0</v>
      </c>
      <c r="CT12" s="75"/>
      <c r="CU12" s="67">
        <f t="shared" si="97"/>
        <v>0</v>
      </c>
      <c r="CV12" s="68"/>
      <c r="CW12" s="67">
        <f t="shared" si="98"/>
        <v>0</v>
      </c>
      <c r="CX12" s="58"/>
      <c r="CY12" s="67">
        <f t="shared" si="99"/>
        <v>0</v>
      </c>
    </row>
    <row r="13" spans="1:103" ht="25.5" customHeight="1" thickBot="1" x14ac:dyDescent="0.45">
      <c r="A13" s="63">
        <v>44661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44662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44663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44664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44665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44666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44667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44668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44669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44670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44671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44672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44673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D16" sqref="D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-227</v>
      </c>
    </row>
    <row r="16" spans="1:20" x14ac:dyDescent="0.25">
      <c r="A16" s="73">
        <v>44660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44661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44662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44663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44664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44665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44666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44667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44668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44669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44670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44671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44672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2022-04-08T18:13:53Z</dcterms:modified>
</cp:coreProperties>
</file>