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1\10. October 21\new\"/>
    </mc:Choice>
  </mc:AlternateContent>
  <xr:revisionPtr revIDLastSave="0" documentId="13_ncr:1_{721F8661-070A-411E-8642-71BC804F2B2C}" xr6:coauthVersionLast="47" xr6:coauthVersionMax="47" xr10:uidLastSave="{00000000-0000-0000-0000-000000000000}"/>
  <bookViews>
    <workbookView xWindow="-120" yWindow="-120" windowWidth="29040" windowHeight="15840" tabRatio="935" firstSheet="1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Finance Only" sheetId="1" r:id="rId4"/>
    <sheet name="Room Nights and Food Covers" sheetId="23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KWH Summary" sheetId="15" r:id="rId16"/>
    <sheet name="Focus Data" sheetId="2" r:id="rId17"/>
  </sheets>
  <externalReferences>
    <externalReference r:id="rId18"/>
  </externalReferences>
  <definedNames>
    <definedName name="_xlnm.Print_Area" localSheetId="3">'Finance Only'!$A$1:$F$39</definedName>
    <definedName name="_xlnm.Print_Area" localSheetId="14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5" i="22" l="1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O35" i="22"/>
  <c r="AO6" i="22"/>
  <c r="AP6" i="22" s="1"/>
  <c r="AO7" i="22"/>
  <c r="AO5" i="22"/>
  <c r="AP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5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5" i="22"/>
  <c r="C6" i="22" l="1"/>
  <c r="C7" i="22"/>
  <c r="C8" i="22"/>
  <c r="C9" i="22"/>
  <c r="C10" i="22"/>
  <c r="C11" i="22"/>
  <c r="C12" i="22"/>
  <c r="C13" i="22"/>
  <c r="C14" i="22"/>
  <c r="C15" i="22"/>
  <c r="C16" i="22"/>
  <c r="D16" i="22" s="1"/>
  <c r="C17" i="22"/>
  <c r="D17" i="22" s="1"/>
  <c r="C18" i="22"/>
  <c r="C19" i="22"/>
  <c r="C20" i="22"/>
  <c r="C21" i="22"/>
  <c r="C22" i="22"/>
  <c r="C23" i="22"/>
  <c r="C24" i="22"/>
  <c r="C25" i="22"/>
  <c r="D25" i="22" s="1"/>
  <c r="C26" i="22"/>
  <c r="C27" i="22"/>
  <c r="D27" i="22" s="1"/>
  <c r="C28" i="22"/>
  <c r="D29" i="22" s="1"/>
  <c r="C29" i="22"/>
  <c r="C30" i="22"/>
  <c r="C31" i="22"/>
  <c r="C32" i="22"/>
  <c r="D32" i="22" s="1"/>
  <c r="C33" i="22"/>
  <c r="D33" i="22" s="1"/>
  <c r="C34" i="22"/>
  <c r="D35" i="22" s="1"/>
  <c r="C35" i="22"/>
  <c r="C5" i="22"/>
  <c r="BQ35" i="22"/>
  <c r="BP35" i="22"/>
  <c r="BO35" i="22"/>
  <c r="BN35" i="22"/>
  <c r="BM35" i="22"/>
  <c r="BL35" i="22"/>
  <c r="BK35" i="22"/>
  <c r="BJ35" i="22"/>
  <c r="BI35" i="22"/>
  <c r="BH35" i="22"/>
  <c r="BG35" i="22"/>
  <c r="BF35" i="22"/>
  <c r="BE35" i="22"/>
  <c r="BD35" i="22"/>
  <c r="BC35" i="22"/>
  <c r="BB35" i="22"/>
  <c r="BA35" i="22"/>
  <c r="AZ35" i="22"/>
  <c r="AY35" i="22"/>
  <c r="AX35" i="22"/>
  <c r="AW35" i="22"/>
  <c r="AV35" i="22"/>
  <c r="AU35" i="22"/>
  <c r="AT35" i="22"/>
  <c r="AS35" i="22"/>
  <c r="AR35" i="22"/>
  <c r="AQ35" i="22"/>
  <c r="AP35" i="22"/>
  <c r="F35" i="22"/>
  <c r="BQ34" i="22"/>
  <c r="BP34" i="22"/>
  <c r="BO34" i="22"/>
  <c r="BN34" i="22"/>
  <c r="BM34" i="22"/>
  <c r="BL34" i="22"/>
  <c r="BK34" i="22"/>
  <c r="BJ34" i="22"/>
  <c r="BI34" i="22"/>
  <c r="BH34" i="22"/>
  <c r="BG34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D34" i="22"/>
  <c r="BQ33" i="22"/>
  <c r="BP33" i="22"/>
  <c r="BO33" i="22"/>
  <c r="BN33" i="22"/>
  <c r="BM33" i="22"/>
  <c r="BL33" i="22"/>
  <c r="BK33" i="22"/>
  <c r="BJ33" i="22"/>
  <c r="BI33" i="22"/>
  <c r="BH33" i="22"/>
  <c r="BG33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F33" i="22"/>
  <c r="F34" i="22"/>
  <c r="BQ32" i="22"/>
  <c r="BP32" i="22"/>
  <c r="BO32" i="22"/>
  <c r="BN32" i="22"/>
  <c r="BM32" i="22"/>
  <c r="BL32" i="22"/>
  <c r="BK32" i="22"/>
  <c r="BJ32" i="22"/>
  <c r="BI32" i="22"/>
  <c r="BH32" i="22"/>
  <c r="BG32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F32" i="22"/>
  <c r="BQ31" i="22"/>
  <c r="BP31" i="22"/>
  <c r="BO31" i="22"/>
  <c r="BN31" i="22"/>
  <c r="BM31" i="22"/>
  <c r="BL31" i="22"/>
  <c r="BK31" i="22"/>
  <c r="BJ31" i="22"/>
  <c r="BI31" i="22"/>
  <c r="BH31" i="22"/>
  <c r="BG31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P32" i="22"/>
  <c r="F31" i="22"/>
  <c r="D31" i="22"/>
  <c r="BQ30" i="22"/>
  <c r="BP30" i="22"/>
  <c r="BO30" i="22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F30" i="22"/>
  <c r="D30" i="22"/>
  <c r="BQ29" i="22"/>
  <c r="BP29" i="22"/>
  <c r="BO29" i="22"/>
  <c r="BN29" i="22"/>
  <c r="BM29" i="22"/>
  <c r="BL29" i="22"/>
  <c r="BK29" i="22"/>
  <c r="BJ29" i="22"/>
  <c r="BI29" i="22"/>
  <c r="BH29" i="22"/>
  <c r="BG29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BQ28" i="22"/>
  <c r="BP28" i="22"/>
  <c r="BO28" i="22"/>
  <c r="BN28" i="22"/>
  <c r="BM28" i="22"/>
  <c r="BL28" i="22"/>
  <c r="BK28" i="22"/>
  <c r="BJ28" i="22"/>
  <c r="BI28" i="22"/>
  <c r="BH28" i="22"/>
  <c r="BG28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F28" i="22"/>
  <c r="F29" i="22"/>
  <c r="D28" i="22"/>
  <c r="BQ27" i="22"/>
  <c r="BP27" i="22"/>
  <c r="BO27" i="22"/>
  <c r="BN27" i="22"/>
  <c r="BM27" i="22"/>
  <c r="BL27" i="22"/>
  <c r="BK27" i="22"/>
  <c r="BJ27" i="22"/>
  <c r="BI27" i="22"/>
  <c r="BH27" i="22"/>
  <c r="BG27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F27" i="22"/>
  <c r="BQ26" i="22"/>
  <c r="BP26" i="22"/>
  <c r="BO26" i="22"/>
  <c r="BN26" i="22"/>
  <c r="BM26" i="22"/>
  <c r="BL26" i="22"/>
  <c r="BK26" i="22"/>
  <c r="BJ26" i="22"/>
  <c r="BI26" i="22"/>
  <c r="BH26" i="22"/>
  <c r="BG26" i="22"/>
  <c r="BF26" i="22"/>
  <c r="BE26" i="22"/>
  <c r="BD26" i="22"/>
  <c r="BC26" i="22"/>
  <c r="BB26" i="22"/>
  <c r="BA26" i="22"/>
  <c r="AZ26" i="22"/>
  <c r="AY26" i="22"/>
  <c r="AX26" i="22"/>
  <c r="AW26" i="22"/>
  <c r="AV26" i="22"/>
  <c r="AU26" i="22"/>
  <c r="AT26" i="22"/>
  <c r="AS26" i="22"/>
  <c r="AR26" i="22"/>
  <c r="AQ26" i="22"/>
  <c r="AP26" i="22"/>
  <c r="AP27" i="22"/>
  <c r="F26" i="22"/>
  <c r="BQ25" i="22"/>
  <c r="BP25" i="22"/>
  <c r="BO25" i="22"/>
  <c r="BN25" i="22"/>
  <c r="BM25" i="22"/>
  <c r="BL25" i="22"/>
  <c r="BK25" i="22"/>
  <c r="BJ25" i="22"/>
  <c r="BI25" i="22"/>
  <c r="BH25" i="22"/>
  <c r="BG25" i="22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F25" i="22"/>
  <c r="BQ24" i="22"/>
  <c r="BP24" i="22"/>
  <c r="BO24" i="22"/>
  <c r="BN24" i="22"/>
  <c r="BM24" i="22"/>
  <c r="BL24" i="22"/>
  <c r="BK24" i="22"/>
  <c r="BJ24" i="22"/>
  <c r="BI24" i="22"/>
  <c r="BH24" i="22"/>
  <c r="BG24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D24" i="22"/>
  <c r="BQ23" i="22"/>
  <c r="BP23" i="22"/>
  <c r="BO23" i="22"/>
  <c r="BN23" i="22"/>
  <c r="BM23" i="22"/>
  <c r="BL23" i="22"/>
  <c r="BK23" i="22"/>
  <c r="BJ23" i="22"/>
  <c r="BI23" i="22"/>
  <c r="BH23" i="22"/>
  <c r="BG23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F23" i="22"/>
  <c r="F24" i="22"/>
  <c r="BQ22" i="22"/>
  <c r="BP22" i="22"/>
  <c r="BO22" i="22"/>
  <c r="BN22" i="22"/>
  <c r="BM22" i="22"/>
  <c r="BL22" i="22"/>
  <c r="BK22" i="22"/>
  <c r="BJ22" i="22"/>
  <c r="BI22" i="22"/>
  <c r="BH22" i="22"/>
  <c r="BG22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F22" i="22"/>
  <c r="D23" i="22"/>
  <c r="BQ21" i="22"/>
  <c r="BP21" i="22"/>
  <c r="BO21" i="22"/>
  <c r="BN21" i="22"/>
  <c r="BM21" i="22"/>
  <c r="BL21" i="22"/>
  <c r="BK21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P22" i="22"/>
  <c r="F21" i="22"/>
  <c r="D21" i="22"/>
  <c r="BQ20" i="22"/>
  <c r="BP20" i="22"/>
  <c r="BO20" i="22"/>
  <c r="BN20" i="22"/>
  <c r="BM20" i="22"/>
  <c r="BL20" i="22"/>
  <c r="BK20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F20" i="22"/>
  <c r="D20" i="22"/>
  <c r="BQ19" i="22"/>
  <c r="BP19" i="22"/>
  <c r="BO19" i="22"/>
  <c r="BN19" i="22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D19" i="22"/>
  <c r="BQ18" i="22"/>
  <c r="BP18" i="22"/>
  <c r="BO18" i="22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F18" i="22"/>
  <c r="F19" i="22"/>
  <c r="BQ17" i="22"/>
  <c r="BP17" i="22"/>
  <c r="BO17" i="22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F17" i="22"/>
  <c r="BQ16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P17" i="22"/>
  <c r="F16" i="22"/>
  <c r="BQ15" i="22"/>
  <c r="BP15" i="22"/>
  <c r="BO15" i="22"/>
  <c r="BN15" i="22"/>
  <c r="BM15" i="22"/>
  <c r="BL15" i="22"/>
  <c r="BK15" i="22"/>
  <c r="BJ15" i="22"/>
  <c r="BI15" i="22"/>
  <c r="BH15" i="22"/>
  <c r="BG15" i="22"/>
  <c r="BF15" i="22"/>
  <c r="BE15" i="22"/>
  <c r="BD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F15" i="22"/>
  <c r="D15" i="22"/>
  <c r="BQ14" i="22"/>
  <c r="BP14" i="22"/>
  <c r="BO14" i="22"/>
  <c r="BN14" i="22"/>
  <c r="BM14" i="22"/>
  <c r="BL14" i="22"/>
  <c r="BK14" i="22"/>
  <c r="BJ14" i="22"/>
  <c r="BI14" i="22"/>
  <c r="BH14" i="22"/>
  <c r="BG14" i="22"/>
  <c r="BF14" i="22"/>
  <c r="BE14" i="22"/>
  <c r="BD14" i="22"/>
  <c r="BC14" i="22"/>
  <c r="BB14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D14" i="22"/>
  <c r="BQ13" i="22"/>
  <c r="BP13" i="22"/>
  <c r="BO13" i="22"/>
  <c r="BN13" i="22"/>
  <c r="BM13" i="22"/>
  <c r="BL13" i="22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F13" i="22"/>
  <c r="F14" i="22"/>
  <c r="D13" i="22"/>
  <c r="BQ12" i="22"/>
  <c r="BP12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F12" i="22"/>
  <c r="D12" i="22"/>
  <c r="BQ11" i="22"/>
  <c r="BP11" i="22"/>
  <c r="BO11" i="22"/>
  <c r="BN11" i="22"/>
  <c r="BM11" i="22"/>
  <c r="BL11" i="22"/>
  <c r="BK11" i="22"/>
  <c r="BJ11" i="22"/>
  <c r="BI11" i="22"/>
  <c r="BH11" i="22"/>
  <c r="BG11" i="22"/>
  <c r="BF11" i="22"/>
  <c r="BE11" i="22"/>
  <c r="BD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P12" i="22"/>
  <c r="F11" i="22"/>
  <c r="D11" i="22"/>
  <c r="BQ10" i="22"/>
  <c r="BP10" i="22"/>
  <c r="BO10" i="22"/>
  <c r="BN10" i="22"/>
  <c r="BM10" i="22"/>
  <c r="BL10" i="22"/>
  <c r="BK10" i="22"/>
  <c r="BJ10" i="22"/>
  <c r="BI10" i="22"/>
  <c r="BH10" i="22"/>
  <c r="BG10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F10" i="22"/>
  <c r="D10" i="22"/>
  <c r="BQ9" i="22"/>
  <c r="BP9" i="22"/>
  <c r="BO9" i="22"/>
  <c r="BN9" i="22"/>
  <c r="BM9" i="22"/>
  <c r="BL9" i="22"/>
  <c r="BK9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D9" i="22"/>
  <c r="BQ8" i="22"/>
  <c r="BP8" i="22"/>
  <c r="BO8" i="22"/>
  <c r="BN8" i="22"/>
  <c r="BM8" i="22"/>
  <c r="BL8" i="22"/>
  <c r="BK8" i="22"/>
  <c r="BJ8" i="22"/>
  <c r="BI8" i="22"/>
  <c r="BH8" i="22"/>
  <c r="BG8" i="22"/>
  <c r="BF8" i="22"/>
  <c r="BE8" i="22"/>
  <c r="BD8" i="22"/>
  <c r="BC8" i="22"/>
  <c r="BB8" i="22"/>
  <c r="BA8" i="22"/>
  <c r="AZ8" i="22"/>
  <c r="AY8" i="22"/>
  <c r="AX8" i="22"/>
  <c r="AW8" i="22"/>
  <c r="AV8" i="22"/>
  <c r="AU8" i="22"/>
  <c r="AT8" i="22"/>
  <c r="AS8" i="22"/>
  <c r="AR8" i="22"/>
  <c r="AQ8" i="22"/>
  <c r="AP8" i="22"/>
  <c r="F8" i="22"/>
  <c r="F9" i="22"/>
  <c r="D8" i="22"/>
  <c r="BQ7" i="22"/>
  <c r="BP7" i="22"/>
  <c r="BO7" i="22"/>
  <c r="BN7" i="22"/>
  <c r="BM7" i="22"/>
  <c r="BL7" i="22"/>
  <c r="BK7" i="22"/>
  <c r="BJ7" i="22"/>
  <c r="BI7" i="22"/>
  <c r="BH7" i="22"/>
  <c r="BG7" i="22"/>
  <c r="BF7" i="22"/>
  <c r="BE7" i="22"/>
  <c r="BD7" i="22"/>
  <c r="BC7" i="22"/>
  <c r="BB7" i="22"/>
  <c r="BA7" i="22"/>
  <c r="AZ7" i="22"/>
  <c r="AY7" i="22"/>
  <c r="AX7" i="22"/>
  <c r="AW7" i="22"/>
  <c r="AV7" i="22"/>
  <c r="AU7" i="22"/>
  <c r="AT7" i="22"/>
  <c r="AS7" i="22"/>
  <c r="AR7" i="22"/>
  <c r="AQ7" i="22"/>
  <c r="AP7" i="22"/>
  <c r="F7" i="22"/>
  <c r="D7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F6" i="22"/>
  <c r="D6" i="22"/>
  <c r="A6" i="22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BQ5" i="22"/>
  <c r="BP5" i="22"/>
  <c r="BO5" i="22"/>
  <c r="BN5" i="22"/>
  <c r="BM5" i="22"/>
  <c r="BL5" i="22"/>
  <c r="BK5" i="22"/>
  <c r="BJ5" i="22"/>
  <c r="BI5" i="22"/>
  <c r="BH5" i="22"/>
  <c r="BG5" i="22"/>
  <c r="BF5" i="22"/>
  <c r="BE5" i="22"/>
  <c r="BD5" i="22"/>
  <c r="BC5" i="22"/>
  <c r="BB5" i="22"/>
  <c r="BA5" i="22"/>
  <c r="AZ5" i="22"/>
  <c r="AY5" i="22"/>
  <c r="AX5" i="22"/>
  <c r="AW5" i="22"/>
  <c r="AV5" i="22"/>
  <c r="AU5" i="22"/>
  <c r="AT5" i="22"/>
  <c r="AS5" i="22"/>
  <c r="AR5" i="22"/>
  <c r="F5" i="22"/>
  <c r="D5" i="22"/>
  <c r="A5" i="22"/>
  <c r="BQ4" i="22"/>
  <c r="BP4" i="22"/>
  <c r="D26" i="22" l="1"/>
  <c r="D18" i="22"/>
  <c r="D22" i="22"/>
  <c r="A5" i="23" l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DN27" i="19"/>
  <c r="DN26" i="19"/>
  <c r="DN25" i="19"/>
  <c r="DN24" i="19"/>
  <c r="DN23" i="19"/>
  <c r="BF18" i="19"/>
  <c r="BF17" i="19"/>
  <c r="DJ7" i="12"/>
  <c r="EL7" i="19"/>
  <c r="EK8" i="19" s="1"/>
  <c r="EI7" i="19"/>
  <c r="EH8" i="19" s="1"/>
  <c r="EF7" i="19"/>
  <c r="EE8" i="19" s="1"/>
  <c r="EC7" i="19"/>
  <c r="EB8" i="19" s="1"/>
  <c r="DN7" i="19"/>
  <c r="DI7" i="19"/>
  <c r="CT7" i="19"/>
  <c r="CO7" i="19"/>
  <c r="CJ7" i="19"/>
  <c r="BZ7" i="19"/>
  <c r="BK7" i="19"/>
  <c r="BF7" i="19"/>
  <c r="BA7" i="19"/>
  <c r="AZ8" i="19" s="1"/>
  <c r="AV7" i="19"/>
  <c r="AU8" i="19" s="1"/>
  <c r="AQ7" i="19"/>
  <c r="AG7" i="19"/>
  <c r="AB7" i="19"/>
  <c r="EB9" i="19"/>
  <c r="EB10" i="19"/>
  <c r="EB11" i="19"/>
  <c r="EB12" i="19"/>
  <c r="EB13" i="19"/>
  <c r="EB14" i="19"/>
  <c r="EB15" i="19"/>
  <c r="EB16" i="19"/>
  <c r="EB17" i="19"/>
  <c r="EB18" i="19"/>
  <c r="EB7" i="19"/>
  <c r="EK9" i="19"/>
  <c r="EK10" i="19"/>
  <c r="EK11" i="19"/>
  <c r="EK12" i="19"/>
  <c r="EK13" i="19"/>
  <c r="EK14" i="19"/>
  <c r="EK15" i="19"/>
  <c r="EK16" i="19"/>
  <c r="EK7" i="19"/>
  <c r="EH9" i="19"/>
  <c r="EH10" i="19"/>
  <c r="EH11" i="19"/>
  <c r="EH12" i="19"/>
  <c r="EH13" i="19"/>
  <c r="EH14" i="19"/>
  <c r="EH7" i="19"/>
  <c r="EE9" i="19"/>
  <c r="EE10" i="19"/>
  <c r="EE11" i="19"/>
  <c r="EE12" i="19"/>
  <c r="EE13" i="19"/>
  <c r="EE14" i="19"/>
  <c r="EE7" i="19"/>
  <c r="DW7" i="19"/>
  <c r="DW8" i="19"/>
  <c r="DW9" i="19"/>
  <c r="DW10" i="19"/>
  <c r="DW11" i="19"/>
  <c r="DW12" i="19"/>
  <c r="DW13" i="19"/>
  <c r="DW14" i="19"/>
  <c r="DW15" i="19"/>
  <c r="DW16" i="19"/>
  <c r="DW17" i="19"/>
  <c r="DW18" i="19"/>
  <c r="DW19" i="19"/>
  <c r="DW20" i="19"/>
  <c r="DW21" i="19"/>
  <c r="DW22" i="19"/>
  <c r="DW23" i="19"/>
  <c r="DW24" i="19"/>
  <c r="DW25" i="19"/>
  <c r="DW26" i="19"/>
  <c r="DW27" i="19"/>
  <c r="DW28" i="19"/>
  <c r="DW29" i="19"/>
  <c r="DW30" i="19"/>
  <c r="DW31" i="19"/>
  <c r="DW32" i="19"/>
  <c r="DW33" i="19"/>
  <c r="DW34" i="19"/>
  <c r="DW35" i="19"/>
  <c r="DW36" i="19"/>
  <c r="AZ7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U7" i="19"/>
  <c r="AU9" i="19"/>
  <c r="AU10" i="19"/>
  <c r="AU11" i="19"/>
  <c r="AU12" i="19"/>
  <c r="AU13" i="19"/>
  <c r="AU14" i="19"/>
  <c r="AU15" i="19"/>
  <c r="AU16" i="19"/>
  <c r="AU17" i="19"/>
  <c r="AU18" i="19"/>
  <c r="AU19" i="19"/>
  <c r="AU20" i="19"/>
  <c r="AU21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U36" i="19"/>
  <c r="AP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 l="1"/>
  <c r="H9" i="1"/>
  <c r="H8" i="1"/>
  <c r="EM14" i="19"/>
  <c r="EM15" i="19"/>
  <c r="EM16" i="19"/>
  <c r="EK17" i="19"/>
  <c r="EM17" i="19" s="1"/>
  <c r="EK18" i="19"/>
  <c r="EM18" i="19" s="1"/>
  <c r="EK19" i="19"/>
  <c r="EM19" i="19" s="1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M13" i="19"/>
  <c r="EM12" i="19"/>
  <c r="EJ13" i="19"/>
  <c r="EJ14" i="19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J12" i="19"/>
  <c r="EG13" i="19"/>
  <c r="EG14" i="19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 s="1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G12" i="19"/>
  <c r="ED13" i="19"/>
  <c r="ED14" i="19"/>
  <c r="ED15" i="19"/>
  <c r="ED16" i="19"/>
  <c r="ED17" i="19"/>
  <c r="ED18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7" i="19"/>
  <c r="EM8" i="19"/>
  <c r="EM9" i="19"/>
  <c r="EM10" i="19"/>
  <c r="EM11" i="19"/>
  <c r="EM6" i="19"/>
  <c r="EJ7" i="19"/>
  <c r="EJ8" i="19"/>
  <c r="EJ9" i="19"/>
  <c r="EJ10" i="19"/>
  <c r="EJ11" i="19"/>
  <c r="EJ6" i="19"/>
  <c r="EG7" i="19"/>
  <c r="EG8" i="19"/>
  <c r="EG9" i="19"/>
  <c r="EG10" i="19"/>
  <c r="EG11" i="19"/>
  <c r="EG6" i="19"/>
  <c r="ED7" i="19"/>
  <c r="ED8" i="19"/>
  <c r="ED9" i="19"/>
  <c r="ED10" i="19"/>
  <c r="ED11" i="19"/>
  <c r="ED6" i="19"/>
  <c r="DY6" i="19"/>
  <c r="EW6" i="12"/>
  <c r="CX13" i="19"/>
  <c r="CX14" i="19"/>
  <c r="H3" i="1"/>
  <c r="J3" i="1" s="1"/>
  <c r="R8" i="12"/>
  <c r="DZ5" i="12" l="1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N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D10" i="7"/>
  <c r="D10" i="6"/>
  <c r="D10" i="5"/>
  <c r="D10" i="4"/>
  <c r="D10" i="3"/>
  <c r="V6" i="19" l="1"/>
  <c r="FR5" i="12"/>
  <c r="FP5" i="12"/>
  <c r="FN5" i="12"/>
  <c r="FL5" i="12"/>
  <c r="FJ5" i="12"/>
  <c r="FH5" i="12"/>
  <c r="FB7" i="12" l="1"/>
  <c r="FD7" i="12" s="1"/>
  <c r="FB8" i="12"/>
  <c r="FD8" i="12" s="1"/>
  <c r="FB9" i="12"/>
  <c r="FD9" i="12" s="1"/>
  <c r="FB10" i="12"/>
  <c r="FD10" i="12" s="1"/>
  <c r="FB11" i="12"/>
  <c r="FD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B17" i="12"/>
  <c r="FD17" i="12" s="1"/>
  <c r="FB18" i="12"/>
  <c r="FD18" i="12" s="1"/>
  <c r="FB19" i="12"/>
  <c r="FD19" i="12" s="1"/>
  <c r="FB20" i="12"/>
  <c r="FD20" i="12" s="1"/>
  <c r="FB21" i="12"/>
  <c r="FD21" i="12" s="1"/>
  <c r="FB22" i="12"/>
  <c r="FD22" i="12" s="1"/>
  <c r="FB23" i="12"/>
  <c r="FD23" i="12" s="1"/>
  <c r="FB24" i="12"/>
  <c r="FD24" i="12" s="1"/>
  <c r="FB25" i="12"/>
  <c r="FD25" i="12" s="1"/>
  <c r="FB26" i="12"/>
  <c r="FD26" i="12" s="1"/>
  <c r="FB27" i="12"/>
  <c r="FD27" i="12" s="1"/>
  <c r="FB28" i="12"/>
  <c r="FD28" i="12" s="1"/>
  <c r="FB29" i="12"/>
  <c r="FD29" i="12" s="1"/>
  <c r="FB30" i="12"/>
  <c r="FD30" i="12" s="1"/>
  <c r="FB31" i="12"/>
  <c r="FD31" i="12" s="1"/>
  <c r="FB32" i="12"/>
  <c r="FD32" i="12" s="1"/>
  <c r="FB33" i="12"/>
  <c r="FD33" i="12" s="1"/>
  <c r="FB34" i="12"/>
  <c r="FD34" i="12" s="1"/>
  <c r="FB35" i="12"/>
  <c r="FD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FR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Y6" i="12"/>
  <c r="FR6" i="12" s="1"/>
  <c r="ER7" i="12"/>
  <c r="ET7" i="12" s="1"/>
  <c r="ER8" i="12"/>
  <c r="ET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R16" i="12"/>
  <c r="ET16" i="12" s="1"/>
  <c r="ER17" i="12"/>
  <c r="ET17" i="12" s="1"/>
  <c r="ER18" i="12"/>
  <c r="ET18" i="12" s="1"/>
  <c r="ER19" i="12"/>
  <c r="ET19" i="12" s="1"/>
  <c r="ER20" i="12"/>
  <c r="ET20" i="12" s="1"/>
  <c r="ER21" i="12"/>
  <c r="ET21" i="12" s="1"/>
  <c r="ER22" i="12"/>
  <c r="ET22" i="12" s="1"/>
  <c r="ER23" i="12"/>
  <c r="ET23" i="12" s="1"/>
  <c r="ER24" i="12"/>
  <c r="ET24" i="12" s="1"/>
  <c r="ER25" i="12"/>
  <c r="ET25" i="12" s="1"/>
  <c r="ER26" i="12"/>
  <c r="ET26" i="12" s="1"/>
  <c r="ER27" i="12"/>
  <c r="ET27" i="12" s="1"/>
  <c r="ER28" i="12"/>
  <c r="ET28" i="12" s="1"/>
  <c r="ER29" i="12"/>
  <c r="ET29" i="12" s="1"/>
  <c r="ER30" i="12"/>
  <c r="ET30" i="12" s="1"/>
  <c r="ER31" i="12"/>
  <c r="ET31" i="12" s="1"/>
  <c r="ER32" i="12"/>
  <c r="ET32" i="12" s="1"/>
  <c r="ER33" i="12"/>
  <c r="ET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O16" i="12" s="1"/>
  <c r="EM17" i="12"/>
  <c r="EO17" i="12" s="1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 s="1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J16" i="12" s="1"/>
  <c r="EH17" i="12"/>
  <c r="EJ17" i="12" s="1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 s="1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N16" i="12"/>
  <c r="DP16" i="12" s="1"/>
  <c r="DN17" i="12"/>
  <c r="DP17" i="12" s="1"/>
  <c r="DN18" i="12"/>
  <c r="DP18" i="12" s="1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 s="1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I16" i="12"/>
  <c r="DK16" i="12" s="1"/>
  <c r="DI17" i="12"/>
  <c r="DK17" i="12" s="1"/>
  <c r="DI18" i="12"/>
  <c r="DK18" i="12" s="1"/>
  <c r="DI19" i="12"/>
  <c r="DK19" i="12" s="1"/>
  <c r="DI20" i="12"/>
  <c r="DK20" i="12" s="1"/>
  <c r="DI21" i="12"/>
  <c r="DK21" i="12" s="1"/>
  <c r="DI22" i="12"/>
  <c r="DK22" i="12" s="1"/>
  <c r="DI23" i="12"/>
  <c r="DK23" i="12" s="1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 s="1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D16" i="12"/>
  <c r="DF16" i="12" s="1"/>
  <c r="DD17" i="12"/>
  <c r="DF17" i="12" s="1"/>
  <c r="DD18" i="12"/>
  <c r="DF18" i="12" s="1"/>
  <c r="DD19" i="12"/>
  <c r="DF19" i="12" s="1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CY16" i="12"/>
  <c r="DA16" i="12" s="1"/>
  <c r="CY17" i="12"/>
  <c r="DA17" i="12" s="1"/>
  <c r="CY18" i="12"/>
  <c r="DA18" i="12" s="1"/>
  <c r="CY19" i="12"/>
  <c r="DA19" i="12" s="1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T16" i="12"/>
  <c r="CV16" i="12" s="1"/>
  <c r="CT17" i="12"/>
  <c r="CV17" i="12" s="1"/>
  <c r="CT18" i="12"/>
  <c r="CV18" i="12" s="1"/>
  <c r="CT19" i="12"/>
  <c r="CV19" i="12" s="1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O16" i="12"/>
  <c r="CQ16" i="12" s="1"/>
  <c r="CO17" i="12"/>
  <c r="CQ17" i="12" s="1"/>
  <c r="CO18" i="12"/>
  <c r="CQ18" i="12" s="1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J16" i="12"/>
  <c r="CL16" i="12" s="1"/>
  <c r="CJ17" i="12"/>
  <c r="CL17" i="12" s="1"/>
  <c r="CJ18" i="12"/>
  <c r="CL18" i="12" s="1"/>
  <c r="CJ19" i="12"/>
  <c r="CL19" i="12" s="1"/>
  <c r="CJ20" i="12"/>
  <c r="CL20" i="12" s="1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E17" i="12"/>
  <c r="CG17" i="12" s="1"/>
  <c r="CE18" i="12"/>
  <c r="CG18" i="12" s="1"/>
  <c r="CE19" i="12"/>
  <c r="CG19" i="12" s="1"/>
  <c r="CE20" i="12"/>
  <c r="CG20" i="12" s="1"/>
  <c r="CE21" i="12"/>
  <c r="CG21" i="12" s="1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BZ16" i="12"/>
  <c r="CB16" i="12" s="1"/>
  <c r="BZ17" i="12"/>
  <c r="CB17" i="12" s="1"/>
  <c r="BZ18" i="12"/>
  <c r="CB18" i="12" s="1"/>
  <c r="BZ19" i="12"/>
  <c r="CB19" i="12" s="1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U16" i="12"/>
  <c r="BW16" i="12" s="1"/>
  <c r="BU17" i="12"/>
  <c r="BW17" i="12" s="1"/>
  <c r="BU18" i="12"/>
  <c r="BW18" i="12" s="1"/>
  <c r="BU19" i="12"/>
  <c r="BW19" i="12" s="1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P16" i="12"/>
  <c r="BR16" i="12" s="1"/>
  <c r="BP17" i="12"/>
  <c r="BR17" i="12" s="1"/>
  <c r="BP18" i="12"/>
  <c r="BR18" i="12" s="1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K16" i="12"/>
  <c r="BM16" i="12" s="1"/>
  <c r="FP16" i="12" s="1"/>
  <c r="BK17" i="12"/>
  <c r="BM17" i="12" s="1"/>
  <c r="BK18" i="12"/>
  <c r="BM18" i="12" s="1"/>
  <c r="BK19" i="12"/>
  <c r="BM19" i="12" s="1"/>
  <c r="BK20" i="12"/>
  <c r="BM20" i="12" s="1"/>
  <c r="BK21" i="12"/>
  <c r="BM21" i="12" s="1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F16" i="12"/>
  <c r="BH16" i="12" s="1"/>
  <c r="BF17" i="12"/>
  <c r="BH17" i="12" s="1"/>
  <c r="BF18" i="12"/>
  <c r="BH18" i="12" s="1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A16" i="12"/>
  <c r="BC16" i="12" s="1"/>
  <c r="BA17" i="12"/>
  <c r="BC17" i="12" s="1"/>
  <c r="BA18" i="12"/>
  <c r="BC18" i="12" s="1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V16" i="12"/>
  <c r="AX16" i="12" s="1"/>
  <c r="AV17" i="12"/>
  <c r="AX17" i="12" s="1"/>
  <c r="AV18" i="12"/>
  <c r="AX18" i="12" s="1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Q16" i="12"/>
  <c r="AS16" i="12" s="1"/>
  <c r="AQ17" i="12"/>
  <c r="AS17" i="12" s="1"/>
  <c r="AQ18" i="12"/>
  <c r="AS18" i="12" s="1"/>
  <c r="AQ19" i="12"/>
  <c r="AS19" i="12" s="1"/>
  <c r="AQ20" i="12"/>
  <c r="AS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L16" i="12"/>
  <c r="AN16" i="12" s="1"/>
  <c r="AL17" i="12"/>
  <c r="AN17" i="12" s="1"/>
  <c r="AL18" i="12"/>
  <c r="AN18" i="12" s="1"/>
  <c r="AL19" i="12"/>
  <c r="AN19" i="12" s="1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R16" i="12"/>
  <c r="T16" i="12" s="1"/>
  <c r="R17" i="12"/>
  <c r="T17" i="12" s="1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H16" i="12"/>
  <c r="J16" i="12" s="1"/>
  <c r="H17" i="12"/>
  <c r="J17" i="12" s="1"/>
  <c r="H18" i="12"/>
  <c r="J18" i="12" s="1"/>
  <c r="H19" i="12"/>
  <c r="J19" i="12" s="1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M16" i="12"/>
  <c r="O16" i="12" s="1"/>
  <c r="M17" i="12"/>
  <c r="O17" i="12" s="1"/>
  <c r="M18" i="12"/>
  <c r="O18" i="12" s="1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M13" i="19"/>
  <c r="DM14" i="19"/>
  <c r="DM15" i="19"/>
  <c r="DM16" i="19"/>
  <c r="DM17" i="19"/>
  <c r="DM18" i="19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M33" i="19"/>
  <c r="DM34" i="19"/>
  <c r="DM35" i="19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H24" i="19"/>
  <c r="DH25" i="19"/>
  <c r="DH26" i="19"/>
  <c r="DH27" i="19"/>
  <c r="DH28" i="19"/>
  <c r="DH29" i="19"/>
  <c r="DH30" i="19"/>
  <c r="DH31" i="19"/>
  <c r="DH32" i="19"/>
  <c r="DH33" i="19"/>
  <c r="DH34" i="19"/>
  <c r="DH35" i="19"/>
  <c r="DH36" i="19"/>
  <c r="DH7" i="19"/>
  <c r="DC8" i="19"/>
  <c r="DC9" i="19"/>
  <c r="DC10" i="19"/>
  <c r="DC11" i="19"/>
  <c r="DC12" i="19"/>
  <c r="DC13" i="19"/>
  <c r="DC14" i="19"/>
  <c r="DC15" i="19"/>
  <c r="DC16" i="19"/>
  <c r="DC17" i="19"/>
  <c r="DC18" i="19"/>
  <c r="DC19" i="19"/>
  <c r="DC20" i="19"/>
  <c r="DC21" i="19"/>
  <c r="DC22" i="19"/>
  <c r="DC23" i="19"/>
  <c r="DC24" i="19"/>
  <c r="DC25" i="19"/>
  <c r="DC26" i="19"/>
  <c r="DC27" i="19"/>
  <c r="DC28" i="19"/>
  <c r="DC29" i="19"/>
  <c r="DC30" i="19"/>
  <c r="DC31" i="19"/>
  <c r="DC32" i="19"/>
  <c r="DC33" i="19"/>
  <c r="DC34" i="19"/>
  <c r="DC35" i="19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X22" i="19"/>
  <c r="CX23" i="19"/>
  <c r="CX24" i="19"/>
  <c r="CX25" i="19"/>
  <c r="CX26" i="19"/>
  <c r="CX27" i="19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S16" i="19"/>
  <c r="CS17" i="19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S36" i="19"/>
  <c r="CS7" i="19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N26" i="19"/>
  <c r="CN27" i="19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BY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O16" i="19"/>
  <c r="BO17" i="19"/>
  <c r="BO18" i="19"/>
  <c r="BO19" i="19"/>
  <c r="BO20" i="19"/>
  <c r="BO21" i="19"/>
  <c r="BO22" i="19"/>
  <c r="BO23" i="19"/>
  <c r="BO24" i="19"/>
  <c r="BO25" i="19"/>
  <c r="BO26" i="19"/>
  <c r="BO27" i="19"/>
  <c r="BO28" i="19"/>
  <c r="BO29" i="19"/>
  <c r="BO30" i="19"/>
  <c r="BO31" i="19"/>
  <c r="BO32" i="19"/>
  <c r="BO33" i="19"/>
  <c r="BO34" i="19"/>
  <c r="BO35" i="19"/>
  <c r="BO36" i="19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 s="1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C16" i="12"/>
  <c r="E16" i="12" s="1"/>
  <c r="C17" i="12"/>
  <c r="E17" i="12" s="1"/>
  <c r="FH17" i="12" s="1"/>
  <c r="C18" i="12"/>
  <c r="E18" i="12" s="1"/>
  <c r="C19" i="12"/>
  <c r="E19" i="12" s="1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FH25" i="12" s="1"/>
  <c r="C26" i="12"/>
  <c r="E26" i="12" s="1"/>
  <c r="FH26" i="12" s="1"/>
  <c r="C27" i="12"/>
  <c r="E27" i="12" s="1"/>
  <c r="C28" i="12"/>
  <c r="E28" i="12" s="1"/>
  <c r="C29" i="12"/>
  <c r="E29" i="12" s="1"/>
  <c r="C30" i="12"/>
  <c r="E30" i="12" s="1"/>
  <c r="FH30" i="12" s="1"/>
  <c r="C31" i="12"/>
  <c r="E31" i="12" s="1"/>
  <c r="C32" i="12"/>
  <c r="E32" i="12" s="1"/>
  <c r="C33" i="12"/>
  <c r="E33" i="12" s="1"/>
  <c r="C34" i="12"/>
  <c r="E34" i="12" s="1"/>
  <c r="FH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D12" i="7" s="1"/>
  <c r="B13" i="7"/>
  <c r="D13" i="7" s="1"/>
  <c r="B14" i="7"/>
  <c r="D14" i="7" s="1"/>
  <c r="B15" i="7"/>
  <c r="D15" i="7" s="1"/>
  <c r="B16" i="7"/>
  <c r="D16" i="7" s="1"/>
  <c r="B17" i="7"/>
  <c r="D17" i="7" s="1"/>
  <c r="B18" i="7"/>
  <c r="D18" i="7" s="1"/>
  <c r="B19" i="7"/>
  <c r="D19" i="7" s="1"/>
  <c r="B20" i="7"/>
  <c r="D20" i="7" s="1"/>
  <c r="B21" i="7"/>
  <c r="D21" i="7" s="1"/>
  <c r="B22" i="7"/>
  <c r="D22" i="7" s="1"/>
  <c r="B23" i="7"/>
  <c r="D23" i="7" s="1"/>
  <c r="B24" i="7"/>
  <c r="D24" i="7" s="1"/>
  <c r="B25" i="7"/>
  <c r="D25" i="7" s="1"/>
  <c r="B26" i="7"/>
  <c r="D26" i="7" s="1"/>
  <c r="B27" i="7"/>
  <c r="D27" i="7" s="1"/>
  <c r="B28" i="7"/>
  <c r="D28" i="7" s="1"/>
  <c r="B29" i="7"/>
  <c r="D29" i="7" s="1"/>
  <c r="B30" i="7"/>
  <c r="D30" i="7" s="1"/>
  <c r="B31" i="7"/>
  <c r="D31" i="7" s="1"/>
  <c r="B32" i="7"/>
  <c r="D32" i="7" s="1"/>
  <c r="B33" i="7"/>
  <c r="D33" i="7" s="1"/>
  <c r="B34" i="7"/>
  <c r="D34" i="7" s="1"/>
  <c r="B35" i="7"/>
  <c r="D35" i="7" s="1"/>
  <c r="B36" i="7"/>
  <c r="D36" i="7" s="1"/>
  <c r="B37" i="7"/>
  <c r="D37" i="7" s="1"/>
  <c r="B38" i="7"/>
  <c r="D38" i="7" s="1"/>
  <c r="B39" i="7"/>
  <c r="D39" i="7" s="1"/>
  <c r="B40" i="7"/>
  <c r="D40" i="7" s="1"/>
  <c r="B11" i="7"/>
  <c r="D11" i="7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11" i="5"/>
  <c r="D11" i="5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12" i="4"/>
  <c r="D12" i="4" s="1"/>
  <c r="B11" i="4"/>
  <c r="D11" i="4" s="1"/>
  <c r="FL26" i="12" l="1"/>
  <c r="FJ18" i="12"/>
  <c r="FH14" i="12"/>
  <c r="CM14" i="12"/>
  <c r="FR21" i="12"/>
  <c r="FR12" i="12"/>
  <c r="FP18" i="12"/>
  <c r="CM15" i="12"/>
  <c r="FP12" i="12"/>
  <c r="FH35" i="12"/>
  <c r="D41" i="3"/>
  <c r="FR35" i="12"/>
  <c r="FN35" i="12"/>
  <c r="FL35" i="12"/>
  <c r="FJ35" i="12"/>
  <c r="V9" i="19"/>
  <c r="V12" i="19"/>
  <c r="FP27" i="12"/>
  <c r="FR27" i="12"/>
  <c r="FL25" i="12"/>
  <c r="FR23" i="12"/>
  <c r="FP24" i="12"/>
  <c r="FP23" i="12"/>
  <c r="FN23" i="12"/>
  <c r="FH24" i="12"/>
  <c r="FR22" i="12"/>
  <c r="FP22" i="12"/>
  <c r="FP21" i="12"/>
  <c r="FP19" i="12"/>
  <c r="FL21" i="12"/>
  <c r="FL18" i="12"/>
  <c r="FN18" i="12"/>
  <c r="FN17" i="12"/>
  <c r="FL17" i="12"/>
  <c r="FJ17" i="12"/>
  <c r="FH15" i="12"/>
  <c r="FR15" i="12"/>
  <c r="FN15" i="12"/>
  <c r="FN14" i="12"/>
  <c r="FL15" i="12"/>
  <c r="FL14" i="12"/>
  <c r="FJ13" i="12"/>
  <c r="FJ12" i="12"/>
  <c r="FH28" i="12"/>
  <c r="FH27" i="12"/>
  <c r="FH23" i="12"/>
  <c r="FL20" i="12"/>
  <c r="FN20" i="12"/>
  <c r="FR10" i="12"/>
  <c r="FH18" i="12"/>
  <c r="FR24" i="12"/>
  <c r="FN24" i="12"/>
  <c r="FJ22" i="12"/>
  <c r="FL22" i="12"/>
  <c r="FN22" i="12"/>
  <c r="FL19" i="12"/>
  <c r="FP35" i="12"/>
  <c r="FP20" i="12"/>
  <c r="FR20" i="12"/>
  <c r="FR19" i="12"/>
  <c r="FR18" i="12"/>
  <c r="FR13" i="12"/>
  <c r="FR11" i="12"/>
  <c r="FP13" i="12"/>
  <c r="FP10" i="12"/>
  <c r="FN12" i="12"/>
  <c r="FN11" i="12"/>
  <c r="FN9" i="12"/>
  <c r="FL13" i="12"/>
  <c r="FL12" i="12"/>
  <c r="FH10" i="12"/>
  <c r="FN10" i="12"/>
  <c r="FL10" i="12"/>
  <c r="FJ10" i="12"/>
  <c r="FP8" i="12"/>
  <c r="FP6" i="12"/>
  <c r="FP7" i="12"/>
  <c r="FN8" i="12"/>
  <c r="FL9" i="12"/>
  <c r="FJ8" i="12"/>
  <c r="FR8" i="12"/>
  <c r="FR7" i="12"/>
  <c r="FR34" i="12"/>
  <c r="FR28" i="12"/>
  <c r="FR26" i="12"/>
  <c r="FR25" i="12"/>
  <c r="FR14" i="12"/>
  <c r="FR9" i="12"/>
  <c r="FR17" i="12"/>
  <c r="FP25" i="12"/>
  <c r="FJ21" i="12"/>
  <c r="FJ20" i="12"/>
  <c r="FJ19" i="12"/>
  <c r="FJ25" i="12"/>
  <c r="FJ15" i="12"/>
  <c r="FJ14" i="12"/>
  <c r="FJ26" i="12"/>
  <c r="FP15" i="12"/>
  <c r="FP14" i="12"/>
  <c r="FP11" i="12"/>
  <c r="FP9" i="12"/>
  <c r="FP26" i="12"/>
  <c r="FP17" i="12"/>
  <c r="FN26" i="12"/>
  <c r="FN25" i="12"/>
  <c r="FN21" i="12"/>
  <c r="FN19" i="12"/>
  <c r="FN6" i="12"/>
  <c r="FN16" i="12"/>
  <c r="FN13" i="12"/>
  <c r="FN27" i="12"/>
  <c r="FN7" i="12"/>
  <c r="FL24" i="12"/>
  <c r="FL23" i="12"/>
  <c r="FL6" i="12"/>
  <c r="FL16" i="12"/>
  <c r="FL11" i="12"/>
  <c r="FL8" i="12"/>
  <c r="FL27" i="12"/>
  <c r="FL7" i="12"/>
  <c r="FJ24" i="12"/>
  <c r="FJ23" i="12"/>
  <c r="FJ6" i="12"/>
  <c r="FJ16" i="12"/>
  <c r="FJ11" i="12"/>
  <c r="FJ9" i="12"/>
  <c r="FJ27" i="12"/>
  <c r="FJ7" i="12"/>
  <c r="FH16" i="12"/>
  <c r="FR33" i="12"/>
  <c r="FR32" i="12"/>
  <c r="FR31" i="12"/>
  <c r="FR30" i="12"/>
  <c r="FP34" i="12"/>
  <c r="FP33" i="12"/>
  <c r="FP32" i="12"/>
  <c r="FN34" i="12"/>
  <c r="FN33" i="12"/>
  <c r="FN32" i="12"/>
  <c r="FL34" i="12"/>
  <c r="FL33" i="12"/>
  <c r="FJ34" i="12"/>
  <c r="FJ33" i="12"/>
  <c r="FP31" i="12"/>
  <c r="FN31" i="12"/>
  <c r="FL32" i="12"/>
  <c r="FL31" i="12"/>
  <c r="FJ32" i="12"/>
  <c r="FJ31" i="12"/>
  <c r="FR29" i="12"/>
  <c r="FP30" i="12"/>
  <c r="FP29" i="12"/>
  <c r="FP28" i="12"/>
  <c r="FN30" i="12"/>
  <c r="FN29" i="12"/>
  <c r="FN28" i="12"/>
  <c r="FL30" i="12"/>
  <c r="FL29" i="12"/>
  <c r="FL28" i="12"/>
  <c r="FJ30" i="12"/>
  <c r="FJ29" i="12"/>
  <c r="FJ28" i="12"/>
  <c r="FH33" i="12"/>
  <c r="FH13" i="12"/>
  <c r="FH31" i="12"/>
  <c r="FH11" i="12"/>
  <c r="FH32" i="12"/>
  <c r="FH12" i="12"/>
  <c r="FH29" i="12"/>
  <c r="FH9" i="12"/>
  <c r="FH20" i="12"/>
  <c r="FH8" i="12"/>
  <c r="FH7" i="12"/>
  <c r="FH22" i="12"/>
  <c r="FH21" i="12"/>
  <c r="FH19" i="12"/>
  <c r="FH6" i="12"/>
  <c r="FF6" i="12"/>
  <c r="FF7" i="12"/>
  <c r="FF9" i="12"/>
  <c r="FE10" i="12"/>
  <c r="FE11" i="12"/>
  <c r="FF13" i="12"/>
  <c r="FF14" i="12"/>
  <c r="FE15" i="12"/>
  <c r="FF17" i="12"/>
  <c r="FF18" i="12"/>
  <c r="FE18" i="12"/>
  <c r="FF19" i="12"/>
  <c r="FF21" i="12"/>
  <c r="FF23" i="12"/>
  <c r="FF25" i="12"/>
  <c r="FF26" i="12"/>
  <c r="FE27" i="12"/>
  <c r="FF29" i="12"/>
  <c r="FF30" i="12"/>
  <c r="FE31" i="12"/>
  <c r="FF33" i="12"/>
  <c r="FF34" i="12"/>
  <c r="EZ10" i="12"/>
  <c r="EZ14" i="12"/>
  <c r="EZ24" i="12"/>
  <c r="FE25" i="12" l="1"/>
  <c r="EZ26" i="12"/>
  <c r="EZ23" i="12"/>
  <c r="FE35" i="12"/>
  <c r="FF35" i="12"/>
  <c r="EZ34" i="12"/>
  <c r="EZ15" i="12"/>
  <c r="EZ11" i="12"/>
  <c r="FE26" i="12"/>
  <c r="FE21" i="12"/>
  <c r="FE22" i="12"/>
  <c r="FE19" i="12"/>
  <c r="EZ18" i="12"/>
  <c r="FE9" i="12"/>
  <c r="EZ9" i="12"/>
  <c r="FE16" i="12"/>
  <c r="FF10" i="12"/>
  <c r="EZ25" i="12"/>
  <c r="EZ19" i="12"/>
  <c r="FE32" i="12"/>
  <c r="EZ31" i="12"/>
  <c r="FF31" i="12"/>
  <c r="FE20" i="12"/>
  <c r="FF15" i="12"/>
  <c r="EZ35" i="12"/>
  <c r="EZ16" i="12"/>
  <c r="EZ27" i="12"/>
  <c r="EZ22" i="12"/>
  <c r="FE34" i="12"/>
  <c r="FE28" i="12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AH36" i="19" l="1"/>
  <c r="DY35" i="19" l="1"/>
  <c r="DT35" i="19"/>
  <c r="DO35" i="19"/>
  <c r="DJ35" i="19"/>
  <c r="AH35" i="19"/>
  <c r="AI36" i="19" s="1"/>
  <c r="AC35" i="19"/>
  <c r="CP8" i="19" l="1"/>
  <c r="K32" i="17" l="1"/>
  <c r="L32" i="17"/>
  <c r="D38" i="1" l="1"/>
  <c r="C38" i="1"/>
  <c r="E32" i="17" l="1"/>
  <c r="B38" i="1"/>
  <c r="BQ12" i="19" l="1"/>
  <c r="BQ13" i="19"/>
  <c r="BQ14" i="19"/>
  <c r="BQ15" i="19"/>
  <c r="BQ16" i="19"/>
  <c r="BQ17" i="19"/>
  <c r="BQ18" i="19"/>
  <c r="AH6" i="19"/>
  <c r="K31" i="17"/>
  <c r="L31" i="17"/>
  <c r="BR18" i="19" l="1"/>
  <c r="BR16" i="19"/>
  <c r="BR15" i="19"/>
  <c r="BR14" i="19"/>
  <c r="BR13" i="19"/>
  <c r="BR17" i="19"/>
  <c r="DE35" i="19"/>
  <c r="CU35" i="19"/>
  <c r="CP35" i="19"/>
  <c r="CK35" i="19"/>
  <c r="CF35" i="19"/>
  <c r="CA35" i="19"/>
  <c r="BV35" i="19"/>
  <c r="BQ11" i="19"/>
  <c r="BR12" i="19" s="1"/>
  <c r="BQ35" i="19"/>
  <c r="BL35" i="19"/>
  <c r="BG35" i="19"/>
  <c r="BB34" i="19"/>
  <c r="BB35" i="19"/>
  <c r="AW35" i="19"/>
  <c r="AR35" i="19"/>
  <c r="AM33" i="19"/>
  <c r="AM34" i="19"/>
  <c r="AM35" i="19"/>
  <c r="BC35" i="19" l="1"/>
  <c r="AN35" i="19"/>
  <c r="AN34" i="19"/>
  <c r="EN35" i="19"/>
  <c r="DY8" i="19"/>
  <c r="DZ8" i="19" s="1"/>
  <c r="DY9" i="19"/>
  <c r="DY10" i="19"/>
  <c r="DY11" i="19"/>
  <c r="DY12" i="19"/>
  <c r="DY13" i="19"/>
  <c r="DY14" i="19"/>
  <c r="DZ14" i="19" s="1"/>
  <c r="DY15" i="19"/>
  <c r="DY16" i="19"/>
  <c r="DZ16" i="19" s="1"/>
  <c r="DY17" i="19"/>
  <c r="DY18" i="19"/>
  <c r="DY19" i="19"/>
  <c r="DY20" i="19"/>
  <c r="DY21" i="19"/>
  <c r="DY22" i="19"/>
  <c r="DY23" i="19"/>
  <c r="DY24" i="19"/>
  <c r="DY25" i="19"/>
  <c r="DY26" i="19"/>
  <c r="DY27" i="19"/>
  <c r="DY28" i="19"/>
  <c r="DY29" i="19"/>
  <c r="DY30" i="19"/>
  <c r="DY31" i="19"/>
  <c r="DY32" i="19"/>
  <c r="DY33" i="19"/>
  <c r="DY34" i="19"/>
  <c r="DZ35" i="19" s="1"/>
  <c r="DY36" i="19"/>
  <c r="DZ36" i="19" s="1"/>
  <c r="DJ6" i="19"/>
  <c r="DO6" i="19"/>
  <c r="DT6" i="19"/>
  <c r="DJ7" i="19"/>
  <c r="DO7" i="19"/>
  <c r="DT7" i="19"/>
  <c r="DJ8" i="19"/>
  <c r="DK8" i="19" s="1"/>
  <c r="DO8" i="19"/>
  <c r="DP8" i="19" s="1"/>
  <c r="DT8" i="19"/>
  <c r="DJ9" i="19"/>
  <c r="DO9" i="19"/>
  <c r="DT9" i="19"/>
  <c r="DJ10" i="19"/>
  <c r="DO10" i="19"/>
  <c r="DP10" i="19" s="1"/>
  <c r="DT10" i="19"/>
  <c r="DJ11" i="19"/>
  <c r="DK11" i="19" s="1"/>
  <c r="DO11" i="19"/>
  <c r="DP11" i="19" s="1"/>
  <c r="DT11" i="19"/>
  <c r="DJ12" i="19"/>
  <c r="DK12" i="19" s="1"/>
  <c r="DO12" i="19"/>
  <c r="DP12" i="19" s="1"/>
  <c r="DT12" i="19"/>
  <c r="DJ13" i="19"/>
  <c r="DK13" i="19" s="1"/>
  <c r="DO13" i="19"/>
  <c r="DT13" i="19"/>
  <c r="DJ14" i="19"/>
  <c r="DO14" i="19"/>
  <c r="DP14" i="19" s="1"/>
  <c r="DT14" i="19"/>
  <c r="DJ15" i="19"/>
  <c r="DK15" i="19" s="1"/>
  <c r="DO15" i="19"/>
  <c r="DT15" i="19"/>
  <c r="DJ16" i="19"/>
  <c r="DO16" i="19"/>
  <c r="DT16" i="19"/>
  <c r="DU16" i="19" s="1"/>
  <c r="DJ17" i="19"/>
  <c r="DO17" i="19"/>
  <c r="DT17" i="19"/>
  <c r="DJ18" i="19"/>
  <c r="DO18" i="19"/>
  <c r="DP18" i="19" s="1"/>
  <c r="DT18" i="19"/>
  <c r="DJ19" i="19"/>
  <c r="DK19" i="19" s="1"/>
  <c r="DO19" i="19"/>
  <c r="DP19" i="19" s="1"/>
  <c r="DT19" i="19"/>
  <c r="DJ20" i="19"/>
  <c r="DO20" i="19"/>
  <c r="DT20" i="19"/>
  <c r="DU20" i="19" s="1"/>
  <c r="DJ21" i="19"/>
  <c r="DK21" i="19" s="1"/>
  <c r="DO21" i="19"/>
  <c r="DP21" i="19" s="1"/>
  <c r="DT21" i="19"/>
  <c r="DJ22" i="19"/>
  <c r="DO22" i="19"/>
  <c r="DT22" i="19"/>
  <c r="DJ23" i="19"/>
  <c r="DO23" i="19"/>
  <c r="DT23" i="19"/>
  <c r="DJ24" i="19"/>
  <c r="DK24" i="19" s="1"/>
  <c r="DO24" i="19"/>
  <c r="DT24" i="19"/>
  <c r="DU24" i="19" s="1"/>
  <c r="DJ25" i="19"/>
  <c r="DO25" i="19"/>
  <c r="DT25" i="19"/>
  <c r="DU25" i="19" s="1"/>
  <c r="DJ26" i="19"/>
  <c r="DK26" i="19" s="1"/>
  <c r="DO26" i="19"/>
  <c r="DP26" i="19" s="1"/>
  <c r="DT26" i="19"/>
  <c r="DU26" i="19" s="1"/>
  <c r="DJ27" i="19"/>
  <c r="DO27" i="19"/>
  <c r="DP27" i="19" s="1"/>
  <c r="DT27" i="19"/>
  <c r="DU27" i="19" s="1"/>
  <c r="DJ28" i="19"/>
  <c r="DK28" i="19" s="1"/>
  <c r="DO28" i="19"/>
  <c r="DP28" i="19" s="1"/>
  <c r="DT28" i="19"/>
  <c r="DJ29" i="19"/>
  <c r="DO29" i="19"/>
  <c r="DT29" i="19"/>
  <c r="DU29" i="19" s="1"/>
  <c r="DJ30" i="19"/>
  <c r="DK30" i="19" s="1"/>
  <c r="DO30" i="19"/>
  <c r="DP30" i="19" s="1"/>
  <c r="DT30" i="19"/>
  <c r="DU30" i="19" s="1"/>
  <c r="DJ31" i="19"/>
  <c r="DO31" i="19"/>
  <c r="DP31" i="19" s="1"/>
  <c r="DT31" i="19"/>
  <c r="DJ32" i="19"/>
  <c r="DO32" i="19"/>
  <c r="DT32" i="19"/>
  <c r="DJ33" i="19"/>
  <c r="DO33" i="19"/>
  <c r="DT33" i="19"/>
  <c r="DJ34" i="19"/>
  <c r="DK35" i="19" s="1"/>
  <c r="DO34" i="19"/>
  <c r="DP35" i="19" s="1"/>
  <c r="DT34" i="19"/>
  <c r="DU35" i="19" s="1"/>
  <c r="DJ36" i="19"/>
  <c r="DK36" i="19" s="1"/>
  <c r="DO36" i="19"/>
  <c r="DP36" i="19" s="1"/>
  <c r="DT36" i="19"/>
  <c r="DU36" i="19" s="1"/>
  <c r="AR6" i="19"/>
  <c r="AW6" i="19"/>
  <c r="BB6" i="19"/>
  <c r="BG6" i="19"/>
  <c r="BL6" i="19"/>
  <c r="BQ6" i="19"/>
  <c r="BV6" i="19"/>
  <c r="BW7" i="19" s="1"/>
  <c r="CA6" i="19"/>
  <c r="CF6" i="19"/>
  <c r="CG7" i="19" s="1"/>
  <c r="CK6" i="19"/>
  <c r="CP6" i="19"/>
  <c r="CQ7" i="19" s="1"/>
  <c r="CU6" i="19"/>
  <c r="CV7" i="19" s="1"/>
  <c r="CZ6" i="19"/>
  <c r="DA7" i="19" s="1"/>
  <c r="DE6" i="19"/>
  <c r="DF7" i="19" s="1"/>
  <c r="AR7" i="19"/>
  <c r="AW7" i="19"/>
  <c r="BB7" i="19"/>
  <c r="BG7" i="19"/>
  <c r="BL7" i="19"/>
  <c r="BQ7" i="19"/>
  <c r="BV7" i="19"/>
  <c r="CA7" i="19"/>
  <c r="CF7" i="19"/>
  <c r="CK7" i="19"/>
  <c r="CP7" i="19"/>
  <c r="CQ8" i="19" s="1"/>
  <c r="CU7" i="19"/>
  <c r="CZ7" i="19"/>
  <c r="DE7" i="19"/>
  <c r="AR8" i="19"/>
  <c r="AW8" i="19"/>
  <c r="BB8" i="19"/>
  <c r="BG8" i="19"/>
  <c r="BL8" i="19"/>
  <c r="BQ8" i="19"/>
  <c r="BR8" i="19" s="1"/>
  <c r="BV8" i="19"/>
  <c r="BW8" i="19" s="1"/>
  <c r="CA8" i="19"/>
  <c r="CB8" i="19" s="1"/>
  <c r="CF8" i="19"/>
  <c r="CG8" i="19" s="1"/>
  <c r="CK8" i="19"/>
  <c r="CL8" i="19" s="1"/>
  <c r="CU8" i="19"/>
  <c r="CZ8" i="19"/>
  <c r="DE8" i="19"/>
  <c r="AR9" i="19"/>
  <c r="AW9" i="19"/>
  <c r="BB9" i="19"/>
  <c r="BG9" i="19"/>
  <c r="BL9" i="19"/>
  <c r="BQ9" i="19"/>
  <c r="BV9" i="19"/>
  <c r="CA9" i="19"/>
  <c r="CF9" i="19"/>
  <c r="CK9" i="19"/>
  <c r="CP9" i="19"/>
  <c r="CQ9" i="19" s="1"/>
  <c r="CU9" i="19"/>
  <c r="CV9" i="19" s="1"/>
  <c r="CZ9" i="19"/>
  <c r="DE9" i="19"/>
  <c r="DF9" i="19" s="1"/>
  <c r="AR10" i="19"/>
  <c r="AS10" i="19" s="1"/>
  <c r="AW10" i="19"/>
  <c r="AX10" i="19" s="1"/>
  <c r="BB10" i="19"/>
  <c r="BC10" i="19" s="1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M11" i="19" s="1"/>
  <c r="BV11" i="19"/>
  <c r="BW11" i="19" s="1"/>
  <c r="CA11" i="19"/>
  <c r="CB11" i="19" s="1"/>
  <c r="CF11" i="19"/>
  <c r="CG11" i="19" s="1"/>
  <c r="CK11" i="19"/>
  <c r="CL11" i="19" s="1"/>
  <c r="CP11" i="19"/>
  <c r="CU11" i="19"/>
  <c r="CZ11" i="19"/>
  <c r="DE11" i="19"/>
  <c r="AR12" i="19"/>
  <c r="AW12" i="19"/>
  <c r="BB12" i="19"/>
  <c r="BG12" i="19"/>
  <c r="BL12" i="19"/>
  <c r="BV12" i="19"/>
  <c r="CA12" i="19"/>
  <c r="CF12" i="19"/>
  <c r="CK12" i="19"/>
  <c r="CP12" i="19"/>
  <c r="CQ12" i="19" s="1"/>
  <c r="CU12" i="19"/>
  <c r="CV12" i="19" s="1"/>
  <c r="CZ12" i="19"/>
  <c r="DA12" i="19" s="1"/>
  <c r="DE12" i="19"/>
  <c r="DF12" i="19" s="1"/>
  <c r="AR13" i="19"/>
  <c r="AS13" i="19" s="1"/>
  <c r="AW13" i="19"/>
  <c r="AX13" i="19" s="1"/>
  <c r="BB13" i="19"/>
  <c r="BC13" i="19" s="1"/>
  <c r="BG13" i="19"/>
  <c r="BL13" i="19"/>
  <c r="BV13" i="19"/>
  <c r="CA13" i="19"/>
  <c r="CF13" i="19"/>
  <c r="CK13" i="19"/>
  <c r="CP13" i="19"/>
  <c r="CU13" i="19"/>
  <c r="CZ13" i="19"/>
  <c r="DE13" i="19"/>
  <c r="AR14" i="19"/>
  <c r="AW14" i="19"/>
  <c r="BB14" i="19"/>
  <c r="BG14" i="19"/>
  <c r="BV14" i="19"/>
  <c r="BW14" i="19" s="1"/>
  <c r="CA14" i="19"/>
  <c r="CB14" i="19" s="1"/>
  <c r="CF14" i="19"/>
  <c r="CG14" i="19" s="1"/>
  <c r="CK14" i="19"/>
  <c r="CL14" i="19" s="1"/>
  <c r="CP14" i="19"/>
  <c r="CU14" i="19"/>
  <c r="CV14" i="19" s="1"/>
  <c r="CZ14" i="19"/>
  <c r="DE14" i="19"/>
  <c r="AR15" i="19"/>
  <c r="AW15" i="19"/>
  <c r="BB15" i="19"/>
  <c r="BG15" i="19"/>
  <c r="BL15" i="19"/>
  <c r="BM15" i="19" s="1"/>
  <c r="BV15" i="19"/>
  <c r="CA15" i="19"/>
  <c r="CF15" i="19"/>
  <c r="CK15" i="19"/>
  <c r="CU15" i="19"/>
  <c r="CZ15" i="19"/>
  <c r="DA15" i="19" s="1"/>
  <c r="DE15" i="19"/>
  <c r="DF15" i="19" s="1"/>
  <c r="AR16" i="19"/>
  <c r="AS16" i="19" s="1"/>
  <c r="AW16" i="19"/>
  <c r="AX16" i="19" s="1"/>
  <c r="BB16" i="19"/>
  <c r="BC16" i="19" s="1"/>
  <c r="BG16" i="19"/>
  <c r="BH16" i="19" s="1"/>
  <c r="BL16" i="19"/>
  <c r="BM16" i="19" s="1"/>
  <c r="BV16" i="19"/>
  <c r="BW16" i="19" s="1"/>
  <c r="CA16" i="19"/>
  <c r="CF16" i="19"/>
  <c r="CK16" i="19"/>
  <c r="CP16" i="19"/>
  <c r="CQ16" i="19" s="1"/>
  <c r="CU16" i="19"/>
  <c r="CZ16" i="19"/>
  <c r="DE16" i="19"/>
  <c r="AR17" i="19"/>
  <c r="AW17" i="19"/>
  <c r="BB17" i="19"/>
  <c r="BG17" i="19"/>
  <c r="BL17" i="19"/>
  <c r="BV17" i="19"/>
  <c r="CA17" i="19"/>
  <c r="CB17" i="19" s="1"/>
  <c r="CF17" i="19"/>
  <c r="CG17" i="19" s="1"/>
  <c r="CK17" i="19"/>
  <c r="CL17" i="19" s="1"/>
  <c r="CP17" i="19"/>
  <c r="CQ17" i="19" s="1"/>
  <c r="CU17" i="19"/>
  <c r="CV17" i="19" s="1"/>
  <c r="CZ17" i="19"/>
  <c r="DA17" i="19" s="1"/>
  <c r="DE17" i="19"/>
  <c r="DF17" i="19" s="1"/>
  <c r="AR18" i="19"/>
  <c r="AW18" i="19"/>
  <c r="BB18" i="19"/>
  <c r="BG18" i="19"/>
  <c r="BL18" i="19"/>
  <c r="BV18" i="19"/>
  <c r="CA18" i="19"/>
  <c r="CF18" i="19"/>
  <c r="CK18" i="19"/>
  <c r="CP18" i="19"/>
  <c r="CU18" i="19"/>
  <c r="CZ18" i="19"/>
  <c r="DE18" i="19"/>
  <c r="AR19" i="19"/>
  <c r="AS19" i="19" s="1"/>
  <c r="AW19" i="19"/>
  <c r="AX19" i="19" s="1"/>
  <c r="BB19" i="19"/>
  <c r="BC19" i="19" s="1"/>
  <c r="BG19" i="19"/>
  <c r="BH19" i="19" s="1"/>
  <c r="BL19" i="19"/>
  <c r="BM19" i="19" s="1"/>
  <c r="BQ19" i="19"/>
  <c r="BR19" i="19" s="1"/>
  <c r="BV19" i="19"/>
  <c r="BW19" i="19" s="1"/>
  <c r="CA19" i="19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0" i="19" s="1"/>
  <c r="CK20" i="19"/>
  <c r="CL20" i="19" s="1"/>
  <c r="CP20" i="19"/>
  <c r="CQ20" i="19" s="1"/>
  <c r="CU20" i="19"/>
  <c r="CV20" i="19" s="1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CZ21" i="19"/>
  <c r="DE21" i="19"/>
  <c r="DF21" i="19" s="1"/>
  <c r="AR22" i="19"/>
  <c r="AS22" i="19" s="1"/>
  <c r="AW22" i="19"/>
  <c r="AX22" i="19" s="1"/>
  <c r="BB22" i="19"/>
  <c r="BC22" i="19" s="1"/>
  <c r="BG22" i="19"/>
  <c r="BH22" i="19" s="1"/>
  <c r="BL22" i="19"/>
  <c r="BM22" i="19" s="1"/>
  <c r="BQ22" i="19"/>
  <c r="BV22" i="19"/>
  <c r="CA22" i="19"/>
  <c r="CF22" i="19"/>
  <c r="CK22" i="19"/>
  <c r="CP22" i="19"/>
  <c r="CU22" i="19"/>
  <c r="CZ22" i="19"/>
  <c r="DE22" i="19"/>
  <c r="AR23" i="19"/>
  <c r="AW23" i="19"/>
  <c r="BB23" i="19"/>
  <c r="BG23" i="19"/>
  <c r="BL23" i="19"/>
  <c r="BQ23" i="19"/>
  <c r="BR23" i="19" s="1"/>
  <c r="BV23" i="19"/>
  <c r="BW23" i="19" s="1"/>
  <c r="CA23" i="19"/>
  <c r="CB23" i="19" s="1"/>
  <c r="CF23" i="19"/>
  <c r="CG23" i="19" s="1"/>
  <c r="CK23" i="19"/>
  <c r="CL23" i="19" s="1"/>
  <c r="CP23" i="19"/>
  <c r="CQ23" i="19" s="1"/>
  <c r="CU23" i="19"/>
  <c r="CZ23" i="19"/>
  <c r="DE23" i="19"/>
  <c r="AR24" i="19"/>
  <c r="AW24" i="19"/>
  <c r="BB24" i="19"/>
  <c r="BG24" i="19"/>
  <c r="BL24" i="19"/>
  <c r="BQ24" i="19"/>
  <c r="BV24" i="19"/>
  <c r="CA24" i="19"/>
  <c r="CF24" i="19"/>
  <c r="CK24" i="19"/>
  <c r="CP24" i="19"/>
  <c r="CU24" i="19"/>
  <c r="CV24" i="19" s="1"/>
  <c r="CZ24" i="19"/>
  <c r="DA24" i="19" s="1"/>
  <c r="DE24" i="19"/>
  <c r="DF24" i="19" s="1"/>
  <c r="AR25" i="19"/>
  <c r="AS25" i="19" s="1"/>
  <c r="AW25" i="19"/>
  <c r="AX25" i="19" s="1"/>
  <c r="BB25" i="19"/>
  <c r="BC25" i="19" s="1"/>
  <c r="BG25" i="19"/>
  <c r="BL25" i="19"/>
  <c r="BQ25" i="19"/>
  <c r="BV25" i="19"/>
  <c r="CA25" i="19"/>
  <c r="CF25" i="19"/>
  <c r="CK25" i="19"/>
  <c r="CP25" i="19"/>
  <c r="CU25" i="19"/>
  <c r="CZ25" i="19"/>
  <c r="DE25" i="19"/>
  <c r="AR26" i="19"/>
  <c r="AW26" i="19"/>
  <c r="BB26" i="19"/>
  <c r="BG26" i="19"/>
  <c r="BL26" i="19"/>
  <c r="BM26" i="19" s="1"/>
  <c r="BQ26" i="19"/>
  <c r="BR26" i="19" s="1"/>
  <c r="BV26" i="19"/>
  <c r="BW26" i="19" s="1"/>
  <c r="CA26" i="19"/>
  <c r="CB26" i="19" s="1"/>
  <c r="CF26" i="19"/>
  <c r="CG26" i="19" s="1"/>
  <c r="CK26" i="19"/>
  <c r="CP26" i="19"/>
  <c r="CU26" i="19"/>
  <c r="CZ26" i="19"/>
  <c r="DE26" i="19"/>
  <c r="AR27" i="19"/>
  <c r="AW27" i="19"/>
  <c r="BB27" i="19"/>
  <c r="BG27" i="19"/>
  <c r="BL27" i="19"/>
  <c r="BQ27" i="19"/>
  <c r="BV27" i="19"/>
  <c r="CA27" i="19"/>
  <c r="CF27" i="19"/>
  <c r="CK27" i="19"/>
  <c r="CL27" i="19" s="1"/>
  <c r="CP27" i="19"/>
  <c r="CQ27" i="19" s="1"/>
  <c r="CU27" i="19"/>
  <c r="CV27" i="19" s="1"/>
  <c r="CZ27" i="19"/>
  <c r="DA27" i="19" s="1"/>
  <c r="DE27" i="19"/>
  <c r="DF27" i="19" s="1"/>
  <c r="AR28" i="19"/>
  <c r="AS28" i="19" s="1"/>
  <c r="AW28" i="19"/>
  <c r="BB28" i="19"/>
  <c r="BG28" i="19"/>
  <c r="BL28" i="19"/>
  <c r="BQ28" i="19"/>
  <c r="BV28" i="19"/>
  <c r="CA28" i="19"/>
  <c r="CF28" i="19"/>
  <c r="CK28" i="19"/>
  <c r="CP28" i="19"/>
  <c r="CU28" i="19"/>
  <c r="CZ28" i="19"/>
  <c r="DE28" i="19"/>
  <c r="AR29" i="19"/>
  <c r="AW29" i="19"/>
  <c r="AX29" i="19" s="1"/>
  <c r="BB29" i="19"/>
  <c r="BC29" i="19" s="1"/>
  <c r="BG29" i="19"/>
  <c r="BH29" i="19" s="1"/>
  <c r="BL29" i="19"/>
  <c r="BM29" i="19" s="1"/>
  <c r="BQ29" i="19"/>
  <c r="BR29" i="19" s="1"/>
  <c r="BV29" i="19"/>
  <c r="BW29" i="19" s="1"/>
  <c r="CA29" i="19"/>
  <c r="CF29" i="19"/>
  <c r="CK29" i="19"/>
  <c r="CP29" i="19"/>
  <c r="CU29" i="19"/>
  <c r="CZ29" i="19"/>
  <c r="DE29" i="19"/>
  <c r="AR30" i="19"/>
  <c r="AW30" i="19"/>
  <c r="BB30" i="19"/>
  <c r="BG30" i="19"/>
  <c r="BL30" i="19"/>
  <c r="BQ30" i="19"/>
  <c r="BV30" i="19"/>
  <c r="CA30" i="19"/>
  <c r="CB30" i="19" s="1"/>
  <c r="CF30" i="19"/>
  <c r="CG30" i="19" s="1"/>
  <c r="CK30" i="19"/>
  <c r="CL30" i="19" s="1"/>
  <c r="CP30" i="19"/>
  <c r="CQ30" i="19" s="1"/>
  <c r="CU30" i="19"/>
  <c r="CV30" i="19" s="1"/>
  <c r="CZ30" i="19"/>
  <c r="DA30" i="19" s="1"/>
  <c r="DE30" i="19"/>
  <c r="AR31" i="19"/>
  <c r="AW31" i="19"/>
  <c r="BB31" i="19"/>
  <c r="BG31" i="19"/>
  <c r="BL31" i="19"/>
  <c r="BQ31" i="19"/>
  <c r="BV31" i="19"/>
  <c r="CA31" i="19"/>
  <c r="CF31" i="19"/>
  <c r="CK31" i="19"/>
  <c r="CP31" i="19"/>
  <c r="CU31" i="19"/>
  <c r="CZ31" i="19"/>
  <c r="DE31" i="19"/>
  <c r="DF31" i="19" s="1"/>
  <c r="AR32" i="19"/>
  <c r="AW32" i="19"/>
  <c r="BB32" i="19"/>
  <c r="BG32" i="19"/>
  <c r="BL32" i="19"/>
  <c r="BQ32" i="19"/>
  <c r="BV32" i="19"/>
  <c r="CA32" i="19"/>
  <c r="CF32" i="19"/>
  <c r="CK32" i="19"/>
  <c r="CP32" i="19"/>
  <c r="CU32" i="19"/>
  <c r="CZ32" i="19"/>
  <c r="DE32" i="19"/>
  <c r="AR33" i="19"/>
  <c r="AW33" i="19"/>
  <c r="AX34" i="19" s="1"/>
  <c r="BB33" i="19"/>
  <c r="BC34" i="19" s="1"/>
  <c r="BG33" i="19"/>
  <c r="BH34" i="19" s="1"/>
  <c r="BL33" i="19"/>
  <c r="BQ33" i="19"/>
  <c r="BR34" i="19" s="1"/>
  <c r="BV33" i="19"/>
  <c r="BW34" i="19" s="1"/>
  <c r="CA33" i="19"/>
  <c r="CB34" i="19" s="1"/>
  <c r="CF33" i="19"/>
  <c r="CG34" i="19" s="1"/>
  <c r="CK33" i="19"/>
  <c r="CL34" i="19" s="1"/>
  <c r="CP33" i="19"/>
  <c r="CQ34" i="19" s="1"/>
  <c r="CU33" i="19"/>
  <c r="CZ33" i="19"/>
  <c r="DE33" i="19"/>
  <c r="AR34" i="19"/>
  <c r="AS35" i="19" s="1"/>
  <c r="AW34" i="19"/>
  <c r="AX35" i="19" s="1"/>
  <c r="BG34" i="19"/>
  <c r="BH35" i="19" s="1"/>
  <c r="BL34" i="19"/>
  <c r="BM35" i="19" s="1"/>
  <c r="BQ34" i="19"/>
  <c r="BR35" i="19" s="1"/>
  <c r="BV34" i="19"/>
  <c r="BW35" i="19" s="1"/>
  <c r="CA34" i="19"/>
  <c r="CB35" i="19" s="1"/>
  <c r="CF34" i="19"/>
  <c r="CG35" i="19" s="1"/>
  <c r="CK34" i="19"/>
  <c r="CL35" i="19" s="1"/>
  <c r="CP34" i="19"/>
  <c r="CQ35" i="19" s="1"/>
  <c r="CU34" i="19"/>
  <c r="CV35" i="19" s="1"/>
  <c r="CZ34" i="19"/>
  <c r="DE34" i="19"/>
  <c r="DF35" i="19" s="1"/>
  <c r="CZ35" i="19"/>
  <c r="DA36" i="19" s="1"/>
  <c r="AR36" i="19"/>
  <c r="AS36" i="19" s="1"/>
  <c r="AW36" i="19"/>
  <c r="AX36" i="19" s="1"/>
  <c r="BB36" i="19"/>
  <c r="BC36" i="19" s="1"/>
  <c r="BG36" i="19"/>
  <c r="BH36" i="19" s="1"/>
  <c r="BL36" i="19"/>
  <c r="BM36" i="19" s="1"/>
  <c r="BQ36" i="19"/>
  <c r="BR36" i="19" s="1"/>
  <c r="BV36" i="19"/>
  <c r="BW36" i="19" s="1"/>
  <c r="CA36" i="19"/>
  <c r="CB36" i="19" s="1"/>
  <c r="CF36" i="19"/>
  <c r="CG36" i="19" s="1"/>
  <c r="CK36" i="19"/>
  <c r="CL36" i="19" s="1"/>
  <c r="CP36" i="19"/>
  <c r="CQ36" i="19" s="1"/>
  <c r="CU36" i="19"/>
  <c r="CV36" i="19" s="1"/>
  <c r="CZ36" i="19"/>
  <c r="DE36" i="19"/>
  <c r="DF36" i="19" s="1"/>
  <c r="AM6" i="19"/>
  <c r="AM7" i="19"/>
  <c r="AM8" i="19"/>
  <c r="AM9" i="19"/>
  <c r="AN9" i="19" s="1"/>
  <c r="AM10" i="19"/>
  <c r="AM11" i="19"/>
  <c r="AN11" i="19" s="1"/>
  <c r="AM12" i="19"/>
  <c r="AM13" i="19"/>
  <c r="AN13" i="19" s="1"/>
  <c r="AM14" i="19"/>
  <c r="AN14" i="19" s="1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N26" i="19" s="1"/>
  <c r="AM27" i="19"/>
  <c r="AM28" i="19"/>
  <c r="AN28" i="19" s="1"/>
  <c r="AM29" i="19"/>
  <c r="AM30" i="19"/>
  <c r="AM31" i="19"/>
  <c r="AM32" i="19"/>
  <c r="AM36" i="19"/>
  <c r="AN36" i="19" s="1"/>
  <c r="AH7" i="19"/>
  <c r="AI7" i="19" s="1"/>
  <c r="AH8" i="19"/>
  <c r="AH9" i="19"/>
  <c r="AH10" i="19"/>
  <c r="AI10" i="19" s="1"/>
  <c r="AH11" i="19"/>
  <c r="AH12" i="19"/>
  <c r="AH13" i="19"/>
  <c r="AH14" i="19"/>
  <c r="AH15" i="19"/>
  <c r="AH16" i="19"/>
  <c r="AH17" i="19"/>
  <c r="AH18" i="19"/>
  <c r="AH19" i="19"/>
  <c r="AH20" i="19"/>
  <c r="AH21" i="19"/>
  <c r="AI21" i="19" s="1"/>
  <c r="AH22" i="19"/>
  <c r="AH23" i="19"/>
  <c r="AH24" i="19"/>
  <c r="AH25" i="19"/>
  <c r="AI25" i="19" s="1"/>
  <c r="AH26" i="19"/>
  <c r="AI26" i="19" s="1"/>
  <c r="AH27" i="19"/>
  <c r="AH28" i="19"/>
  <c r="AH29" i="19"/>
  <c r="AH30" i="19"/>
  <c r="AH31" i="19"/>
  <c r="AH32" i="19"/>
  <c r="AH33" i="19"/>
  <c r="AH34" i="19"/>
  <c r="AI35" i="19" s="1"/>
  <c r="AC7" i="19"/>
  <c r="AC8" i="19"/>
  <c r="AC9" i="19"/>
  <c r="AC10" i="19"/>
  <c r="AD10" i="19" s="1"/>
  <c r="AC11" i="19"/>
  <c r="AC12" i="19"/>
  <c r="AC13" i="19"/>
  <c r="AD13" i="19" s="1"/>
  <c r="AC14" i="19"/>
  <c r="AC15" i="19"/>
  <c r="AC16" i="19"/>
  <c r="AC17" i="19"/>
  <c r="AC18" i="19"/>
  <c r="AD18" i="19" s="1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D35" i="19" s="1"/>
  <c r="AC36" i="19"/>
  <c r="AD36" i="19" s="1"/>
  <c r="AC6" i="19"/>
  <c r="AD7" i="19" s="1"/>
  <c r="DZ31" i="19" l="1"/>
  <c r="DU31" i="19"/>
  <c r="DK31" i="19"/>
  <c r="AN31" i="19"/>
  <c r="AD31" i="19"/>
  <c r="DP25" i="19"/>
  <c r="DZ30" i="19"/>
  <c r="AN30" i="19"/>
  <c r="AI30" i="19"/>
  <c r="AD30" i="19"/>
  <c r="DZ29" i="19"/>
  <c r="DZ28" i="19"/>
  <c r="AN29" i="19"/>
  <c r="AD28" i="19"/>
  <c r="DZ27" i="19"/>
  <c r="DZ26" i="19"/>
  <c r="DK27" i="19"/>
  <c r="AN27" i="19"/>
  <c r="DZ25" i="19"/>
  <c r="DK25" i="19"/>
  <c r="AN25" i="19"/>
  <c r="AD25" i="19"/>
  <c r="DP24" i="19"/>
  <c r="AI24" i="19"/>
  <c r="AD24" i="19"/>
  <c r="AN7" i="19"/>
  <c r="CQ31" i="19"/>
  <c r="BM30" i="19"/>
  <c r="AD29" i="19"/>
  <c r="AN24" i="19"/>
  <c r="CQ28" i="19"/>
  <c r="AS30" i="19"/>
  <c r="CG28" i="19"/>
  <c r="CB28" i="19"/>
  <c r="BW28" i="19"/>
  <c r="AS24" i="19"/>
  <c r="AD26" i="19"/>
  <c r="AI28" i="19"/>
  <c r="BH25" i="19"/>
  <c r="BH10" i="19"/>
  <c r="DU23" i="19"/>
  <c r="DP23" i="19"/>
  <c r="DK23" i="19"/>
  <c r="AD23" i="19"/>
  <c r="DZ21" i="19"/>
  <c r="DU21" i="19"/>
  <c r="CQ22" i="19"/>
  <c r="CQ21" i="19"/>
  <c r="AN21" i="19"/>
  <c r="AI22" i="19"/>
  <c r="AD22" i="19"/>
  <c r="DZ20" i="19"/>
  <c r="DU19" i="19"/>
  <c r="DP20" i="19"/>
  <c r="DK20" i="19"/>
  <c r="CB20" i="19"/>
  <c r="AN20" i="19"/>
  <c r="AN19" i="19"/>
  <c r="AI20" i="19"/>
  <c r="AI19" i="19"/>
  <c r="AD19" i="19"/>
  <c r="DZ18" i="19"/>
  <c r="DU18" i="19"/>
  <c r="DK18" i="19"/>
  <c r="DK17" i="19"/>
  <c r="AI18" i="19"/>
  <c r="DZ17" i="19"/>
  <c r="DU17" i="19"/>
  <c r="DP17" i="19"/>
  <c r="AN17" i="19"/>
  <c r="AD17" i="19"/>
  <c r="DP16" i="19"/>
  <c r="AN16" i="19"/>
  <c r="AI16" i="19"/>
  <c r="DZ15" i="19"/>
  <c r="DU14" i="19"/>
  <c r="DK14" i="19"/>
  <c r="AI15" i="19"/>
  <c r="AI14" i="19"/>
  <c r="AD15" i="19"/>
  <c r="AD14" i="19"/>
  <c r="DZ13" i="19"/>
  <c r="DU13" i="19"/>
  <c r="DP13" i="19"/>
  <c r="BH13" i="19"/>
  <c r="AI13" i="19"/>
  <c r="DZ12" i="19"/>
  <c r="DZ11" i="19"/>
  <c r="DU12" i="19"/>
  <c r="DU11" i="19"/>
  <c r="AN12" i="19"/>
  <c r="AD12" i="19"/>
  <c r="AD11" i="19"/>
  <c r="AI11" i="19"/>
  <c r="DZ10" i="19"/>
  <c r="DU10" i="19"/>
  <c r="DU9" i="19"/>
  <c r="DK10" i="19"/>
  <c r="AN10" i="19"/>
  <c r="DZ9" i="19"/>
  <c r="DA9" i="19"/>
  <c r="BR7" i="19"/>
  <c r="BM8" i="19"/>
  <c r="BM7" i="19"/>
  <c r="CL7" i="19"/>
  <c r="AN8" i="19"/>
  <c r="AI8" i="19"/>
  <c r="DZ23" i="19"/>
  <c r="DZ22" i="19"/>
  <c r="DZ19" i="19"/>
  <c r="DZ24" i="19"/>
  <c r="DU7" i="19"/>
  <c r="DU22" i="19"/>
  <c r="DU15" i="19"/>
  <c r="DU28" i="19"/>
  <c r="DU8" i="19"/>
  <c r="DP7" i="19"/>
  <c r="DP29" i="19"/>
  <c r="DP9" i="19"/>
  <c r="DP22" i="19"/>
  <c r="DP15" i="19"/>
  <c r="DK7" i="19"/>
  <c r="DK16" i="19"/>
  <c r="DK29" i="19"/>
  <c r="DK9" i="19"/>
  <c r="DK22" i="19"/>
  <c r="DF18" i="19"/>
  <c r="DF28" i="19"/>
  <c r="DF25" i="19"/>
  <c r="DF10" i="19"/>
  <c r="DF13" i="19"/>
  <c r="DF22" i="19"/>
  <c r="DF19" i="19"/>
  <c r="DF16" i="19"/>
  <c r="DF26" i="19"/>
  <c r="DF11" i="19"/>
  <c r="DF23" i="19"/>
  <c r="DF8" i="19"/>
  <c r="DF14" i="19"/>
  <c r="DF29" i="19"/>
  <c r="DF30" i="19"/>
  <c r="DF20" i="19"/>
  <c r="DA28" i="19"/>
  <c r="DA25" i="19"/>
  <c r="DA22" i="19"/>
  <c r="DA29" i="19"/>
  <c r="DA26" i="19"/>
  <c r="DA31" i="19"/>
  <c r="DA23" i="19"/>
  <c r="DA18" i="19"/>
  <c r="DA20" i="19"/>
  <c r="DA21" i="19"/>
  <c r="DA10" i="19"/>
  <c r="DA13" i="19"/>
  <c r="DA19" i="19"/>
  <c r="DA16" i="19"/>
  <c r="DA11" i="19"/>
  <c r="DA8" i="19"/>
  <c r="DA14" i="19"/>
  <c r="CV21" i="19"/>
  <c r="CV15" i="19"/>
  <c r="CV28" i="19"/>
  <c r="CV18" i="19"/>
  <c r="CV31" i="19"/>
  <c r="CV25" i="19"/>
  <c r="CV10" i="19"/>
  <c r="CV13" i="19"/>
  <c r="CV22" i="19"/>
  <c r="CV29" i="19"/>
  <c r="CV19" i="19"/>
  <c r="CV16" i="19"/>
  <c r="CV26" i="19"/>
  <c r="CV11" i="19"/>
  <c r="CV23" i="19"/>
  <c r="CV8" i="19"/>
  <c r="CQ14" i="19"/>
  <c r="CQ15" i="19"/>
  <c r="CQ24" i="19"/>
  <c r="CQ18" i="19"/>
  <c r="CQ25" i="19"/>
  <c r="CQ10" i="19"/>
  <c r="CQ13" i="19"/>
  <c r="CQ29" i="19"/>
  <c r="CQ19" i="19"/>
  <c r="CQ26" i="19"/>
  <c r="CQ11" i="19"/>
  <c r="CL9" i="19"/>
  <c r="CL24" i="19"/>
  <c r="CL31" i="19"/>
  <c r="CL21" i="19"/>
  <c r="CL15" i="19"/>
  <c r="CL18" i="19"/>
  <c r="CL25" i="19"/>
  <c r="CL10" i="19"/>
  <c r="CL13" i="19"/>
  <c r="CL28" i="19"/>
  <c r="CL22" i="19"/>
  <c r="CL29" i="19"/>
  <c r="CL19" i="19"/>
  <c r="CL16" i="19"/>
  <c r="CL12" i="19"/>
  <c r="CL26" i="19"/>
  <c r="CG27" i="19"/>
  <c r="CG24" i="19"/>
  <c r="CG12" i="19"/>
  <c r="CG9" i="19"/>
  <c r="CG31" i="19"/>
  <c r="CG21" i="19"/>
  <c r="CG15" i="19"/>
  <c r="CG18" i="19"/>
  <c r="CG25" i="19"/>
  <c r="CG10" i="19"/>
  <c r="CG13" i="19"/>
  <c r="CG22" i="19"/>
  <c r="CG19" i="19"/>
  <c r="CG16" i="19"/>
  <c r="CG29" i="19"/>
  <c r="CB27" i="19"/>
  <c r="CB24" i="19"/>
  <c r="CB12" i="19"/>
  <c r="CB9" i="19"/>
  <c r="CB31" i="19"/>
  <c r="CB21" i="19"/>
  <c r="CB15" i="19"/>
  <c r="CB18" i="19"/>
  <c r="CB25" i="19"/>
  <c r="CB10" i="19"/>
  <c r="CB13" i="19"/>
  <c r="CB22" i="19"/>
  <c r="CB29" i="19"/>
  <c r="CB19" i="19"/>
  <c r="CB16" i="19"/>
  <c r="BW20" i="19"/>
  <c r="BW17" i="19"/>
  <c r="BW27" i="19"/>
  <c r="BW24" i="19"/>
  <c r="BW12" i="19"/>
  <c r="BW9" i="19"/>
  <c r="BW21" i="19"/>
  <c r="BW15" i="19"/>
  <c r="BW30" i="19"/>
  <c r="BW18" i="19"/>
  <c r="BW25" i="19"/>
  <c r="BW10" i="19"/>
  <c r="BW13" i="19"/>
  <c r="BW22" i="19"/>
  <c r="BW31" i="19"/>
  <c r="BR20" i="19"/>
  <c r="BR27" i="19"/>
  <c r="BR30" i="19"/>
  <c r="BR24" i="19"/>
  <c r="BR9" i="19"/>
  <c r="BR21" i="19"/>
  <c r="BR28" i="19"/>
  <c r="BR25" i="19"/>
  <c r="BR10" i="19"/>
  <c r="BR22" i="19"/>
  <c r="BR31" i="19"/>
  <c r="BR11" i="19"/>
  <c r="BM23" i="19"/>
  <c r="BM17" i="19"/>
  <c r="BM20" i="19"/>
  <c r="BM27" i="19"/>
  <c r="BM12" i="19"/>
  <c r="BM24" i="19"/>
  <c r="BM9" i="19"/>
  <c r="BM31" i="19"/>
  <c r="BM21" i="19"/>
  <c r="BM18" i="19"/>
  <c r="BM28" i="19"/>
  <c r="BM25" i="19"/>
  <c r="BM13" i="19"/>
  <c r="BM14" i="19"/>
  <c r="BM10" i="19"/>
  <c r="BH11" i="19"/>
  <c r="BH14" i="19"/>
  <c r="BH8" i="19"/>
  <c r="BH23" i="19"/>
  <c r="BH30" i="19"/>
  <c r="BH20" i="19"/>
  <c r="BH17" i="19"/>
  <c r="BH27" i="19"/>
  <c r="BH12" i="19"/>
  <c r="BH24" i="19"/>
  <c r="BH9" i="19"/>
  <c r="BH15" i="19"/>
  <c r="BH7" i="19"/>
  <c r="BH31" i="19"/>
  <c r="BH21" i="19"/>
  <c r="BH26" i="19"/>
  <c r="BH18" i="19"/>
  <c r="BH28" i="19"/>
  <c r="BC11" i="19"/>
  <c r="BC26" i="19"/>
  <c r="BC14" i="19"/>
  <c r="BC8" i="19"/>
  <c r="BC23" i="19"/>
  <c r="BC30" i="19"/>
  <c r="BC20" i="19"/>
  <c r="BC17" i="19"/>
  <c r="BC27" i="19"/>
  <c r="BC12" i="19"/>
  <c r="BC24" i="19"/>
  <c r="BC9" i="19"/>
  <c r="BC15" i="19"/>
  <c r="BC7" i="19"/>
  <c r="BC21" i="19"/>
  <c r="BC18" i="19"/>
  <c r="BC28" i="19"/>
  <c r="BC31" i="19"/>
  <c r="AX26" i="19"/>
  <c r="AX11" i="19"/>
  <c r="AX8" i="19"/>
  <c r="AX23" i="19"/>
  <c r="AX30" i="19"/>
  <c r="AX20" i="19"/>
  <c r="AX17" i="19"/>
  <c r="AX27" i="19"/>
  <c r="AX14" i="19"/>
  <c r="AX12" i="19"/>
  <c r="AX24" i="19"/>
  <c r="AX9" i="19"/>
  <c r="AX15" i="19"/>
  <c r="AX7" i="19"/>
  <c r="AX31" i="19"/>
  <c r="AX21" i="19"/>
  <c r="AX18" i="19"/>
  <c r="AX28" i="19"/>
  <c r="AS29" i="19"/>
  <c r="AS26" i="19"/>
  <c r="AS11" i="19"/>
  <c r="AS14" i="19"/>
  <c r="AS8" i="19"/>
  <c r="AS34" i="19"/>
  <c r="AS23" i="19"/>
  <c r="AS20" i="19"/>
  <c r="AS17" i="19"/>
  <c r="AS27" i="19"/>
  <c r="AS12" i="19"/>
  <c r="AS9" i="19"/>
  <c r="AS15" i="19"/>
  <c r="AS7" i="19"/>
  <c r="AS31" i="19"/>
  <c r="AS21" i="19"/>
  <c r="AS18" i="19"/>
  <c r="AN23" i="19"/>
  <c r="AN22" i="19"/>
  <c r="AN18" i="19"/>
  <c r="AN15" i="19"/>
  <c r="AI23" i="19"/>
  <c r="AI17" i="19"/>
  <c r="AI12" i="19"/>
  <c r="EN27" i="19"/>
  <c r="AI27" i="19"/>
  <c r="AI31" i="19"/>
  <c r="AI29" i="19"/>
  <c r="AI9" i="19"/>
  <c r="AD16" i="19"/>
  <c r="AD9" i="19"/>
  <c r="AD27" i="19"/>
  <c r="AD21" i="19"/>
  <c r="AD8" i="19"/>
  <c r="AD20" i="19"/>
  <c r="DU34" i="19"/>
  <c r="DA35" i="19"/>
  <c r="DA34" i="19"/>
  <c r="CV34" i="19"/>
  <c r="DZ34" i="19"/>
  <c r="DP34" i="19"/>
  <c r="DK34" i="19"/>
  <c r="DF34" i="19"/>
  <c r="BM34" i="19"/>
  <c r="AI34" i="19"/>
  <c r="AD34" i="19"/>
  <c r="DZ32" i="19"/>
  <c r="DZ33" i="19"/>
  <c r="DU32" i="19"/>
  <c r="DU33" i="19"/>
  <c r="DP32" i="19"/>
  <c r="DP33" i="19"/>
  <c r="DK32" i="19"/>
  <c r="DK33" i="19"/>
  <c r="DF32" i="19"/>
  <c r="DF33" i="19"/>
  <c r="DA32" i="19"/>
  <c r="DA33" i="19"/>
  <c r="CV32" i="19"/>
  <c r="CV33" i="19"/>
  <c r="CQ32" i="19"/>
  <c r="CQ33" i="19"/>
  <c r="CL32" i="19"/>
  <c r="CL33" i="19"/>
  <c r="CG32" i="19"/>
  <c r="CG33" i="19"/>
  <c r="CB32" i="19"/>
  <c r="CB33" i="19"/>
  <c r="BW32" i="19"/>
  <c r="BW33" i="19"/>
  <c r="BR32" i="19"/>
  <c r="BR33" i="19"/>
  <c r="BM32" i="19"/>
  <c r="BM33" i="19"/>
  <c r="BH33" i="19"/>
  <c r="BH32" i="19"/>
  <c r="BC32" i="19"/>
  <c r="BC33" i="19"/>
  <c r="AX32" i="19"/>
  <c r="AX33" i="19"/>
  <c r="AS32" i="19"/>
  <c r="AS33" i="19"/>
  <c r="AN32" i="19"/>
  <c r="AN33" i="19"/>
  <c r="AI32" i="19"/>
  <c r="AI33" i="19"/>
  <c r="AD32" i="19"/>
  <c r="AD33" i="19"/>
  <c r="CB7" i="19"/>
  <c r="EN24" i="19"/>
  <c r="EN6" i="19"/>
  <c r="EN26" i="19"/>
  <c r="EN23" i="19"/>
  <c r="EN20" i="19"/>
  <c r="EN17" i="19"/>
  <c r="EN7" i="19"/>
  <c r="EN21" i="19"/>
  <c r="EN18" i="19"/>
  <c r="EN15" i="19"/>
  <c r="EN36" i="19"/>
  <c r="EN22" i="19"/>
  <c r="EN19" i="19"/>
  <c r="EN16" i="19"/>
  <c r="EN25" i="19"/>
  <c r="EN14" i="19"/>
  <c r="EN32" i="19"/>
  <c r="EN12" i="19"/>
  <c r="EN31" i="19"/>
  <c r="EN34" i="19"/>
  <c r="EN30" i="19"/>
  <c r="EN10" i="19"/>
  <c r="EN33" i="19"/>
  <c r="EN9" i="19"/>
  <c r="EN13" i="19"/>
  <c r="EN11" i="19"/>
  <c r="EN29" i="19"/>
  <c r="EN28" i="19"/>
  <c r="EN8" i="19"/>
  <c r="W18" i="19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B35" i="12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H6" i="21"/>
  <c r="B5" i="12" l="1"/>
  <c r="G39" i="1"/>
  <c r="FA35" i="12" s="1"/>
  <c r="K30" i="17"/>
  <c r="L30" i="17"/>
  <c r="B41" i="6"/>
  <c r="B41" i="5"/>
  <c r="B41" i="4"/>
  <c r="E37" i="21"/>
  <c r="W37" i="19"/>
  <c r="W38" i="19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I32" i="17"/>
  <c r="F29" i="21"/>
  <c r="G29" i="21" s="1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U35" i="12"/>
  <c r="EP35" i="12"/>
  <c r="EK35" i="12"/>
  <c r="EF35" i="12"/>
  <c r="EA35" i="12"/>
  <c r="DV35" i="12"/>
  <c r="DQ35" i="12"/>
  <c r="DL35" i="12"/>
  <c r="CW35" i="12"/>
  <c r="CR35" i="12"/>
  <c r="CM35" i="12"/>
  <c r="CC35" i="12"/>
  <c r="BX35" i="12"/>
  <c r="BS35" i="12"/>
  <c r="CH35" i="12"/>
  <c r="BI35" i="12"/>
  <c r="BN35" i="12"/>
  <c r="BD35" i="12"/>
  <c r="AY35" i="12"/>
  <c r="AT35" i="12"/>
  <c r="AO35" i="12"/>
  <c r="AJ35" i="12"/>
  <c r="Z35" i="12"/>
  <c r="C37" i="1"/>
  <c r="G35" i="15"/>
  <c r="F35" i="15"/>
  <c r="D35" i="15"/>
  <c r="C35" i="15"/>
  <c r="D34" i="15"/>
  <c r="F33" i="15"/>
  <c r="F34" i="15"/>
  <c r="D7" i="15"/>
  <c r="D8" i="15"/>
  <c r="D9" i="15"/>
  <c r="D10" i="15"/>
  <c r="D12" i="15"/>
  <c r="D13" i="15"/>
  <c r="D14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30" i="15"/>
  <c r="D31" i="15"/>
  <c r="D32" i="15"/>
  <c r="D33" i="15"/>
  <c r="E7" i="15"/>
  <c r="E8" i="15"/>
  <c r="E9" i="15"/>
  <c r="D11" i="2"/>
  <c r="D24" i="2"/>
  <c r="D24" i="1"/>
  <c r="D27" i="2"/>
  <c r="D27" i="1"/>
  <c r="D29" i="2"/>
  <c r="D31" i="2"/>
  <c r="D32" i="1"/>
  <c r="D34" i="1"/>
  <c r="D35" i="1"/>
  <c r="D37" i="2"/>
  <c r="F35" i="12"/>
  <c r="K35" i="12"/>
  <c r="P35" i="12"/>
  <c r="U35" i="12"/>
  <c r="DB35" i="12"/>
  <c r="DG35" i="12"/>
  <c r="C33" i="15"/>
  <c r="G33" i="15"/>
  <c r="E34" i="15"/>
  <c r="L33" i="9"/>
  <c r="M33" i="9" s="1"/>
  <c r="L32" i="9"/>
  <c r="M32" i="9" s="1"/>
  <c r="L12" i="9"/>
  <c r="M12" i="9" s="1"/>
  <c r="C19" i="2"/>
  <c r="L20" i="9"/>
  <c r="M20" i="9" s="1"/>
  <c r="J21" i="9"/>
  <c r="L25" i="9"/>
  <c r="M25" i="9" s="1"/>
  <c r="L26" i="9"/>
  <c r="M26" i="9" s="1"/>
  <c r="L29" i="9"/>
  <c r="M29" i="9" s="1"/>
  <c r="C34" i="2"/>
  <c r="G7" i="15"/>
  <c r="G8" i="15"/>
  <c r="G9" i="15"/>
  <c r="G10" i="15"/>
  <c r="G11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1" i="15"/>
  <c r="G32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6" i="15"/>
  <c r="E10" i="15"/>
  <c r="E11" i="15"/>
  <c r="E12" i="15"/>
  <c r="E13" i="15"/>
  <c r="E14" i="15"/>
  <c r="E15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6" i="15"/>
  <c r="D9" i="2"/>
  <c r="C6" i="15"/>
  <c r="C8" i="15"/>
  <c r="C9" i="15"/>
  <c r="C11" i="15"/>
  <c r="C12" i="15"/>
  <c r="C15" i="15"/>
  <c r="C16" i="15"/>
  <c r="C17" i="15"/>
  <c r="C18" i="15"/>
  <c r="C20" i="15"/>
  <c r="C23" i="15"/>
  <c r="G5" i="15"/>
  <c r="C29" i="15"/>
  <c r="C28" i="15"/>
  <c r="G30" i="15"/>
  <c r="D26" i="1"/>
  <c r="E23" i="1" l="1"/>
  <c r="I2" i="17"/>
  <c r="AE35" i="12"/>
  <c r="B37" i="1"/>
  <c r="J38" i="1" s="1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I29" i="17"/>
  <c r="P23" i="12"/>
  <c r="K22" i="12"/>
  <c r="F23" i="12"/>
  <c r="I22" i="17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E31" i="17"/>
  <c r="J15" i="9"/>
  <c r="C33" i="1"/>
  <c r="I17" i="17"/>
  <c r="C35" i="1"/>
  <c r="D28" i="2"/>
  <c r="C36" i="2"/>
  <c r="C32" i="1"/>
  <c r="E36" i="2"/>
  <c r="J34" i="9"/>
  <c r="L34" i="9"/>
  <c r="M34" i="9" s="1"/>
  <c r="C38" i="2"/>
  <c r="I31" i="17"/>
  <c r="D36" i="2"/>
  <c r="I30" i="17"/>
  <c r="J32" i="9"/>
  <c r="J30" i="9"/>
  <c r="I28" i="17"/>
  <c r="G27" i="17"/>
  <c r="E33" i="2"/>
  <c r="E32" i="1"/>
  <c r="E31" i="2"/>
  <c r="D33" i="2"/>
  <c r="L30" i="9"/>
  <c r="M30" i="9" s="1"/>
  <c r="C33" i="2"/>
  <c r="J29" i="9"/>
  <c r="B34" i="2"/>
  <c r="H34" i="2" s="1"/>
  <c r="I27" i="17"/>
  <c r="I26" i="17"/>
  <c r="I24" i="17"/>
  <c r="I23" i="17"/>
  <c r="D31" i="1"/>
  <c r="D32" i="2"/>
  <c r="D30" i="2"/>
  <c r="D29" i="1"/>
  <c r="J26" i="9"/>
  <c r="J25" i="9"/>
  <c r="C26" i="15"/>
  <c r="H26" i="15" s="1"/>
  <c r="B29" i="1"/>
  <c r="D28" i="1"/>
  <c r="I21" i="17"/>
  <c r="I19" i="17"/>
  <c r="I18" i="17"/>
  <c r="C25" i="1"/>
  <c r="L22" i="9"/>
  <c r="M22" i="9" s="1"/>
  <c r="L21" i="9"/>
  <c r="M21" i="9" s="1"/>
  <c r="C25" i="2"/>
  <c r="C24" i="1"/>
  <c r="B27" i="2"/>
  <c r="I27" i="2" s="1"/>
  <c r="E24" i="2"/>
  <c r="G18" i="17"/>
  <c r="I16" i="17"/>
  <c r="I15" i="17"/>
  <c r="C25" i="15"/>
  <c r="H25" i="15" s="1"/>
  <c r="B29" i="2"/>
  <c r="I29" i="2" s="1"/>
  <c r="E30" i="2"/>
  <c r="E29" i="1"/>
  <c r="C34" i="15"/>
  <c r="B38" i="2"/>
  <c r="D20" i="1"/>
  <c r="D21" i="2"/>
  <c r="G17" i="17"/>
  <c r="E23" i="2"/>
  <c r="E22" i="1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9" i="2"/>
  <c r="E28" i="1"/>
  <c r="J22" i="9"/>
  <c r="B30" i="2"/>
  <c r="D30" i="1"/>
  <c r="E30" i="1"/>
  <c r="L27" i="9"/>
  <c r="M27" i="9" s="1"/>
  <c r="L15" i="9"/>
  <c r="M15" i="9" s="1"/>
  <c r="C26" i="2"/>
  <c r="B22" i="1"/>
  <c r="I20" i="17"/>
  <c r="C30" i="1"/>
  <c r="H23" i="15"/>
  <c r="E21" i="1"/>
  <c r="D10" i="1"/>
  <c r="E2" i="17"/>
  <c r="I25" i="17"/>
  <c r="B36" i="2"/>
  <c r="D36" i="1"/>
  <c r="C18" i="1"/>
  <c r="H28" i="15"/>
  <c r="V22" i="19"/>
  <c r="EO22" i="19" s="1"/>
  <c r="V23" i="19"/>
  <c r="EO23" i="19" s="1"/>
  <c r="V24" i="19"/>
  <c r="EO24" i="19" s="1"/>
  <c r="V25" i="19"/>
  <c r="EO25" i="19" s="1"/>
  <c r="V26" i="19"/>
  <c r="EO26" i="19" s="1"/>
  <c r="V27" i="19"/>
  <c r="EO27" i="19" s="1"/>
  <c r="V28" i="19"/>
  <c r="EO28" i="19" s="1"/>
  <c r="V29" i="19"/>
  <c r="EO29" i="19" s="1"/>
  <c r="V30" i="19"/>
  <c r="EO30" i="19" s="1"/>
  <c r="V31" i="19"/>
  <c r="EO31" i="19" s="1"/>
  <c r="V32" i="19"/>
  <c r="EO32" i="19" s="1"/>
  <c r="V33" i="19"/>
  <c r="EO33" i="19" s="1"/>
  <c r="V34" i="19"/>
  <c r="EO34" i="19" s="1"/>
  <c r="V35" i="19"/>
  <c r="EO35" i="19" s="1"/>
  <c r="V36" i="19"/>
  <c r="EO36" i="19" s="1"/>
  <c r="C8" i="1"/>
  <c r="C9" i="2"/>
  <c r="D18" i="1"/>
  <c r="D19" i="2"/>
  <c r="I8" i="17"/>
  <c r="I4" i="17"/>
  <c r="I1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37" i="1"/>
  <c r="D8" i="1"/>
  <c r="B24" i="2"/>
  <c r="I24" i="2" s="1"/>
  <c r="H18" i="15"/>
  <c r="E26" i="2"/>
  <c r="G19" i="17"/>
  <c r="E25" i="1"/>
  <c r="E39" i="2"/>
  <c r="E34" i="1"/>
  <c r="G28" i="17"/>
  <c r="B21" i="1"/>
  <c r="B26" i="1"/>
  <c r="C36" i="1"/>
  <c r="J33" i="9"/>
  <c r="E33" i="15"/>
  <c r="H33" i="15" s="1"/>
  <c r="E27" i="2"/>
  <c r="E26" i="1"/>
  <c r="E37" i="2"/>
  <c r="E36" i="1"/>
  <c r="E25" i="2"/>
  <c r="E24" i="1"/>
  <c r="B22" i="2"/>
  <c r="B32" i="2"/>
  <c r="B31" i="1"/>
  <c r="AK28" i="12" s="1"/>
  <c r="C37" i="2"/>
  <c r="C21" i="1"/>
  <c r="L18" i="9"/>
  <c r="M18" i="9" s="1"/>
  <c r="E34" i="2"/>
  <c r="E33" i="1"/>
  <c r="I9" i="17"/>
  <c r="H37" i="21"/>
  <c r="V20" i="19"/>
  <c r="EO20" i="19" s="1"/>
  <c r="V21" i="19"/>
  <c r="EO21" i="19" s="1"/>
  <c r="I5" i="17"/>
  <c r="I13" i="17"/>
  <c r="V15" i="19"/>
  <c r="EO15" i="19" s="1"/>
  <c r="I11" i="17"/>
  <c r="I14" i="17"/>
  <c r="V11" i="19"/>
  <c r="EO11" i="19" s="1"/>
  <c r="S37" i="19"/>
  <c r="I6" i="17"/>
  <c r="N37" i="19"/>
  <c r="EO12" i="19"/>
  <c r="V16" i="19"/>
  <c r="EO16" i="19" s="1"/>
  <c r="V10" i="19"/>
  <c r="EO10" i="19" s="1"/>
  <c r="V14" i="19"/>
  <c r="EO14" i="19" s="1"/>
  <c r="V18" i="19"/>
  <c r="EO18" i="19" s="1"/>
  <c r="V13" i="19"/>
  <c r="EO13" i="19" s="1"/>
  <c r="V17" i="19"/>
  <c r="EO17" i="19" s="1"/>
  <c r="EO9" i="19"/>
  <c r="I3" i="17"/>
  <c r="V8" i="19"/>
  <c r="EO8" i="19" s="1"/>
  <c r="V7" i="19"/>
  <c r="EO7" i="19" s="1"/>
  <c r="I37" i="19"/>
  <c r="I10" i="17"/>
  <c r="V19" i="19"/>
  <c r="EO19" i="19" s="1"/>
  <c r="I7" i="17"/>
  <c r="EO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0" i="2"/>
  <c r="E9" i="1"/>
  <c r="E13" i="2"/>
  <c r="E12" i="1"/>
  <c r="E19" i="1"/>
  <c r="E20" i="2"/>
  <c r="E19" i="2"/>
  <c r="E18" i="1"/>
  <c r="E15" i="1"/>
  <c r="E16" i="2"/>
  <c r="E14" i="1"/>
  <c r="E18" i="2"/>
  <c r="F37" i="21"/>
  <c r="E11" i="2"/>
  <c r="E10" i="1"/>
  <c r="E11" i="1"/>
  <c r="E12" i="2"/>
  <c r="E21" i="2"/>
  <c r="E20" i="1"/>
  <c r="E13" i="1"/>
  <c r="E14" i="2"/>
  <c r="E17" i="2"/>
  <c r="E16" i="1"/>
  <c r="E9" i="2"/>
  <c r="E8" i="1"/>
  <c r="G37" i="21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G12" i="15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41" i="4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G36" i="15" l="1"/>
  <c r="F11" i="2"/>
  <c r="F19" i="2"/>
  <c r="F18" i="2"/>
  <c r="F34" i="2"/>
  <c r="F26" i="2"/>
  <c r="F15" i="2"/>
  <c r="F32" i="1"/>
  <c r="F25" i="2"/>
  <c r="F16" i="1"/>
  <c r="F11" i="1"/>
  <c r="F32" i="2"/>
  <c r="F13" i="2"/>
  <c r="F20" i="2"/>
  <c r="F23" i="1"/>
  <c r="F38" i="1"/>
  <c r="F31" i="2"/>
  <c r="F35" i="2"/>
  <c r="F22" i="2"/>
  <c r="F16" i="2"/>
  <c r="F23" i="2"/>
  <c r="F38" i="2"/>
  <c r="F30" i="2"/>
  <c r="F28" i="2"/>
  <c r="F9" i="1"/>
  <c r="F26" i="1"/>
  <c r="F20" i="1"/>
  <c r="F13" i="1"/>
  <c r="F37" i="2"/>
  <c r="F29" i="2"/>
  <c r="G13" i="17"/>
  <c r="AE34" i="12"/>
  <c r="H34" i="15"/>
  <c r="G13" i="12"/>
  <c r="Q16" i="12"/>
  <c r="L9" i="12"/>
  <c r="J12" i="1"/>
  <c r="L10" i="12"/>
  <c r="J13" i="1"/>
  <c r="Q14" i="12"/>
  <c r="J17" i="1"/>
  <c r="L11" i="12"/>
  <c r="J14" i="1"/>
  <c r="G8" i="12"/>
  <c r="J11" i="1"/>
  <c r="EL23" i="12"/>
  <c r="J26" i="1"/>
  <c r="DH22" i="12"/>
  <c r="L34" i="12"/>
  <c r="L7" i="12"/>
  <c r="J10" i="1"/>
  <c r="L6" i="12"/>
  <c r="J9" i="1"/>
  <c r="G17" i="12"/>
  <c r="J20" i="1"/>
  <c r="L18" i="12"/>
  <c r="J21" i="1"/>
  <c r="BY20" i="12"/>
  <c r="J23" i="1"/>
  <c r="EB19" i="12"/>
  <c r="J22" i="1"/>
  <c r="Q28" i="12"/>
  <c r="G27" i="12"/>
  <c r="J31" i="1"/>
  <c r="Q26" i="12"/>
  <c r="J30" i="1"/>
  <c r="L24" i="12"/>
  <c r="J27" i="1"/>
  <c r="Q25" i="12"/>
  <c r="J28" i="1"/>
  <c r="J29" i="1"/>
  <c r="G32" i="17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E22" i="17"/>
  <c r="E26" i="17"/>
  <c r="E28" i="17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E27" i="17"/>
  <c r="L28" i="12"/>
  <c r="E23" i="17"/>
  <c r="G25" i="12"/>
  <c r="Q24" i="12"/>
  <c r="G24" i="12"/>
  <c r="Q27" i="12"/>
  <c r="G26" i="12"/>
  <c r="G10" i="12"/>
  <c r="Q18" i="12"/>
  <c r="G18" i="12"/>
  <c r="G26" i="17"/>
  <c r="G28" i="12"/>
  <c r="Q11" i="12"/>
  <c r="L27" i="12"/>
  <c r="Q10" i="12"/>
  <c r="L25" i="12"/>
  <c r="G34" i="12"/>
  <c r="G6" i="12"/>
  <c r="G16" i="12"/>
  <c r="L16" i="12"/>
  <c r="G10" i="17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E3" i="17"/>
  <c r="E4" i="17"/>
  <c r="H27" i="2"/>
  <c r="I17" i="2"/>
  <c r="E5" i="17"/>
  <c r="E25" i="17"/>
  <c r="E8" i="17"/>
  <c r="G24" i="17"/>
  <c r="F25" i="1"/>
  <c r="H38" i="2"/>
  <c r="G30" i="17"/>
  <c r="I38" i="2"/>
  <c r="I36" i="2"/>
  <c r="F37" i="1"/>
  <c r="H36" i="2"/>
  <c r="B34" i="1"/>
  <c r="J35" i="1" s="1"/>
  <c r="F36" i="1"/>
  <c r="G25" i="17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E16" i="17"/>
  <c r="E15" i="17"/>
  <c r="E17" i="17"/>
  <c r="I22" i="2"/>
  <c r="H22" i="2"/>
  <c r="F22" i="1"/>
  <c r="E14" i="17"/>
  <c r="E13" i="17"/>
  <c r="B16" i="2"/>
  <c r="H16" i="2" s="1"/>
  <c r="C19" i="15"/>
  <c r="H19" i="15" s="1"/>
  <c r="B23" i="2"/>
  <c r="I23" i="2" s="1"/>
  <c r="D29" i="15"/>
  <c r="H29" i="15" s="1"/>
  <c r="B32" i="1"/>
  <c r="E12" i="17"/>
  <c r="F34" i="1"/>
  <c r="F28" i="1"/>
  <c r="F39" i="2"/>
  <c r="F30" i="1"/>
  <c r="H30" i="2"/>
  <c r="I30" i="2"/>
  <c r="F36" i="2"/>
  <c r="F35" i="1"/>
  <c r="B33" i="2"/>
  <c r="G16" i="17"/>
  <c r="G23" i="17"/>
  <c r="F31" i="1"/>
  <c r="F24" i="2"/>
  <c r="E24" i="17"/>
  <c r="H26" i="2"/>
  <c r="B35" i="2"/>
  <c r="C31" i="15"/>
  <c r="H31" i="15" s="1"/>
  <c r="H9" i="2"/>
  <c r="F14" i="1"/>
  <c r="F19" i="1"/>
  <c r="F18" i="1"/>
  <c r="F17" i="2"/>
  <c r="F17" i="1"/>
  <c r="F12" i="1"/>
  <c r="E7" i="17"/>
  <c r="E29" i="17"/>
  <c r="E30" i="17"/>
  <c r="B36" i="1"/>
  <c r="J36" i="1" s="1"/>
  <c r="E18" i="17"/>
  <c r="E19" i="17"/>
  <c r="E20" i="17"/>
  <c r="E21" i="17"/>
  <c r="G9" i="17"/>
  <c r="F12" i="2"/>
  <c r="F14" i="2"/>
  <c r="G20" i="17"/>
  <c r="H32" i="2"/>
  <c r="B37" i="2"/>
  <c r="B24" i="1"/>
  <c r="J24" i="1" s="1"/>
  <c r="B25" i="2"/>
  <c r="C21" i="15"/>
  <c r="H21" i="15" s="1"/>
  <c r="G31" i="17"/>
  <c r="E35" i="15"/>
  <c r="H35" i="15" s="1"/>
  <c r="I28" i="2"/>
  <c r="G22" i="17"/>
  <c r="G21" i="17"/>
  <c r="G29" i="17"/>
  <c r="H12" i="2"/>
  <c r="F21" i="2"/>
  <c r="F10" i="2"/>
  <c r="F21" i="1"/>
  <c r="F15" i="1"/>
  <c r="F10" i="1"/>
  <c r="F8" i="1"/>
  <c r="F9" i="2"/>
  <c r="G4" i="17"/>
  <c r="G11" i="17"/>
  <c r="G5" i="17"/>
  <c r="E40" i="2"/>
  <c r="G6" i="17"/>
  <c r="G7" i="17"/>
  <c r="G8" i="17"/>
  <c r="G14" i="17"/>
  <c r="G15" i="17"/>
  <c r="G12" i="17"/>
  <c r="G2" i="17"/>
  <c r="G3" i="17"/>
  <c r="D40" i="2"/>
  <c r="H15" i="2"/>
  <c r="H12" i="15"/>
  <c r="E11" i="17"/>
  <c r="B15" i="1"/>
  <c r="J15" i="1" s="1"/>
  <c r="I15" i="2"/>
  <c r="I12" i="2"/>
  <c r="I10" i="2"/>
  <c r="I20" i="2"/>
  <c r="H20" i="2"/>
  <c r="E6" i="17"/>
  <c r="D15" i="15"/>
  <c r="H15" i="15" s="1"/>
  <c r="B18" i="1"/>
  <c r="J18" i="1" s="1"/>
  <c r="B19" i="2"/>
  <c r="H17" i="2"/>
  <c r="H5" i="15"/>
  <c r="I21" i="2"/>
  <c r="H21" i="2"/>
  <c r="H18" i="2"/>
  <c r="I18" i="2"/>
  <c r="E9" i="17"/>
  <c r="E10" i="17"/>
  <c r="H14" i="2"/>
  <c r="I14" i="2"/>
  <c r="H13" i="2"/>
  <c r="I13" i="2"/>
  <c r="I11" i="2"/>
  <c r="H11" i="2"/>
  <c r="B39" i="1" l="1"/>
  <c r="B40" i="1" s="1"/>
  <c r="J37" i="1"/>
  <c r="J19" i="1"/>
  <c r="J25" i="1"/>
  <c r="J16" i="1"/>
  <c r="J34" i="1"/>
  <c r="J33" i="1"/>
  <c r="J32" i="1"/>
  <c r="F39" i="1"/>
  <c r="F40" i="1" s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G35" i="12" l="1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L6" i="9" l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F701EDA7-F8A2-4220-9C8E-41E31A9960A6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sharedStrings.xml><?xml version="1.0" encoding="utf-8"?>
<sst xmlns="http://schemas.openxmlformats.org/spreadsheetml/2006/main" count="816" uniqueCount="204">
  <si>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</si>
  <si>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</si>
  <si>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</si>
  <si>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</si>
  <si>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</si>
  <si>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</si>
  <si>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</si>
  <si>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</si>
  <si>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</si>
  <si>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</si>
  <si>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</si>
  <si>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</si>
  <si>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</si>
  <si>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</si>
  <si>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</si>
  <si>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</si>
  <si>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</si>
  <si>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</si>
  <si>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</si>
  <si>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</si>
  <si>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</si>
  <si>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</si>
  <si>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</si>
  <si>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</si>
  <si>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</si>
  <si>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</si>
  <si>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</si>
  <si>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</si>
  <si>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</si>
  <si>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</si>
  <si>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</si>
  <si>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</si>
  <si>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</si>
  <si>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</si>
  <si>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</si>
  <si>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</si>
  <si>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</si>
  <si>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</si>
  <si>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</si>
  <si>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</si>
  <si>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</si>
  <si>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</si>
  <si>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</si>
  <si>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</si>
  <si>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</si>
  <si>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</si>
  <si>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</si>
  <si>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</si>
  <si>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</si>
  <si>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</si>
  <si>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</si>
  <si>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</si>
  <si>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</si>
  <si>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</si>
  <si>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</si>
  <si>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</si>
  <si>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</si>
  <si>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</si>
  <si>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</si>
  <si>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</si>
  <si>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</si>
  <si>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</si>
  <si>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</si>
  <si>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</si>
  <si>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</si>
  <si>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</si>
  <si>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</si>
  <si>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</si>
  <si>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</si>
  <si>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</si>
  <si>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</si>
  <si>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</si>
  <si>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</si>
  <si>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</si>
  <si>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</si>
  <si>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</si>
  <si>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</si>
  <si>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</si>
  <si>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</si>
  <si>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</si>
  <si>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</si>
  <si>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</si>
  <si>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</si>
  <si>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</si>
  <si>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</si>
  <si>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</si>
  <si>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</si>
  <si>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</si>
  <si>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</si>
  <si>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</si>
  <si>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</si>
  <si>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</si>
  <si>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</si>
  <si>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</si>
  <si>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</si>
  <si>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</si>
  <si>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</si>
  <si>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</si>
  <si>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</si>
  <si>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</si>
  <si>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</si>
  <si>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</si>
  <si>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</si>
  <si>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</si>
  <si>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</si>
  <si>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</si>
  <si>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</si>
  <si>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</si>
  <si>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</si>
  <si>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</si>
  <si>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</si>
  <si>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</si>
  <si>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</si>
  <si>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</si>
  <si>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</si>
  <si>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</si>
  <si>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</si>
  <si>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</si>
  <si>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</si>
  <si>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</si>
  <si>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</si>
  <si>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</si>
  <si>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</si>
  <si>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</si>
  <si>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</si>
  <si>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</si>
  <si>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</si>
  <si>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</si>
  <si>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</si>
  <si>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</si>
  <si>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</si>
  <si>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</si>
  <si>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</si>
  <si>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</si>
  <si>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</si>
  <si>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</si>
  <si>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</si>
  <si>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</si>
  <si>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</si>
  <si>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</si>
  <si>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</si>
  <si>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</si>
  <si>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</si>
  <si>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</si>
  <si>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</si>
  <si>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</si>
  <si>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</si>
  <si>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</si>
  <si>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</si>
  <si>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</si>
  <si>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</si>
  <si>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</si>
  <si>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</si>
  <si>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</si>
  <si>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</si>
  <si>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</si>
  <si>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</si>
  <si>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</si>
  <si>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</si>
  <si>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</si>
  <si>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</si>
  <si>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</si>
  <si>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</si>
  <si>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</si>
  <si>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</si>
  <si>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</si>
  <si>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</si>
  <si>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</si>
  <si>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</si>
  <si>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</si>
  <si>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</si>
  <si>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</si>
  <si>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</si>
  <si>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</si>
  <si>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</si>
  <si>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</si>
  <si>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</si>
  <si>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</si>
  <si>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</si>
  <si>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</si>
  <si>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</si>
  <si>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</si>
  <si>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</si>
  <si>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</si>
  <si>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</si>
  <si>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</si>
  <si>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</si>
  <si>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</si>
  <si>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</si>
  <si>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</si>
  <si>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</si>
  <si>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</si>
  <si>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October</t>
  </si>
  <si>
    <t>31/09/2021</t>
  </si>
  <si>
    <t>rainin</t>
  </si>
  <si>
    <t>sunny</t>
  </si>
  <si>
    <t>cloudy</t>
  </si>
  <si>
    <t>Total Food Covers</t>
  </si>
  <si>
    <t>Main BLU FEEDER PANEL 1</t>
  </si>
  <si>
    <t>Laundry--8SSB  (Machineries)</t>
  </si>
  <si>
    <t>Laundry-9  (HR/Tuck Shop Building)</t>
  </si>
  <si>
    <t xml:space="preserve">Staff Block - E0 </t>
  </si>
  <si>
    <t xml:space="preserve">Staff Block - E2 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</si>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</sst>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sz val="11"/>
      <color rgb="FF000000"/>
      <name val="Segoe UI Emoji"/>
      <family val="2"/>
    </font>
    <font>
      <sz val="10"/>
      <color rgb="FF00B050"/>
      <name val="Arial"/>
      <family val="2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3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17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4" fillId="0" borderId="3" xfId="0" applyNumberFormat="1" applyFont="1" applyBorder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0" borderId="2" xfId="0" applyFont="1" applyBorder="1" applyAlignment="1">
      <alignment horizontal="center"/>
    </xf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4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0" borderId="10" xfId="9" applyBorder="1"/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2" xfId="9" applyBorder="1"/>
    <xf numFmtId="0" fontId="5" fillId="5" borderId="2" xfId="9" applyFill="1" applyBorder="1"/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4" fillId="16" borderId="23" xfId="13" applyFont="1" applyFill="1" applyBorder="1" applyAlignment="1">
      <alignment horizontal="center" vertical="center" wrapText="1"/>
    </xf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" fillId="0" borderId="0" xfId="13" applyNumberFormat="1" applyAlignment="1">
      <alignment vertic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14" fontId="4" fillId="22" borderId="0" xfId="9" applyNumberFormat="1" applyFont="1" applyFill="1" applyAlignment="1">
      <alignment horizontal="center" vertical="center"/>
    </xf>
    <xf numFmtId="0" fontId="5" fillId="22" borderId="0" xfId="9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170" fontId="0" fillId="0" borderId="0" xfId="0" applyNumberFormat="1" applyAlignment="1">
      <alignment horizontal="center" vertical="center"/>
    </xf>
    <xf numFmtId="171" fontId="5" fillId="5" borderId="2" xfId="0" applyNumberFormat="1" applyFont="1" applyFill="1" applyBorder="1" applyAlignment="1">
      <alignment horizontal="center"/>
    </xf>
    <xf numFmtId="0" fontId="4" fillId="22" borderId="0" xfId="9" applyFont="1" applyFill="1" applyAlignment="1">
      <alignment horizontal="center" vertic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29" fillId="22" borderId="0" xfId="9" applyFont="1" applyFill="1" applyAlignment="1">
      <alignment vertical="center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6" xfId="13" applyNumberFormat="1" applyFont="1" applyFill="1" applyBorder="1" applyAlignment="1">
      <alignment horizontal="center" vertical="center" wrapText="1"/>
    </xf>
    <xf numFmtId="2" fontId="21" fillId="30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1" borderId="50" xfId="13" applyFont="1" applyFill="1" applyBorder="1" applyAlignment="1">
      <alignment horizontal="center" vertical="center" wrapText="1"/>
    </xf>
    <xf numFmtId="0" fontId="21" fillId="31" borderId="10" xfId="13" applyFont="1" applyFill="1" applyBorder="1" applyAlignment="1">
      <alignment horizontal="center" wrapText="1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2" borderId="33" xfId="13" applyFont="1" applyFill="1" applyBorder="1" applyAlignment="1">
      <alignment horizontal="center"/>
    </xf>
    <xf numFmtId="0" fontId="20" fillId="32" borderId="2" xfId="13" applyFont="1" applyFill="1" applyBorder="1" applyAlignment="1">
      <alignment horizontal="center" vertical="center"/>
    </xf>
    <xf numFmtId="1" fontId="37" fillId="0" borderId="2" xfId="13" applyNumberFormat="1" applyFont="1" applyBorder="1" applyAlignment="1">
      <alignment horizontal="center" vertical="center"/>
    </xf>
    <xf numFmtId="1" fontId="37" fillId="0" borderId="34" xfId="13" applyNumberFormat="1" applyFont="1" applyBorder="1" applyAlignment="1">
      <alignment horizontal="center" vertical="center"/>
    </xf>
    <xf numFmtId="0" fontId="30" fillId="32" borderId="33" xfId="13" applyFont="1" applyFill="1" applyBorder="1" applyAlignment="1">
      <alignment horizontal="center"/>
    </xf>
    <xf numFmtId="1" fontId="37" fillId="32" borderId="2" xfId="13" applyNumberFormat="1" applyFont="1" applyFill="1" applyBorder="1" applyAlignment="1">
      <alignment horizontal="center" vertical="center"/>
    </xf>
    <xf numFmtId="43" fontId="38" fillId="0" borderId="0" xfId="1" applyFont="1"/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1" fillId="30" borderId="27" xfId="13" applyNumberFormat="1" applyFont="1" applyFill="1" applyBorder="1" applyAlignment="1">
      <alignment horizontal="center" vertical="center" wrapText="1"/>
    </xf>
    <xf numFmtId="2" fontId="21" fillId="30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0" xfId="0" applyFont="1" applyFill="1" applyAlignment="1">
      <alignment horizont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4" fillId="22" borderId="0" xfId="9" applyFont="1" applyFill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  <xf numFmtId="0" fontId="1" fillId="0" borderId="2" xfId="13" applyFont="1" applyBorder="1" applyAlignment="1">
      <alignment horizontal="center"/>
    </xf>
    <xf numFmtId="0" fontId="21" fillId="0" borderId="58" xfId="9" applyFont="1" applyBorder="1" applyAlignment="1">
      <alignment horizontal="center" vertical="center" wrapText="1"/>
    </xf>
    <xf numFmtId="0" fontId="26" fillId="0" borderId="58" xfId="9" applyFont="1" applyBorder="1" applyAlignment="1">
      <alignment horizontal="center" vertical="center" wrapText="1"/>
    </xf>
    <xf numFmtId="0" fontId="39" fillId="0" borderId="58" xfId="9" applyFont="1" applyBorder="1" applyAlignment="1">
      <alignment horizontal="center" vertical="center" wrapText="1"/>
    </xf>
    <xf numFmtId="2" fontId="39" fillId="0" borderId="58" xfId="9" applyNumberFormat="1" applyFont="1" applyBorder="1" applyAlignment="1">
      <alignment horizontal="center" vertical="center" wrapText="1"/>
    </xf>
    <xf numFmtId="0" fontId="4" fillId="0" borderId="58" xfId="9" applyFont="1" applyBorder="1" applyAlignment="1">
      <alignment horizontal="center" vertical="center" wrapText="1"/>
    </xf>
    <xf numFmtId="0" fontId="4" fillId="22" borderId="58" xfId="9" applyFont="1" applyFill="1" applyBorder="1" applyAlignment="1">
      <alignment horizontal="center" vertical="center" wrapText="1"/>
    </xf>
    <xf numFmtId="0" fontId="21" fillId="0" borderId="59" xfId="9" applyFont="1" applyBorder="1" applyAlignment="1">
      <alignment horizontal="center"/>
    </xf>
    <xf numFmtId="0" fontId="26" fillId="0" borderId="59" xfId="9" applyFont="1" applyBorder="1" applyAlignment="1">
      <alignment horizontal="center"/>
    </xf>
    <xf numFmtId="1" fontId="5" fillId="0" borderId="59" xfId="9" applyNumberFormat="1" applyBorder="1" applyAlignment="1">
      <alignment horizontal="center"/>
    </xf>
    <xf numFmtId="0" fontId="21" fillId="0" borderId="60" xfId="9" applyFont="1" applyBorder="1" applyAlignment="1">
      <alignment horizontal="center"/>
    </xf>
    <xf numFmtId="0" fontId="26" fillId="0" borderId="60" xfId="9" applyFont="1" applyBorder="1" applyAlignment="1">
      <alignment horizontal="center"/>
    </xf>
    <xf numFmtId="1" fontId="5" fillId="0" borderId="60" xfId="9" applyNumberFormat="1" applyBorder="1" applyAlignment="1">
      <alignment horizontal="center"/>
    </xf>
    <xf numFmtId="0" fontId="21" fillId="0" borderId="61" xfId="9" applyFont="1" applyBorder="1" applyAlignment="1">
      <alignment horizontal="center"/>
    </xf>
    <xf numFmtId="0" fontId="26" fillId="0" borderId="61" xfId="9" applyFont="1" applyBorder="1" applyAlignment="1">
      <alignment horizontal="center"/>
    </xf>
    <xf numFmtId="1" fontId="5" fillId="0" borderId="61" xfId="9" applyNumberFormat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23451</c:v>
                </c:pt>
                <c:pt idx="1">
                  <c:v>21626</c:v>
                </c:pt>
                <c:pt idx="2">
                  <c:v>23924</c:v>
                </c:pt>
                <c:pt idx="3">
                  <c:v>23294</c:v>
                </c:pt>
                <c:pt idx="4">
                  <c:v>22493</c:v>
                </c:pt>
                <c:pt idx="5">
                  <c:v>23652</c:v>
                </c:pt>
                <c:pt idx="6">
                  <c:v>24002</c:v>
                </c:pt>
                <c:pt idx="7">
                  <c:v>24528</c:v>
                </c:pt>
                <c:pt idx="8">
                  <c:v>25400</c:v>
                </c:pt>
                <c:pt idx="9">
                  <c:v>25384</c:v>
                </c:pt>
                <c:pt idx="10">
                  <c:v>26115</c:v>
                </c:pt>
                <c:pt idx="11">
                  <c:v>25368</c:v>
                </c:pt>
                <c:pt idx="12">
                  <c:v>26433</c:v>
                </c:pt>
                <c:pt idx="13">
                  <c:v>26616</c:v>
                </c:pt>
                <c:pt idx="14">
                  <c:v>27382</c:v>
                </c:pt>
                <c:pt idx="15">
                  <c:v>27352</c:v>
                </c:pt>
                <c:pt idx="16">
                  <c:v>23637</c:v>
                </c:pt>
                <c:pt idx="17">
                  <c:v>22431</c:v>
                </c:pt>
                <c:pt idx="18">
                  <c:v>23981</c:v>
                </c:pt>
                <c:pt idx="19">
                  <c:v>25152</c:v>
                </c:pt>
                <c:pt idx="20">
                  <c:v>26181</c:v>
                </c:pt>
                <c:pt idx="21">
                  <c:v>25334</c:v>
                </c:pt>
                <c:pt idx="22">
                  <c:v>26063</c:v>
                </c:pt>
                <c:pt idx="23">
                  <c:v>26316</c:v>
                </c:pt>
                <c:pt idx="24">
                  <c:v>26592</c:v>
                </c:pt>
                <c:pt idx="25">
                  <c:v>25965</c:v>
                </c:pt>
                <c:pt idx="26">
                  <c:v>25871</c:v>
                </c:pt>
                <c:pt idx="27">
                  <c:v>26453</c:v>
                </c:pt>
                <c:pt idx="28">
                  <c:v>27036</c:v>
                </c:pt>
                <c:pt idx="29">
                  <c:v>26752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0</c:v>
                </c:pt>
                <c:pt idx="1">
                  <c:v>5275</c:v>
                </c:pt>
                <c:pt idx="2">
                  <c:v>3209</c:v>
                </c:pt>
                <c:pt idx="3">
                  <c:v>7157</c:v>
                </c:pt>
                <c:pt idx="4">
                  <c:v>2548</c:v>
                </c:pt>
                <c:pt idx="5">
                  <c:v>6770</c:v>
                </c:pt>
                <c:pt idx="6">
                  <c:v>2259</c:v>
                </c:pt>
                <c:pt idx="7">
                  <c:v>1552</c:v>
                </c:pt>
                <c:pt idx="8">
                  <c:v>3348</c:v>
                </c:pt>
                <c:pt idx="9">
                  <c:v>5298</c:v>
                </c:pt>
                <c:pt idx="10">
                  <c:v>422</c:v>
                </c:pt>
                <c:pt idx="11">
                  <c:v>0</c:v>
                </c:pt>
                <c:pt idx="12">
                  <c:v>4600</c:v>
                </c:pt>
                <c:pt idx="13">
                  <c:v>2029</c:v>
                </c:pt>
                <c:pt idx="14">
                  <c:v>63</c:v>
                </c:pt>
                <c:pt idx="15">
                  <c:v>0</c:v>
                </c:pt>
                <c:pt idx="16">
                  <c:v>4203</c:v>
                </c:pt>
                <c:pt idx="17">
                  <c:v>0</c:v>
                </c:pt>
                <c:pt idx="18">
                  <c:v>5793</c:v>
                </c:pt>
                <c:pt idx="19">
                  <c:v>4959</c:v>
                </c:pt>
                <c:pt idx="20">
                  <c:v>3510</c:v>
                </c:pt>
                <c:pt idx="21">
                  <c:v>1223</c:v>
                </c:pt>
                <c:pt idx="22">
                  <c:v>5746</c:v>
                </c:pt>
                <c:pt idx="23">
                  <c:v>2409</c:v>
                </c:pt>
                <c:pt idx="24">
                  <c:v>0</c:v>
                </c:pt>
                <c:pt idx="25">
                  <c:v>5863</c:v>
                </c:pt>
                <c:pt idx="26">
                  <c:v>1006</c:v>
                </c:pt>
                <c:pt idx="27">
                  <c:v>5474</c:v>
                </c:pt>
                <c:pt idx="28">
                  <c:v>1831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0</c:v>
                </c:pt>
                <c:pt idx="1">
                  <c:v>5275</c:v>
                </c:pt>
                <c:pt idx="2">
                  <c:v>3209</c:v>
                </c:pt>
                <c:pt idx="3">
                  <c:v>7157</c:v>
                </c:pt>
                <c:pt idx="4">
                  <c:v>2548</c:v>
                </c:pt>
                <c:pt idx="5">
                  <c:v>6770</c:v>
                </c:pt>
                <c:pt idx="6">
                  <c:v>2259</c:v>
                </c:pt>
                <c:pt idx="7">
                  <c:v>1552</c:v>
                </c:pt>
                <c:pt idx="8">
                  <c:v>3348</c:v>
                </c:pt>
                <c:pt idx="9">
                  <c:v>5298</c:v>
                </c:pt>
                <c:pt idx="10">
                  <c:v>422</c:v>
                </c:pt>
                <c:pt idx="11">
                  <c:v>0</c:v>
                </c:pt>
                <c:pt idx="12">
                  <c:v>4600</c:v>
                </c:pt>
                <c:pt idx="13">
                  <c:v>2029</c:v>
                </c:pt>
                <c:pt idx="14">
                  <c:v>63</c:v>
                </c:pt>
                <c:pt idx="15">
                  <c:v>0</c:v>
                </c:pt>
                <c:pt idx="16">
                  <c:v>4203</c:v>
                </c:pt>
                <c:pt idx="17">
                  <c:v>0</c:v>
                </c:pt>
                <c:pt idx="18">
                  <c:v>5793</c:v>
                </c:pt>
                <c:pt idx="19">
                  <c:v>4959</c:v>
                </c:pt>
                <c:pt idx="20">
                  <c:v>3510</c:v>
                </c:pt>
                <c:pt idx="21">
                  <c:v>1223</c:v>
                </c:pt>
                <c:pt idx="22">
                  <c:v>5746</c:v>
                </c:pt>
                <c:pt idx="23">
                  <c:v>2409</c:v>
                </c:pt>
                <c:pt idx="24">
                  <c:v>0</c:v>
                </c:pt>
                <c:pt idx="25">
                  <c:v>5863</c:v>
                </c:pt>
                <c:pt idx="26">
                  <c:v>1006</c:v>
                </c:pt>
                <c:pt idx="27">
                  <c:v>5474</c:v>
                </c:pt>
                <c:pt idx="28">
                  <c:v>1831</c:v>
                </c:pt>
                <c:pt idx="29">
                  <c:v>0</c:v>
                </c:pt>
                <c:pt idx="30">
                  <c:v>4461</c:v>
                </c:pt>
                <c:pt idx="31">
                  <c:v>2884.9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2022</c:v>
                </c:pt>
                <c:pt idx="1">
                  <c:v>1986</c:v>
                </c:pt>
                <c:pt idx="2">
                  <c:v>2234</c:v>
                </c:pt>
                <c:pt idx="3">
                  <c:v>2208</c:v>
                </c:pt>
                <c:pt idx="4">
                  <c:v>2083</c:v>
                </c:pt>
                <c:pt idx="5">
                  <c:v>2341</c:v>
                </c:pt>
                <c:pt idx="6">
                  <c:v>2355</c:v>
                </c:pt>
                <c:pt idx="7">
                  <c:v>2472</c:v>
                </c:pt>
                <c:pt idx="8">
                  <c:v>2526</c:v>
                </c:pt>
                <c:pt idx="9">
                  <c:v>2580</c:v>
                </c:pt>
                <c:pt idx="10">
                  <c:v>2400</c:v>
                </c:pt>
                <c:pt idx="11">
                  <c:v>2579</c:v>
                </c:pt>
                <c:pt idx="12">
                  <c:v>2672</c:v>
                </c:pt>
                <c:pt idx="13">
                  <c:v>2486</c:v>
                </c:pt>
                <c:pt idx="14">
                  <c:v>2618</c:v>
                </c:pt>
                <c:pt idx="15">
                  <c:v>2587</c:v>
                </c:pt>
                <c:pt idx="16">
                  <c:v>2213</c:v>
                </c:pt>
                <c:pt idx="17">
                  <c:v>2166</c:v>
                </c:pt>
                <c:pt idx="18">
                  <c:v>2456</c:v>
                </c:pt>
                <c:pt idx="19">
                  <c:v>2455</c:v>
                </c:pt>
                <c:pt idx="20">
                  <c:v>2580</c:v>
                </c:pt>
                <c:pt idx="21">
                  <c:v>2455</c:v>
                </c:pt>
                <c:pt idx="22">
                  <c:v>2512</c:v>
                </c:pt>
                <c:pt idx="23">
                  <c:v>2611</c:v>
                </c:pt>
                <c:pt idx="24">
                  <c:v>2524</c:v>
                </c:pt>
                <c:pt idx="25">
                  <c:v>2537</c:v>
                </c:pt>
                <c:pt idx="26">
                  <c:v>2486</c:v>
                </c:pt>
                <c:pt idx="27">
                  <c:v>2595</c:v>
                </c:pt>
                <c:pt idx="28">
                  <c:v>2697</c:v>
                </c:pt>
                <c:pt idx="29">
                  <c:v>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3360</c:v>
                </c:pt>
                <c:pt idx="1">
                  <c:v>3311</c:v>
                </c:pt>
                <c:pt idx="2">
                  <c:v>3865</c:v>
                </c:pt>
                <c:pt idx="3">
                  <c:v>3858</c:v>
                </c:pt>
                <c:pt idx="4">
                  <c:v>3329</c:v>
                </c:pt>
                <c:pt idx="5">
                  <c:v>4031</c:v>
                </c:pt>
                <c:pt idx="6">
                  <c:v>4044</c:v>
                </c:pt>
                <c:pt idx="7">
                  <c:v>4490</c:v>
                </c:pt>
                <c:pt idx="8">
                  <c:v>4139</c:v>
                </c:pt>
                <c:pt idx="9">
                  <c:v>4418</c:v>
                </c:pt>
                <c:pt idx="10">
                  <c:v>4486</c:v>
                </c:pt>
                <c:pt idx="11">
                  <c:v>4633</c:v>
                </c:pt>
                <c:pt idx="12">
                  <c:v>4818</c:v>
                </c:pt>
                <c:pt idx="13">
                  <c:v>5215</c:v>
                </c:pt>
                <c:pt idx="14">
                  <c:v>5586</c:v>
                </c:pt>
                <c:pt idx="15">
                  <c:v>5509</c:v>
                </c:pt>
                <c:pt idx="16">
                  <c:v>3714</c:v>
                </c:pt>
                <c:pt idx="17">
                  <c:v>3083</c:v>
                </c:pt>
                <c:pt idx="18">
                  <c:v>3558</c:v>
                </c:pt>
                <c:pt idx="19">
                  <c:v>4113</c:v>
                </c:pt>
                <c:pt idx="20">
                  <c:v>4404</c:v>
                </c:pt>
                <c:pt idx="21">
                  <c:v>4099</c:v>
                </c:pt>
                <c:pt idx="22">
                  <c:v>4549</c:v>
                </c:pt>
                <c:pt idx="23">
                  <c:v>4538</c:v>
                </c:pt>
                <c:pt idx="24">
                  <c:v>3983</c:v>
                </c:pt>
                <c:pt idx="25">
                  <c:v>3918</c:v>
                </c:pt>
                <c:pt idx="26">
                  <c:v>4081</c:v>
                </c:pt>
                <c:pt idx="27">
                  <c:v>4122</c:v>
                </c:pt>
                <c:pt idx="28">
                  <c:v>4351</c:v>
                </c:pt>
                <c:pt idx="29">
                  <c:v>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13461</c:v>
                </c:pt>
                <c:pt idx="1">
                  <c:v>11790</c:v>
                </c:pt>
                <c:pt idx="2">
                  <c:v>12898</c:v>
                </c:pt>
                <c:pt idx="3">
                  <c:v>13231</c:v>
                </c:pt>
                <c:pt idx="4">
                  <c:v>12533</c:v>
                </c:pt>
                <c:pt idx="5">
                  <c:v>12944</c:v>
                </c:pt>
                <c:pt idx="6">
                  <c:v>12706</c:v>
                </c:pt>
                <c:pt idx="7">
                  <c:v>13014</c:v>
                </c:pt>
                <c:pt idx="8">
                  <c:v>13392</c:v>
                </c:pt>
                <c:pt idx="9">
                  <c:v>13908</c:v>
                </c:pt>
                <c:pt idx="10">
                  <c:v>13888</c:v>
                </c:pt>
                <c:pt idx="11">
                  <c:v>13425</c:v>
                </c:pt>
                <c:pt idx="12">
                  <c:v>13914</c:v>
                </c:pt>
                <c:pt idx="13">
                  <c:v>14210</c:v>
                </c:pt>
                <c:pt idx="14">
                  <c:v>13986</c:v>
                </c:pt>
                <c:pt idx="15">
                  <c:v>14193</c:v>
                </c:pt>
                <c:pt idx="16">
                  <c:v>12771</c:v>
                </c:pt>
                <c:pt idx="17">
                  <c:v>12201</c:v>
                </c:pt>
                <c:pt idx="18">
                  <c:v>12646</c:v>
                </c:pt>
                <c:pt idx="19">
                  <c:v>13316</c:v>
                </c:pt>
                <c:pt idx="20">
                  <c:v>13648</c:v>
                </c:pt>
                <c:pt idx="21">
                  <c:v>12982</c:v>
                </c:pt>
                <c:pt idx="22">
                  <c:v>13268</c:v>
                </c:pt>
                <c:pt idx="23">
                  <c:v>13343</c:v>
                </c:pt>
                <c:pt idx="24">
                  <c:v>14335</c:v>
                </c:pt>
                <c:pt idx="25">
                  <c:v>13824</c:v>
                </c:pt>
                <c:pt idx="26">
                  <c:v>13857</c:v>
                </c:pt>
                <c:pt idx="27">
                  <c:v>14059</c:v>
                </c:pt>
                <c:pt idx="28">
                  <c:v>14358</c:v>
                </c:pt>
                <c:pt idx="29">
                  <c:v>13954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1600</c:v>
                </c:pt>
                <c:pt idx="5">
                  <c:v>1600</c:v>
                </c:pt>
                <c:pt idx="6">
                  <c:v>1600</c:v>
                </c:pt>
                <c:pt idx="7">
                  <c:v>1700</c:v>
                </c:pt>
                <c:pt idx="8">
                  <c:v>1600</c:v>
                </c:pt>
                <c:pt idx="9">
                  <c:v>1600</c:v>
                </c:pt>
                <c:pt idx="10">
                  <c:v>1500</c:v>
                </c:pt>
                <c:pt idx="11">
                  <c:v>1600</c:v>
                </c:pt>
                <c:pt idx="12">
                  <c:v>1600</c:v>
                </c:pt>
                <c:pt idx="13">
                  <c:v>1600</c:v>
                </c:pt>
                <c:pt idx="14">
                  <c:v>1700</c:v>
                </c:pt>
                <c:pt idx="15">
                  <c:v>1700</c:v>
                </c:pt>
                <c:pt idx="16">
                  <c:v>1600</c:v>
                </c:pt>
                <c:pt idx="17">
                  <c:v>1700</c:v>
                </c:pt>
                <c:pt idx="18">
                  <c:v>1700</c:v>
                </c:pt>
                <c:pt idx="19">
                  <c:v>1800</c:v>
                </c:pt>
                <c:pt idx="20">
                  <c:v>1900</c:v>
                </c:pt>
                <c:pt idx="21">
                  <c:v>1800</c:v>
                </c:pt>
                <c:pt idx="22">
                  <c:v>1800</c:v>
                </c:pt>
                <c:pt idx="23">
                  <c:v>1700</c:v>
                </c:pt>
                <c:pt idx="24">
                  <c:v>1800</c:v>
                </c:pt>
                <c:pt idx="25">
                  <c:v>1800</c:v>
                </c:pt>
                <c:pt idx="26">
                  <c:v>1900</c:v>
                </c:pt>
                <c:pt idx="27">
                  <c:v>1800</c:v>
                </c:pt>
                <c:pt idx="28">
                  <c:v>1600</c:v>
                </c:pt>
                <c:pt idx="29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2615</c:v>
                </c:pt>
                <c:pt idx="1">
                  <c:v>2541</c:v>
                </c:pt>
                <c:pt idx="2">
                  <c:v>2753</c:v>
                </c:pt>
                <c:pt idx="3">
                  <c:v>2550</c:v>
                </c:pt>
                <c:pt idx="4">
                  <c:v>2609</c:v>
                </c:pt>
                <c:pt idx="5">
                  <c:v>2746</c:v>
                </c:pt>
                <c:pt idx="6">
                  <c:v>2711</c:v>
                </c:pt>
                <c:pt idx="7">
                  <c:v>2815</c:v>
                </c:pt>
                <c:pt idx="8">
                  <c:v>2794</c:v>
                </c:pt>
                <c:pt idx="9">
                  <c:v>2850</c:v>
                </c:pt>
                <c:pt idx="10">
                  <c:v>2797</c:v>
                </c:pt>
                <c:pt idx="11">
                  <c:v>2758</c:v>
                </c:pt>
                <c:pt idx="12">
                  <c:v>2654</c:v>
                </c:pt>
                <c:pt idx="13">
                  <c:v>2672</c:v>
                </c:pt>
                <c:pt idx="14">
                  <c:v>2876</c:v>
                </c:pt>
                <c:pt idx="15">
                  <c:v>2780</c:v>
                </c:pt>
                <c:pt idx="16">
                  <c:v>2513</c:v>
                </c:pt>
                <c:pt idx="17">
                  <c:v>2482</c:v>
                </c:pt>
                <c:pt idx="18">
                  <c:v>2688</c:v>
                </c:pt>
                <c:pt idx="19">
                  <c:v>2694</c:v>
                </c:pt>
                <c:pt idx="20">
                  <c:v>2791</c:v>
                </c:pt>
                <c:pt idx="21">
                  <c:v>2688</c:v>
                </c:pt>
                <c:pt idx="22">
                  <c:v>2833</c:v>
                </c:pt>
                <c:pt idx="23">
                  <c:v>2854</c:v>
                </c:pt>
                <c:pt idx="24">
                  <c:v>2778</c:v>
                </c:pt>
                <c:pt idx="25">
                  <c:v>2738</c:v>
                </c:pt>
                <c:pt idx="26">
                  <c:v>2697</c:v>
                </c:pt>
                <c:pt idx="27">
                  <c:v>2647</c:v>
                </c:pt>
                <c:pt idx="28">
                  <c:v>2709</c:v>
                </c:pt>
                <c:pt idx="29">
                  <c:v>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580</c:v>
                </c:pt>
                <c:pt idx="1">
                  <c:v>570</c:v>
                </c:pt>
                <c:pt idx="2">
                  <c:v>580</c:v>
                </c:pt>
                <c:pt idx="3">
                  <c:v>540</c:v>
                </c:pt>
                <c:pt idx="4">
                  <c:v>530</c:v>
                </c:pt>
                <c:pt idx="5">
                  <c:v>600</c:v>
                </c:pt>
                <c:pt idx="6">
                  <c:v>560</c:v>
                </c:pt>
                <c:pt idx="7">
                  <c:v>580</c:v>
                </c:pt>
                <c:pt idx="8">
                  <c:v>570</c:v>
                </c:pt>
                <c:pt idx="9">
                  <c:v>590</c:v>
                </c:pt>
                <c:pt idx="10">
                  <c:v>620</c:v>
                </c:pt>
                <c:pt idx="11">
                  <c:v>580</c:v>
                </c:pt>
                <c:pt idx="12">
                  <c:v>600</c:v>
                </c:pt>
                <c:pt idx="13">
                  <c:v>640</c:v>
                </c:pt>
                <c:pt idx="14">
                  <c:v>710</c:v>
                </c:pt>
                <c:pt idx="15">
                  <c:v>600</c:v>
                </c:pt>
                <c:pt idx="16">
                  <c:v>530</c:v>
                </c:pt>
                <c:pt idx="17">
                  <c:v>550</c:v>
                </c:pt>
                <c:pt idx="18">
                  <c:v>640</c:v>
                </c:pt>
                <c:pt idx="19">
                  <c:v>640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650</c:v>
                </c:pt>
                <c:pt idx="24">
                  <c:v>600</c:v>
                </c:pt>
                <c:pt idx="25">
                  <c:v>660</c:v>
                </c:pt>
                <c:pt idx="26">
                  <c:v>700</c:v>
                </c:pt>
                <c:pt idx="27">
                  <c:v>640</c:v>
                </c:pt>
                <c:pt idx="28">
                  <c:v>730</c:v>
                </c:pt>
                <c:pt idx="29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600</c:v>
                </c:pt>
                <c:pt idx="2">
                  <c:v>1200</c:v>
                </c:pt>
                <c:pt idx="3">
                  <c:v>700</c:v>
                </c:pt>
                <c:pt idx="4">
                  <c:v>1300</c:v>
                </c:pt>
                <c:pt idx="5">
                  <c:v>700</c:v>
                </c:pt>
                <c:pt idx="6">
                  <c:v>1500</c:v>
                </c:pt>
                <c:pt idx="7">
                  <c:v>800</c:v>
                </c:pt>
                <c:pt idx="8">
                  <c:v>1300</c:v>
                </c:pt>
                <c:pt idx="9">
                  <c:v>800</c:v>
                </c:pt>
                <c:pt idx="10">
                  <c:v>1300</c:v>
                </c:pt>
                <c:pt idx="11">
                  <c:v>800</c:v>
                </c:pt>
                <c:pt idx="12">
                  <c:v>1300</c:v>
                </c:pt>
                <c:pt idx="13">
                  <c:v>900</c:v>
                </c:pt>
                <c:pt idx="14">
                  <c:v>1200</c:v>
                </c:pt>
                <c:pt idx="15">
                  <c:v>1100</c:v>
                </c:pt>
                <c:pt idx="16">
                  <c:v>1300</c:v>
                </c:pt>
                <c:pt idx="17">
                  <c:v>1500</c:v>
                </c:pt>
                <c:pt idx="18">
                  <c:v>1400</c:v>
                </c:pt>
                <c:pt idx="19">
                  <c:v>1500</c:v>
                </c:pt>
                <c:pt idx="20">
                  <c:v>1700</c:v>
                </c:pt>
                <c:pt idx="21">
                  <c:v>1800</c:v>
                </c:pt>
                <c:pt idx="22">
                  <c:v>1900</c:v>
                </c:pt>
                <c:pt idx="23">
                  <c:v>1700</c:v>
                </c:pt>
                <c:pt idx="24">
                  <c:v>2000</c:v>
                </c:pt>
                <c:pt idx="25">
                  <c:v>1700</c:v>
                </c:pt>
                <c:pt idx="26">
                  <c:v>1600</c:v>
                </c:pt>
                <c:pt idx="27">
                  <c:v>1800</c:v>
                </c:pt>
                <c:pt idx="28">
                  <c:v>1600</c:v>
                </c:pt>
                <c:pt idx="29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863610</c:v>
                </c:pt>
                <c:pt idx="1">
                  <c:v>864540</c:v>
                </c:pt>
                <c:pt idx="2">
                  <c:v>865200</c:v>
                </c:pt>
                <c:pt idx="3">
                  <c:v>865930</c:v>
                </c:pt>
                <c:pt idx="4">
                  <c:v>866690</c:v>
                </c:pt>
                <c:pt idx="5">
                  <c:v>867360</c:v>
                </c:pt>
                <c:pt idx="6">
                  <c:v>868090</c:v>
                </c:pt>
                <c:pt idx="7">
                  <c:v>868860</c:v>
                </c:pt>
                <c:pt idx="8">
                  <c:v>869690</c:v>
                </c:pt>
                <c:pt idx="9">
                  <c:v>870550</c:v>
                </c:pt>
                <c:pt idx="10">
                  <c:v>871440</c:v>
                </c:pt>
                <c:pt idx="11">
                  <c:v>872320</c:v>
                </c:pt>
                <c:pt idx="12">
                  <c:v>873160</c:v>
                </c:pt>
                <c:pt idx="13">
                  <c:v>874010</c:v>
                </c:pt>
                <c:pt idx="14">
                  <c:v>874900</c:v>
                </c:pt>
                <c:pt idx="15">
                  <c:v>875790</c:v>
                </c:pt>
                <c:pt idx="16">
                  <c:v>876670</c:v>
                </c:pt>
                <c:pt idx="17">
                  <c:v>877520</c:v>
                </c:pt>
                <c:pt idx="18">
                  <c:v>878240</c:v>
                </c:pt>
                <c:pt idx="19">
                  <c:v>878930</c:v>
                </c:pt>
                <c:pt idx="20">
                  <c:v>879670</c:v>
                </c:pt>
                <c:pt idx="21">
                  <c:v>880460</c:v>
                </c:pt>
                <c:pt idx="22">
                  <c:v>881270</c:v>
                </c:pt>
                <c:pt idx="23">
                  <c:v>882060</c:v>
                </c:pt>
                <c:pt idx="24">
                  <c:v>882830</c:v>
                </c:pt>
                <c:pt idx="25">
                  <c:v>883670</c:v>
                </c:pt>
                <c:pt idx="26">
                  <c:v>884510</c:v>
                </c:pt>
                <c:pt idx="27">
                  <c:v>885330</c:v>
                </c:pt>
                <c:pt idx="28">
                  <c:v>886160</c:v>
                </c:pt>
                <c:pt idx="29">
                  <c:v>887030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23451</c:v>
                </c:pt>
                <c:pt idx="1">
                  <c:v>21626</c:v>
                </c:pt>
                <c:pt idx="2">
                  <c:v>23924</c:v>
                </c:pt>
                <c:pt idx="3">
                  <c:v>23294</c:v>
                </c:pt>
                <c:pt idx="4">
                  <c:v>22493</c:v>
                </c:pt>
                <c:pt idx="5">
                  <c:v>23652</c:v>
                </c:pt>
                <c:pt idx="6">
                  <c:v>24002</c:v>
                </c:pt>
                <c:pt idx="7">
                  <c:v>24528</c:v>
                </c:pt>
                <c:pt idx="8">
                  <c:v>25400</c:v>
                </c:pt>
                <c:pt idx="9">
                  <c:v>25384</c:v>
                </c:pt>
                <c:pt idx="10">
                  <c:v>26115</c:v>
                </c:pt>
                <c:pt idx="11">
                  <c:v>25368</c:v>
                </c:pt>
                <c:pt idx="12">
                  <c:v>26433</c:v>
                </c:pt>
                <c:pt idx="13">
                  <c:v>26616</c:v>
                </c:pt>
                <c:pt idx="14">
                  <c:v>27382</c:v>
                </c:pt>
                <c:pt idx="15">
                  <c:v>27352</c:v>
                </c:pt>
                <c:pt idx="16">
                  <c:v>23637</c:v>
                </c:pt>
                <c:pt idx="17">
                  <c:v>22431</c:v>
                </c:pt>
                <c:pt idx="18">
                  <c:v>23981</c:v>
                </c:pt>
                <c:pt idx="19">
                  <c:v>25152</c:v>
                </c:pt>
                <c:pt idx="20">
                  <c:v>26181</c:v>
                </c:pt>
                <c:pt idx="21">
                  <c:v>25334</c:v>
                </c:pt>
                <c:pt idx="22">
                  <c:v>26063</c:v>
                </c:pt>
                <c:pt idx="23">
                  <c:v>26316</c:v>
                </c:pt>
                <c:pt idx="24">
                  <c:v>26592</c:v>
                </c:pt>
                <c:pt idx="25">
                  <c:v>25965</c:v>
                </c:pt>
                <c:pt idx="26">
                  <c:v>25871</c:v>
                </c:pt>
                <c:pt idx="27">
                  <c:v>26453</c:v>
                </c:pt>
                <c:pt idx="28">
                  <c:v>27036</c:v>
                </c:pt>
                <c:pt idx="29">
                  <c:v>26752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0.%20Oct/FS%20Maldives%20at%20LG_HEP_Daily_Octo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Room Nights and Food Covers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B4">
            <v>14.6</v>
          </cell>
          <cell r="C4">
            <v>159</v>
          </cell>
        </row>
        <row r="5">
          <cell r="B5">
            <v>11.7</v>
          </cell>
          <cell r="C5">
            <v>94</v>
          </cell>
        </row>
        <row r="6">
          <cell r="B6">
            <v>15.5</v>
          </cell>
          <cell r="C6">
            <v>119</v>
          </cell>
        </row>
        <row r="7">
          <cell r="B7">
            <v>19.399999999999999</v>
          </cell>
          <cell r="C7">
            <v>156</v>
          </cell>
        </row>
        <row r="8">
          <cell r="B8">
            <v>18.399999999999999</v>
          </cell>
          <cell r="C8">
            <v>141</v>
          </cell>
        </row>
        <row r="9">
          <cell r="B9">
            <v>18.399999999999999</v>
          </cell>
          <cell r="C9">
            <v>131</v>
          </cell>
        </row>
        <row r="10">
          <cell r="B10">
            <v>14.6</v>
          </cell>
          <cell r="C10">
            <v>122</v>
          </cell>
        </row>
        <row r="11">
          <cell r="B11">
            <v>15.5</v>
          </cell>
          <cell r="C11">
            <v>134</v>
          </cell>
        </row>
        <row r="12">
          <cell r="B12">
            <v>17.5</v>
          </cell>
          <cell r="C12">
            <v>126</v>
          </cell>
        </row>
        <row r="13">
          <cell r="B13">
            <v>12.6</v>
          </cell>
          <cell r="C13">
            <v>130</v>
          </cell>
        </row>
        <row r="14">
          <cell r="B14">
            <v>12.6</v>
          </cell>
          <cell r="C14">
            <v>116</v>
          </cell>
        </row>
        <row r="15">
          <cell r="B15">
            <v>12.6</v>
          </cell>
          <cell r="C15">
            <v>119</v>
          </cell>
        </row>
        <row r="16">
          <cell r="B16">
            <v>11.7</v>
          </cell>
          <cell r="C16">
            <v>118</v>
          </cell>
        </row>
        <row r="17">
          <cell r="B17">
            <v>13.6</v>
          </cell>
          <cell r="C17">
            <v>106</v>
          </cell>
        </row>
        <row r="18">
          <cell r="B18">
            <v>14.6</v>
          </cell>
          <cell r="C18">
            <v>129</v>
          </cell>
        </row>
        <row r="19">
          <cell r="B19">
            <v>13.6</v>
          </cell>
          <cell r="C19">
            <v>139</v>
          </cell>
        </row>
        <row r="20">
          <cell r="B20">
            <v>19.399999999999999</v>
          </cell>
          <cell r="C20">
            <v>204</v>
          </cell>
        </row>
        <row r="21">
          <cell r="B21">
            <v>17.5</v>
          </cell>
          <cell r="C21">
            <v>159</v>
          </cell>
        </row>
        <row r="22">
          <cell r="B22">
            <v>19.399999999999999</v>
          </cell>
          <cell r="C22">
            <v>185</v>
          </cell>
        </row>
        <row r="23">
          <cell r="B23">
            <v>16.5</v>
          </cell>
          <cell r="C23">
            <v>157</v>
          </cell>
        </row>
        <row r="24">
          <cell r="B24">
            <v>23.3</v>
          </cell>
          <cell r="C24">
            <v>225</v>
          </cell>
        </row>
        <row r="25">
          <cell r="B25">
            <v>28.2</v>
          </cell>
          <cell r="C25">
            <v>260</v>
          </cell>
        </row>
        <row r="26">
          <cell r="B26">
            <v>37.9</v>
          </cell>
          <cell r="C26">
            <v>355</v>
          </cell>
        </row>
        <row r="27">
          <cell r="B27">
            <v>36.9</v>
          </cell>
          <cell r="C27">
            <v>323</v>
          </cell>
        </row>
        <row r="28">
          <cell r="B28">
            <v>38.799999999999997</v>
          </cell>
          <cell r="C28">
            <v>354</v>
          </cell>
        </row>
        <row r="29">
          <cell r="B29">
            <v>43.7</v>
          </cell>
          <cell r="C29">
            <v>390</v>
          </cell>
        </row>
        <row r="30">
          <cell r="B30">
            <v>41.7</v>
          </cell>
          <cell r="C30">
            <v>415</v>
          </cell>
        </row>
        <row r="31">
          <cell r="B31">
            <v>39.799999999999997</v>
          </cell>
          <cell r="C31">
            <v>374</v>
          </cell>
        </row>
        <row r="32">
          <cell r="B32">
            <v>39.799999999999997</v>
          </cell>
          <cell r="C32">
            <v>374</v>
          </cell>
        </row>
        <row r="33">
          <cell r="B33">
            <v>36.9</v>
          </cell>
          <cell r="C33">
            <v>296</v>
          </cell>
        </row>
        <row r="34">
          <cell r="B34">
            <v>30.1</v>
          </cell>
          <cell r="C34">
            <v>227</v>
          </cell>
        </row>
        <row r="35">
          <cell r="B35">
            <v>31.1</v>
          </cell>
          <cell r="C35">
            <v>195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>
        <row r="6">
          <cell r="I6">
            <v>0</v>
          </cell>
          <cell r="N6">
            <v>190</v>
          </cell>
          <cell r="S6">
            <v>10</v>
          </cell>
          <cell r="AD6">
            <v>18</v>
          </cell>
          <cell r="AI6">
            <v>6</v>
          </cell>
          <cell r="AN6">
            <v>0</v>
          </cell>
          <cell r="AS6">
            <v>10</v>
          </cell>
          <cell r="AX6">
            <v>8</v>
          </cell>
          <cell r="BC6">
            <v>7</v>
          </cell>
          <cell r="BH6">
            <v>10</v>
          </cell>
          <cell r="BM6">
            <v>5</v>
          </cell>
          <cell r="BR6">
            <v>1</v>
          </cell>
          <cell r="BW6">
            <v>0</v>
          </cell>
          <cell r="CB6">
            <v>4</v>
          </cell>
          <cell r="CG6">
            <v>1</v>
          </cell>
          <cell r="CL6">
            <v>24</v>
          </cell>
          <cell r="CQ6">
            <v>7</v>
          </cell>
          <cell r="CV6">
            <v>0</v>
          </cell>
          <cell r="DA6">
            <v>1</v>
          </cell>
          <cell r="DF6">
            <v>1</v>
          </cell>
          <cell r="DK6">
            <v>0</v>
          </cell>
          <cell r="DP6">
            <v>7</v>
          </cell>
          <cell r="DU6">
            <v>0</v>
          </cell>
          <cell r="DZ6">
            <v>0</v>
          </cell>
        </row>
        <row r="7">
          <cell r="D7">
            <v>71</v>
          </cell>
          <cell r="I7">
            <v>0</v>
          </cell>
          <cell r="N7">
            <v>143</v>
          </cell>
          <cell r="S7">
            <v>113</v>
          </cell>
          <cell r="AD7">
            <v>17</v>
          </cell>
          <cell r="AI7">
            <v>13</v>
          </cell>
          <cell r="AN7">
            <v>16</v>
          </cell>
          <cell r="AS7">
            <v>12</v>
          </cell>
          <cell r="AX7">
            <v>7</v>
          </cell>
          <cell r="BC7">
            <v>7</v>
          </cell>
          <cell r="BH7">
            <v>10</v>
          </cell>
          <cell r="BM7">
            <v>10</v>
          </cell>
          <cell r="BR7">
            <v>1</v>
          </cell>
          <cell r="BW7">
            <v>1</v>
          </cell>
          <cell r="CB7">
            <v>5</v>
          </cell>
          <cell r="CG7">
            <v>1</v>
          </cell>
          <cell r="CL7">
            <v>22</v>
          </cell>
          <cell r="CQ7">
            <v>8</v>
          </cell>
          <cell r="CV7">
            <v>1</v>
          </cell>
          <cell r="DA7">
            <v>1</v>
          </cell>
          <cell r="DF7">
            <v>2</v>
          </cell>
          <cell r="DK7">
            <v>5</v>
          </cell>
          <cell r="DP7">
            <v>5</v>
          </cell>
          <cell r="DU7">
            <v>1</v>
          </cell>
          <cell r="DZ7">
            <v>2</v>
          </cell>
        </row>
        <row r="8">
          <cell r="D8">
            <v>65</v>
          </cell>
          <cell r="I8">
            <v>0</v>
          </cell>
          <cell r="N8">
            <v>197</v>
          </cell>
          <cell r="S8">
            <v>109</v>
          </cell>
          <cell r="AD8">
            <v>18</v>
          </cell>
          <cell r="AI8">
            <v>4</v>
          </cell>
          <cell r="AN8">
            <v>9</v>
          </cell>
          <cell r="AS8">
            <v>11</v>
          </cell>
          <cell r="AX8">
            <v>7</v>
          </cell>
          <cell r="BC8">
            <v>8</v>
          </cell>
          <cell r="BH8">
            <v>0</v>
          </cell>
          <cell r="BM8">
            <v>8</v>
          </cell>
          <cell r="BR8">
            <v>0</v>
          </cell>
          <cell r="BW8">
            <v>0</v>
          </cell>
          <cell r="CB8">
            <v>4</v>
          </cell>
          <cell r="CG8">
            <v>1</v>
          </cell>
          <cell r="CL8">
            <v>26</v>
          </cell>
          <cell r="CQ8">
            <v>7</v>
          </cell>
          <cell r="CV8">
            <v>0</v>
          </cell>
          <cell r="DA8">
            <v>0</v>
          </cell>
          <cell r="DF8">
            <v>3</v>
          </cell>
          <cell r="DK8">
            <v>3</v>
          </cell>
          <cell r="DP8">
            <v>0</v>
          </cell>
          <cell r="DU8">
            <v>1</v>
          </cell>
          <cell r="DZ8">
            <v>1</v>
          </cell>
        </row>
        <row r="9">
          <cell r="D9">
            <v>66</v>
          </cell>
          <cell r="I9">
            <v>0</v>
          </cell>
          <cell r="N9">
            <v>179</v>
          </cell>
          <cell r="S9">
            <v>94</v>
          </cell>
          <cell r="AD9">
            <v>17</v>
          </cell>
          <cell r="AI9">
            <v>5</v>
          </cell>
          <cell r="AN9">
            <v>9</v>
          </cell>
          <cell r="AS9">
            <v>10</v>
          </cell>
          <cell r="AX9">
            <v>7</v>
          </cell>
          <cell r="BC9">
            <v>7</v>
          </cell>
          <cell r="BH9">
            <v>0</v>
          </cell>
          <cell r="BM9">
            <v>7</v>
          </cell>
          <cell r="BR9">
            <v>4</v>
          </cell>
          <cell r="BW9">
            <v>0</v>
          </cell>
          <cell r="CB9">
            <v>6</v>
          </cell>
          <cell r="CG9">
            <v>5</v>
          </cell>
          <cell r="CL9">
            <v>24</v>
          </cell>
          <cell r="CQ9">
            <v>7</v>
          </cell>
          <cell r="CV9">
            <v>1</v>
          </cell>
          <cell r="DA9">
            <v>0</v>
          </cell>
          <cell r="DF9">
            <v>2</v>
          </cell>
          <cell r="DK9">
            <v>5</v>
          </cell>
          <cell r="DP9">
            <v>50</v>
          </cell>
          <cell r="DU9">
            <v>1</v>
          </cell>
          <cell r="DZ9">
            <v>2</v>
          </cell>
        </row>
        <row r="10">
          <cell r="D10">
            <v>70</v>
          </cell>
          <cell r="I10">
            <v>0</v>
          </cell>
          <cell r="N10">
            <v>179</v>
          </cell>
          <cell r="S10">
            <v>85</v>
          </cell>
          <cell r="AD10">
            <v>18</v>
          </cell>
          <cell r="AI10">
            <v>5</v>
          </cell>
          <cell r="AN10">
            <v>8</v>
          </cell>
          <cell r="AS10">
            <v>10</v>
          </cell>
          <cell r="AX10">
            <v>7</v>
          </cell>
          <cell r="BC10">
            <v>8</v>
          </cell>
          <cell r="BH10">
            <v>19</v>
          </cell>
          <cell r="BM10">
            <v>7</v>
          </cell>
          <cell r="BR10">
            <v>1</v>
          </cell>
          <cell r="BW10">
            <v>1</v>
          </cell>
          <cell r="CB10">
            <v>4</v>
          </cell>
          <cell r="CG10">
            <v>2</v>
          </cell>
          <cell r="CL10">
            <v>27</v>
          </cell>
          <cell r="CQ10">
            <v>7</v>
          </cell>
          <cell r="CV10">
            <v>1</v>
          </cell>
          <cell r="DA10">
            <v>3</v>
          </cell>
          <cell r="DF10">
            <v>3</v>
          </cell>
          <cell r="DK10">
            <v>9</v>
          </cell>
          <cell r="DP10">
            <v>0</v>
          </cell>
          <cell r="DU10">
            <v>10</v>
          </cell>
          <cell r="DZ10">
            <v>3</v>
          </cell>
        </row>
        <row r="11">
          <cell r="D11">
            <v>52</v>
          </cell>
          <cell r="I11">
            <v>0</v>
          </cell>
          <cell r="N11">
            <v>200</v>
          </cell>
          <cell r="S11">
            <v>69</v>
          </cell>
          <cell r="AD11">
            <v>20</v>
          </cell>
          <cell r="AI11">
            <v>6</v>
          </cell>
          <cell r="AN11">
            <v>9</v>
          </cell>
          <cell r="AS11">
            <v>12</v>
          </cell>
          <cell r="AX11">
            <v>7</v>
          </cell>
          <cell r="BC11">
            <v>7</v>
          </cell>
          <cell r="BH11">
            <v>7</v>
          </cell>
          <cell r="BM11">
            <v>8</v>
          </cell>
          <cell r="BR11">
            <v>2</v>
          </cell>
          <cell r="BW11">
            <v>-1</v>
          </cell>
          <cell r="CB11">
            <v>4</v>
          </cell>
          <cell r="CG11">
            <v>1</v>
          </cell>
          <cell r="CL11">
            <v>24</v>
          </cell>
          <cell r="CQ11">
            <v>7</v>
          </cell>
          <cell r="CV11">
            <v>0</v>
          </cell>
          <cell r="DA11">
            <v>3</v>
          </cell>
          <cell r="DF11">
            <v>4</v>
          </cell>
          <cell r="DK11">
            <v>4</v>
          </cell>
          <cell r="DP11">
            <v>38</v>
          </cell>
          <cell r="DU11">
            <v>1</v>
          </cell>
          <cell r="DZ11">
            <v>2</v>
          </cell>
        </row>
        <row r="12">
          <cell r="D12">
            <v>71</v>
          </cell>
          <cell r="I12">
            <v>0</v>
          </cell>
          <cell r="N12">
            <v>214</v>
          </cell>
          <cell r="S12">
            <v>97</v>
          </cell>
          <cell r="AD12">
            <v>18</v>
          </cell>
          <cell r="AI12">
            <v>6</v>
          </cell>
          <cell r="AN12">
            <v>9</v>
          </cell>
          <cell r="AS12">
            <v>11</v>
          </cell>
          <cell r="AX12">
            <v>8</v>
          </cell>
          <cell r="BC12">
            <v>7</v>
          </cell>
          <cell r="BH12">
            <v>7</v>
          </cell>
          <cell r="BM12">
            <v>8</v>
          </cell>
          <cell r="BR12">
            <v>2</v>
          </cell>
          <cell r="BW12">
            <v>2</v>
          </cell>
          <cell r="CB12">
            <v>8</v>
          </cell>
          <cell r="CG12">
            <v>4</v>
          </cell>
          <cell r="CL12">
            <v>25</v>
          </cell>
          <cell r="CQ12">
            <v>7</v>
          </cell>
          <cell r="CV12">
            <v>1</v>
          </cell>
          <cell r="DA12">
            <v>3</v>
          </cell>
          <cell r="DF12">
            <v>3</v>
          </cell>
          <cell r="DK12">
            <v>4</v>
          </cell>
          <cell r="DP12">
            <v>38</v>
          </cell>
          <cell r="DU12">
            <v>2</v>
          </cell>
          <cell r="DZ12">
            <v>1</v>
          </cell>
        </row>
        <row r="13">
          <cell r="D13">
            <v>38</v>
          </cell>
          <cell r="I13">
            <v>0</v>
          </cell>
          <cell r="N13">
            <v>202</v>
          </cell>
          <cell r="S13">
            <v>111</v>
          </cell>
          <cell r="AD13">
            <v>19</v>
          </cell>
          <cell r="AI13">
            <v>6</v>
          </cell>
          <cell r="AN13">
            <v>9</v>
          </cell>
          <cell r="AS13">
            <v>12</v>
          </cell>
          <cell r="AX13">
            <v>8</v>
          </cell>
          <cell r="BC13">
            <v>7</v>
          </cell>
          <cell r="BH13">
            <v>8</v>
          </cell>
          <cell r="BM13">
            <v>8</v>
          </cell>
          <cell r="BR13">
            <v>2</v>
          </cell>
          <cell r="BW13">
            <v>0</v>
          </cell>
          <cell r="CB13">
            <v>3</v>
          </cell>
          <cell r="CG13">
            <v>1</v>
          </cell>
          <cell r="CL13">
            <v>24</v>
          </cell>
          <cell r="CQ13">
            <v>8</v>
          </cell>
          <cell r="CV13">
            <v>3</v>
          </cell>
          <cell r="DA13">
            <v>6</v>
          </cell>
          <cell r="DF13">
            <v>3</v>
          </cell>
          <cell r="DK13">
            <v>0</v>
          </cell>
          <cell r="DP13">
            <v>3</v>
          </cell>
          <cell r="DU13">
            <v>1</v>
          </cell>
          <cell r="DZ13">
            <v>2</v>
          </cell>
        </row>
        <row r="14">
          <cell r="D14">
            <v>55</v>
          </cell>
          <cell r="I14">
            <v>0</v>
          </cell>
          <cell r="N14">
            <v>197</v>
          </cell>
          <cell r="S14">
            <v>145</v>
          </cell>
          <cell r="AD14">
            <v>19</v>
          </cell>
          <cell r="AI14">
            <v>5</v>
          </cell>
          <cell r="AN14">
            <v>8</v>
          </cell>
          <cell r="AS14">
            <v>12</v>
          </cell>
          <cell r="AX14">
            <v>7</v>
          </cell>
          <cell r="BC14">
            <v>7</v>
          </cell>
          <cell r="BH14">
            <v>7</v>
          </cell>
          <cell r="BM14">
            <v>7</v>
          </cell>
          <cell r="BR14">
            <v>3</v>
          </cell>
          <cell r="BW14">
            <v>0</v>
          </cell>
          <cell r="CB14">
            <v>6</v>
          </cell>
          <cell r="CG14">
            <v>0</v>
          </cell>
          <cell r="CL14">
            <v>23</v>
          </cell>
          <cell r="CQ14">
            <v>8</v>
          </cell>
          <cell r="CV14">
            <v>0</v>
          </cell>
          <cell r="DA14">
            <v>5</v>
          </cell>
          <cell r="DF14">
            <v>3</v>
          </cell>
          <cell r="DK14">
            <v>5</v>
          </cell>
          <cell r="DP14">
            <v>0</v>
          </cell>
          <cell r="DU14">
            <v>3</v>
          </cell>
          <cell r="DZ14">
            <v>1</v>
          </cell>
        </row>
        <row r="15">
          <cell r="D15">
            <v>38</v>
          </cell>
          <cell r="I15">
            <v>0</v>
          </cell>
          <cell r="N15">
            <v>230</v>
          </cell>
          <cell r="S15">
            <v>110</v>
          </cell>
          <cell r="AD15">
            <v>15</v>
          </cell>
          <cell r="AI15">
            <v>6</v>
          </cell>
          <cell r="AN15">
            <v>10</v>
          </cell>
          <cell r="AS15">
            <v>13</v>
          </cell>
          <cell r="AX15">
            <v>7</v>
          </cell>
          <cell r="BC15">
            <v>7</v>
          </cell>
          <cell r="BH15">
            <v>7</v>
          </cell>
          <cell r="BM15">
            <v>8</v>
          </cell>
          <cell r="BR15">
            <v>2</v>
          </cell>
          <cell r="BW15">
            <v>0</v>
          </cell>
          <cell r="CB15">
            <v>5</v>
          </cell>
          <cell r="CG15">
            <v>1</v>
          </cell>
          <cell r="CL15">
            <v>24</v>
          </cell>
          <cell r="CQ15">
            <v>6</v>
          </cell>
          <cell r="CV15">
            <v>1</v>
          </cell>
          <cell r="DA15">
            <v>5</v>
          </cell>
          <cell r="DF15">
            <v>1</v>
          </cell>
          <cell r="DK15">
            <v>3</v>
          </cell>
          <cell r="DP15">
            <v>0</v>
          </cell>
          <cell r="DU15">
            <v>1</v>
          </cell>
          <cell r="DZ15">
            <v>1</v>
          </cell>
        </row>
        <row r="16">
          <cell r="D16">
            <v>32</v>
          </cell>
          <cell r="I16">
            <v>0</v>
          </cell>
          <cell r="N16">
            <v>218</v>
          </cell>
          <cell r="S16">
            <v>72</v>
          </cell>
          <cell r="AD16">
            <v>17</v>
          </cell>
          <cell r="AI16">
            <v>5</v>
          </cell>
          <cell r="AN16">
            <v>0</v>
          </cell>
          <cell r="AS16">
            <v>11</v>
          </cell>
          <cell r="AX16">
            <v>7</v>
          </cell>
          <cell r="BC16">
            <v>6</v>
          </cell>
          <cell r="BH16">
            <v>7</v>
          </cell>
          <cell r="BM16">
            <v>6</v>
          </cell>
          <cell r="BR16">
            <v>2</v>
          </cell>
          <cell r="BW16">
            <v>2</v>
          </cell>
          <cell r="CB16">
            <v>6</v>
          </cell>
          <cell r="CG16">
            <v>4</v>
          </cell>
          <cell r="CL16">
            <v>25</v>
          </cell>
          <cell r="CQ16">
            <v>6</v>
          </cell>
          <cell r="CV16">
            <v>0</v>
          </cell>
          <cell r="DA16">
            <v>7</v>
          </cell>
          <cell r="DF16">
            <v>4</v>
          </cell>
          <cell r="DK16">
            <v>4</v>
          </cell>
          <cell r="DP16">
            <v>0</v>
          </cell>
          <cell r="DU16">
            <v>1</v>
          </cell>
          <cell r="DZ16">
            <v>1</v>
          </cell>
        </row>
        <row r="17">
          <cell r="D17">
            <v>19</v>
          </cell>
          <cell r="I17">
            <v>0</v>
          </cell>
          <cell r="N17">
            <v>186</v>
          </cell>
          <cell r="S17">
            <v>113</v>
          </cell>
          <cell r="AD17">
            <v>16</v>
          </cell>
          <cell r="AI17">
            <v>6</v>
          </cell>
          <cell r="AN17">
            <v>0</v>
          </cell>
          <cell r="AS17">
            <v>13</v>
          </cell>
          <cell r="AX17">
            <v>8</v>
          </cell>
          <cell r="BC17">
            <v>7</v>
          </cell>
          <cell r="BH17">
            <v>8</v>
          </cell>
          <cell r="BM17">
            <v>9</v>
          </cell>
          <cell r="BR17">
            <v>2</v>
          </cell>
          <cell r="BW17">
            <v>0</v>
          </cell>
          <cell r="CB17">
            <v>4</v>
          </cell>
          <cell r="CG17">
            <v>2</v>
          </cell>
          <cell r="CL17">
            <v>28</v>
          </cell>
          <cell r="CQ17">
            <v>7</v>
          </cell>
          <cell r="CV17">
            <v>1</v>
          </cell>
          <cell r="DA17">
            <v>-3</v>
          </cell>
          <cell r="DF17">
            <v>2</v>
          </cell>
          <cell r="DK17">
            <v>4</v>
          </cell>
          <cell r="DP17">
            <v>50</v>
          </cell>
          <cell r="DU17">
            <v>0</v>
          </cell>
          <cell r="DZ17">
            <v>1</v>
          </cell>
        </row>
        <row r="18">
          <cell r="D18">
            <v>0</v>
          </cell>
          <cell r="I18">
            <v>0</v>
          </cell>
          <cell r="N18">
            <v>199</v>
          </cell>
          <cell r="S18">
            <v>111</v>
          </cell>
          <cell r="AD18">
            <v>16</v>
          </cell>
          <cell r="AI18">
            <v>6</v>
          </cell>
          <cell r="AN18">
            <v>0</v>
          </cell>
          <cell r="AS18">
            <v>6</v>
          </cell>
          <cell r="AX18">
            <v>7</v>
          </cell>
          <cell r="BC18">
            <v>6</v>
          </cell>
          <cell r="BH18">
            <v>7</v>
          </cell>
          <cell r="BM18">
            <v>7</v>
          </cell>
          <cell r="BR18">
            <v>2</v>
          </cell>
          <cell r="BW18">
            <v>0</v>
          </cell>
          <cell r="CB18">
            <v>6</v>
          </cell>
          <cell r="CG18">
            <v>2</v>
          </cell>
          <cell r="CL18">
            <v>26</v>
          </cell>
          <cell r="CQ18">
            <v>3</v>
          </cell>
          <cell r="CV18">
            <v>1</v>
          </cell>
          <cell r="DA18">
            <v>8</v>
          </cell>
          <cell r="DF18">
            <v>2</v>
          </cell>
          <cell r="DK18">
            <v>4</v>
          </cell>
          <cell r="DP18">
            <v>0</v>
          </cell>
          <cell r="DU18">
            <v>1</v>
          </cell>
          <cell r="DZ18">
            <v>0</v>
          </cell>
        </row>
        <row r="19">
          <cell r="D19">
            <v>0</v>
          </cell>
          <cell r="I19">
            <v>0</v>
          </cell>
          <cell r="N19">
            <v>226</v>
          </cell>
          <cell r="S19">
            <v>96</v>
          </cell>
          <cell r="AD19">
            <v>17</v>
          </cell>
          <cell r="AI19">
            <v>5</v>
          </cell>
          <cell r="AN19">
            <v>0</v>
          </cell>
          <cell r="AS19">
            <v>18</v>
          </cell>
          <cell r="AX19">
            <v>8</v>
          </cell>
          <cell r="BC19">
            <v>7</v>
          </cell>
          <cell r="BH19">
            <v>0</v>
          </cell>
          <cell r="BM19">
            <v>0</v>
          </cell>
          <cell r="BR19">
            <v>0</v>
          </cell>
          <cell r="BW19">
            <v>0</v>
          </cell>
          <cell r="CB19">
            <v>4</v>
          </cell>
          <cell r="CG19">
            <v>3</v>
          </cell>
          <cell r="CL19">
            <v>22</v>
          </cell>
          <cell r="CQ19">
            <v>11</v>
          </cell>
          <cell r="CV19">
            <v>1</v>
          </cell>
          <cell r="DA19">
            <v>-7</v>
          </cell>
          <cell r="DF19">
            <v>12</v>
          </cell>
          <cell r="DK19">
            <v>7</v>
          </cell>
          <cell r="DP19">
            <v>0</v>
          </cell>
          <cell r="DU19">
            <v>0</v>
          </cell>
          <cell r="DZ19">
            <v>1</v>
          </cell>
        </row>
        <row r="20">
          <cell r="D20">
            <v>0</v>
          </cell>
          <cell r="I20">
            <v>0</v>
          </cell>
          <cell r="N20">
            <v>195</v>
          </cell>
          <cell r="S20">
            <v>112</v>
          </cell>
          <cell r="AD20">
            <v>16</v>
          </cell>
          <cell r="AI20">
            <v>6</v>
          </cell>
          <cell r="AN20">
            <v>0</v>
          </cell>
          <cell r="AS20">
            <v>13</v>
          </cell>
          <cell r="AX20">
            <v>5</v>
          </cell>
          <cell r="BC20">
            <v>7</v>
          </cell>
          <cell r="BH20">
            <v>15</v>
          </cell>
          <cell r="BM20">
            <v>0</v>
          </cell>
          <cell r="BR20">
            <v>0</v>
          </cell>
          <cell r="BW20">
            <v>0</v>
          </cell>
          <cell r="CB20">
            <v>3</v>
          </cell>
          <cell r="CG20">
            <v>3</v>
          </cell>
          <cell r="CL20">
            <v>26</v>
          </cell>
          <cell r="CQ20">
            <v>7</v>
          </cell>
          <cell r="CV20">
            <v>1</v>
          </cell>
          <cell r="DA20">
            <v>0</v>
          </cell>
          <cell r="DF20">
            <v>2</v>
          </cell>
          <cell r="DK20">
            <v>0</v>
          </cell>
          <cell r="DP20">
            <v>47</v>
          </cell>
          <cell r="DU20">
            <v>1</v>
          </cell>
          <cell r="DZ20">
            <v>1</v>
          </cell>
        </row>
        <row r="21">
          <cell r="D21">
            <v>0</v>
          </cell>
          <cell r="I21">
            <v>0</v>
          </cell>
          <cell r="N21">
            <v>238</v>
          </cell>
          <cell r="S21">
            <v>64</v>
          </cell>
          <cell r="AD21">
            <v>16</v>
          </cell>
          <cell r="AI21">
            <v>0</v>
          </cell>
          <cell r="AN21">
            <v>0</v>
          </cell>
          <cell r="AS21">
            <v>20</v>
          </cell>
          <cell r="AX21">
            <v>11</v>
          </cell>
          <cell r="BC21">
            <v>6</v>
          </cell>
          <cell r="BH21">
            <v>7</v>
          </cell>
          <cell r="BM21">
            <v>0</v>
          </cell>
          <cell r="BR21">
            <v>0</v>
          </cell>
          <cell r="BW21">
            <v>0</v>
          </cell>
          <cell r="CB21">
            <v>1</v>
          </cell>
          <cell r="CG21">
            <v>0</v>
          </cell>
          <cell r="CL21">
            <v>26</v>
          </cell>
          <cell r="CQ21">
            <v>7</v>
          </cell>
          <cell r="CV21">
            <v>1</v>
          </cell>
          <cell r="DA21">
            <v>1</v>
          </cell>
          <cell r="DF21">
            <v>2</v>
          </cell>
          <cell r="DK21">
            <v>4</v>
          </cell>
          <cell r="DP21">
            <v>6</v>
          </cell>
          <cell r="DU21">
            <v>2</v>
          </cell>
          <cell r="DZ21">
            <v>0</v>
          </cell>
        </row>
        <row r="22">
          <cell r="D22">
            <v>0</v>
          </cell>
          <cell r="I22">
            <v>0</v>
          </cell>
          <cell r="N22">
            <v>225</v>
          </cell>
          <cell r="S22">
            <v>87</v>
          </cell>
          <cell r="AD22">
            <v>0</v>
          </cell>
          <cell r="AI22">
            <v>0</v>
          </cell>
          <cell r="AN22">
            <v>0</v>
          </cell>
          <cell r="AS22">
            <v>0</v>
          </cell>
          <cell r="AX22">
            <v>0</v>
          </cell>
          <cell r="BC22">
            <v>0</v>
          </cell>
          <cell r="BH22">
            <v>0</v>
          </cell>
          <cell r="BM22">
            <v>0</v>
          </cell>
          <cell r="BR22">
            <v>0</v>
          </cell>
          <cell r="BW22">
            <v>0</v>
          </cell>
          <cell r="CB22">
            <v>0</v>
          </cell>
          <cell r="CG22">
            <v>0</v>
          </cell>
          <cell r="CL22">
            <v>0</v>
          </cell>
          <cell r="CQ22">
            <v>0</v>
          </cell>
          <cell r="CV22">
            <v>1</v>
          </cell>
          <cell r="DA22">
            <v>1</v>
          </cell>
          <cell r="DF22">
            <v>0</v>
          </cell>
          <cell r="DK22">
            <v>5</v>
          </cell>
          <cell r="DP22">
            <v>0</v>
          </cell>
          <cell r="DU22">
            <v>2</v>
          </cell>
          <cell r="DZ22">
            <v>3</v>
          </cell>
        </row>
        <row r="23">
          <cell r="D23">
            <v>0</v>
          </cell>
          <cell r="I23">
            <v>0</v>
          </cell>
          <cell r="N23">
            <v>117</v>
          </cell>
          <cell r="S23">
            <v>146</v>
          </cell>
          <cell r="AD23">
            <v>35</v>
          </cell>
          <cell r="AI23">
            <v>17</v>
          </cell>
          <cell r="AN23">
            <v>69</v>
          </cell>
          <cell r="AS23">
            <v>16</v>
          </cell>
          <cell r="AX23">
            <v>116</v>
          </cell>
          <cell r="BC23">
            <v>14</v>
          </cell>
          <cell r="BH23">
            <v>15</v>
          </cell>
          <cell r="BM23">
            <v>0</v>
          </cell>
          <cell r="BR23">
            <v>0</v>
          </cell>
          <cell r="BW23">
            <v>0</v>
          </cell>
          <cell r="CB23">
            <v>0</v>
          </cell>
          <cell r="CG23">
            <v>3</v>
          </cell>
          <cell r="CL23">
            <v>0</v>
          </cell>
          <cell r="CQ23">
            <v>0</v>
          </cell>
          <cell r="CV23">
            <v>0</v>
          </cell>
          <cell r="DA23">
            <v>0</v>
          </cell>
          <cell r="DF23">
            <v>5</v>
          </cell>
          <cell r="DK23">
            <v>0</v>
          </cell>
          <cell r="DP23">
            <v>13</v>
          </cell>
          <cell r="DU23">
            <v>0</v>
          </cell>
          <cell r="DZ23">
            <v>0</v>
          </cell>
        </row>
        <row r="24">
          <cell r="D24">
            <v>0</v>
          </cell>
          <cell r="I24">
            <v>0</v>
          </cell>
          <cell r="N24">
            <v>255</v>
          </cell>
          <cell r="S24">
            <v>106</v>
          </cell>
          <cell r="AD24">
            <v>17</v>
          </cell>
          <cell r="AI24">
            <v>6</v>
          </cell>
          <cell r="AN24">
            <v>0</v>
          </cell>
          <cell r="AS24">
            <v>45</v>
          </cell>
          <cell r="AX24">
            <v>-93</v>
          </cell>
          <cell r="BC24">
            <v>6</v>
          </cell>
          <cell r="BH24">
            <v>0</v>
          </cell>
          <cell r="BM24">
            <v>0</v>
          </cell>
          <cell r="BR24">
            <v>0</v>
          </cell>
          <cell r="BW24">
            <v>0</v>
          </cell>
          <cell r="CB24">
            <v>19</v>
          </cell>
          <cell r="CG24">
            <v>2</v>
          </cell>
          <cell r="CL24">
            <v>78</v>
          </cell>
          <cell r="CQ24">
            <v>22</v>
          </cell>
          <cell r="CV24">
            <v>1</v>
          </cell>
          <cell r="DA24">
            <v>0</v>
          </cell>
          <cell r="DF24">
            <v>3</v>
          </cell>
          <cell r="DK24">
            <v>2</v>
          </cell>
          <cell r="DP24">
            <v>0</v>
          </cell>
          <cell r="DU24">
            <v>2</v>
          </cell>
          <cell r="DZ24">
            <v>4</v>
          </cell>
        </row>
        <row r="25">
          <cell r="D25">
            <v>0</v>
          </cell>
          <cell r="I25">
            <v>0</v>
          </cell>
          <cell r="N25">
            <v>185</v>
          </cell>
          <cell r="S25">
            <v>137</v>
          </cell>
          <cell r="AD25">
            <v>20</v>
          </cell>
          <cell r="AI25">
            <v>0</v>
          </cell>
          <cell r="AN25">
            <v>16</v>
          </cell>
          <cell r="AS25">
            <v>0</v>
          </cell>
          <cell r="AX25">
            <v>9</v>
          </cell>
          <cell r="BC25">
            <v>7</v>
          </cell>
          <cell r="BH25">
            <v>17</v>
          </cell>
          <cell r="BM25">
            <v>54</v>
          </cell>
          <cell r="BR25">
            <v>15</v>
          </cell>
          <cell r="BW25">
            <v>1</v>
          </cell>
          <cell r="CB25">
            <v>7</v>
          </cell>
          <cell r="CG25">
            <v>1</v>
          </cell>
          <cell r="CL25">
            <v>0</v>
          </cell>
          <cell r="CQ25">
            <v>7</v>
          </cell>
          <cell r="CV25">
            <v>1</v>
          </cell>
          <cell r="DA25">
            <v>1</v>
          </cell>
          <cell r="DF25">
            <v>2</v>
          </cell>
          <cell r="DK25">
            <v>2</v>
          </cell>
          <cell r="DP25">
            <v>0</v>
          </cell>
          <cell r="DU25">
            <v>3</v>
          </cell>
          <cell r="DZ25">
            <v>3</v>
          </cell>
        </row>
        <row r="26">
          <cell r="D26">
            <v>0</v>
          </cell>
          <cell r="I26">
            <v>0</v>
          </cell>
          <cell r="N26">
            <v>177</v>
          </cell>
          <cell r="S26">
            <v>151</v>
          </cell>
          <cell r="AD26">
            <v>11</v>
          </cell>
          <cell r="AI26">
            <v>0</v>
          </cell>
          <cell r="AN26">
            <v>0</v>
          </cell>
          <cell r="AS26">
            <v>0</v>
          </cell>
          <cell r="AX26">
            <v>0</v>
          </cell>
          <cell r="BC26">
            <v>0</v>
          </cell>
          <cell r="BH26">
            <v>0</v>
          </cell>
          <cell r="BM26">
            <v>0</v>
          </cell>
          <cell r="BR26">
            <v>0</v>
          </cell>
          <cell r="BW26">
            <v>0</v>
          </cell>
          <cell r="CB26">
            <v>0</v>
          </cell>
          <cell r="CG26">
            <v>0</v>
          </cell>
          <cell r="CL26">
            <v>0</v>
          </cell>
          <cell r="CQ26">
            <v>0</v>
          </cell>
          <cell r="CV26">
            <v>0</v>
          </cell>
          <cell r="DA26">
            <v>0</v>
          </cell>
          <cell r="DF26">
            <v>0</v>
          </cell>
          <cell r="DK26">
            <v>0</v>
          </cell>
          <cell r="DP26">
            <v>0</v>
          </cell>
          <cell r="DU26">
            <v>0</v>
          </cell>
          <cell r="DZ26">
            <v>0</v>
          </cell>
        </row>
        <row r="27">
          <cell r="D27">
            <v>0</v>
          </cell>
          <cell r="I27">
            <v>0</v>
          </cell>
          <cell r="N27">
            <v>188</v>
          </cell>
          <cell r="S27">
            <v>166</v>
          </cell>
          <cell r="AD27">
            <v>28</v>
          </cell>
          <cell r="AI27">
            <v>17</v>
          </cell>
          <cell r="AN27">
            <v>16</v>
          </cell>
          <cell r="AS27">
            <v>2</v>
          </cell>
          <cell r="AX27">
            <v>14</v>
          </cell>
          <cell r="BC27">
            <v>13</v>
          </cell>
          <cell r="BH27">
            <v>17</v>
          </cell>
          <cell r="BM27">
            <v>-85</v>
          </cell>
          <cell r="BR27">
            <v>3</v>
          </cell>
          <cell r="BW27">
            <v>0</v>
          </cell>
          <cell r="CB27">
            <v>11</v>
          </cell>
          <cell r="CG27">
            <v>5</v>
          </cell>
          <cell r="CL27">
            <v>78</v>
          </cell>
          <cell r="CQ27">
            <v>17</v>
          </cell>
          <cell r="CV27">
            <v>1</v>
          </cell>
          <cell r="DA27">
            <v>1</v>
          </cell>
          <cell r="DF27">
            <v>4</v>
          </cell>
          <cell r="DK27">
            <v>3</v>
          </cell>
          <cell r="DP27">
            <v>348</v>
          </cell>
          <cell r="DU27">
            <v>2</v>
          </cell>
          <cell r="DZ27">
            <v>1</v>
          </cell>
        </row>
        <row r="28">
          <cell r="D28">
            <v>0</v>
          </cell>
          <cell r="I28">
            <v>0</v>
          </cell>
          <cell r="N28">
            <v>156</v>
          </cell>
          <cell r="S28">
            <v>119</v>
          </cell>
          <cell r="AD28">
            <v>30</v>
          </cell>
          <cell r="AI28">
            <v>6</v>
          </cell>
          <cell r="AN28">
            <v>0</v>
          </cell>
          <cell r="AS28">
            <v>14</v>
          </cell>
          <cell r="AX28">
            <v>8</v>
          </cell>
          <cell r="BC28">
            <v>6</v>
          </cell>
          <cell r="BH28">
            <v>7</v>
          </cell>
          <cell r="BM28">
            <v>0</v>
          </cell>
          <cell r="BR28">
            <v>2</v>
          </cell>
          <cell r="BW28">
            <v>1</v>
          </cell>
          <cell r="CB28">
            <v>6</v>
          </cell>
          <cell r="CG28">
            <v>1</v>
          </cell>
          <cell r="CL28">
            <v>26</v>
          </cell>
          <cell r="CQ28">
            <v>5</v>
          </cell>
          <cell r="CV28">
            <v>1</v>
          </cell>
          <cell r="DA28">
            <v>1</v>
          </cell>
          <cell r="DF28">
            <v>2</v>
          </cell>
          <cell r="DK28">
            <v>4</v>
          </cell>
          <cell r="DP28">
            <v>0</v>
          </cell>
          <cell r="DU28">
            <v>1</v>
          </cell>
          <cell r="DZ28">
            <v>1</v>
          </cell>
        </row>
        <row r="29">
          <cell r="D29">
            <v>0</v>
          </cell>
          <cell r="I29">
            <v>0</v>
          </cell>
          <cell r="N29">
            <v>112</v>
          </cell>
          <cell r="S29">
            <v>127</v>
          </cell>
          <cell r="AD29">
            <v>13</v>
          </cell>
          <cell r="AI29">
            <v>6</v>
          </cell>
          <cell r="AN29">
            <v>16</v>
          </cell>
          <cell r="AS29">
            <v>8</v>
          </cell>
          <cell r="AX29">
            <v>5</v>
          </cell>
          <cell r="BC29">
            <v>7</v>
          </cell>
          <cell r="BH29">
            <v>7</v>
          </cell>
          <cell r="BM29">
            <v>15</v>
          </cell>
          <cell r="BR29">
            <v>2</v>
          </cell>
          <cell r="BW29">
            <v>0</v>
          </cell>
          <cell r="CB29">
            <v>2</v>
          </cell>
          <cell r="CG29">
            <v>5</v>
          </cell>
          <cell r="CL29">
            <v>26</v>
          </cell>
          <cell r="CQ29">
            <v>10</v>
          </cell>
          <cell r="CV29">
            <v>1</v>
          </cell>
          <cell r="DA29">
            <v>0</v>
          </cell>
          <cell r="DF29">
            <v>4</v>
          </cell>
          <cell r="DK29">
            <v>2</v>
          </cell>
          <cell r="DP29">
            <v>0</v>
          </cell>
          <cell r="DU29">
            <v>2</v>
          </cell>
          <cell r="DZ29">
            <v>1</v>
          </cell>
        </row>
        <row r="30">
          <cell r="D30">
            <v>178</v>
          </cell>
          <cell r="I30">
            <v>0</v>
          </cell>
          <cell r="N30">
            <v>46</v>
          </cell>
          <cell r="S30">
            <v>121</v>
          </cell>
          <cell r="AD30">
            <v>24</v>
          </cell>
          <cell r="AI30">
            <v>6</v>
          </cell>
          <cell r="AN30">
            <v>9</v>
          </cell>
          <cell r="AS30">
            <v>10</v>
          </cell>
          <cell r="AX30">
            <v>7</v>
          </cell>
          <cell r="BC30">
            <v>7</v>
          </cell>
          <cell r="BH30">
            <v>9</v>
          </cell>
          <cell r="BM30">
            <v>108</v>
          </cell>
          <cell r="BR30">
            <v>0</v>
          </cell>
          <cell r="BW30">
            <v>0</v>
          </cell>
          <cell r="CB30">
            <v>0</v>
          </cell>
          <cell r="CG30">
            <v>5</v>
          </cell>
          <cell r="CL30">
            <v>28</v>
          </cell>
          <cell r="CQ30">
            <v>68</v>
          </cell>
          <cell r="CV30">
            <v>0</v>
          </cell>
          <cell r="DA30">
            <v>1</v>
          </cell>
          <cell r="DF30">
            <v>4</v>
          </cell>
          <cell r="DK30">
            <v>3</v>
          </cell>
          <cell r="DP30">
            <v>-230</v>
          </cell>
          <cell r="DU30">
            <v>1</v>
          </cell>
          <cell r="DZ30">
            <v>1</v>
          </cell>
        </row>
        <row r="31">
          <cell r="D31">
            <v>172</v>
          </cell>
          <cell r="I31">
            <v>0</v>
          </cell>
          <cell r="N31">
            <v>30</v>
          </cell>
          <cell r="S31">
            <v>123</v>
          </cell>
          <cell r="AD31">
            <v>23</v>
          </cell>
          <cell r="AI31">
            <v>5</v>
          </cell>
          <cell r="AN31">
            <v>8</v>
          </cell>
          <cell r="AS31">
            <v>11</v>
          </cell>
          <cell r="AX31">
            <v>7</v>
          </cell>
          <cell r="BC31">
            <v>6</v>
          </cell>
          <cell r="BH31">
            <v>7</v>
          </cell>
          <cell r="BM31">
            <v>7</v>
          </cell>
          <cell r="BR31">
            <v>7</v>
          </cell>
          <cell r="BW31">
            <v>0</v>
          </cell>
          <cell r="CB31">
            <v>10</v>
          </cell>
          <cell r="CG31">
            <v>2</v>
          </cell>
          <cell r="CL31">
            <v>0</v>
          </cell>
          <cell r="CQ31">
            <v>-53</v>
          </cell>
          <cell r="CV31">
            <v>1</v>
          </cell>
          <cell r="DA31">
            <v>1</v>
          </cell>
          <cell r="DF31">
            <v>2</v>
          </cell>
          <cell r="DK31">
            <v>4</v>
          </cell>
          <cell r="DP31">
            <v>7</v>
          </cell>
          <cell r="DU31">
            <v>1</v>
          </cell>
          <cell r="DZ31">
            <v>1</v>
          </cell>
        </row>
        <row r="32">
          <cell r="D32">
            <v>191</v>
          </cell>
          <cell r="I32">
            <v>0</v>
          </cell>
          <cell r="N32">
            <v>21</v>
          </cell>
          <cell r="S32">
            <v>129</v>
          </cell>
          <cell r="AD32">
            <v>27</v>
          </cell>
          <cell r="AI32">
            <v>6</v>
          </cell>
          <cell r="AN32">
            <v>8</v>
          </cell>
          <cell r="AS32">
            <v>11</v>
          </cell>
          <cell r="AX32">
            <v>7</v>
          </cell>
          <cell r="BC32">
            <v>7</v>
          </cell>
          <cell r="BH32">
            <v>9</v>
          </cell>
          <cell r="BM32">
            <v>9</v>
          </cell>
          <cell r="BR32">
            <v>-1</v>
          </cell>
          <cell r="BW32">
            <v>0</v>
          </cell>
          <cell r="CB32">
            <v>3</v>
          </cell>
          <cell r="CG32">
            <v>1</v>
          </cell>
          <cell r="CL32">
            <v>0</v>
          </cell>
          <cell r="CQ32">
            <v>5</v>
          </cell>
          <cell r="CV32">
            <v>1</v>
          </cell>
          <cell r="DA32">
            <v>1</v>
          </cell>
          <cell r="DF32">
            <v>5</v>
          </cell>
          <cell r="DK32">
            <v>4</v>
          </cell>
          <cell r="DP32">
            <v>30</v>
          </cell>
          <cell r="DU32">
            <v>2</v>
          </cell>
          <cell r="DZ32">
            <v>2</v>
          </cell>
        </row>
        <row r="33">
          <cell r="D33">
            <v>206</v>
          </cell>
          <cell r="I33">
            <v>0</v>
          </cell>
          <cell r="N33">
            <v>20</v>
          </cell>
          <cell r="S33">
            <v>109</v>
          </cell>
          <cell r="AD33">
            <v>18</v>
          </cell>
          <cell r="AI33">
            <v>6</v>
          </cell>
          <cell r="AN33">
            <v>1</v>
          </cell>
          <cell r="AS33">
            <v>3</v>
          </cell>
          <cell r="AX33">
            <v>7</v>
          </cell>
          <cell r="BC33">
            <v>6</v>
          </cell>
          <cell r="BH33">
            <v>7</v>
          </cell>
          <cell r="BM33">
            <v>7</v>
          </cell>
          <cell r="BR33">
            <v>1</v>
          </cell>
          <cell r="BW33">
            <v>0</v>
          </cell>
          <cell r="CB33">
            <v>0</v>
          </cell>
          <cell r="CG33">
            <v>3</v>
          </cell>
          <cell r="CL33">
            <v>84</v>
          </cell>
          <cell r="CQ33">
            <v>13</v>
          </cell>
          <cell r="CV33">
            <v>3</v>
          </cell>
          <cell r="DA33">
            <v>0</v>
          </cell>
          <cell r="DF33">
            <v>3</v>
          </cell>
          <cell r="DK33">
            <v>2</v>
          </cell>
          <cell r="DP33">
            <v>11</v>
          </cell>
          <cell r="DU33">
            <v>2</v>
          </cell>
          <cell r="DZ33">
            <v>0</v>
          </cell>
        </row>
        <row r="34">
          <cell r="D34">
            <v>218</v>
          </cell>
          <cell r="I34">
            <v>0</v>
          </cell>
          <cell r="N34">
            <v>0</v>
          </cell>
          <cell r="S34">
            <v>101</v>
          </cell>
          <cell r="AD34">
            <v>25</v>
          </cell>
          <cell r="AI34">
            <v>11</v>
          </cell>
          <cell r="AN34">
            <v>19</v>
          </cell>
          <cell r="AS34">
            <v>34</v>
          </cell>
          <cell r="AX34">
            <v>14</v>
          </cell>
          <cell r="BC34">
            <v>15</v>
          </cell>
          <cell r="BH34">
            <v>15</v>
          </cell>
          <cell r="BM34">
            <v>15</v>
          </cell>
          <cell r="BR34">
            <v>5</v>
          </cell>
          <cell r="BW34">
            <v>0</v>
          </cell>
          <cell r="CB34">
            <v>14</v>
          </cell>
          <cell r="CG34">
            <v>2</v>
          </cell>
          <cell r="CL34">
            <v>52</v>
          </cell>
          <cell r="CQ34">
            <v>17</v>
          </cell>
          <cell r="CV34">
            <v>-1</v>
          </cell>
          <cell r="DA34">
            <v>1</v>
          </cell>
          <cell r="DF34">
            <v>8</v>
          </cell>
          <cell r="DK34">
            <v>2</v>
          </cell>
          <cell r="DP34">
            <v>0</v>
          </cell>
          <cell r="DU34">
            <v>3</v>
          </cell>
          <cell r="DZ34">
            <v>3</v>
          </cell>
        </row>
        <row r="35">
          <cell r="D35">
            <v>194</v>
          </cell>
          <cell r="I35">
            <v>0</v>
          </cell>
          <cell r="N35">
            <v>0</v>
          </cell>
          <cell r="S35">
            <v>149</v>
          </cell>
          <cell r="AD35">
            <v>26</v>
          </cell>
          <cell r="AI35">
            <v>0</v>
          </cell>
          <cell r="AN35">
            <v>0</v>
          </cell>
          <cell r="AS35">
            <v>0</v>
          </cell>
          <cell r="AX35">
            <v>1</v>
          </cell>
          <cell r="BC35">
            <v>0</v>
          </cell>
          <cell r="BH35">
            <v>0</v>
          </cell>
          <cell r="BM35">
            <v>0</v>
          </cell>
          <cell r="BR35">
            <v>0</v>
          </cell>
          <cell r="BW35">
            <v>0</v>
          </cell>
          <cell r="CB35">
            <v>0</v>
          </cell>
          <cell r="CG35">
            <v>0</v>
          </cell>
          <cell r="CL35">
            <v>0</v>
          </cell>
          <cell r="CQ35">
            <v>0</v>
          </cell>
          <cell r="CV35">
            <v>0</v>
          </cell>
          <cell r="DA35">
            <v>0</v>
          </cell>
          <cell r="DF35">
            <v>0</v>
          </cell>
          <cell r="DK35">
            <v>0</v>
          </cell>
          <cell r="DP35">
            <v>34</v>
          </cell>
          <cell r="DU35">
            <v>0</v>
          </cell>
          <cell r="DZ35">
            <v>0</v>
          </cell>
        </row>
        <row r="36">
          <cell r="D36">
            <v>202</v>
          </cell>
          <cell r="I36">
            <v>0</v>
          </cell>
          <cell r="N36">
            <v>41</v>
          </cell>
          <cell r="S36">
            <v>133</v>
          </cell>
          <cell r="AD36">
            <v>18</v>
          </cell>
          <cell r="AI36">
            <v>6</v>
          </cell>
          <cell r="AN36">
            <v>15</v>
          </cell>
          <cell r="AS36">
            <v>11</v>
          </cell>
          <cell r="AX36">
            <v>7</v>
          </cell>
          <cell r="BC36">
            <v>7</v>
          </cell>
          <cell r="BH36">
            <v>1</v>
          </cell>
          <cell r="BM36">
            <v>9</v>
          </cell>
          <cell r="BR36">
            <v>1</v>
          </cell>
          <cell r="BW36">
            <v>0</v>
          </cell>
          <cell r="CB36">
            <v>1</v>
          </cell>
          <cell r="CG36">
            <v>2</v>
          </cell>
          <cell r="CL36">
            <v>0</v>
          </cell>
          <cell r="CQ36">
            <v>9</v>
          </cell>
          <cell r="CV36">
            <v>0</v>
          </cell>
          <cell r="DA36">
            <v>1</v>
          </cell>
          <cell r="DF36">
            <v>3</v>
          </cell>
          <cell r="DK36">
            <v>3</v>
          </cell>
          <cell r="DP36">
            <v>7</v>
          </cell>
          <cell r="DU36">
            <v>2</v>
          </cell>
          <cell r="DZ36">
            <v>1</v>
          </cell>
        </row>
      </sheetData>
      <sheetData sheetId="14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topLeftCell="A22" workbookViewId="0">
      <selection activeCell="E18" sqref="E18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23" t="s">
        <v>100</v>
      </c>
      <c r="B1" s="123" t="s">
        <v>42</v>
      </c>
      <c r="C1" s="124" t="s">
        <v>3</v>
      </c>
      <c r="D1" s="123" t="s">
        <v>4</v>
      </c>
      <c r="E1" s="125" t="s">
        <v>101</v>
      </c>
      <c r="F1" s="126" t="s">
        <v>102</v>
      </c>
      <c r="G1" s="125" t="s">
        <v>103</v>
      </c>
      <c r="H1" s="126" t="s">
        <v>104</v>
      </c>
      <c r="I1" s="125" t="s">
        <v>105</v>
      </c>
      <c r="J1" s="127" t="s">
        <v>106</v>
      </c>
      <c r="K1" s="125" t="s">
        <v>107</v>
      </c>
      <c r="L1" s="125" t="s">
        <v>108</v>
      </c>
    </row>
    <row r="2" spans="1:12" ht="15" x14ac:dyDescent="0.25">
      <c r="A2" s="128" t="s">
        <v>109</v>
      </c>
      <c r="B2" s="128">
        <v>1</v>
      </c>
      <c r="C2" s="129">
        <v>10</v>
      </c>
      <c r="D2" s="128">
        <v>2021</v>
      </c>
      <c r="E2" s="130">
        <f>'Maldives at LG Daily'!D5</f>
        <v>23451</v>
      </c>
      <c r="F2" s="131">
        <v>0.93</v>
      </c>
      <c r="G2" s="130">
        <f>'Maldives at LG Daily'!F5</f>
        <v>180</v>
      </c>
      <c r="H2" s="131">
        <v>1.24</v>
      </c>
      <c r="I2" s="130">
        <f>'Maldives at LG Daily'!H5</f>
        <v>0</v>
      </c>
      <c r="J2" s="131">
        <v>2.16</v>
      </c>
      <c r="K2" s="130">
        <f>'Maldives at LG Daily'!I5</f>
        <v>0</v>
      </c>
      <c r="L2" s="130">
        <f>'Maldives at LG Daily'!J5</f>
        <v>1797</v>
      </c>
    </row>
    <row r="3" spans="1:12" ht="15" x14ac:dyDescent="0.25">
      <c r="A3" s="128" t="s">
        <v>109</v>
      </c>
      <c r="B3" s="128">
        <f>B2+1</f>
        <v>2</v>
      </c>
      <c r="C3" s="129">
        <v>10</v>
      </c>
      <c r="D3" s="128">
        <v>2021</v>
      </c>
      <c r="E3" s="130">
        <f>'Maldives at LG Daily'!D6</f>
        <v>21626</v>
      </c>
      <c r="F3" s="131">
        <v>0.93</v>
      </c>
      <c r="G3" s="130">
        <f>'Maldives at LG Daily'!F6</f>
        <v>45</v>
      </c>
      <c r="H3" s="131">
        <v>1.24</v>
      </c>
      <c r="I3" s="130">
        <f>'Maldives at LG Daily'!H6</f>
        <v>5232</v>
      </c>
      <c r="J3" s="131">
        <v>2.16</v>
      </c>
      <c r="K3" s="130">
        <f>'Maldives at LG Daily'!I6</f>
        <v>5275</v>
      </c>
      <c r="L3" s="130">
        <f>'Maldives at LG Daily'!J6</f>
        <v>2735</v>
      </c>
    </row>
    <row r="4" spans="1:12" ht="15" x14ac:dyDescent="0.25">
      <c r="A4" s="128" t="s">
        <v>109</v>
      </c>
      <c r="B4" s="128">
        <f t="shared" ref="B4:B30" si="0">B3+1</f>
        <v>3</v>
      </c>
      <c r="C4" s="129">
        <v>10</v>
      </c>
      <c r="D4" s="128">
        <v>2021</v>
      </c>
      <c r="E4" s="130">
        <f>'Maldives at LG Daily'!D7</f>
        <v>23924</v>
      </c>
      <c r="F4" s="131">
        <v>0.93</v>
      </c>
      <c r="G4" s="130">
        <f>'Maldives at LG Daily'!F7</f>
        <v>0</v>
      </c>
      <c r="H4" s="131">
        <v>1.24</v>
      </c>
      <c r="I4" s="130">
        <f>'Maldives at LG Daily'!H7</f>
        <v>5467</v>
      </c>
      <c r="J4" s="131">
        <v>2.16</v>
      </c>
      <c r="K4" s="130">
        <f>'Maldives at LG Daily'!I7</f>
        <v>3209</v>
      </c>
      <c r="L4" s="130">
        <f>'Maldives at LG Daily'!J7</f>
        <v>2624</v>
      </c>
    </row>
    <row r="5" spans="1:12" ht="15" x14ac:dyDescent="0.25">
      <c r="A5" s="128" t="s">
        <v>109</v>
      </c>
      <c r="B5" s="128">
        <f t="shared" si="0"/>
        <v>4</v>
      </c>
      <c r="C5" s="129">
        <v>10</v>
      </c>
      <c r="D5" s="128">
        <v>2021</v>
      </c>
      <c r="E5" s="130">
        <f>'Maldives at LG Daily'!D8</f>
        <v>23294</v>
      </c>
      <c r="F5" s="131">
        <v>0.93</v>
      </c>
      <c r="G5" s="130">
        <f>'Maldives at LG Daily'!F8</f>
        <v>0</v>
      </c>
      <c r="H5" s="131">
        <v>1.24</v>
      </c>
      <c r="I5" s="130">
        <f>'Maldives at LG Daily'!H8</f>
        <v>5758</v>
      </c>
      <c r="J5" s="131">
        <v>2.16</v>
      </c>
      <c r="K5" s="130">
        <f>'Maldives at LG Daily'!I8</f>
        <v>7157</v>
      </c>
      <c r="L5" s="130">
        <f>'Maldives at LG Daily'!J8</f>
        <v>1595</v>
      </c>
    </row>
    <row r="6" spans="1:12" ht="15" x14ac:dyDescent="0.25">
      <c r="A6" s="128" t="s">
        <v>109</v>
      </c>
      <c r="B6" s="128">
        <f t="shared" si="0"/>
        <v>5</v>
      </c>
      <c r="C6" s="129">
        <v>10</v>
      </c>
      <c r="D6" s="128">
        <v>2021</v>
      </c>
      <c r="E6" s="130">
        <f>'Maldives at LG Daily'!D9</f>
        <v>22493</v>
      </c>
      <c r="F6" s="131">
        <v>0.93</v>
      </c>
      <c r="G6" s="130">
        <f>'Maldives at LG Daily'!F9</f>
        <v>0</v>
      </c>
      <c r="H6" s="131">
        <v>1.24</v>
      </c>
      <c r="I6" s="130">
        <f>'Maldives at LG Daily'!H9</f>
        <v>10548</v>
      </c>
      <c r="J6" s="131">
        <v>2.16</v>
      </c>
      <c r="K6" s="130">
        <f>'Maldives at LG Daily'!I9</f>
        <v>2548</v>
      </c>
      <c r="L6" s="130">
        <f>'Maldives at LG Daily'!J9</f>
        <v>27</v>
      </c>
    </row>
    <row r="7" spans="1:12" ht="15" x14ac:dyDescent="0.25">
      <c r="A7" s="128" t="s">
        <v>109</v>
      </c>
      <c r="B7" s="128">
        <f t="shared" si="0"/>
        <v>6</v>
      </c>
      <c r="C7" s="129">
        <v>10</v>
      </c>
      <c r="D7" s="128">
        <v>2021</v>
      </c>
      <c r="E7" s="130">
        <f>'Maldives at LG Daily'!D10</f>
        <v>23652</v>
      </c>
      <c r="F7" s="131">
        <v>0.93</v>
      </c>
      <c r="G7" s="130">
        <f>'Maldives at LG Daily'!F10</f>
        <v>0</v>
      </c>
      <c r="H7" s="131">
        <v>1.24</v>
      </c>
      <c r="I7" s="130">
        <f>'Maldives at LG Daily'!H10</f>
        <v>9782</v>
      </c>
      <c r="J7" s="131">
        <v>2.16</v>
      </c>
      <c r="K7" s="130">
        <f>'Maldives at LG Daily'!I10</f>
        <v>6770</v>
      </c>
      <c r="L7" s="130">
        <f>'Maldives at LG Daily'!J10</f>
        <v>1524</v>
      </c>
    </row>
    <row r="8" spans="1:12" ht="15" x14ac:dyDescent="0.25">
      <c r="A8" s="128" t="s">
        <v>109</v>
      </c>
      <c r="B8" s="128">
        <f t="shared" si="0"/>
        <v>7</v>
      </c>
      <c r="C8" s="129">
        <v>10</v>
      </c>
      <c r="D8" s="128">
        <v>2021</v>
      </c>
      <c r="E8" s="130">
        <f>'Maldives at LG Daily'!D11</f>
        <v>24002</v>
      </c>
      <c r="F8" s="131">
        <v>0.93</v>
      </c>
      <c r="G8" s="130">
        <f>'Maldives at LG Daily'!F11</f>
        <v>45</v>
      </c>
      <c r="H8" s="131">
        <v>1.24</v>
      </c>
      <c r="I8" s="130">
        <f>'Maldives at LG Daily'!H11</f>
        <v>7514</v>
      </c>
      <c r="J8" s="131">
        <v>2.16</v>
      </c>
      <c r="K8" s="130">
        <f>'Maldives at LG Daily'!I11</f>
        <v>2259</v>
      </c>
      <c r="L8" s="130">
        <f>'Maldives at LG Daily'!J11</f>
        <v>2657</v>
      </c>
    </row>
    <row r="9" spans="1:12" ht="15" x14ac:dyDescent="0.25">
      <c r="A9" s="128" t="s">
        <v>109</v>
      </c>
      <c r="B9" s="128">
        <f t="shared" si="0"/>
        <v>8</v>
      </c>
      <c r="C9" s="129">
        <v>10</v>
      </c>
      <c r="D9" s="128">
        <v>2021</v>
      </c>
      <c r="E9" s="130">
        <f>'Maldives at LG Daily'!D12</f>
        <v>24528</v>
      </c>
      <c r="F9" s="131">
        <v>0.93</v>
      </c>
      <c r="G9" s="130" t="str">
        <f>'Maldives at LG Daily'!F12</f>
        <v>0</v>
      </c>
      <c r="H9" s="131">
        <v>1.24</v>
      </c>
      <c r="I9" s="130">
        <f>'Maldives at LG Daily'!H12</f>
        <v>8568</v>
      </c>
      <c r="J9" s="131">
        <v>2.16</v>
      </c>
      <c r="K9" s="130">
        <f>'Maldives at LG Daily'!I12</f>
        <v>1552</v>
      </c>
      <c r="L9" s="130">
        <f>'Maldives at LG Daily'!J12</f>
        <v>1657</v>
      </c>
    </row>
    <row r="10" spans="1:12" ht="15" x14ac:dyDescent="0.25">
      <c r="A10" s="128" t="s">
        <v>109</v>
      </c>
      <c r="B10" s="128">
        <f t="shared" si="0"/>
        <v>9</v>
      </c>
      <c r="C10" s="129">
        <v>10</v>
      </c>
      <c r="D10" s="128">
        <v>2021</v>
      </c>
      <c r="E10" s="130">
        <f>'Maldives at LG Daily'!D13</f>
        <v>25400</v>
      </c>
      <c r="F10" s="131">
        <v>0.93</v>
      </c>
      <c r="G10" s="130">
        <f>'Maldives at LG Daily'!F13</f>
        <v>90</v>
      </c>
      <c r="H10" s="131">
        <v>1.24</v>
      </c>
      <c r="I10" s="130">
        <f>'Maldives at LG Daily'!H13</f>
        <v>8114</v>
      </c>
      <c r="J10" s="131">
        <v>2.16</v>
      </c>
      <c r="K10" s="130">
        <f>'Maldives at LG Daily'!I13</f>
        <v>3348</v>
      </c>
      <c r="L10" s="130">
        <f>'Maldives at LG Daily'!J13</f>
        <v>2157</v>
      </c>
    </row>
    <row r="11" spans="1:12" ht="15" x14ac:dyDescent="0.25">
      <c r="A11" s="128" t="s">
        <v>109</v>
      </c>
      <c r="B11" s="128">
        <f t="shared" si="0"/>
        <v>10</v>
      </c>
      <c r="C11" s="129">
        <v>10</v>
      </c>
      <c r="D11" s="128">
        <v>2021</v>
      </c>
      <c r="E11" s="130">
        <f>'Maldives at LG Daily'!D14</f>
        <v>25384</v>
      </c>
      <c r="F11" s="131">
        <v>0.93</v>
      </c>
      <c r="G11" s="130" t="str">
        <f>'Maldives at LG Daily'!F14</f>
        <v>0</v>
      </c>
      <c r="H11" s="131">
        <v>1.24</v>
      </c>
      <c r="I11" s="130">
        <f>'Maldives at LG Daily'!H14</f>
        <v>9992</v>
      </c>
      <c r="J11" s="131">
        <v>2.16</v>
      </c>
      <c r="K11" s="130">
        <f>'Maldives at LG Daily'!I14</f>
        <v>5298</v>
      </c>
      <c r="L11" s="130">
        <f>'Maldives at LG Daily'!J14</f>
        <v>1966</v>
      </c>
    </row>
    <row r="12" spans="1:12" ht="15" x14ac:dyDescent="0.25">
      <c r="A12" s="128" t="s">
        <v>109</v>
      </c>
      <c r="B12" s="128">
        <f t="shared" si="0"/>
        <v>11</v>
      </c>
      <c r="C12" s="129">
        <v>10</v>
      </c>
      <c r="D12" s="128">
        <v>2021</v>
      </c>
      <c r="E12" s="130">
        <f>'Maldives at LG Daily'!D15</f>
        <v>26115</v>
      </c>
      <c r="F12" s="131">
        <v>0.93</v>
      </c>
      <c r="G12" s="130" t="str">
        <f>'Maldives at LG Daily'!F15</f>
        <v>0</v>
      </c>
      <c r="H12" s="131">
        <v>1.24</v>
      </c>
      <c r="I12" s="130">
        <f>'Maldives at LG Daily'!H15</f>
        <v>5674</v>
      </c>
      <c r="J12" s="131">
        <v>2.16</v>
      </c>
      <c r="K12" s="130">
        <f>'Maldives at LG Daily'!I15</f>
        <v>422</v>
      </c>
      <c r="L12" s="130">
        <f>'Maldives at LG Daily'!J15</f>
        <v>3230</v>
      </c>
    </row>
    <row r="13" spans="1:12" ht="15" x14ac:dyDescent="0.25">
      <c r="A13" s="128" t="s">
        <v>109</v>
      </c>
      <c r="B13" s="128">
        <f t="shared" si="0"/>
        <v>12</v>
      </c>
      <c r="C13" s="129">
        <v>10</v>
      </c>
      <c r="D13" s="128">
        <v>2021</v>
      </c>
      <c r="E13" s="130">
        <f>'Maldives at LG Daily'!D16</f>
        <v>25368</v>
      </c>
      <c r="F13" s="131">
        <v>0.93</v>
      </c>
      <c r="G13" s="130">
        <f>'Maldives at LG Daily'!F16</f>
        <v>0</v>
      </c>
      <c r="H13" s="131">
        <v>1.24</v>
      </c>
      <c r="I13" s="130">
        <f>'Maldives at LG Daily'!H16</f>
        <v>6028</v>
      </c>
      <c r="J13" s="131">
        <v>2.16</v>
      </c>
      <c r="K13" s="130">
        <f>'Maldives at LG Daily'!I16</f>
        <v>0</v>
      </c>
      <c r="L13" s="130">
        <f>'Maldives at LG Daily'!J16</f>
        <v>2611</v>
      </c>
    </row>
    <row r="14" spans="1:12" ht="15" x14ac:dyDescent="0.25">
      <c r="A14" s="128" t="s">
        <v>109</v>
      </c>
      <c r="B14" s="128">
        <f t="shared" si="0"/>
        <v>13</v>
      </c>
      <c r="C14" s="129">
        <v>10</v>
      </c>
      <c r="D14" s="128">
        <v>2021</v>
      </c>
      <c r="E14" s="130">
        <f>'Maldives at LG Daily'!D17</f>
        <v>26433</v>
      </c>
      <c r="F14" s="131">
        <v>0.93</v>
      </c>
      <c r="G14" s="130">
        <f>'Maldives at LG Daily'!F17</f>
        <v>90</v>
      </c>
      <c r="H14" s="131">
        <v>1.24</v>
      </c>
      <c r="I14" s="130">
        <f>'Maldives at LG Daily'!H17</f>
        <v>9672</v>
      </c>
      <c r="J14" s="131">
        <v>2.16</v>
      </c>
      <c r="K14" s="130">
        <f>'Maldives at LG Daily'!I17</f>
        <v>4600</v>
      </c>
      <c r="L14" s="130">
        <f>'Maldives at LG Daily'!J17</f>
        <v>3947</v>
      </c>
    </row>
    <row r="15" spans="1:12" ht="15" x14ac:dyDescent="0.25">
      <c r="A15" s="128" t="s">
        <v>109</v>
      </c>
      <c r="B15" s="128">
        <f t="shared" si="0"/>
        <v>14</v>
      </c>
      <c r="C15" s="129">
        <v>10</v>
      </c>
      <c r="D15" s="128">
        <v>2021</v>
      </c>
      <c r="E15" s="130">
        <f>'Maldives at LG Daily'!D18</f>
        <v>26616</v>
      </c>
      <c r="F15" s="131">
        <v>0.93</v>
      </c>
      <c r="G15" s="130" t="str">
        <f>'Maldives at LG Daily'!F18</f>
        <v>0</v>
      </c>
      <c r="H15" s="131">
        <v>1.24</v>
      </c>
      <c r="I15" s="130">
        <f>'Maldives at LG Daily'!H18</f>
        <v>5710</v>
      </c>
      <c r="J15" s="131">
        <v>2.16</v>
      </c>
      <c r="K15" s="130">
        <f>'Maldives at LG Daily'!I18</f>
        <v>2029</v>
      </c>
      <c r="L15" s="130">
        <f>'Maldives at LG Daily'!J18</f>
        <v>2173</v>
      </c>
    </row>
    <row r="16" spans="1:12" ht="15" x14ac:dyDescent="0.25">
      <c r="A16" s="128" t="s">
        <v>109</v>
      </c>
      <c r="B16" s="128">
        <f t="shared" si="0"/>
        <v>15</v>
      </c>
      <c r="C16" s="129">
        <v>10</v>
      </c>
      <c r="D16" s="128">
        <v>2021</v>
      </c>
      <c r="E16" s="130">
        <f>'Maldives at LG Daily'!D19</f>
        <v>27382</v>
      </c>
      <c r="F16" s="131">
        <v>0.93</v>
      </c>
      <c r="G16" s="130">
        <f>'Maldives at LG Daily'!F19</f>
        <v>0</v>
      </c>
      <c r="H16" s="131">
        <v>1.24</v>
      </c>
      <c r="I16" s="130">
        <f>'Maldives at LG Daily'!H19</f>
        <v>6038</v>
      </c>
      <c r="J16" s="131">
        <v>2.16</v>
      </c>
      <c r="K16" s="130">
        <f>'Maldives at LG Daily'!I19</f>
        <v>63</v>
      </c>
      <c r="L16" s="130">
        <f>'Maldives at LG Daily'!J19</f>
        <v>4332</v>
      </c>
    </row>
    <row r="17" spans="1:12" ht="15" x14ac:dyDescent="0.25">
      <c r="A17" s="128" t="s">
        <v>109</v>
      </c>
      <c r="B17" s="128">
        <f t="shared" si="0"/>
        <v>16</v>
      </c>
      <c r="C17" s="129">
        <v>10</v>
      </c>
      <c r="D17" s="128">
        <v>2021</v>
      </c>
      <c r="E17" s="130">
        <f>'Maldives at LG Daily'!D20</f>
        <v>27352</v>
      </c>
      <c r="F17" s="131">
        <v>0.93</v>
      </c>
      <c r="G17" s="130">
        <f>'Maldives at LG Daily'!F20</f>
        <v>90</v>
      </c>
      <c r="H17" s="131">
        <v>1.24</v>
      </c>
      <c r="I17" s="130">
        <f>'Maldives at LG Daily'!H20</f>
        <v>5912</v>
      </c>
      <c r="J17" s="131">
        <v>2.16</v>
      </c>
      <c r="K17" s="130">
        <f>'Maldives at LG Daily'!I20</f>
        <v>0</v>
      </c>
      <c r="L17" s="130">
        <f>'Maldives at LG Daily'!J20</f>
        <v>4800</v>
      </c>
    </row>
    <row r="18" spans="1:12" ht="15" x14ac:dyDescent="0.25">
      <c r="A18" s="128" t="s">
        <v>109</v>
      </c>
      <c r="B18" s="128">
        <f t="shared" si="0"/>
        <v>17</v>
      </c>
      <c r="C18" s="129">
        <v>10</v>
      </c>
      <c r="D18" s="128">
        <v>2021</v>
      </c>
      <c r="E18" s="130">
        <f>'Maldives at LG Daily'!D21</f>
        <v>23637</v>
      </c>
      <c r="F18" s="131">
        <v>0.93</v>
      </c>
      <c r="G18" s="130" t="str">
        <f>'Maldives at LG Daily'!F21</f>
        <v>0</v>
      </c>
      <c r="H18" s="131">
        <v>1.24</v>
      </c>
      <c r="I18" s="130">
        <f>'Maldives at LG Daily'!H21</f>
        <v>5665</v>
      </c>
      <c r="J18" s="131">
        <v>2.16</v>
      </c>
      <c r="K18" s="130">
        <f>'Maldives at LG Daily'!I21</f>
        <v>4203</v>
      </c>
      <c r="L18" s="130">
        <f>'Maldives at LG Daily'!J21</f>
        <v>2395</v>
      </c>
    </row>
    <row r="19" spans="1:12" ht="15" x14ac:dyDescent="0.25">
      <c r="A19" s="128" t="s">
        <v>109</v>
      </c>
      <c r="B19" s="128">
        <f t="shared" si="0"/>
        <v>18</v>
      </c>
      <c r="C19" s="129">
        <v>10</v>
      </c>
      <c r="D19" s="128">
        <v>2021</v>
      </c>
      <c r="E19" s="130">
        <f>'Maldives at LG Daily'!D22</f>
        <v>22431</v>
      </c>
      <c r="F19" s="131">
        <v>0.93</v>
      </c>
      <c r="G19" s="130" t="str">
        <f>'Maldives at LG Daily'!F22</f>
        <v>0</v>
      </c>
      <c r="H19" s="131">
        <v>1.24</v>
      </c>
      <c r="I19" s="130">
        <f>'Maldives at LG Daily'!H22</f>
        <v>5992</v>
      </c>
      <c r="J19" s="131">
        <v>2.16</v>
      </c>
      <c r="K19" s="130">
        <f>'Maldives at LG Daily'!I22</f>
        <v>0</v>
      </c>
      <c r="L19" s="130">
        <f>'Maldives at LG Daily'!J22</f>
        <v>743</v>
      </c>
    </row>
    <row r="20" spans="1:12" ht="15" x14ac:dyDescent="0.25">
      <c r="A20" s="128" t="s">
        <v>109</v>
      </c>
      <c r="B20" s="128">
        <f t="shared" si="0"/>
        <v>19</v>
      </c>
      <c r="C20" s="129">
        <v>10</v>
      </c>
      <c r="D20" s="128">
        <v>2021</v>
      </c>
      <c r="E20" s="130">
        <f>'Maldives at LG Daily'!D23</f>
        <v>23981</v>
      </c>
      <c r="F20" s="131">
        <v>0.93</v>
      </c>
      <c r="G20" s="130">
        <f>'Maldives at LG Daily'!F23</f>
        <v>0</v>
      </c>
      <c r="H20" s="131">
        <v>1.24</v>
      </c>
      <c r="I20" s="130">
        <f>'Maldives at LG Daily'!H23</f>
        <v>14027</v>
      </c>
      <c r="J20" s="131">
        <v>2.16</v>
      </c>
      <c r="K20" s="130">
        <f>'Maldives at LG Daily'!I23</f>
        <v>5793</v>
      </c>
      <c r="L20" s="130">
        <f>'Maldives at LG Daily'!J23</f>
        <v>739</v>
      </c>
    </row>
    <row r="21" spans="1:12" ht="15" x14ac:dyDescent="0.25">
      <c r="A21" s="128" t="s">
        <v>109</v>
      </c>
      <c r="B21" s="128">
        <f t="shared" si="0"/>
        <v>20</v>
      </c>
      <c r="C21" s="129">
        <v>10</v>
      </c>
      <c r="D21" s="128">
        <v>2021</v>
      </c>
      <c r="E21" s="130">
        <f>'Maldives at LG Daily'!D24</f>
        <v>25152</v>
      </c>
      <c r="F21" s="131">
        <v>0.93</v>
      </c>
      <c r="G21" s="130">
        <f>'Maldives at LG Daily'!F24</f>
        <v>45</v>
      </c>
      <c r="H21" s="131">
        <v>1.24</v>
      </c>
      <c r="I21" s="130">
        <f>'Maldives at LG Daily'!H24</f>
        <v>3128</v>
      </c>
      <c r="J21" s="131">
        <v>2.16</v>
      </c>
      <c r="K21" s="130">
        <f>'Maldives at LG Daily'!I24</f>
        <v>4959</v>
      </c>
      <c r="L21" s="130">
        <f>'Maldives at LG Daily'!J24</f>
        <v>1189</v>
      </c>
    </row>
    <row r="22" spans="1:12" ht="15" x14ac:dyDescent="0.25">
      <c r="A22" s="128" t="s">
        <v>109</v>
      </c>
      <c r="B22" s="128">
        <f t="shared" si="0"/>
        <v>21</v>
      </c>
      <c r="C22" s="129">
        <v>10</v>
      </c>
      <c r="D22" s="128">
        <v>2021</v>
      </c>
      <c r="E22" s="130">
        <f>'Maldives at LG Daily'!D25</f>
        <v>26181</v>
      </c>
      <c r="F22" s="131">
        <v>0.93</v>
      </c>
      <c r="G22" s="130">
        <f>'Maldives at LG Daily'!F25</f>
        <v>45</v>
      </c>
      <c r="H22" s="131">
        <v>1.24</v>
      </c>
      <c r="I22" s="130">
        <f>'Maldives at LG Daily'!H25</f>
        <v>13503</v>
      </c>
      <c r="J22" s="131">
        <v>2.16</v>
      </c>
      <c r="K22" s="130">
        <f>'Maldives at LG Daily'!I25</f>
        <v>3510</v>
      </c>
      <c r="L22" s="130">
        <f>'Maldives at LG Daily'!J25</f>
        <v>1710</v>
      </c>
    </row>
    <row r="23" spans="1:12" ht="15" x14ac:dyDescent="0.25">
      <c r="A23" s="128" t="s">
        <v>109</v>
      </c>
      <c r="B23" s="128">
        <f t="shared" si="0"/>
        <v>22</v>
      </c>
      <c r="C23" s="129">
        <v>10</v>
      </c>
      <c r="D23" s="128">
        <v>2021</v>
      </c>
      <c r="E23" s="130">
        <f>'Maldives at LG Daily'!D26</f>
        <v>25334</v>
      </c>
      <c r="F23" s="131">
        <v>0.93</v>
      </c>
      <c r="G23" s="130" t="str">
        <f>'Maldives at LG Daily'!F26</f>
        <v>0</v>
      </c>
      <c r="H23" s="131">
        <v>1.24</v>
      </c>
      <c r="I23" s="130">
        <f>'Maldives at LG Daily'!H26</f>
        <v>14689</v>
      </c>
      <c r="J23" s="131">
        <v>2.16</v>
      </c>
      <c r="K23" s="130">
        <f>'Maldives at LG Daily'!I26</f>
        <v>1223</v>
      </c>
      <c r="L23" s="130">
        <f>'Maldives at LG Daily'!J26</f>
        <v>1052</v>
      </c>
    </row>
    <row r="24" spans="1:12" ht="15" x14ac:dyDescent="0.25">
      <c r="A24" s="128" t="s">
        <v>109</v>
      </c>
      <c r="B24" s="128">
        <f t="shared" si="0"/>
        <v>23</v>
      </c>
      <c r="C24" s="129">
        <v>10</v>
      </c>
      <c r="D24" s="128">
        <v>2021</v>
      </c>
      <c r="E24" s="130">
        <f>'Maldives at LG Daily'!D27</f>
        <v>26063</v>
      </c>
      <c r="F24" s="131">
        <v>0.93</v>
      </c>
      <c r="G24" s="130">
        <f>'Maldives at LG Daily'!F27</f>
        <v>45</v>
      </c>
      <c r="H24" s="131">
        <v>1.24</v>
      </c>
      <c r="I24" s="130">
        <f>'Maldives at LG Daily'!H27</f>
        <v>8042</v>
      </c>
      <c r="J24" s="131">
        <v>2.16</v>
      </c>
      <c r="K24" s="130">
        <f>'Maldives at LG Daily'!I27</f>
        <v>5746</v>
      </c>
      <c r="L24" s="130">
        <f>'Maldives at LG Daily'!J27</f>
        <v>951</v>
      </c>
    </row>
    <row r="25" spans="1:12" ht="15" x14ac:dyDescent="0.25">
      <c r="A25" s="128" t="s">
        <v>109</v>
      </c>
      <c r="B25" s="128">
        <f t="shared" si="0"/>
        <v>24</v>
      </c>
      <c r="C25" s="129">
        <v>10</v>
      </c>
      <c r="D25" s="128">
        <v>2021</v>
      </c>
      <c r="E25" s="130">
        <f>'Maldives at LG Daily'!D28</f>
        <v>26316</v>
      </c>
      <c r="F25" s="131">
        <v>0.93</v>
      </c>
      <c r="G25" s="130" t="str">
        <f>'Maldives at LG Daily'!F28</f>
        <v>0</v>
      </c>
      <c r="H25" s="131">
        <v>1.24</v>
      </c>
      <c r="I25" s="130">
        <f>'Maldives at LG Daily'!H28</f>
        <v>10318</v>
      </c>
      <c r="J25" s="131">
        <v>2.16</v>
      </c>
      <c r="K25" s="130">
        <f>'Maldives at LG Daily'!I28</f>
        <v>2409</v>
      </c>
      <c r="L25" s="130">
        <f>'Maldives at LG Daily'!J28</f>
        <v>3427</v>
      </c>
    </row>
    <row r="26" spans="1:12" ht="15" x14ac:dyDescent="0.25">
      <c r="A26" s="128" t="s">
        <v>109</v>
      </c>
      <c r="B26" s="128">
        <f>B25+1</f>
        <v>25</v>
      </c>
      <c r="C26" s="129">
        <v>10</v>
      </c>
      <c r="D26" s="128">
        <v>2021</v>
      </c>
      <c r="E26" s="130">
        <f>'Maldives at LG Daily'!D29</f>
        <v>26592</v>
      </c>
      <c r="F26" s="131">
        <v>0.93</v>
      </c>
      <c r="G26" s="130">
        <f>'Maldives at LG Daily'!F29</f>
        <v>0</v>
      </c>
      <c r="H26" s="131">
        <v>1.24</v>
      </c>
      <c r="I26" s="130">
        <f>'Maldives at LG Daily'!H29</f>
        <v>5379</v>
      </c>
      <c r="J26" s="131">
        <v>2.16</v>
      </c>
      <c r="K26" s="130">
        <f>'Maldives at LG Daily'!I29</f>
        <v>0</v>
      </c>
      <c r="L26" s="130">
        <f>'Maldives at LG Daily'!J29</f>
        <v>4569</v>
      </c>
    </row>
    <row r="27" spans="1:12" ht="15" x14ac:dyDescent="0.25">
      <c r="A27" s="128" t="s">
        <v>109</v>
      </c>
      <c r="B27" s="128">
        <f t="shared" si="0"/>
        <v>26</v>
      </c>
      <c r="C27" s="129">
        <v>10</v>
      </c>
      <c r="D27" s="128">
        <v>2021</v>
      </c>
      <c r="E27" s="130">
        <f>'Maldives at LG Daily'!D30</f>
        <v>25965</v>
      </c>
      <c r="F27" s="131">
        <v>0.93</v>
      </c>
      <c r="G27" s="130">
        <f>'Maldives at LG Daily'!F30</f>
        <v>0</v>
      </c>
      <c r="H27" s="131">
        <v>1.24</v>
      </c>
      <c r="I27" s="130">
        <f>'Maldives at LG Daily'!H30</f>
        <v>12905</v>
      </c>
      <c r="J27" s="131">
        <v>2.16</v>
      </c>
      <c r="K27" s="130">
        <f>'Maldives at LG Daily'!I30</f>
        <v>5863</v>
      </c>
      <c r="L27" s="130">
        <f>'Maldives at LG Daily'!J30</f>
        <v>3398</v>
      </c>
    </row>
    <row r="28" spans="1:12" ht="15" x14ac:dyDescent="0.25">
      <c r="A28" s="128" t="s">
        <v>109</v>
      </c>
      <c r="B28" s="128">
        <f t="shared" si="0"/>
        <v>27</v>
      </c>
      <c r="C28" s="129">
        <v>10</v>
      </c>
      <c r="D28" s="128">
        <v>2021</v>
      </c>
      <c r="E28" s="130">
        <f>'Maldives at LG Daily'!D31</f>
        <v>25871</v>
      </c>
      <c r="F28" s="131">
        <v>0.93</v>
      </c>
      <c r="G28" s="130">
        <f>'Maldives at LG Daily'!F31</f>
        <v>45</v>
      </c>
      <c r="H28" s="131">
        <v>1.24</v>
      </c>
      <c r="I28" s="130">
        <f>'Maldives at LG Daily'!H31</f>
        <v>7111</v>
      </c>
      <c r="J28" s="131">
        <v>2.16</v>
      </c>
      <c r="K28" s="130">
        <f>'Maldives at LG Daily'!I31</f>
        <v>1006</v>
      </c>
      <c r="L28" s="130">
        <f>'Maldives at LG Daily'!J31</f>
        <v>3983</v>
      </c>
    </row>
    <row r="29" spans="1:12" ht="15" x14ac:dyDescent="0.25">
      <c r="A29" s="128" t="s">
        <v>109</v>
      </c>
      <c r="B29" s="128">
        <f t="shared" si="0"/>
        <v>28</v>
      </c>
      <c r="C29" s="129">
        <v>10</v>
      </c>
      <c r="D29" s="128">
        <v>2021</v>
      </c>
      <c r="E29" s="130">
        <f>'Maldives at LG Daily'!D32</f>
        <v>26453</v>
      </c>
      <c r="F29" s="131">
        <v>0.93</v>
      </c>
      <c r="G29" s="130">
        <f>'Maldives at LG Daily'!F32</f>
        <v>0</v>
      </c>
      <c r="H29" s="131">
        <v>1.24</v>
      </c>
      <c r="I29" s="130">
        <f>'Maldives at LG Daily'!H32</f>
        <v>10328</v>
      </c>
      <c r="J29" s="131">
        <v>2.16</v>
      </c>
      <c r="K29" s="130">
        <f>'Maldives at LG Daily'!I32</f>
        <v>5474</v>
      </c>
      <c r="L29" s="130">
        <f>'Maldives at LG Daily'!J32</f>
        <v>2157</v>
      </c>
    </row>
    <row r="30" spans="1:12" ht="15" x14ac:dyDescent="0.25">
      <c r="A30" s="128" t="s">
        <v>109</v>
      </c>
      <c r="B30" s="128">
        <f t="shared" si="0"/>
        <v>29</v>
      </c>
      <c r="C30" s="129">
        <v>10</v>
      </c>
      <c r="D30" s="128">
        <v>2021</v>
      </c>
      <c r="E30" s="130">
        <f>'Maldives at LG Daily'!D33</f>
        <v>27036</v>
      </c>
      <c r="F30" s="131">
        <v>0.93</v>
      </c>
      <c r="G30" s="130">
        <f>'Maldives at LG Daily'!F33</f>
        <v>45</v>
      </c>
      <c r="H30" s="131">
        <v>1.24</v>
      </c>
      <c r="I30" s="130">
        <f>'Maldives at LG Daily'!H33</f>
        <v>4324</v>
      </c>
      <c r="J30" s="131">
        <v>2.16</v>
      </c>
      <c r="K30" s="130">
        <f>'Maldives at LG Daily'!I33</f>
        <v>1831</v>
      </c>
      <c r="L30" s="130">
        <f>'Maldives at LG Daily'!J33</f>
        <v>4310</v>
      </c>
    </row>
    <row r="31" spans="1:12" ht="15" x14ac:dyDescent="0.25">
      <c r="A31" s="128" t="s">
        <v>109</v>
      </c>
      <c r="B31" s="128">
        <v>30</v>
      </c>
      <c r="C31" s="129">
        <v>10</v>
      </c>
      <c r="D31" s="128">
        <v>2021</v>
      </c>
      <c r="E31" s="130">
        <f>'Maldives at LG Daily'!D34</f>
        <v>26752</v>
      </c>
      <c r="F31" s="131">
        <v>0.93</v>
      </c>
      <c r="G31" s="130" t="str">
        <f>'Maldives at LG Daily'!F34</f>
        <v>0</v>
      </c>
      <c r="H31" s="131">
        <v>1.24</v>
      </c>
      <c r="I31" s="130">
        <f>'Maldives at LG Daily'!H34</f>
        <v>8451</v>
      </c>
      <c r="J31" s="131">
        <v>2.16</v>
      </c>
      <c r="K31" s="130">
        <f>'Maldives at LG Daily'!I34</f>
        <v>0</v>
      </c>
      <c r="L31" s="130">
        <f>'Maldives at LG Daily'!J34</f>
        <v>4396</v>
      </c>
    </row>
    <row r="32" spans="1:12" ht="15" x14ac:dyDescent="0.25">
      <c r="A32" s="128" t="s">
        <v>109</v>
      </c>
      <c r="B32" s="128">
        <v>31</v>
      </c>
      <c r="C32" s="129">
        <v>10</v>
      </c>
      <c r="D32" s="128">
        <v>2021</v>
      </c>
      <c r="E32" s="130">
        <f>'Maldives at LG Daily'!D35</f>
        <v>27036</v>
      </c>
      <c r="F32" s="131">
        <v>0.93</v>
      </c>
      <c r="G32" s="130">
        <f>'Maldives at LG Daily'!F35</f>
        <v>45</v>
      </c>
      <c r="H32" s="131">
        <v>1.24</v>
      </c>
      <c r="I32" s="130">
        <f>'Maldives at LG Daily'!H35</f>
        <v>8540</v>
      </c>
      <c r="J32" s="131">
        <v>2.16</v>
      </c>
      <c r="K32" s="130">
        <f>'Maldives at LG Daily'!I35</f>
        <v>4461</v>
      </c>
      <c r="L32" s="130">
        <f>'Maldives at LG Daily'!J35</f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6A58-0BCA-438B-A556-B237C30152A2}">
  <dimension ref="A1:BM32"/>
  <sheetViews>
    <sheetView tabSelected="1" workbookViewId="0">
      <selection activeCell="BO25" sqref="BO25"/>
    </sheetView>
  </sheetViews>
  <sheetFormatPr defaultRowHeight="12.75" x14ac:dyDescent="0.2"/>
  <cols>
    <col min="1" max="1" width="27.42578125" style="132" bestFit="1" customWidth="1"/>
    <col min="2" max="4" width="9.140625" style="132"/>
    <col min="5" max="5" width="10.7109375" style="132" customWidth="1"/>
    <col min="6" max="6" width="12.140625" style="132" customWidth="1"/>
    <col min="7" max="8" width="9.140625" style="132"/>
    <col min="9" max="9" width="10.85546875" style="132" customWidth="1"/>
    <col min="10" max="10" width="11.28515625" style="132" customWidth="1"/>
    <col min="11" max="16384" width="9.140625" style="132"/>
  </cols>
  <sheetData>
    <row r="1" spans="1:65" ht="90.75" thickBot="1" x14ac:dyDescent="0.25">
      <c r="A1" s="402" t="s">
        <v>100</v>
      </c>
      <c r="B1" s="402" t="s">
        <v>42</v>
      </c>
      <c r="C1" s="403" t="s">
        <v>3</v>
      </c>
      <c r="D1" s="402" t="s">
        <v>4</v>
      </c>
      <c r="E1" s="404" t="s">
        <v>18</v>
      </c>
      <c r="F1" s="405" t="s">
        <v>25</v>
      </c>
      <c r="G1" s="404" t="s">
        <v>28</v>
      </c>
      <c r="H1" s="405" t="s">
        <v>32</v>
      </c>
      <c r="I1" s="404" t="s">
        <v>34</v>
      </c>
      <c r="J1" s="404" t="s">
        <v>198</v>
      </c>
      <c r="K1" s="402" t="s">
        <v>177</v>
      </c>
      <c r="L1" s="402" t="s">
        <v>185</v>
      </c>
      <c r="M1" s="406" t="s">
        <v>45</v>
      </c>
      <c r="N1" s="406" t="s">
        <v>46</v>
      </c>
      <c r="O1" s="406" t="s">
        <v>47</v>
      </c>
      <c r="P1" s="406" t="s">
        <v>48</v>
      </c>
      <c r="Q1" s="406" t="s">
        <v>199</v>
      </c>
      <c r="R1" s="406" t="s">
        <v>200</v>
      </c>
      <c r="S1" s="406" t="s">
        <v>71</v>
      </c>
      <c r="T1" s="406" t="s">
        <v>69</v>
      </c>
      <c r="U1" s="406" t="s">
        <v>70</v>
      </c>
      <c r="V1" s="406" t="s">
        <v>180</v>
      </c>
      <c r="W1" s="406" t="s">
        <v>181</v>
      </c>
      <c r="X1" s="406" t="s">
        <v>159</v>
      </c>
      <c r="Y1" s="406" t="s">
        <v>182</v>
      </c>
      <c r="Z1" s="406" t="s">
        <v>183</v>
      </c>
      <c r="AA1" s="406" t="s">
        <v>65</v>
      </c>
      <c r="AB1" s="406" t="s">
        <v>54</v>
      </c>
      <c r="AC1" s="406" t="s">
        <v>55</v>
      </c>
      <c r="AD1" s="406" t="s">
        <v>56</v>
      </c>
      <c r="AE1" s="406" t="s">
        <v>57</v>
      </c>
      <c r="AF1" s="406" t="s">
        <v>67</v>
      </c>
      <c r="AG1" s="406" t="s">
        <v>79</v>
      </c>
      <c r="AH1" s="406" t="s">
        <v>80</v>
      </c>
      <c r="AI1" s="406" t="s">
        <v>81</v>
      </c>
      <c r="AJ1" s="406" t="s">
        <v>82</v>
      </c>
      <c r="AK1" s="406" t="s">
        <v>83</v>
      </c>
      <c r="AL1" s="406" t="s">
        <v>84</v>
      </c>
      <c r="AM1" s="407" t="s">
        <v>111</v>
      </c>
      <c r="AN1" s="407" t="s">
        <v>112</v>
      </c>
      <c r="AO1" s="407" t="s">
        <v>113</v>
      </c>
      <c r="AP1" s="407" t="s">
        <v>114</v>
      </c>
      <c r="AQ1" s="407" t="s">
        <v>126</v>
      </c>
      <c r="AR1" s="407" t="s">
        <v>201</v>
      </c>
      <c r="AS1" s="407" t="s">
        <v>129</v>
      </c>
      <c r="AT1" s="407" t="s">
        <v>202</v>
      </c>
      <c r="AU1" s="407" t="s">
        <v>131</v>
      </c>
      <c r="AV1" s="407" t="s">
        <v>132</v>
      </c>
      <c r="AW1" s="407" t="s">
        <v>133</v>
      </c>
      <c r="AX1" s="407" t="s">
        <v>134</v>
      </c>
      <c r="AY1" s="407" t="s">
        <v>135</v>
      </c>
      <c r="AZ1" s="407" t="s">
        <v>136</v>
      </c>
      <c r="BA1" s="407" t="s">
        <v>137</v>
      </c>
      <c r="BB1" s="407" t="s">
        <v>138</v>
      </c>
      <c r="BC1" s="407" t="s">
        <v>139</v>
      </c>
      <c r="BD1" s="407" t="s">
        <v>140</v>
      </c>
      <c r="BE1" s="407" t="s">
        <v>141</v>
      </c>
      <c r="BF1" s="407" t="s">
        <v>142</v>
      </c>
      <c r="BG1" s="407" t="s">
        <v>143</v>
      </c>
      <c r="BH1" s="407" t="s">
        <v>144</v>
      </c>
      <c r="BI1" s="407" t="s">
        <v>145</v>
      </c>
      <c r="BJ1" s="407" t="s">
        <v>146</v>
      </c>
      <c r="BK1" s="407" t="s">
        <v>147</v>
      </c>
      <c r="BL1" s="407" t="s">
        <v>99</v>
      </c>
      <c r="BM1" s="407" t="s">
        <v>197</v>
      </c>
    </row>
    <row r="2" spans="1:65" ht="16.5" thickTop="1" thickBot="1" x14ac:dyDescent="0.3">
      <c r="A2" s="408" t="s">
        <v>109</v>
      </c>
      <c r="B2" s="408">
        <v>1</v>
      </c>
      <c r="C2" s="409">
        <v>10</v>
      </c>
      <c r="D2" s="408">
        <v>2021</v>
      </c>
      <c r="E2" s="410">
        <v>11980</v>
      </c>
      <c r="F2" s="410">
        <v>0</v>
      </c>
      <c r="G2" s="410">
        <v>0</v>
      </c>
      <c r="H2" s="410">
        <v>1797</v>
      </c>
      <c r="I2" s="410">
        <v>9674</v>
      </c>
      <c r="J2" s="410">
        <v>2022</v>
      </c>
      <c r="K2" s="410">
        <v>3360</v>
      </c>
      <c r="L2" s="410">
        <v>13461</v>
      </c>
      <c r="M2" s="410">
        <v>1500</v>
      </c>
      <c r="N2" s="410">
        <v>2615</v>
      </c>
      <c r="O2" s="410">
        <v>1500</v>
      </c>
      <c r="P2" s="410">
        <v>796</v>
      </c>
      <c r="Q2" s="410">
        <v>580</v>
      </c>
      <c r="R2" s="410">
        <v>785</v>
      </c>
      <c r="S2" s="410">
        <v>443</v>
      </c>
      <c r="T2" s="410">
        <v>871</v>
      </c>
      <c r="U2" s="410">
        <v>865</v>
      </c>
      <c r="V2" s="410">
        <v>1205</v>
      </c>
      <c r="W2" s="410">
        <v>944</v>
      </c>
      <c r="X2" s="410">
        <v>355</v>
      </c>
      <c r="Y2" s="410">
        <v>1250</v>
      </c>
      <c r="Z2" s="410">
        <v>380</v>
      </c>
      <c r="AA2" s="410">
        <v>0</v>
      </c>
      <c r="AB2" s="410">
        <v>700</v>
      </c>
      <c r="AC2" s="410">
        <v>410</v>
      </c>
      <c r="AD2" s="410">
        <v>910</v>
      </c>
      <c r="AE2" s="410">
        <v>710</v>
      </c>
      <c r="AF2" s="410">
        <v>490</v>
      </c>
      <c r="AG2" s="410">
        <v>170</v>
      </c>
      <c r="AH2" s="410">
        <v>143</v>
      </c>
      <c r="AI2" s="410">
        <v>630</v>
      </c>
      <c r="AJ2" s="410">
        <v>200</v>
      </c>
      <c r="AK2" s="410">
        <v>220</v>
      </c>
      <c r="AL2" s="410">
        <v>490</v>
      </c>
      <c r="AM2" s="410">
        <v>0</v>
      </c>
      <c r="AN2" s="410">
        <v>14</v>
      </c>
      <c r="AO2" s="410">
        <v>249</v>
      </c>
      <c r="AP2" s="410">
        <v>77</v>
      </c>
      <c r="AQ2" s="410">
        <v>16</v>
      </c>
      <c r="AR2" s="410">
        <v>5</v>
      </c>
      <c r="AS2" s="410">
        <v>6</v>
      </c>
      <c r="AT2" s="410">
        <v>9</v>
      </c>
      <c r="AU2" s="410">
        <v>6</v>
      </c>
      <c r="AV2" s="410">
        <v>7</v>
      </c>
      <c r="AW2" s="410">
        <v>7</v>
      </c>
      <c r="AX2" s="410">
        <v>10</v>
      </c>
      <c r="AY2" s="410">
        <v>2</v>
      </c>
      <c r="AZ2" s="410">
        <v>0</v>
      </c>
      <c r="BA2" s="410">
        <v>4</v>
      </c>
      <c r="BB2" s="410">
        <v>9</v>
      </c>
      <c r="BC2" s="410">
        <v>22</v>
      </c>
      <c r="BD2" s="410">
        <v>5</v>
      </c>
      <c r="BE2" s="410">
        <v>1</v>
      </c>
      <c r="BF2" s="410">
        <v>23</v>
      </c>
      <c r="BG2" s="410">
        <v>3</v>
      </c>
      <c r="BH2" s="410">
        <v>1</v>
      </c>
      <c r="BI2" s="410">
        <v>26</v>
      </c>
      <c r="BJ2" s="410">
        <v>1</v>
      </c>
      <c r="BK2" s="410">
        <v>0</v>
      </c>
      <c r="BL2" s="410">
        <v>11.7</v>
      </c>
      <c r="BM2" s="410">
        <v>94</v>
      </c>
    </row>
    <row r="3" spans="1:65" ht="15.75" thickBot="1" x14ac:dyDescent="0.3">
      <c r="A3" s="411" t="s">
        <v>109</v>
      </c>
      <c r="B3" s="411">
        <v>2</v>
      </c>
      <c r="C3" s="412">
        <v>10</v>
      </c>
      <c r="D3" s="411">
        <v>2021</v>
      </c>
      <c r="E3" s="410">
        <v>399</v>
      </c>
      <c r="F3" s="410">
        <v>5232</v>
      </c>
      <c r="G3" s="413">
        <v>5275</v>
      </c>
      <c r="H3" s="413">
        <v>2735</v>
      </c>
      <c r="I3" s="413">
        <v>7985</v>
      </c>
      <c r="J3" s="410">
        <v>1986</v>
      </c>
      <c r="K3" s="410">
        <v>3311</v>
      </c>
      <c r="L3" s="410">
        <v>11790</v>
      </c>
      <c r="M3" s="410">
        <v>1500</v>
      </c>
      <c r="N3" s="410">
        <v>2541</v>
      </c>
      <c r="O3" s="410">
        <v>1500</v>
      </c>
      <c r="P3" s="410">
        <v>701</v>
      </c>
      <c r="Q3" s="410">
        <v>570</v>
      </c>
      <c r="R3" s="410">
        <v>600</v>
      </c>
      <c r="S3" s="410">
        <v>370</v>
      </c>
      <c r="T3" s="410">
        <v>760</v>
      </c>
      <c r="U3" s="410">
        <v>660</v>
      </c>
      <c r="V3" s="410">
        <v>1000</v>
      </c>
      <c r="W3" s="410">
        <v>135</v>
      </c>
      <c r="X3" s="410">
        <v>360</v>
      </c>
      <c r="Y3" s="410">
        <v>1180</v>
      </c>
      <c r="Z3" s="410">
        <v>350</v>
      </c>
      <c r="AA3" s="410">
        <v>1770</v>
      </c>
      <c r="AB3" s="410">
        <v>700</v>
      </c>
      <c r="AC3" s="410">
        <v>450</v>
      </c>
      <c r="AD3" s="410">
        <v>910</v>
      </c>
      <c r="AE3" s="410">
        <v>880</v>
      </c>
      <c r="AF3" s="410">
        <v>440</v>
      </c>
      <c r="AG3" s="410">
        <v>170</v>
      </c>
      <c r="AH3" s="410">
        <v>109</v>
      </c>
      <c r="AI3" s="410">
        <v>620</v>
      </c>
      <c r="AJ3" s="410">
        <v>220</v>
      </c>
      <c r="AK3" s="410">
        <v>310</v>
      </c>
      <c r="AL3" s="410">
        <v>490</v>
      </c>
      <c r="AM3" s="410">
        <v>70</v>
      </c>
      <c r="AN3" s="410">
        <v>8</v>
      </c>
      <c r="AO3" s="410">
        <v>256</v>
      </c>
      <c r="AP3" s="410">
        <v>15</v>
      </c>
      <c r="AQ3" s="410">
        <v>15</v>
      </c>
      <c r="AR3" s="410">
        <v>4</v>
      </c>
      <c r="AS3" s="410">
        <v>5</v>
      </c>
      <c r="AT3" s="410">
        <v>10</v>
      </c>
      <c r="AU3" s="410">
        <v>6</v>
      </c>
      <c r="AV3" s="410">
        <v>6</v>
      </c>
      <c r="AW3" s="410">
        <v>7</v>
      </c>
      <c r="AX3" s="410">
        <v>10</v>
      </c>
      <c r="AY3" s="410">
        <v>2</v>
      </c>
      <c r="AZ3" s="410">
        <v>0</v>
      </c>
      <c r="BA3" s="410">
        <v>3</v>
      </c>
      <c r="BB3" s="410">
        <v>3</v>
      </c>
      <c r="BC3" s="410">
        <v>21</v>
      </c>
      <c r="BD3" s="410">
        <v>4</v>
      </c>
      <c r="BE3" s="410">
        <v>1</v>
      </c>
      <c r="BF3" s="410">
        <v>5</v>
      </c>
      <c r="BG3" s="410">
        <v>1</v>
      </c>
      <c r="BH3" s="410">
        <v>2</v>
      </c>
      <c r="BI3" s="410">
        <v>22</v>
      </c>
      <c r="BJ3" s="410">
        <v>1</v>
      </c>
      <c r="BK3" s="410">
        <v>1</v>
      </c>
      <c r="BL3" s="410">
        <v>15.5</v>
      </c>
      <c r="BM3" s="410">
        <v>119</v>
      </c>
    </row>
    <row r="4" spans="1:65" ht="15.75" thickBot="1" x14ac:dyDescent="0.3">
      <c r="A4" s="411" t="s">
        <v>109</v>
      </c>
      <c r="B4" s="411">
        <v>3</v>
      </c>
      <c r="C4" s="412">
        <v>10</v>
      </c>
      <c r="D4" s="408">
        <v>2021</v>
      </c>
      <c r="E4" s="410">
        <v>4555</v>
      </c>
      <c r="F4" s="410">
        <v>5467</v>
      </c>
      <c r="G4" s="413">
        <v>3209</v>
      </c>
      <c r="H4" s="413">
        <v>2624</v>
      </c>
      <c r="I4" s="413">
        <v>8069</v>
      </c>
      <c r="J4" s="410">
        <v>2234</v>
      </c>
      <c r="K4" s="410">
        <v>3865</v>
      </c>
      <c r="L4" s="410">
        <v>12898</v>
      </c>
      <c r="M4" s="410">
        <v>1500</v>
      </c>
      <c r="N4" s="410">
        <v>2753</v>
      </c>
      <c r="O4" s="410">
        <v>1500</v>
      </c>
      <c r="P4" s="410">
        <v>756</v>
      </c>
      <c r="Q4" s="410">
        <v>580</v>
      </c>
      <c r="R4" s="410">
        <v>1200</v>
      </c>
      <c r="S4" s="410">
        <v>410</v>
      </c>
      <c r="T4" s="410">
        <v>910</v>
      </c>
      <c r="U4" s="410">
        <v>730</v>
      </c>
      <c r="V4" s="410">
        <v>1400</v>
      </c>
      <c r="W4" s="410">
        <v>179</v>
      </c>
      <c r="X4" s="410">
        <v>400</v>
      </c>
      <c r="Y4" s="410">
        <v>1240</v>
      </c>
      <c r="Z4" s="410">
        <v>410</v>
      </c>
      <c r="AA4" s="410">
        <v>820</v>
      </c>
      <c r="AB4" s="410">
        <v>760</v>
      </c>
      <c r="AC4" s="410">
        <v>520</v>
      </c>
      <c r="AD4" s="410">
        <v>1080</v>
      </c>
      <c r="AE4" s="410">
        <v>870</v>
      </c>
      <c r="AF4" s="410">
        <v>445</v>
      </c>
      <c r="AG4" s="410">
        <v>190</v>
      </c>
      <c r="AH4" s="410">
        <v>120</v>
      </c>
      <c r="AI4" s="410">
        <v>640</v>
      </c>
      <c r="AJ4" s="410">
        <v>220</v>
      </c>
      <c r="AK4" s="410">
        <v>290</v>
      </c>
      <c r="AL4" s="410">
        <v>350</v>
      </c>
      <c r="AM4" s="410">
        <v>25</v>
      </c>
      <c r="AN4" s="410">
        <v>10</v>
      </c>
      <c r="AO4" s="410">
        <v>249</v>
      </c>
      <c r="AP4" s="410">
        <v>62</v>
      </c>
      <c r="AQ4" s="410">
        <v>16</v>
      </c>
      <c r="AR4" s="410">
        <v>7</v>
      </c>
      <c r="AS4" s="410">
        <v>7</v>
      </c>
      <c r="AT4" s="410">
        <v>10</v>
      </c>
      <c r="AU4" s="410">
        <v>7</v>
      </c>
      <c r="AV4" s="410">
        <v>9</v>
      </c>
      <c r="AW4" s="410">
        <v>7</v>
      </c>
      <c r="AX4" s="410">
        <v>11</v>
      </c>
      <c r="AY4" s="410">
        <v>3</v>
      </c>
      <c r="AZ4" s="410">
        <v>1</v>
      </c>
      <c r="BA4" s="410">
        <v>4</v>
      </c>
      <c r="BB4" s="410">
        <v>0</v>
      </c>
      <c r="BC4" s="410">
        <v>24</v>
      </c>
      <c r="BD4" s="410">
        <v>7</v>
      </c>
      <c r="BE4" s="410">
        <v>0</v>
      </c>
      <c r="BF4" s="410">
        <v>7</v>
      </c>
      <c r="BG4" s="410">
        <v>1</v>
      </c>
      <c r="BH4" s="410">
        <v>1</v>
      </c>
      <c r="BI4" s="410">
        <v>0</v>
      </c>
      <c r="BJ4" s="410">
        <v>2</v>
      </c>
      <c r="BK4" s="410">
        <v>8</v>
      </c>
      <c r="BL4" s="410">
        <v>19.399999999999999</v>
      </c>
      <c r="BM4" s="410">
        <v>156</v>
      </c>
    </row>
    <row r="5" spans="1:65" ht="15.75" thickBot="1" x14ac:dyDescent="0.3">
      <c r="A5" s="411" t="s">
        <v>109</v>
      </c>
      <c r="B5" s="411">
        <v>4</v>
      </c>
      <c r="C5" s="412">
        <v>10</v>
      </c>
      <c r="D5" s="411">
        <v>2021</v>
      </c>
      <c r="E5" s="410">
        <v>7287</v>
      </c>
      <c r="F5" s="410">
        <v>5758</v>
      </c>
      <c r="G5" s="413">
        <v>7157</v>
      </c>
      <c r="H5" s="413">
        <v>1595</v>
      </c>
      <c r="I5" s="413">
        <v>1497</v>
      </c>
      <c r="J5" s="410">
        <v>2208</v>
      </c>
      <c r="K5" s="410">
        <v>3858</v>
      </c>
      <c r="L5" s="410">
        <v>13231</v>
      </c>
      <c r="M5" s="410">
        <v>1500</v>
      </c>
      <c r="N5" s="410">
        <v>2550</v>
      </c>
      <c r="O5" s="410">
        <v>1500</v>
      </c>
      <c r="P5" s="410">
        <v>753</v>
      </c>
      <c r="Q5" s="410">
        <v>540</v>
      </c>
      <c r="R5" s="410">
        <v>700</v>
      </c>
      <c r="S5" s="410">
        <v>407</v>
      </c>
      <c r="T5" s="410">
        <v>980</v>
      </c>
      <c r="U5" s="410">
        <v>760</v>
      </c>
      <c r="V5" s="410">
        <v>1300</v>
      </c>
      <c r="W5" s="410">
        <v>151</v>
      </c>
      <c r="X5" s="410">
        <v>430</v>
      </c>
      <c r="Y5" s="410">
        <v>1180</v>
      </c>
      <c r="Z5" s="410">
        <v>410</v>
      </c>
      <c r="AA5" s="410">
        <v>760</v>
      </c>
      <c r="AB5" s="410">
        <v>770</v>
      </c>
      <c r="AC5" s="410">
        <v>440</v>
      </c>
      <c r="AD5" s="410">
        <v>1080</v>
      </c>
      <c r="AE5" s="410">
        <v>880</v>
      </c>
      <c r="AF5" s="410">
        <v>795</v>
      </c>
      <c r="AG5" s="410">
        <v>180</v>
      </c>
      <c r="AH5" s="410">
        <v>122</v>
      </c>
      <c r="AI5" s="410">
        <v>610</v>
      </c>
      <c r="AJ5" s="410">
        <v>210</v>
      </c>
      <c r="AK5" s="410">
        <v>400</v>
      </c>
      <c r="AL5" s="410">
        <v>650</v>
      </c>
      <c r="AM5" s="410">
        <v>11</v>
      </c>
      <c r="AN5" s="410">
        <v>62</v>
      </c>
      <c r="AO5" s="410">
        <v>222</v>
      </c>
      <c r="AP5" s="410">
        <v>45</v>
      </c>
      <c r="AQ5" s="410">
        <v>16</v>
      </c>
      <c r="AR5" s="410">
        <v>6</v>
      </c>
      <c r="AS5" s="410">
        <v>6</v>
      </c>
      <c r="AT5" s="410">
        <v>8</v>
      </c>
      <c r="AU5" s="410">
        <v>7</v>
      </c>
      <c r="AV5" s="410">
        <v>7</v>
      </c>
      <c r="AW5" s="410">
        <v>7</v>
      </c>
      <c r="AX5" s="410">
        <v>8</v>
      </c>
      <c r="AY5" s="410">
        <v>2</v>
      </c>
      <c r="AZ5" s="410">
        <v>0</v>
      </c>
      <c r="BA5" s="410">
        <v>10</v>
      </c>
      <c r="BB5" s="410">
        <v>3</v>
      </c>
      <c r="BC5" s="410">
        <v>20</v>
      </c>
      <c r="BD5" s="410">
        <v>4</v>
      </c>
      <c r="BE5" s="410">
        <v>1</v>
      </c>
      <c r="BF5" s="410">
        <v>9</v>
      </c>
      <c r="BG5" s="410">
        <v>2</v>
      </c>
      <c r="BH5" s="410">
        <v>2</v>
      </c>
      <c r="BI5" s="410">
        <v>0</v>
      </c>
      <c r="BJ5" s="410">
        <v>3</v>
      </c>
      <c r="BK5" s="410">
        <v>11</v>
      </c>
      <c r="BL5" s="410">
        <v>18.399999999999999</v>
      </c>
      <c r="BM5" s="410">
        <v>141</v>
      </c>
    </row>
    <row r="6" spans="1:65" ht="15.75" thickBot="1" x14ac:dyDescent="0.3">
      <c r="A6" s="411" t="s">
        <v>109</v>
      </c>
      <c r="B6" s="411">
        <v>5</v>
      </c>
      <c r="C6" s="412">
        <v>10</v>
      </c>
      <c r="D6" s="408">
        <v>2021</v>
      </c>
      <c r="E6" s="410">
        <v>4695</v>
      </c>
      <c r="F6" s="410">
        <v>10548</v>
      </c>
      <c r="G6" s="413">
        <v>2548</v>
      </c>
      <c r="H6" s="413">
        <v>27</v>
      </c>
      <c r="I6" s="413">
        <v>4675</v>
      </c>
      <c r="J6" s="410">
        <v>2083</v>
      </c>
      <c r="K6" s="410">
        <v>3329</v>
      </c>
      <c r="L6" s="410">
        <v>12533</v>
      </c>
      <c r="M6" s="410">
        <v>1600</v>
      </c>
      <c r="N6" s="410">
        <v>2609</v>
      </c>
      <c r="O6" s="410">
        <v>1400</v>
      </c>
      <c r="P6" s="410">
        <v>803</v>
      </c>
      <c r="Q6" s="410">
        <v>530</v>
      </c>
      <c r="R6" s="410">
        <v>1300</v>
      </c>
      <c r="S6" s="410">
        <v>376</v>
      </c>
      <c r="T6" s="410">
        <v>960</v>
      </c>
      <c r="U6" s="410">
        <v>670</v>
      </c>
      <c r="V6" s="410">
        <v>1400</v>
      </c>
      <c r="W6" s="410">
        <v>130</v>
      </c>
      <c r="X6" s="410">
        <v>420</v>
      </c>
      <c r="Y6" s="410">
        <v>1150</v>
      </c>
      <c r="Z6" s="410">
        <v>350</v>
      </c>
      <c r="AA6" s="410">
        <v>610</v>
      </c>
      <c r="AB6" s="410">
        <v>680</v>
      </c>
      <c r="AC6" s="410">
        <v>390</v>
      </c>
      <c r="AD6" s="410">
        <v>1000</v>
      </c>
      <c r="AE6" s="410">
        <v>750</v>
      </c>
      <c r="AF6" s="410">
        <v>510</v>
      </c>
      <c r="AG6" s="410">
        <v>170</v>
      </c>
      <c r="AH6" s="410">
        <v>138</v>
      </c>
      <c r="AI6" s="410">
        <v>590</v>
      </c>
      <c r="AJ6" s="410">
        <v>210</v>
      </c>
      <c r="AK6" s="410">
        <v>320</v>
      </c>
      <c r="AL6" s="410">
        <v>530</v>
      </c>
      <c r="AM6" s="410">
        <v>1</v>
      </c>
      <c r="AN6" s="410">
        <v>0</v>
      </c>
      <c r="AO6" s="410">
        <v>217</v>
      </c>
      <c r="AP6" s="410">
        <v>57</v>
      </c>
      <c r="AQ6" s="410">
        <v>21</v>
      </c>
      <c r="AR6" s="410">
        <v>6</v>
      </c>
      <c r="AS6" s="410">
        <v>8</v>
      </c>
      <c r="AT6" s="410">
        <v>9</v>
      </c>
      <c r="AU6" s="410">
        <v>5</v>
      </c>
      <c r="AV6" s="410">
        <v>4</v>
      </c>
      <c r="AW6" s="410">
        <v>9</v>
      </c>
      <c r="AX6" s="410">
        <v>8</v>
      </c>
      <c r="AY6" s="410">
        <v>1</v>
      </c>
      <c r="AZ6" s="410">
        <v>0</v>
      </c>
      <c r="BA6" s="410">
        <v>2</v>
      </c>
      <c r="BB6" s="410">
        <v>5</v>
      </c>
      <c r="BC6" s="410">
        <v>21</v>
      </c>
      <c r="BD6" s="410">
        <v>3</v>
      </c>
      <c r="BE6" s="410">
        <v>1</v>
      </c>
      <c r="BF6" s="410">
        <v>3</v>
      </c>
      <c r="BG6" s="410">
        <v>2</v>
      </c>
      <c r="BH6" s="410">
        <v>3</v>
      </c>
      <c r="BI6" s="410">
        <v>0</v>
      </c>
      <c r="BJ6" s="410">
        <v>2</v>
      </c>
      <c r="BK6" s="410">
        <v>0</v>
      </c>
      <c r="BL6" s="410">
        <v>18.399999999999999</v>
      </c>
      <c r="BM6" s="410">
        <v>131</v>
      </c>
    </row>
    <row r="7" spans="1:65" ht="15.75" thickBot="1" x14ac:dyDescent="0.3">
      <c r="A7" s="411" t="s">
        <v>109</v>
      </c>
      <c r="B7" s="411">
        <v>6</v>
      </c>
      <c r="C7" s="412">
        <v>10</v>
      </c>
      <c r="D7" s="411">
        <v>2021</v>
      </c>
      <c r="E7" s="410">
        <v>5576</v>
      </c>
      <c r="F7" s="410">
        <v>9782</v>
      </c>
      <c r="G7" s="413">
        <v>6770</v>
      </c>
      <c r="H7" s="413">
        <v>1524</v>
      </c>
      <c r="I7" s="413">
        <v>0</v>
      </c>
      <c r="J7" s="410">
        <v>2341</v>
      </c>
      <c r="K7" s="410">
        <v>4031</v>
      </c>
      <c r="L7" s="410">
        <v>12944</v>
      </c>
      <c r="M7" s="410">
        <v>1600</v>
      </c>
      <c r="N7" s="410">
        <v>2746</v>
      </c>
      <c r="O7" s="410">
        <v>1500</v>
      </c>
      <c r="P7" s="410">
        <v>809</v>
      </c>
      <c r="Q7" s="410">
        <v>600</v>
      </c>
      <c r="R7" s="410">
        <v>700</v>
      </c>
      <c r="S7" s="410">
        <v>379</v>
      </c>
      <c r="T7" s="410">
        <v>960</v>
      </c>
      <c r="U7" s="410">
        <v>730</v>
      </c>
      <c r="V7" s="410">
        <v>1300</v>
      </c>
      <c r="W7" s="410">
        <v>155</v>
      </c>
      <c r="X7" s="410">
        <v>430</v>
      </c>
      <c r="Y7" s="410">
        <v>1200</v>
      </c>
      <c r="Z7" s="410">
        <v>380</v>
      </c>
      <c r="AA7" s="410">
        <v>750</v>
      </c>
      <c r="AB7" s="410">
        <v>750</v>
      </c>
      <c r="AC7" s="410">
        <v>480</v>
      </c>
      <c r="AD7" s="410">
        <v>1280</v>
      </c>
      <c r="AE7" s="410">
        <v>860</v>
      </c>
      <c r="AF7" s="410">
        <v>650</v>
      </c>
      <c r="AG7" s="410">
        <v>190</v>
      </c>
      <c r="AH7" s="410">
        <v>138</v>
      </c>
      <c r="AI7" s="410">
        <v>610</v>
      </c>
      <c r="AJ7" s="410">
        <v>230</v>
      </c>
      <c r="AK7" s="410">
        <v>300</v>
      </c>
      <c r="AL7" s="410">
        <v>480</v>
      </c>
      <c r="AM7" s="410">
        <v>3</v>
      </c>
      <c r="AN7" s="410">
        <v>61</v>
      </c>
      <c r="AO7" s="410">
        <v>225</v>
      </c>
      <c r="AP7" s="410">
        <v>75</v>
      </c>
      <c r="AQ7" s="410">
        <v>10</v>
      </c>
      <c r="AR7" s="410">
        <v>5</v>
      </c>
      <c r="AS7" s="410">
        <v>8</v>
      </c>
      <c r="AT7" s="410">
        <v>8</v>
      </c>
      <c r="AU7" s="410">
        <v>7</v>
      </c>
      <c r="AV7" s="410">
        <v>9</v>
      </c>
      <c r="AW7" s="410">
        <v>4</v>
      </c>
      <c r="AX7" s="410">
        <v>12</v>
      </c>
      <c r="AY7" s="410">
        <v>3</v>
      </c>
      <c r="AZ7" s="410">
        <v>0</v>
      </c>
      <c r="BA7" s="410">
        <v>5</v>
      </c>
      <c r="BB7" s="410">
        <v>0</v>
      </c>
      <c r="BC7" s="410">
        <v>21</v>
      </c>
      <c r="BD7" s="410">
        <v>7</v>
      </c>
      <c r="BE7" s="410">
        <v>0</v>
      </c>
      <c r="BF7" s="410">
        <v>2</v>
      </c>
      <c r="BG7" s="410">
        <v>1</v>
      </c>
      <c r="BH7" s="410">
        <v>1</v>
      </c>
      <c r="BI7" s="410">
        <v>0</v>
      </c>
      <c r="BJ7" s="410">
        <v>2</v>
      </c>
      <c r="BK7" s="410">
        <v>5</v>
      </c>
      <c r="BL7" s="410">
        <v>14.6</v>
      </c>
      <c r="BM7" s="410">
        <v>122</v>
      </c>
    </row>
    <row r="8" spans="1:65" ht="15.75" thickBot="1" x14ac:dyDescent="0.3">
      <c r="A8" s="411" t="s">
        <v>109</v>
      </c>
      <c r="B8" s="411">
        <v>7</v>
      </c>
      <c r="C8" s="412">
        <v>10</v>
      </c>
      <c r="D8" s="408">
        <v>2021</v>
      </c>
      <c r="E8" s="410">
        <v>4603</v>
      </c>
      <c r="F8" s="410">
        <v>7514</v>
      </c>
      <c r="G8" s="413">
        <v>2259</v>
      </c>
      <c r="H8" s="413">
        <v>2657</v>
      </c>
      <c r="I8" s="413">
        <v>6969</v>
      </c>
      <c r="J8" s="410">
        <v>2355</v>
      </c>
      <c r="K8" s="410">
        <v>4044</v>
      </c>
      <c r="L8" s="410">
        <v>12706</v>
      </c>
      <c r="M8" s="410">
        <v>1600</v>
      </c>
      <c r="N8" s="410">
        <v>2711</v>
      </c>
      <c r="O8" s="410">
        <v>1500</v>
      </c>
      <c r="P8" s="410">
        <v>687</v>
      </c>
      <c r="Q8" s="410">
        <v>560</v>
      </c>
      <c r="R8" s="410">
        <v>1500</v>
      </c>
      <c r="S8" s="410">
        <v>393</v>
      </c>
      <c r="T8" s="410">
        <v>920</v>
      </c>
      <c r="U8" s="410">
        <v>770</v>
      </c>
      <c r="V8" s="410">
        <v>1200</v>
      </c>
      <c r="W8" s="410">
        <v>120</v>
      </c>
      <c r="X8" s="410">
        <v>460</v>
      </c>
      <c r="Y8" s="410">
        <v>1210</v>
      </c>
      <c r="Z8" s="410">
        <v>380</v>
      </c>
      <c r="AA8" s="410">
        <v>750</v>
      </c>
      <c r="AB8" s="410">
        <v>810</v>
      </c>
      <c r="AC8" s="410">
        <v>500</v>
      </c>
      <c r="AD8" s="410">
        <v>1290</v>
      </c>
      <c r="AE8" s="410">
        <v>880</v>
      </c>
      <c r="AF8" s="410">
        <v>650</v>
      </c>
      <c r="AG8" s="410">
        <v>180</v>
      </c>
      <c r="AH8" s="410">
        <v>129</v>
      </c>
      <c r="AI8" s="410">
        <v>640</v>
      </c>
      <c r="AJ8" s="410">
        <v>200</v>
      </c>
      <c r="AK8" s="410">
        <v>350</v>
      </c>
      <c r="AL8" s="410">
        <v>520</v>
      </c>
      <c r="AM8" s="410">
        <v>0</v>
      </c>
      <c r="AN8" s="410">
        <v>53</v>
      </c>
      <c r="AO8" s="410">
        <v>218</v>
      </c>
      <c r="AP8" s="410">
        <v>52</v>
      </c>
      <c r="AQ8" s="410">
        <v>15</v>
      </c>
      <c r="AR8" s="410">
        <v>6</v>
      </c>
      <c r="AS8" s="410">
        <v>5</v>
      </c>
      <c r="AT8" s="410">
        <v>10</v>
      </c>
      <c r="AU8" s="410">
        <v>7</v>
      </c>
      <c r="AV8" s="410">
        <v>7</v>
      </c>
      <c r="AW8" s="410">
        <v>7</v>
      </c>
      <c r="AX8" s="410">
        <v>11</v>
      </c>
      <c r="AY8" s="410">
        <v>1</v>
      </c>
      <c r="AZ8" s="410">
        <v>0</v>
      </c>
      <c r="BA8" s="410">
        <v>2</v>
      </c>
      <c r="BB8" s="410">
        <v>2</v>
      </c>
      <c r="BC8" s="410">
        <v>20</v>
      </c>
      <c r="BD8" s="410">
        <v>6</v>
      </c>
      <c r="BE8" s="410">
        <v>1</v>
      </c>
      <c r="BF8" s="410">
        <v>4</v>
      </c>
      <c r="BG8" s="410">
        <v>2</v>
      </c>
      <c r="BH8" s="410">
        <v>2</v>
      </c>
      <c r="BI8" s="410">
        <v>62</v>
      </c>
      <c r="BJ8" s="410">
        <v>1</v>
      </c>
      <c r="BK8" s="410">
        <v>3</v>
      </c>
      <c r="BL8" s="410">
        <v>15.5</v>
      </c>
      <c r="BM8" s="410">
        <v>134</v>
      </c>
    </row>
    <row r="9" spans="1:65" ht="15.75" thickBot="1" x14ac:dyDescent="0.3">
      <c r="A9" s="411" t="s">
        <v>109</v>
      </c>
      <c r="B9" s="411">
        <v>8</v>
      </c>
      <c r="C9" s="412">
        <v>10</v>
      </c>
      <c r="D9" s="411">
        <v>2021</v>
      </c>
      <c r="E9" s="410">
        <v>6403</v>
      </c>
      <c r="F9" s="410">
        <v>8568</v>
      </c>
      <c r="G9" s="413">
        <v>1552</v>
      </c>
      <c r="H9" s="413">
        <v>1657</v>
      </c>
      <c r="I9" s="413">
        <v>6348</v>
      </c>
      <c r="J9" s="410">
        <v>2472</v>
      </c>
      <c r="K9" s="410">
        <v>4490</v>
      </c>
      <c r="L9" s="410">
        <v>13014</v>
      </c>
      <c r="M9" s="410">
        <v>1700</v>
      </c>
      <c r="N9" s="410">
        <v>2815</v>
      </c>
      <c r="O9" s="410">
        <v>1400</v>
      </c>
      <c r="P9" s="410">
        <v>734</v>
      </c>
      <c r="Q9" s="410">
        <v>580</v>
      </c>
      <c r="R9" s="410">
        <v>800</v>
      </c>
      <c r="S9" s="410">
        <v>399</v>
      </c>
      <c r="T9" s="410">
        <v>990</v>
      </c>
      <c r="U9" s="410">
        <v>830</v>
      </c>
      <c r="V9" s="410">
        <v>1300</v>
      </c>
      <c r="W9" s="410">
        <v>163</v>
      </c>
      <c r="X9" s="410">
        <v>410</v>
      </c>
      <c r="Y9" s="410">
        <v>1210</v>
      </c>
      <c r="Z9" s="410">
        <v>470</v>
      </c>
      <c r="AA9" s="410">
        <v>850</v>
      </c>
      <c r="AB9" s="410">
        <v>840</v>
      </c>
      <c r="AC9" s="410">
        <v>550</v>
      </c>
      <c r="AD9" s="410">
        <v>1280</v>
      </c>
      <c r="AE9" s="410">
        <v>1130</v>
      </c>
      <c r="AF9" s="410">
        <v>680</v>
      </c>
      <c r="AG9" s="410">
        <v>250</v>
      </c>
      <c r="AH9" s="410">
        <v>132</v>
      </c>
      <c r="AI9" s="410">
        <v>650</v>
      </c>
      <c r="AJ9" s="410">
        <v>260</v>
      </c>
      <c r="AK9" s="410">
        <v>310</v>
      </c>
      <c r="AL9" s="410">
        <v>500</v>
      </c>
      <c r="AM9" s="410">
        <v>0</v>
      </c>
      <c r="AN9" s="410">
        <v>44</v>
      </c>
      <c r="AO9" s="410">
        <v>211</v>
      </c>
      <c r="AP9" s="410">
        <v>82</v>
      </c>
      <c r="AQ9" s="410">
        <v>17</v>
      </c>
      <c r="AR9" s="410">
        <v>4</v>
      </c>
      <c r="AS9" s="410">
        <v>2</v>
      </c>
      <c r="AT9" s="410">
        <v>10</v>
      </c>
      <c r="AU9" s="410">
        <v>5</v>
      </c>
      <c r="AV9" s="410">
        <v>6</v>
      </c>
      <c r="AW9" s="410">
        <v>7</v>
      </c>
      <c r="AX9" s="410">
        <v>9</v>
      </c>
      <c r="AY9" s="410">
        <v>2</v>
      </c>
      <c r="AZ9" s="410">
        <v>1</v>
      </c>
      <c r="BA9" s="410">
        <v>2</v>
      </c>
      <c r="BB9" s="410">
        <v>7</v>
      </c>
      <c r="BC9" s="410">
        <v>22</v>
      </c>
      <c r="BD9" s="410">
        <v>5</v>
      </c>
      <c r="BE9" s="410">
        <v>1</v>
      </c>
      <c r="BF9" s="410">
        <v>2</v>
      </c>
      <c r="BG9" s="410">
        <v>1</v>
      </c>
      <c r="BH9" s="410">
        <v>0</v>
      </c>
      <c r="BI9" s="410">
        <v>0</v>
      </c>
      <c r="BJ9" s="410">
        <v>2</v>
      </c>
      <c r="BK9" s="410">
        <v>4</v>
      </c>
      <c r="BL9" s="410">
        <v>17.5</v>
      </c>
      <c r="BM9" s="410">
        <v>126</v>
      </c>
    </row>
    <row r="10" spans="1:65" ht="15.75" thickBot="1" x14ac:dyDescent="0.3">
      <c r="A10" s="411" t="s">
        <v>109</v>
      </c>
      <c r="B10" s="411">
        <v>9</v>
      </c>
      <c r="C10" s="412">
        <v>10</v>
      </c>
      <c r="D10" s="408">
        <v>2021</v>
      </c>
      <c r="E10" s="410">
        <v>6008</v>
      </c>
      <c r="F10" s="410">
        <v>8114</v>
      </c>
      <c r="G10" s="413">
        <v>3348</v>
      </c>
      <c r="H10" s="413">
        <v>2157</v>
      </c>
      <c r="I10" s="413">
        <v>5773</v>
      </c>
      <c r="J10" s="410">
        <v>2526</v>
      </c>
      <c r="K10" s="410">
        <v>4139</v>
      </c>
      <c r="L10" s="410">
        <v>13392</v>
      </c>
      <c r="M10" s="410">
        <v>1600</v>
      </c>
      <c r="N10" s="410">
        <v>2794</v>
      </c>
      <c r="O10" s="410">
        <v>1800</v>
      </c>
      <c r="P10" s="410">
        <v>807</v>
      </c>
      <c r="Q10" s="410">
        <v>570</v>
      </c>
      <c r="R10" s="410">
        <v>1300</v>
      </c>
      <c r="S10" s="410">
        <v>420</v>
      </c>
      <c r="T10" s="410">
        <v>970</v>
      </c>
      <c r="U10" s="410">
        <v>860</v>
      </c>
      <c r="V10" s="410">
        <v>1200</v>
      </c>
      <c r="W10" s="410">
        <v>169</v>
      </c>
      <c r="X10" s="410">
        <v>410</v>
      </c>
      <c r="Y10" s="410">
        <v>1210</v>
      </c>
      <c r="Z10" s="410">
        <v>390</v>
      </c>
      <c r="AA10" s="410">
        <v>830</v>
      </c>
      <c r="AB10" s="410">
        <v>800</v>
      </c>
      <c r="AC10" s="410">
        <v>490</v>
      </c>
      <c r="AD10" s="410">
        <v>1390</v>
      </c>
      <c r="AE10" s="410">
        <v>1040</v>
      </c>
      <c r="AF10" s="410">
        <v>650</v>
      </c>
      <c r="AG10" s="410">
        <v>210</v>
      </c>
      <c r="AH10" s="410">
        <v>139</v>
      </c>
      <c r="AI10" s="410">
        <v>690</v>
      </c>
      <c r="AJ10" s="410">
        <v>230</v>
      </c>
      <c r="AK10" s="410">
        <v>250</v>
      </c>
      <c r="AL10" s="410">
        <v>460</v>
      </c>
      <c r="AM10" s="410">
        <v>3</v>
      </c>
      <c r="AN10" s="410">
        <v>106</v>
      </c>
      <c r="AO10" s="410">
        <v>212</v>
      </c>
      <c r="AP10" s="410">
        <v>26</v>
      </c>
      <c r="AQ10" s="410">
        <v>14</v>
      </c>
      <c r="AR10" s="410">
        <v>5</v>
      </c>
      <c r="AS10" s="410">
        <v>2</v>
      </c>
      <c r="AT10" s="410">
        <v>11</v>
      </c>
      <c r="AU10" s="410">
        <v>8</v>
      </c>
      <c r="AV10" s="410">
        <v>7</v>
      </c>
      <c r="AW10" s="410">
        <v>9</v>
      </c>
      <c r="AX10" s="410">
        <v>9</v>
      </c>
      <c r="AY10" s="410">
        <v>1</v>
      </c>
      <c r="AZ10" s="410">
        <v>2</v>
      </c>
      <c r="BA10" s="410">
        <v>7</v>
      </c>
      <c r="BB10" s="410">
        <v>0</v>
      </c>
      <c r="BC10" s="410">
        <v>23</v>
      </c>
      <c r="BD10" s="410">
        <v>6</v>
      </c>
      <c r="BE10" s="410">
        <v>0</v>
      </c>
      <c r="BF10" s="410">
        <v>4</v>
      </c>
      <c r="BG10" s="410">
        <v>2</v>
      </c>
      <c r="BH10" s="410">
        <v>1</v>
      </c>
      <c r="BI10" s="410">
        <v>0</v>
      </c>
      <c r="BJ10" s="410">
        <v>2</v>
      </c>
      <c r="BK10" s="410">
        <v>11</v>
      </c>
      <c r="BL10" s="410">
        <v>12.6</v>
      </c>
      <c r="BM10" s="410">
        <v>130</v>
      </c>
    </row>
    <row r="11" spans="1:65" ht="15.75" thickBot="1" x14ac:dyDescent="0.3">
      <c r="A11" s="411" t="s">
        <v>109</v>
      </c>
      <c r="B11" s="411">
        <v>10</v>
      </c>
      <c r="C11" s="412">
        <v>10</v>
      </c>
      <c r="D11" s="411">
        <v>2021</v>
      </c>
      <c r="E11" s="410">
        <v>2427</v>
      </c>
      <c r="F11" s="410">
        <v>9992</v>
      </c>
      <c r="G11" s="413">
        <v>5298</v>
      </c>
      <c r="H11" s="413">
        <v>1966</v>
      </c>
      <c r="I11" s="413">
        <v>5701</v>
      </c>
      <c r="J11" s="410">
        <v>2580</v>
      </c>
      <c r="K11" s="410">
        <v>4418</v>
      </c>
      <c r="L11" s="410">
        <v>13908</v>
      </c>
      <c r="M11" s="410">
        <v>1600</v>
      </c>
      <c r="N11" s="410">
        <v>2850</v>
      </c>
      <c r="O11" s="410">
        <v>1800</v>
      </c>
      <c r="P11" s="410">
        <v>832</v>
      </c>
      <c r="Q11" s="410">
        <v>590</v>
      </c>
      <c r="R11" s="410">
        <v>800</v>
      </c>
      <c r="S11" s="410">
        <v>447</v>
      </c>
      <c r="T11" s="410">
        <v>1010</v>
      </c>
      <c r="U11" s="410">
        <v>890</v>
      </c>
      <c r="V11" s="410">
        <v>1400</v>
      </c>
      <c r="W11" s="410">
        <v>156</v>
      </c>
      <c r="X11" s="410">
        <v>420</v>
      </c>
      <c r="Y11" s="410">
        <v>1190</v>
      </c>
      <c r="Z11" s="410">
        <v>430</v>
      </c>
      <c r="AA11" s="410">
        <v>990</v>
      </c>
      <c r="AB11" s="410">
        <v>720</v>
      </c>
      <c r="AC11" s="410">
        <v>460</v>
      </c>
      <c r="AD11" s="410">
        <v>1430</v>
      </c>
      <c r="AE11" s="410">
        <v>950</v>
      </c>
      <c r="AF11" s="410">
        <v>710</v>
      </c>
      <c r="AG11" s="410">
        <v>150</v>
      </c>
      <c r="AH11" s="410">
        <v>136</v>
      </c>
      <c r="AI11" s="410">
        <v>690</v>
      </c>
      <c r="AJ11" s="410">
        <v>220</v>
      </c>
      <c r="AK11" s="410">
        <v>330</v>
      </c>
      <c r="AL11" s="410">
        <v>480</v>
      </c>
      <c r="AM11" s="410">
        <v>0</v>
      </c>
      <c r="AN11" s="410">
        <v>65</v>
      </c>
      <c r="AO11" s="410">
        <v>219</v>
      </c>
      <c r="AP11" s="410">
        <v>90</v>
      </c>
      <c r="AQ11" s="410">
        <v>16</v>
      </c>
      <c r="AR11" s="410">
        <v>5</v>
      </c>
      <c r="AS11" s="410">
        <v>17</v>
      </c>
      <c r="AT11" s="410">
        <v>8</v>
      </c>
      <c r="AU11" s="410">
        <v>5</v>
      </c>
      <c r="AV11" s="410">
        <v>6</v>
      </c>
      <c r="AW11" s="410">
        <v>9</v>
      </c>
      <c r="AX11" s="410">
        <v>7</v>
      </c>
      <c r="AY11" s="410">
        <v>1</v>
      </c>
      <c r="AZ11" s="410">
        <v>0</v>
      </c>
      <c r="BA11" s="410">
        <v>2</v>
      </c>
      <c r="BB11" s="410">
        <v>1</v>
      </c>
      <c r="BC11" s="410">
        <v>23</v>
      </c>
      <c r="BD11" s="410">
        <v>0</v>
      </c>
      <c r="BE11" s="410">
        <v>1</v>
      </c>
      <c r="BF11" s="410">
        <v>4</v>
      </c>
      <c r="BG11" s="410">
        <v>2</v>
      </c>
      <c r="BH11" s="410">
        <v>3</v>
      </c>
      <c r="BI11" s="410">
        <v>45</v>
      </c>
      <c r="BJ11" s="410">
        <v>2</v>
      </c>
      <c r="BK11" s="410">
        <v>4</v>
      </c>
      <c r="BL11" s="410">
        <v>12.6</v>
      </c>
      <c r="BM11" s="410">
        <v>116</v>
      </c>
    </row>
    <row r="12" spans="1:65" ht="15.75" thickBot="1" x14ac:dyDescent="0.3">
      <c r="A12" s="411" t="s">
        <v>109</v>
      </c>
      <c r="B12" s="411">
        <v>11</v>
      </c>
      <c r="C12" s="412">
        <v>10</v>
      </c>
      <c r="D12" s="408">
        <v>2021</v>
      </c>
      <c r="E12" s="410">
        <v>8397</v>
      </c>
      <c r="F12" s="410">
        <v>5674</v>
      </c>
      <c r="G12" s="413">
        <v>422</v>
      </c>
      <c r="H12" s="413">
        <v>3230</v>
      </c>
      <c r="I12" s="413">
        <v>8392</v>
      </c>
      <c r="J12" s="410">
        <v>2400</v>
      </c>
      <c r="K12" s="410">
        <v>4486</v>
      </c>
      <c r="L12" s="410">
        <v>13888</v>
      </c>
      <c r="M12" s="410">
        <v>1500</v>
      </c>
      <c r="N12" s="410">
        <v>2797</v>
      </c>
      <c r="O12" s="410">
        <v>1700</v>
      </c>
      <c r="P12" s="410">
        <v>800</v>
      </c>
      <c r="Q12" s="410">
        <v>620</v>
      </c>
      <c r="R12" s="410">
        <v>1300</v>
      </c>
      <c r="S12" s="410">
        <v>428</v>
      </c>
      <c r="T12" s="410">
        <v>1000</v>
      </c>
      <c r="U12" s="410">
        <v>880</v>
      </c>
      <c r="V12" s="410">
        <v>1400</v>
      </c>
      <c r="W12" s="410">
        <v>157</v>
      </c>
      <c r="X12" s="410">
        <v>460</v>
      </c>
      <c r="Y12" s="410">
        <v>1200</v>
      </c>
      <c r="Z12" s="410">
        <v>400</v>
      </c>
      <c r="AA12" s="410">
        <v>890</v>
      </c>
      <c r="AB12" s="410">
        <v>720</v>
      </c>
      <c r="AC12" s="410">
        <v>510</v>
      </c>
      <c r="AD12" s="410">
        <v>1430</v>
      </c>
      <c r="AE12" s="410">
        <v>950</v>
      </c>
      <c r="AF12" s="410">
        <v>780</v>
      </c>
      <c r="AG12" s="410">
        <v>250</v>
      </c>
      <c r="AH12" s="410">
        <v>132</v>
      </c>
      <c r="AI12" s="410">
        <v>640</v>
      </c>
      <c r="AJ12" s="410">
        <v>240</v>
      </c>
      <c r="AK12" s="410">
        <v>330</v>
      </c>
      <c r="AL12" s="410">
        <v>530</v>
      </c>
      <c r="AM12" s="410">
        <v>0</v>
      </c>
      <c r="AN12" s="410">
        <v>91</v>
      </c>
      <c r="AO12" s="410">
        <v>209</v>
      </c>
      <c r="AP12" s="410">
        <v>72</v>
      </c>
      <c r="AQ12" s="410">
        <v>15</v>
      </c>
      <c r="AR12" s="410">
        <v>6</v>
      </c>
      <c r="AS12" s="410">
        <v>14</v>
      </c>
      <c r="AT12" s="410">
        <v>14</v>
      </c>
      <c r="AU12" s="410">
        <v>4</v>
      </c>
      <c r="AV12" s="410">
        <v>8</v>
      </c>
      <c r="AW12" s="410">
        <v>8</v>
      </c>
      <c r="AX12" s="410">
        <v>8</v>
      </c>
      <c r="AY12" s="410">
        <v>3</v>
      </c>
      <c r="AZ12" s="410">
        <v>3</v>
      </c>
      <c r="BA12" s="410">
        <v>8</v>
      </c>
      <c r="BB12" s="410">
        <v>3</v>
      </c>
      <c r="BC12" s="410">
        <v>25</v>
      </c>
      <c r="BD12" s="410">
        <v>4</v>
      </c>
      <c r="BE12" s="410">
        <v>0</v>
      </c>
      <c r="BF12" s="410">
        <v>7</v>
      </c>
      <c r="BG12" s="410">
        <v>3</v>
      </c>
      <c r="BH12" s="410">
        <v>1</v>
      </c>
      <c r="BI12" s="410">
        <v>12</v>
      </c>
      <c r="BJ12" s="410">
        <v>1</v>
      </c>
      <c r="BK12" s="410">
        <v>37</v>
      </c>
      <c r="BL12" s="410">
        <v>12.6</v>
      </c>
      <c r="BM12" s="410">
        <v>119</v>
      </c>
    </row>
    <row r="13" spans="1:65" ht="15.75" thickBot="1" x14ac:dyDescent="0.3">
      <c r="A13" s="411" t="s">
        <v>109</v>
      </c>
      <c r="B13" s="411">
        <v>12</v>
      </c>
      <c r="C13" s="412">
        <v>10</v>
      </c>
      <c r="D13" s="411">
        <v>2021</v>
      </c>
      <c r="E13" s="410">
        <v>8365</v>
      </c>
      <c r="F13" s="410">
        <v>6028</v>
      </c>
      <c r="G13" s="413">
        <v>0</v>
      </c>
      <c r="H13" s="413">
        <v>2611</v>
      </c>
      <c r="I13" s="413">
        <v>8364</v>
      </c>
      <c r="J13" s="410">
        <v>2579</v>
      </c>
      <c r="K13" s="410">
        <v>4633</v>
      </c>
      <c r="L13" s="410">
        <v>13425</v>
      </c>
      <c r="M13" s="410">
        <v>1600</v>
      </c>
      <c r="N13" s="410">
        <v>2758</v>
      </c>
      <c r="O13" s="410">
        <v>1600</v>
      </c>
      <c r="P13" s="410">
        <v>812</v>
      </c>
      <c r="Q13" s="410">
        <v>580</v>
      </c>
      <c r="R13" s="410">
        <v>800</v>
      </c>
      <c r="S13" s="410">
        <v>432</v>
      </c>
      <c r="T13" s="410">
        <v>990</v>
      </c>
      <c r="U13" s="410">
        <v>840</v>
      </c>
      <c r="V13" s="410">
        <v>1200</v>
      </c>
      <c r="W13" s="410">
        <v>151</v>
      </c>
      <c r="X13" s="410">
        <v>420</v>
      </c>
      <c r="Y13" s="410">
        <v>1250</v>
      </c>
      <c r="Z13" s="410">
        <v>410</v>
      </c>
      <c r="AA13" s="410">
        <v>860</v>
      </c>
      <c r="AB13" s="410">
        <v>750</v>
      </c>
      <c r="AC13" s="410">
        <v>630</v>
      </c>
      <c r="AD13" s="410">
        <v>1440</v>
      </c>
      <c r="AE13" s="410">
        <v>980</v>
      </c>
      <c r="AF13" s="410">
        <v>890</v>
      </c>
      <c r="AG13" s="410">
        <v>180</v>
      </c>
      <c r="AH13" s="410">
        <v>113</v>
      </c>
      <c r="AI13" s="410">
        <v>680</v>
      </c>
      <c r="AJ13" s="410">
        <v>190</v>
      </c>
      <c r="AK13" s="410">
        <v>300</v>
      </c>
      <c r="AL13" s="410">
        <v>520</v>
      </c>
      <c r="AM13" s="410">
        <v>0</v>
      </c>
      <c r="AN13" s="410">
        <v>61</v>
      </c>
      <c r="AO13" s="410">
        <v>275</v>
      </c>
      <c r="AP13" s="410">
        <v>80</v>
      </c>
      <c r="AQ13" s="410">
        <v>16</v>
      </c>
      <c r="AR13" s="410">
        <v>6</v>
      </c>
      <c r="AS13" s="410">
        <v>7</v>
      </c>
      <c r="AT13" s="410">
        <v>10</v>
      </c>
      <c r="AU13" s="410">
        <v>9</v>
      </c>
      <c r="AV13" s="410">
        <v>6</v>
      </c>
      <c r="AW13" s="410">
        <v>8</v>
      </c>
      <c r="AX13" s="410">
        <v>7</v>
      </c>
      <c r="AY13" s="410">
        <v>1</v>
      </c>
      <c r="AZ13" s="410">
        <v>0</v>
      </c>
      <c r="BA13" s="410">
        <v>8</v>
      </c>
      <c r="BB13" s="410">
        <v>6</v>
      </c>
      <c r="BC13" s="410">
        <v>24</v>
      </c>
      <c r="BD13" s="410">
        <v>5</v>
      </c>
      <c r="BE13" s="410">
        <v>1</v>
      </c>
      <c r="BF13" s="410">
        <v>8</v>
      </c>
      <c r="BG13" s="410">
        <v>2</v>
      </c>
      <c r="BH13" s="410">
        <v>2</v>
      </c>
      <c r="BI13" s="410">
        <v>12</v>
      </c>
      <c r="BJ13" s="410">
        <v>3</v>
      </c>
      <c r="BK13" s="410">
        <v>17</v>
      </c>
      <c r="BL13" s="410">
        <v>11.7</v>
      </c>
      <c r="BM13" s="410">
        <v>118</v>
      </c>
    </row>
    <row r="14" spans="1:65" ht="15.75" thickBot="1" x14ac:dyDescent="0.3">
      <c r="A14" s="411" t="s">
        <v>109</v>
      </c>
      <c r="B14" s="411">
        <v>13</v>
      </c>
      <c r="C14" s="412">
        <v>10</v>
      </c>
      <c r="D14" s="408">
        <v>2021</v>
      </c>
      <c r="E14" s="410">
        <v>5400</v>
      </c>
      <c r="F14" s="410">
        <v>9672</v>
      </c>
      <c r="G14" s="413">
        <v>4600</v>
      </c>
      <c r="H14" s="413">
        <v>3947</v>
      </c>
      <c r="I14" s="413">
        <v>2814</v>
      </c>
      <c r="J14" s="410">
        <v>2672</v>
      </c>
      <c r="K14" s="410">
        <v>4818</v>
      </c>
      <c r="L14" s="410">
        <v>13914</v>
      </c>
      <c r="M14" s="410">
        <v>1600</v>
      </c>
      <c r="N14" s="410">
        <v>2654</v>
      </c>
      <c r="O14" s="410">
        <v>1800</v>
      </c>
      <c r="P14" s="410">
        <v>820</v>
      </c>
      <c r="Q14" s="410">
        <v>600</v>
      </c>
      <c r="R14" s="410">
        <v>1300</v>
      </c>
      <c r="S14" s="410">
        <v>462</v>
      </c>
      <c r="T14" s="410">
        <v>1020</v>
      </c>
      <c r="U14" s="410">
        <v>850</v>
      </c>
      <c r="V14" s="410">
        <v>1200</v>
      </c>
      <c r="W14" s="410">
        <v>140</v>
      </c>
      <c r="X14" s="410">
        <v>420</v>
      </c>
      <c r="Y14" s="410">
        <v>1220</v>
      </c>
      <c r="Z14" s="410">
        <v>420</v>
      </c>
      <c r="AA14" s="410">
        <v>820</v>
      </c>
      <c r="AB14" s="410">
        <v>840</v>
      </c>
      <c r="AC14" s="410">
        <v>600</v>
      </c>
      <c r="AD14" s="410">
        <v>1520</v>
      </c>
      <c r="AE14" s="410">
        <v>1050</v>
      </c>
      <c r="AF14" s="410">
        <v>960</v>
      </c>
      <c r="AG14" s="410">
        <v>200</v>
      </c>
      <c r="AH14" s="410">
        <v>133</v>
      </c>
      <c r="AI14" s="410">
        <v>730</v>
      </c>
      <c r="AJ14" s="410">
        <v>230</v>
      </c>
      <c r="AK14" s="410">
        <v>340</v>
      </c>
      <c r="AL14" s="410">
        <v>480</v>
      </c>
      <c r="AM14" s="410">
        <v>0</v>
      </c>
      <c r="AN14" s="410">
        <v>108</v>
      </c>
      <c r="AO14" s="410">
        <v>267</v>
      </c>
      <c r="AP14" s="410">
        <v>1</v>
      </c>
      <c r="AQ14" s="410">
        <v>15</v>
      </c>
      <c r="AR14" s="410">
        <v>4</v>
      </c>
      <c r="AS14" s="410">
        <v>7</v>
      </c>
      <c r="AT14" s="410">
        <v>15</v>
      </c>
      <c r="AU14" s="410">
        <v>8</v>
      </c>
      <c r="AV14" s="410">
        <v>6</v>
      </c>
      <c r="AW14" s="410">
        <v>9</v>
      </c>
      <c r="AX14" s="410">
        <v>9</v>
      </c>
      <c r="AY14" s="410">
        <v>2</v>
      </c>
      <c r="AZ14" s="410">
        <v>1</v>
      </c>
      <c r="BA14" s="410">
        <v>3</v>
      </c>
      <c r="BB14" s="410">
        <v>3</v>
      </c>
      <c r="BC14" s="410">
        <v>23</v>
      </c>
      <c r="BD14" s="410">
        <v>4</v>
      </c>
      <c r="BE14" s="410">
        <v>0</v>
      </c>
      <c r="BF14" s="410">
        <v>12</v>
      </c>
      <c r="BG14" s="410">
        <v>2</v>
      </c>
      <c r="BH14" s="410">
        <v>2</v>
      </c>
      <c r="BI14" s="410">
        <v>15</v>
      </c>
      <c r="BJ14" s="410">
        <v>2</v>
      </c>
      <c r="BK14" s="410">
        <v>1</v>
      </c>
      <c r="BL14" s="410">
        <v>13.6</v>
      </c>
      <c r="BM14" s="410">
        <v>106</v>
      </c>
    </row>
    <row r="15" spans="1:65" ht="15.75" thickBot="1" x14ac:dyDescent="0.3">
      <c r="A15" s="411" t="s">
        <v>109</v>
      </c>
      <c r="B15" s="411">
        <v>14</v>
      </c>
      <c r="C15" s="412">
        <v>10</v>
      </c>
      <c r="D15" s="411">
        <v>2021</v>
      </c>
      <c r="E15" s="410">
        <v>8395</v>
      </c>
      <c r="F15" s="410">
        <v>5710</v>
      </c>
      <c r="G15" s="413">
        <v>2029</v>
      </c>
      <c r="H15" s="413">
        <v>2173</v>
      </c>
      <c r="I15" s="413">
        <v>8309</v>
      </c>
      <c r="J15" s="410">
        <v>2486</v>
      </c>
      <c r="K15" s="410">
        <v>5215</v>
      </c>
      <c r="L15" s="410">
        <v>14210</v>
      </c>
      <c r="M15" s="410">
        <v>1600</v>
      </c>
      <c r="N15" s="410">
        <v>2672</v>
      </c>
      <c r="O15" s="410">
        <v>1800</v>
      </c>
      <c r="P15" s="410">
        <v>834</v>
      </c>
      <c r="Q15" s="410">
        <v>640</v>
      </c>
      <c r="R15" s="410">
        <v>900</v>
      </c>
      <c r="S15" s="410">
        <v>469</v>
      </c>
      <c r="T15" s="410">
        <v>990</v>
      </c>
      <c r="U15" s="410">
        <v>890</v>
      </c>
      <c r="V15" s="410">
        <v>1400</v>
      </c>
      <c r="W15" s="410">
        <v>180</v>
      </c>
      <c r="X15" s="410">
        <v>470</v>
      </c>
      <c r="Y15" s="410">
        <v>1240</v>
      </c>
      <c r="Z15" s="410">
        <v>430</v>
      </c>
      <c r="AA15" s="410">
        <v>1050</v>
      </c>
      <c r="AB15" s="410">
        <v>910</v>
      </c>
      <c r="AC15" s="410">
        <v>670</v>
      </c>
      <c r="AD15" s="410">
        <v>1480</v>
      </c>
      <c r="AE15" s="410">
        <v>1010</v>
      </c>
      <c r="AF15" s="410">
        <v>1010</v>
      </c>
      <c r="AG15" s="410">
        <v>200</v>
      </c>
      <c r="AH15" s="410">
        <v>126</v>
      </c>
      <c r="AI15" s="410">
        <v>680</v>
      </c>
      <c r="AJ15" s="410">
        <v>220</v>
      </c>
      <c r="AK15" s="410">
        <v>350</v>
      </c>
      <c r="AL15" s="410">
        <v>760</v>
      </c>
      <c r="AM15" s="410">
        <v>0</v>
      </c>
      <c r="AN15" s="410">
        <v>62</v>
      </c>
      <c r="AO15" s="410">
        <v>238</v>
      </c>
      <c r="AP15" s="410">
        <v>76</v>
      </c>
      <c r="AQ15" s="410">
        <v>17</v>
      </c>
      <c r="AR15" s="410">
        <v>6</v>
      </c>
      <c r="AS15" s="410">
        <v>11</v>
      </c>
      <c r="AT15" s="410">
        <v>11</v>
      </c>
      <c r="AU15" s="410">
        <v>6</v>
      </c>
      <c r="AV15" s="410">
        <v>7</v>
      </c>
      <c r="AW15" s="410">
        <v>16</v>
      </c>
      <c r="AX15" s="410">
        <v>10</v>
      </c>
      <c r="AY15" s="410">
        <v>1</v>
      </c>
      <c r="AZ15" s="410">
        <v>0</v>
      </c>
      <c r="BA15" s="410">
        <v>6</v>
      </c>
      <c r="BB15" s="410">
        <v>3</v>
      </c>
      <c r="BC15" s="410">
        <v>24</v>
      </c>
      <c r="BD15" s="410">
        <v>4</v>
      </c>
      <c r="BE15" s="410">
        <v>1</v>
      </c>
      <c r="BF15" s="410">
        <v>2</v>
      </c>
      <c r="BG15" s="410">
        <v>6</v>
      </c>
      <c r="BH15" s="410">
        <v>2</v>
      </c>
      <c r="BI15" s="410">
        <v>21</v>
      </c>
      <c r="BJ15" s="410">
        <v>2</v>
      </c>
      <c r="BK15" s="410">
        <v>1</v>
      </c>
      <c r="BL15" s="410">
        <v>14.6</v>
      </c>
      <c r="BM15" s="410">
        <v>129</v>
      </c>
    </row>
    <row r="16" spans="1:65" ht="15.75" thickBot="1" x14ac:dyDescent="0.3">
      <c r="A16" s="411" t="s">
        <v>109</v>
      </c>
      <c r="B16" s="411">
        <v>15</v>
      </c>
      <c r="C16" s="412">
        <v>10</v>
      </c>
      <c r="D16" s="408">
        <v>2021</v>
      </c>
      <c r="E16" s="410">
        <v>8480</v>
      </c>
      <c r="F16" s="410">
        <v>6038</v>
      </c>
      <c r="G16" s="413">
        <v>63</v>
      </c>
      <c r="H16" s="413">
        <v>4332</v>
      </c>
      <c r="I16" s="413">
        <v>8469</v>
      </c>
      <c r="J16" s="410">
        <v>2618</v>
      </c>
      <c r="K16" s="410">
        <v>5586</v>
      </c>
      <c r="L16" s="410">
        <v>13986</v>
      </c>
      <c r="M16" s="410">
        <v>1700</v>
      </c>
      <c r="N16" s="410">
        <v>2876</v>
      </c>
      <c r="O16" s="410">
        <v>1700</v>
      </c>
      <c r="P16" s="410">
        <v>845</v>
      </c>
      <c r="Q16" s="410">
        <v>710</v>
      </c>
      <c r="R16" s="410">
        <v>1200</v>
      </c>
      <c r="S16" s="410">
        <v>465</v>
      </c>
      <c r="T16" s="410">
        <v>990</v>
      </c>
      <c r="U16" s="410">
        <v>890</v>
      </c>
      <c r="V16" s="410">
        <v>1300</v>
      </c>
      <c r="W16" s="410">
        <v>142</v>
      </c>
      <c r="X16" s="410">
        <v>440</v>
      </c>
      <c r="Y16" s="410">
        <v>1290</v>
      </c>
      <c r="Z16" s="410">
        <v>430</v>
      </c>
      <c r="AA16" s="410">
        <v>1050</v>
      </c>
      <c r="AB16" s="410">
        <v>1020</v>
      </c>
      <c r="AC16" s="410">
        <v>770</v>
      </c>
      <c r="AD16" s="410">
        <v>1700</v>
      </c>
      <c r="AE16" s="410">
        <v>980</v>
      </c>
      <c r="AF16" s="410">
        <v>1190</v>
      </c>
      <c r="AG16" s="410">
        <v>230</v>
      </c>
      <c r="AH16" s="410">
        <v>137</v>
      </c>
      <c r="AI16" s="410">
        <v>720</v>
      </c>
      <c r="AJ16" s="410">
        <v>240</v>
      </c>
      <c r="AK16" s="410">
        <v>220</v>
      </c>
      <c r="AL16" s="410">
        <v>190</v>
      </c>
      <c r="AM16" s="410">
        <v>27</v>
      </c>
      <c r="AN16" s="410">
        <v>71</v>
      </c>
      <c r="AO16" s="410">
        <v>247</v>
      </c>
      <c r="AP16" s="410">
        <v>61</v>
      </c>
      <c r="AQ16" s="410">
        <v>17</v>
      </c>
      <c r="AR16" s="410">
        <v>6</v>
      </c>
      <c r="AS16" s="410">
        <v>7</v>
      </c>
      <c r="AT16" s="410">
        <v>11</v>
      </c>
      <c r="AU16" s="410">
        <v>7</v>
      </c>
      <c r="AV16" s="410">
        <v>7</v>
      </c>
      <c r="AW16" s="410">
        <v>9</v>
      </c>
      <c r="AX16" s="410">
        <v>9</v>
      </c>
      <c r="AY16" s="410">
        <v>3</v>
      </c>
      <c r="AZ16" s="410">
        <v>2</v>
      </c>
      <c r="BA16" s="410">
        <v>12</v>
      </c>
      <c r="BB16" s="410">
        <v>8</v>
      </c>
      <c r="BC16" s="410">
        <v>22</v>
      </c>
      <c r="BD16" s="410">
        <v>6</v>
      </c>
      <c r="BE16" s="410">
        <v>1</v>
      </c>
      <c r="BF16" s="410">
        <v>5</v>
      </c>
      <c r="BG16" s="410">
        <v>2</v>
      </c>
      <c r="BH16" s="410">
        <v>2</v>
      </c>
      <c r="BI16" s="410">
        <v>11</v>
      </c>
      <c r="BJ16" s="410">
        <v>1</v>
      </c>
      <c r="BK16" s="410">
        <v>1</v>
      </c>
      <c r="BL16" s="410">
        <v>13.6</v>
      </c>
      <c r="BM16" s="410">
        <v>139</v>
      </c>
    </row>
    <row r="17" spans="1:65" ht="15.75" thickBot="1" x14ac:dyDescent="0.3">
      <c r="A17" s="411" t="s">
        <v>109</v>
      </c>
      <c r="B17" s="411">
        <v>16</v>
      </c>
      <c r="C17" s="412">
        <v>10</v>
      </c>
      <c r="D17" s="411">
        <v>2021</v>
      </c>
      <c r="E17" s="410">
        <v>8328</v>
      </c>
      <c r="F17" s="410">
        <v>5912</v>
      </c>
      <c r="G17" s="413">
        <v>0</v>
      </c>
      <c r="H17" s="413">
        <v>4800</v>
      </c>
      <c r="I17" s="413">
        <v>8312</v>
      </c>
      <c r="J17" s="410">
        <v>2587</v>
      </c>
      <c r="K17" s="410">
        <v>5509</v>
      </c>
      <c r="L17" s="410">
        <v>14193</v>
      </c>
      <c r="M17" s="410">
        <v>1700</v>
      </c>
      <c r="N17" s="410">
        <v>2780</v>
      </c>
      <c r="O17" s="410">
        <v>2100</v>
      </c>
      <c r="P17" s="410">
        <v>885</v>
      </c>
      <c r="Q17" s="410">
        <v>600</v>
      </c>
      <c r="R17" s="410">
        <v>1100</v>
      </c>
      <c r="S17" s="410">
        <v>445</v>
      </c>
      <c r="T17" s="410">
        <v>970</v>
      </c>
      <c r="U17" s="410">
        <v>880</v>
      </c>
      <c r="V17" s="410">
        <v>1300</v>
      </c>
      <c r="W17" s="410">
        <v>165</v>
      </c>
      <c r="X17" s="410">
        <v>430</v>
      </c>
      <c r="Y17" s="410">
        <v>1240</v>
      </c>
      <c r="Z17" s="410">
        <v>410</v>
      </c>
      <c r="AA17" s="410">
        <v>910</v>
      </c>
      <c r="AB17" s="410">
        <v>870</v>
      </c>
      <c r="AC17" s="410">
        <v>800</v>
      </c>
      <c r="AD17" s="410">
        <v>1620</v>
      </c>
      <c r="AE17" s="410">
        <v>1120</v>
      </c>
      <c r="AF17" s="410">
        <v>1220</v>
      </c>
      <c r="AG17" s="410">
        <v>220</v>
      </c>
      <c r="AH17" s="410">
        <v>138</v>
      </c>
      <c r="AI17" s="410">
        <v>700</v>
      </c>
      <c r="AJ17" s="410">
        <v>240</v>
      </c>
      <c r="AK17" s="410">
        <v>330</v>
      </c>
      <c r="AL17" s="410">
        <v>490</v>
      </c>
      <c r="AM17" s="410">
        <v>63</v>
      </c>
      <c r="AN17" s="410">
        <v>0</v>
      </c>
      <c r="AO17" s="410">
        <v>278</v>
      </c>
      <c r="AP17" s="410">
        <v>85</v>
      </c>
      <c r="AQ17" s="410">
        <v>19</v>
      </c>
      <c r="AR17" s="410">
        <v>5</v>
      </c>
      <c r="AS17" s="410">
        <v>8</v>
      </c>
      <c r="AT17" s="410">
        <v>12</v>
      </c>
      <c r="AU17" s="410">
        <v>7</v>
      </c>
      <c r="AV17" s="410">
        <v>7</v>
      </c>
      <c r="AW17" s="410">
        <v>11</v>
      </c>
      <c r="AX17" s="410">
        <v>9</v>
      </c>
      <c r="AY17" s="410">
        <v>2</v>
      </c>
      <c r="AZ17" s="410">
        <v>1</v>
      </c>
      <c r="BA17" s="410">
        <v>2</v>
      </c>
      <c r="BB17" s="410">
        <v>2</v>
      </c>
      <c r="BC17" s="410">
        <v>29</v>
      </c>
      <c r="BD17" s="410">
        <v>5</v>
      </c>
      <c r="BE17" s="410">
        <v>1</v>
      </c>
      <c r="BF17" s="410">
        <v>9</v>
      </c>
      <c r="BG17" s="410">
        <v>4</v>
      </c>
      <c r="BH17" s="410">
        <v>1</v>
      </c>
      <c r="BI17" s="410">
        <v>22</v>
      </c>
      <c r="BJ17" s="410">
        <v>1</v>
      </c>
      <c r="BK17" s="410">
        <v>3</v>
      </c>
      <c r="BL17" s="410">
        <v>19.399999999999999</v>
      </c>
      <c r="BM17" s="410">
        <v>204</v>
      </c>
    </row>
    <row r="18" spans="1:65" ht="15.75" thickBot="1" x14ac:dyDescent="0.3">
      <c r="A18" s="411" t="s">
        <v>109</v>
      </c>
      <c r="B18" s="411">
        <v>17</v>
      </c>
      <c r="C18" s="412">
        <v>10</v>
      </c>
      <c r="D18" s="408">
        <v>2021</v>
      </c>
      <c r="E18" s="410">
        <v>7977</v>
      </c>
      <c r="F18" s="410">
        <v>5665</v>
      </c>
      <c r="G18" s="413">
        <v>4203</v>
      </c>
      <c r="H18" s="413">
        <v>2395</v>
      </c>
      <c r="I18" s="413">
        <v>3397</v>
      </c>
      <c r="J18" s="410">
        <v>2213</v>
      </c>
      <c r="K18" s="410">
        <v>3714</v>
      </c>
      <c r="L18" s="410">
        <v>12771</v>
      </c>
      <c r="M18" s="410">
        <v>1600</v>
      </c>
      <c r="N18" s="410">
        <v>2513</v>
      </c>
      <c r="O18" s="410">
        <v>1600</v>
      </c>
      <c r="P18" s="410">
        <v>929</v>
      </c>
      <c r="Q18" s="410">
        <v>530</v>
      </c>
      <c r="R18" s="410">
        <v>1300</v>
      </c>
      <c r="S18" s="410">
        <v>354</v>
      </c>
      <c r="T18" s="410">
        <v>1000</v>
      </c>
      <c r="U18" s="410">
        <v>850</v>
      </c>
      <c r="V18" s="410">
        <v>1100</v>
      </c>
      <c r="W18" s="410">
        <v>162</v>
      </c>
      <c r="X18" s="410">
        <v>450</v>
      </c>
      <c r="Y18" s="410">
        <v>1150</v>
      </c>
      <c r="Z18" s="410">
        <v>360</v>
      </c>
      <c r="AA18" s="410">
        <v>760</v>
      </c>
      <c r="AB18" s="410">
        <v>670</v>
      </c>
      <c r="AC18" s="410">
        <v>490</v>
      </c>
      <c r="AD18" s="410">
        <v>960</v>
      </c>
      <c r="AE18" s="410">
        <v>740</v>
      </c>
      <c r="AF18" s="410">
        <v>760</v>
      </c>
      <c r="AG18" s="410">
        <v>180</v>
      </c>
      <c r="AH18" s="410">
        <v>149</v>
      </c>
      <c r="AI18" s="410">
        <v>670</v>
      </c>
      <c r="AJ18" s="410">
        <v>230</v>
      </c>
      <c r="AK18" s="410">
        <v>340</v>
      </c>
      <c r="AL18" s="410">
        <v>460</v>
      </c>
      <c r="AM18" s="410">
        <v>13</v>
      </c>
      <c r="AN18" s="410">
        <v>101</v>
      </c>
      <c r="AO18" s="410">
        <v>224</v>
      </c>
      <c r="AP18" s="410">
        <v>83</v>
      </c>
      <c r="AQ18" s="410">
        <v>12</v>
      </c>
      <c r="AR18" s="410">
        <v>5</v>
      </c>
      <c r="AS18" s="410">
        <v>7</v>
      </c>
      <c r="AT18" s="410">
        <v>12</v>
      </c>
      <c r="AU18" s="410">
        <v>6</v>
      </c>
      <c r="AV18" s="410">
        <v>12</v>
      </c>
      <c r="AW18" s="410">
        <v>10</v>
      </c>
      <c r="AX18" s="410">
        <v>8</v>
      </c>
      <c r="AY18" s="410">
        <v>2</v>
      </c>
      <c r="AZ18" s="410">
        <v>0</v>
      </c>
      <c r="BA18" s="410">
        <v>0</v>
      </c>
      <c r="BB18" s="410">
        <v>1</v>
      </c>
      <c r="BC18" s="410">
        <v>26</v>
      </c>
      <c r="BD18" s="410">
        <v>5</v>
      </c>
      <c r="BE18" s="410">
        <v>0</v>
      </c>
      <c r="BF18" s="410">
        <v>7</v>
      </c>
      <c r="BG18" s="410">
        <v>3</v>
      </c>
      <c r="BH18" s="410">
        <v>3</v>
      </c>
      <c r="BI18" s="410">
        <v>20</v>
      </c>
      <c r="BJ18" s="410">
        <v>1</v>
      </c>
      <c r="BK18" s="410">
        <v>2</v>
      </c>
      <c r="BL18" s="410">
        <v>17.5</v>
      </c>
      <c r="BM18" s="410">
        <v>159</v>
      </c>
    </row>
    <row r="19" spans="1:65" ht="15.75" thickBot="1" x14ac:dyDescent="0.3">
      <c r="A19" s="411" t="s">
        <v>109</v>
      </c>
      <c r="B19" s="411">
        <v>18</v>
      </c>
      <c r="C19" s="412">
        <v>10</v>
      </c>
      <c r="D19" s="411">
        <v>2021</v>
      </c>
      <c r="E19" s="410">
        <v>7858</v>
      </c>
      <c r="F19" s="410">
        <v>5992</v>
      </c>
      <c r="G19" s="413">
        <v>0</v>
      </c>
      <c r="H19" s="413">
        <v>743</v>
      </c>
      <c r="I19" s="413">
        <v>7838</v>
      </c>
      <c r="J19" s="410">
        <v>2166</v>
      </c>
      <c r="K19" s="410">
        <v>3083</v>
      </c>
      <c r="L19" s="410">
        <v>12201</v>
      </c>
      <c r="M19" s="410">
        <v>1700</v>
      </c>
      <c r="N19" s="410">
        <v>2482</v>
      </c>
      <c r="O19" s="410">
        <v>1600</v>
      </c>
      <c r="P19" s="410">
        <v>867</v>
      </c>
      <c r="Q19" s="410">
        <v>550</v>
      </c>
      <c r="R19" s="410">
        <v>1500</v>
      </c>
      <c r="S19" s="410">
        <v>320</v>
      </c>
      <c r="T19" s="410">
        <v>810</v>
      </c>
      <c r="U19" s="410">
        <v>720</v>
      </c>
      <c r="V19" s="410">
        <v>900</v>
      </c>
      <c r="W19" s="410">
        <v>113</v>
      </c>
      <c r="X19" s="410">
        <v>380</v>
      </c>
      <c r="Y19" s="410">
        <v>1140</v>
      </c>
      <c r="Z19" s="410">
        <v>380</v>
      </c>
      <c r="AA19" s="410">
        <v>680</v>
      </c>
      <c r="AB19" s="410">
        <v>540</v>
      </c>
      <c r="AC19" s="410">
        <v>380</v>
      </c>
      <c r="AD19" s="410">
        <v>800</v>
      </c>
      <c r="AE19" s="410">
        <v>640</v>
      </c>
      <c r="AF19" s="410">
        <v>540</v>
      </c>
      <c r="AG19" s="410">
        <v>160</v>
      </c>
      <c r="AH19" s="410">
        <v>157</v>
      </c>
      <c r="AI19" s="410">
        <v>660</v>
      </c>
      <c r="AJ19" s="410">
        <v>250</v>
      </c>
      <c r="AK19" s="410">
        <v>350</v>
      </c>
      <c r="AL19" s="410">
        <v>480</v>
      </c>
      <c r="AM19" s="410">
        <v>77</v>
      </c>
      <c r="AN19" s="410">
        <v>0</v>
      </c>
      <c r="AO19" s="410">
        <v>226</v>
      </c>
      <c r="AP19" s="410">
        <v>0</v>
      </c>
      <c r="AQ19" s="410">
        <v>19</v>
      </c>
      <c r="AR19" s="410">
        <v>5</v>
      </c>
      <c r="AS19" s="410">
        <v>6</v>
      </c>
      <c r="AT19" s="410">
        <v>10</v>
      </c>
      <c r="AU19" s="410">
        <v>7</v>
      </c>
      <c r="AV19" s="410">
        <v>6</v>
      </c>
      <c r="AW19" s="410">
        <v>9</v>
      </c>
      <c r="AX19" s="410">
        <v>9</v>
      </c>
      <c r="AY19" s="410">
        <v>2</v>
      </c>
      <c r="AZ19" s="410">
        <v>1</v>
      </c>
      <c r="BA19" s="410">
        <v>2</v>
      </c>
      <c r="BB19" s="410">
        <v>1</v>
      </c>
      <c r="BC19" s="410">
        <v>24</v>
      </c>
      <c r="BD19" s="410">
        <v>5</v>
      </c>
      <c r="BE19" s="410">
        <v>1</v>
      </c>
      <c r="BF19" s="410">
        <v>1</v>
      </c>
      <c r="BG19" s="410">
        <v>2</v>
      </c>
      <c r="BH19" s="410">
        <v>4</v>
      </c>
      <c r="BI19" s="410">
        <v>20</v>
      </c>
      <c r="BJ19" s="410">
        <v>0</v>
      </c>
      <c r="BK19" s="410">
        <v>1</v>
      </c>
      <c r="BL19" s="410">
        <v>19.399999999999999</v>
      </c>
      <c r="BM19" s="410">
        <v>185</v>
      </c>
    </row>
    <row r="20" spans="1:65" ht="15.75" thickBot="1" x14ac:dyDescent="0.3">
      <c r="A20" s="411" t="s">
        <v>109</v>
      </c>
      <c r="B20" s="411">
        <v>19</v>
      </c>
      <c r="C20" s="412">
        <v>10</v>
      </c>
      <c r="D20" s="408">
        <v>2021</v>
      </c>
      <c r="E20" s="410">
        <v>92</v>
      </c>
      <c r="F20" s="410">
        <v>14027</v>
      </c>
      <c r="G20" s="413">
        <v>5793</v>
      </c>
      <c r="H20" s="413">
        <v>739</v>
      </c>
      <c r="I20" s="413">
        <v>3330</v>
      </c>
      <c r="J20" s="410">
        <v>2456</v>
      </c>
      <c r="K20" s="410">
        <v>3558</v>
      </c>
      <c r="L20" s="410">
        <v>12646</v>
      </c>
      <c r="M20" s="410">
        <v>1700</v>
      </c>
      <c r="N20" s="410">
        <v>2688</v>
      </c>
      <c r="O20" s="410">
        <v>1700</v>
      </c>
      <c r="P20" s="410">
        <v>890</v>
      </c>
      <c r="Q20" s="410">
        <v>640</v>
      </c>
      <c r="R20" s="410">
        <v>1400</v>
      </c>
      <c r="S20" s="410">
        <v>354</v>
      </c>
      <c r="T20" s="410">
        <v>810</v>
      </c>
      <c r="U20" s="410">
        <v>690</v>
      </c>
      <c r="V20" s="410">
        <v>900</v>
      </c>
      <c r="W20" s="410">
        <v>113</v>
      </c>
      <c r="X20" s="410">
        <v>320</v>
      </c>
      <c r="Y20" s="410">
        <v>1124</v>
      </c>
      <c r="Z20" s="410">
        <v>420</v>
      </c>
      <c r="AA20" s="410">
        <v>730</v>
      </c>
      <c r="AB20" s="410">
        <v>500</v>
      </c>
      <c r="AC20" s="410">
        <v>500</v>
      </c>
      <c r="AD20" s="410">
        <v>850</v>
      </c>
      <c r="AE20" s="410">
        <v>820</v>
      </c>
      <c r="AF20" s="410">
        <v>620</v>
      </c>
      <c r="AG20" s="410">
        <v>250</v>
      </c>
      <c r="AH20" s="410">
        <v>140</v>
      </c>
      <c r="AI20" s="410">
        <v>680</v>
      </c>
      <c r="AJ20" s="410">
        <v>230</v>
      </c>
      <c r="AK20" s="410">
        <v>320</v>
      </c>
      <c r="AL20" s="410">
        <v>490</v>
      </c>
      <c r="AM20" s="410">
        <v>48</v>
      </c>
      <c r="AN20" s="410">
        <v>1</v>
      </c>
      <c r="AO20" s="410">
        <v>239</v>
      </c>
      <c r="AP20" s="410">
        <v>110</v>
      </c>
      <c r="AQ20" s="410">
        <v>18</v>
      </c>
      <c r="AR20" s="410">
        <v>5</v>
      </c>
      <c r="AS20" s="410">
        <v>7</v>
      </c>
      <c r="AT20" s="410">
        <v>11</v>
      </c>
      <c r="AU20" s="410">
        <v>6</v>
      </c>
      <c r="AV20" s="410">
        <v>6</v>
      </c>
      <c r="AW20" s="410">
        <v>8</v>
      </c>
      <c r="AX20" s="410">
        <v>6</v>
      </c>
      <c r="AY20" s="410">
        <v>2</v>
      </c>
      <c r="AZ20" s="410">
        <v>0</v>
      </c>
      <c r="BA20" s="410">
        <v>2</v>
      </c>
      <c r="BB20" s="410">
        <v>4</v>
      </c>
      <c r="BC20" s="410">
        <v>22</v>
      </c>
      <c r="BD20" s="410">
        <v>5</v>
      </c>
      <c r="BE20" s="410">
        <v>1</v>
      </c>
      <c r="BF20" s="410">
        <v>5</v>
      </c>
      <c r="BG20" s="410">
        <v>3</v>
      </c>
      <c r="BH20" s="410">
        <v>5</v>
      </c>
      <c r="BI20" s="410">
        <v>22</v>
      </c>
      <c r="BJ20" s="410">
        <v>2</v>
      </c>
      <c r="BK20" s="410">
        <v>2</v>
      </c>
      <c r="BL20" s="410">
        <v>16.5</v>
      </c>
      <c r="BM20" s="410">
        <v>157</v>
      </c>
    </row>
    <row r="21" spans="1:65" ht="15.75" thickBot="1" x14ac:dyDescent="0.3">
      <c r="A21" s="411" t="s">
        <v>109</v>
      </c>
      <c r="B21" s="411">
        <v>20</v>
      </c>
      <c r="C21" s="412">
        <v>10</v>
      </c>
      <c r="D21" s="411">
        <v>2021</v>
      </c>
      <c r="E21" s="410">
        <v>9754</v>
      </c>
      <c r="F21" s="410">
        <v>3128</v>
      </c>
      <c r="G21" s="413">
        <v>4959</v>
      </c>
      <c r="H21" s="413">
        <v>1189</v>
      </c>
      <c r="I21" s="413">
        <v>6122</v>
      </c>
      <c r="J21" s="410">
        <v>2455</v>
      </c>
      <c r="K21" s="410">
        <v>4113</v>
      </c>
      <c r="L21" s="410">
        <v>13316</v>
      </c>
      <c r="M21" s="410">
        <v>1800</v>
      </c>
      <c r="N21" s="410">
        <v>2694</v>
      </c>
      <c r="O21" s="410">
        <v>2000</v>
      </c>
      <c r="P21" s="410">
        <v>877</v>
      </c>
      <c r="Q21" s="410">
        <v>640</v>
      </c>
      <c r="R21" s="410">
        <v>1500</v>
      </c>
      <c r="S21" s="410">
        <v>402</v>
      </c>
      <c r="T21" s="410">
        <v>850</v>
      </c>
      <c r="U21" s="410">
        <v>740</v>
      </c>
      <c r="V21" s="410">
        <v>1000</v>
      </c>
      <c r="W21" s="410">
        <v>130</v>
      </c>
      <c r="X21" s="410">
        <v>320</v>
      </c>
      <c r="Y21" s="410">
        <v>1266</v>
      </c>
      <c r="Z21" s="410">
        <v>450</v>
      </c>
      <c r="AA21" s="410">
        <v>950</v>
      </c>
      <c r="AB21" s="410">
        <v>730</v>
      </c>
      <c r="AC21" s="410">
        <v>590</v>
      </c>
      <c r="AD21" s="410">
        <v>890</v>
      </c>
      <c r="AE21" s="410">
        <v>870</v>
      </c>
      <c r="AF21" s="410">
        <v>760</v>
      </c>
      <c r="AG21" s="410">
        <v>130</v>
      </c>
      <c r="AH21" s="410">
        <v>160</v>
      </c>
      <c r="AI21" s="410">
        <v>680</v>
      </c>
      <c r="AJ21" s="410">
        <v>270</v>
      </c>
      <c r="AK21" s="410">
        <v>380</v>
      </c>
      <c r="AL21" s="410">
        <v>410</v>
      </c>
      <c r="AM21" s="410">
        <v>60</v>
      </c>
      <c r="AN21" s="410">
        <v>0</v>
      </c>
      <c r="AO21" s="410">
        <v>272</v>
      </c>
      <c r="AP21" s="410">
        <v>72</v>
      </c>
      <c r="AQ21" s="410">
        <v>20</v>
      </c>
      <c r="AR21" s="410">
        <v>5</v>
      </c>
      <c r="AS21" s="410">
        <v>6</v>
      </c>
      <c r="AT21" s="410">
        <v>11</v>
      </c>
      <c r="AU21" s="410">
        <v>7</v>
      </c>
      <c r="AV21" s="410">
        <v>7</v>
      </c>
      <c r="AW21" s="410">
        <v>8</v>
      </c>
      <c r="AX21" s="410">
        <v>8</v>
      </c>
      <c r="AY21" s="410">
        <v>2</v>
      </c>
      <c r="AZ21" s="410">
        <v>1</v>
      </c>
      <c r="BA21" s="410">
        <v>11</v>
      </c>
      <c r="BB21" s="410">
        <v>4</v>
      </c>
      <c r="BC21" s="410">
        <v>24</v>
      </c>
      <c r="BD21" s="410">
        <v>5</v>
      </c>
      <c r="BE21" s="410">
        <v>1</v>
      </c>
      <c r="BF21" s="410">
        <v>6</v>
      </c>
      <c r="BG21" s="410">
        <v>3</v>
      </c>
      <c r="BH21" s="410">
        <v>3</v>
      </c>
      <c r="BI21" s="410">
        <v>15</v>
      </c>
      <c r="BJ21" s="410">
        <v>1</v>
      </c>
      <c r="BK21" s="410">
        <v>1</v>
      </c>
      <c r="BL21" s="410">
        <v>23.3</v>
      </c>
      <c r="BM21" s="410">
        <v>225</v>
      </c>
    </row>
    <row r="22" spans="1:65" ht="15.75" thickBot="1" x14ac:dyDescent="0.3">
      <c r="A22" s="411" t="s">
        <v>109</v>
      </c>
      <c r="B22" s="411">
        <v>21</v>
      </c>
      <c r="C22" s="412">
        <v>10</v>
      </c>
      <c r="D22" s="408">
        <v>2021</v>
      </c>
      <c r="E22" s="410">
        <v>4165</v>
      </c>
      <c r="F22" s="410">
        <v>13503</v>
      </c>
      <c r="G22" s="413">
        <v>3510</v>
      </c>
      <c r="H22" s="413">
        <v>1710</v>
      </c>
      <c r="I22" s="413">
        <v>3293</v>
      </c>
      <c r="J22" s="410">
        <v>2580</v>
      </c>
      <c r="K22" s="410">
        <v>4404</v>
      </c>
      <c r="L22" s="410">
        <v>13648</v>
      </c>
      <c r="M22" s="410">
        <v>1900</v>
      </c>
      <c r="N22" s="410">
        <v>2791</v>
      </c>
      <c r="O22" s="410">
        <v>2100</v>
      </c>
      <c r="P22" s="410">
        <v>895</v>
      </c>
      <c r="Q22" s="410">
        <v>610</v>
      </c>
      <c r="R22" s="410">
        <v>1700</v>
      </c>
      <c r="S22" s="410">
        <v>398</v>
      </c>
      <c r="T22" s="410">
        <v>940</v>
      </c>
      <c r="U22" s="410">
        <v>790</v>
      </c>
      <c r="V22" s="410">
        <v>1000</v>
      </c>
      <c r="W22" s="410">
        <v>141</v>
      </c>
      <c r="X22" s="410">
        <v>420</v>
      </c>
      <c r="Y22" s="410">
        <v>1190</v>
      </c>
      <c r="Z22" s="410">
        <v>460</v>
      </c>
      <c r="AA22" s="410">
        <v>400</v>
      </c>
      <c r="AB22" s="410">
        <v>380</v>
      </c>
      <c r="AC22" s="410">
        <v>320</v>
      </c>
      <c r="AD22" s="410">
        <v>500</v>
      </c>
      <c r="AE22" s="410">
        <v>810</v>
      </c>
      <c r="AF22" s="410">
        <v>790</v>
      </c>
      <c r="AG22" s="410">
        <v>220</v>
      </c>
      <c r="AH22" s="410">
        <v>188</v>
      </c>
      <c r="AI22" s="410">
        <v>490</v>
      </c>
      <c r="AJ22" s="410">
        <v>230</v>
      </c>
      <c r="AK22" s="410">
        <v>380</v>
      </c>
      <c r="AL22" s="410">
        <v>360</v>
      </c>
      <c r="AM22" s="410">
        <v>35</v>
      </c>
      <c r="AN22" s="410">
        <v>74</v>
      </c>
      <c r="AO22" s="410">
        <v>252</v>
      </c>
      <c r="AP22" s="410">
        <v>63</v>
      </c>
      <c r="AQ22" s="410">
        <v>21</v>
      </c>
      <c r="AR22" s="410">
        <v>6</v>
      </c>
      <c r="AS22" s="410">
        <v>7</v>
      </c>
      <c r="AT22" s="410">
        <v>11</v>
      </c>
      <c r="AU22" s="410">
        <v>7</v>
      </c>
      <c r="AV22" s="410">
        <v>7</v>
      </c>
      <c r="AW22" s="410">
        <v>11</v>
      </c>
      <c r="AX22" s="410">
        <v>10</v>
      </c>
      <c r="AY22" s="410">
        <v>3</v>
      </c>
      <c r="AZ22" s="410">
        <v>1</v>
      </c>
      <c r="BA22" s="410">
        <v>4</v>
      </c>
      <c r="BB22" s="410">
        <v>2</v>
      </c>
      <c r="BC22" s="410">
        <v>27</v>
      </c>
      <c r="BD22" s="410">
        <v>5</v>
      </c>
      <c r="BE22" s="410">
        <v>1</v>
      </c>
      <c r="BF22" s="410">
        <v>11</v>
      </c>
      <c r="BG22" s="410">
        <v>5</v>
      </c>
      <c r="BH22" s="410">
        <v>3</v>
      </c>
      <c r="BI22" s="410">
        <v>29</v>
      </c>
      <c r="BJ22" s="410">
        <v>2</v>
      </c>
      <c r="BK22" s="410">
        <v>0</v>
      </c>
      <c r="BL22" s="410">
        <v>28.2</v>
      </c>
      <c r="BM22" s="410">
        <v>260</v>
      </c>
    </row>
    <row r="23" spans="1:65" ht="15.75" thickBot="1" x14ac:dyDescent="0.3">
      <c r="A23" s="411" t="s">
        <v>109</v>
      </c>
      <c r="B23" s="411">
        <v>22</v>
      </c>
      <c r="C23" s="412">
        <v>10</v>
      </c>
      <c r="D23" s="411">
        <v>2021</v>
      </c>
      <c r="E23" s="410">
        <v>1299</v>
      </c>
      <c r="F23" s="410">
        <v>14689</v>
      </c>
      <c r="G23" s="413">
        <v>1223</v>
      </c>
      <c r="H23" s="413">
        <v>1052</v>
      </c>
      <c r="I23" s="413">
        <v>7071</v>
      </c>
      <c r="J23" s="410">
        <v>2455</v>
      </c>
      <c r="K23" s="410">
        <v>4099</v>
      </c>
      <c r="L23" s="410">
        <v>12982</v>
      </c>
      <c r="M23" s="410">
        <v>1800</v>
      </c>
      <c r="N23" s="410">
        <v>2688</v>
      </c>
      <c r="O23" s="410">
        <v>1700</v>
      </c>
      <c r="P23" s="410">
        <v>821</v>
      </c>
      <c r="Q23" s="410">
        <v>610</v>
      </c>
      <c r="R23" s="410">
        <v>1800</v>
      </c>
      <c r="S23" s="410">
        <v>356</v>
      </c>
      <c r="T23" s="410">
        <v>980</v>
      </c>
      <c r="U23" s="410">
        <v>810</v>
      </c>
      <c r="V23" s="410">
        <v>1000</v>
      </c>
      <c r="W23" s="410">
        <v>139</v>
      </c>
      <c r="X23" s="410">
        <v>440</v>
      </c>
      <c r="Y23" s="410">
        <v>1150</v>
      </c>
      <c r="Z23" s="410">
        <v>380</v>
      </c>
      <c r="AA23" s="410">
        <v>1810</v>
      </c>
      <c r="AB23" s="410">
        <v>1120</v>
      </c>
      <c r="AC23" s="410">
        <v>1030</v>
      </c>
      <c r="AD23" s="410">
        <v>1150</v>
      </c>
      <c r="AE23" s="410">
        <v>870</v>
      </c>
      <c r="AF23" s="410">
        <v>700</v>
      </c>
      <c r="AG23" s="410">
        <v>180</v>
      </c>
      <c r="AH23" s="410">
        <v>116</v>
      </c>
      <c r="AI23" s="410">
        <v>880</v>
      </c>
      <c r="AJ23" s="410">
        <v>280</v>
      </c>
      <c r="AK23" s="410">
        <v>220</v>
      </c>
      <c r="AL23" s="410">
        <v>380</v>
      </c>
      <c r="AM23" s="410">
        <v>88</v>
      </c>
      <c r="AN23" s="410">
        <v>0</v>
      </c>
      <c r="AO23" s="410">
        <v>256</v>
      </c>
      <c r="AP23" s="410">
        <v>76</v>
      </c>
      <c r="AQ23" s="410">
        <v>21</v>
      </c>
      <c r="AR23" s="410">
        <v>4</v>
      </c>
      <c r="AS23" s="410">
        <v>10</v>
      </c>
      <c r="AT23" s="410">
        <v>11</v>
      </c>
      <c r="AU23" s="410">
        <v>6</v>
      </c>
      <c r="AV23" s="410">
        <v>10</v>
      </c>
      <c r="AW23" s="410">
        <v>10</v>
      </c>
      <c r="AX23" s="410">
        <v>9</v>
      </c>
      <c r="AY23" s="410">
        <v>2</v>
      </c>
      <c r="AZ23" s="410">
        <v>0</v>
      </c>
      <c r="BA23" s="410">
        <v>4</v>
      </c>
      <c r="BB23" s="410">
        <v>6</v>
      </c>
      <c r="BC23" s="410">
        <v>27</v>
      </c>
      <c r="BD23" s="410">
        <v>4</v>
      </c>
      <c r="BE23" s="410">
        <v>0</v>
      </c>
      <c r="BF23" s="410">
        <v>7</v>
      </c>
      <c r="BG23" s="410">
        <v>3</v>
      </c>
      <c r="BH23" s="410">
        <v>2</v>
      </c>
      <c r="BI23" s="410">
        <v>21</v>
      </c>
      <c r="BJ23" s="410">
        <v>2</v>
      </c>
      <c r="BK23" s="410">
        <v>1</v>
      </c>
      <c r="BL23" s="410">
        <v>37.9</v>
      </c>
      <c r="BM23" s="410">
        <v>355</v>
      </c>
    </row>
    <row r="24" spans="1:65" ht="15.75" thickBot="1" x14ac:dyDescent="0.3">
      <c r="A24" s="411" t="s">
        <v>109</v>
      </c>
      <c r="B24" s="411">
        <v>23</v>
      </c>
      <c r="C24" s="412">
        <v>10</v>
      </c>
      <c r="D24" s="408">
        <v>2021</v>
      </c>
      <c r="E24" s="410">
        <v>6411</v>
      </c>
      <c r="F24" s="410">
        <v>8042</v>
      </c>
      <c r="G24" s="413">
        <v>5746</v>
      </c>
      <c r="H24" s="413">
        <v>951</v>
      </c>
      <c r="I24" s="413">
        <v>4913</v>
      </c>
      <c r="J24" s="410">
        <v>2512</v>
      </c>
      <c r="K24" s="410">
        <v>4549</v>
      </c>
      <c r="L24" s="410">
        <v>13268</v>
      </c>
      <c r="M24" s="410">
        <v>1800</v>
      </c>
      <c r="N24" s="410">
        <v>2833</v>
      </c>
      <c r="O24" s="410">
        <v>1900</v>
      </c>
      <c r="P24" s="410">
        <v>770</v>
      </c>
      <c r="Q24" s="410">
        <v>610</v>
      </c>
      <c r="R24" s="410">
        <v>1900</v>
      </c>
      <c r="S24" s="410">
        <v>402</v>
      </c>
      <c r="T24" s="410">
        <v>960</v>
      </c>
      <c r="U24" s="410">
        <v>790</v>
      </c>
      <c r="V24" s="410">
        <v>1000</v>
      </c>
      <c r="W24" s="410">
        <v>133</v>
      </c>
      <c r="X24" s="410">
        <v>460</v>
      </c>
      <c r="Y24" s="410">
        <v>1200</v>
      </c>
      <c r="Z24" s="410">
        <v>530</v>
      </c>
      <c r="AA24" s="410">
        <v>1150</v>
      </c>
      <c r="AB24" s="410">
        <v>760</v>
      </c>
      <c r="AC24" s="410">
        <v>710</v>
      </c>
      <c r="AD24" s="410">
        <v>960</v>
      </c>
      <c r="AE24" s="410">
        <v>840</v>
      </c>
      <c r="AF24" s="410">
        <v>860</v>
      </c>
      <c r="AG24" s="410">
        <v>200</v>
      </c>
      <c r="AH24" s="410">
        <v>147</v>
      </c>
      <c r="AI24" s="410">
        <v>660</v>
      </c>
      <c r="AJ24" s="410">
        <v>230</v>
      </c>
      <c r="AK24" s="410">
        <v>290</v>
      </c>
      <c r="AL24" s="410">
        <v>410</v>
      </c>
      <c r="AM24" s="410">
        <v>12</v>
      </c>
      <c r="AN24" s="410">
        <v>48</v>
      </c>
      <c r="AO24" s="410">
        <v>218</v>
      </c>
      <c r="AP24" s="410">
        <v>54</v>
      </c>
      <c r="AQ24" s="410">
        <v>23</v>
      </c>
      <c r="AR24" s="410">
        <v>5</v>
      </c>
      <c r="AS24" s="410">
        <v>7</v>
      </c>
      <c r="AT24" s="410">
        <v>11</v>
      </c>
      <c r="AU24" s="410">
        <v>8</v>
      </c>
      <c r="AV24" s="410">
        <v>5</v>
      </c>
      <c r="AW24" s="410">
        <v>9</v>
      </c>
      <c r="AX24" s="410">
        <v>9</v>
      </c>
      <c r="AY24" s="410">
        <v>2</v>
      </c>
      <c r="AZ24" s="410">
        <v>1</v>
      </c>
      <c r="BA24" s="410">
        <v>2</v>
      </c>
      <c r="BB24" s="410">
        <v>2</v>
      </c>
      <c r="BC24" s="410">
        <v>30</v>
      </c>
      <c r="BD24" s="410">
        <v>5</v>
      </c>
      <c r="BE24" s="410">
        <v>1</v>
      </c>
      <c r="BF24" s="410">
        <v>1</v>
      </c>
      <c r="BG24" s="410">
        <v>3</v>
      </c>
      <c r="BH24" s="410">
        <v>1</v>
      </c>
      <c r="BI24" s="410">
        <v>0</v>
      </c>
      <c r="BJ24" s="410">
        <v>1</v>
      </c>
      <c r="BK24" s="410">
        <v>0</v>
      </c>
      <c r="BL24" s="410">
        <v>36.9</v>
      </c>
      <c r="BM24" s="410">
        <v>323</v>
      </c>
    </row>
    <row r="25" spans="1:65" ht="15.75" thickBot="1" x14ac:dyDescent="0.3">
      <c r="A25" s="411" t="s">
        <v>109</v>
      </c>
      <c r="B25" s="411">
        <v>24</v>
      </c>
      <c r="C25" s="412">
        <v>10</v>
      </c>
      <c r="D25" s="411">
        <v>2021</v>
      </c>
      <c r="E25" s="410">
        <v>4989</v>
      </c>
      <c r="F25" s="410">
        <v>10318</v>
      </c>
      <c r="G25" s="413">
        <v>2409</v>
      </c>
      <c r="H25" s="413">
        <v>3427</v>
      </c>
      <c r="I25" s="413">
        <v>5173</v>
      </c>
      <c r="J25" s="410">
        <v>2611</v>
      </c>
      <c r="K25" s="410">
        <v>4538</v>
      </c>
      <c r="L25" s="410">
        <v>13343</v>
      </c>
      <c r="M25" s="410">
        <v>1700</v>
      </c>
      <c r="N25" s="410">
        <v>2854</v>
      </c>
      <c r="O25" s="410">
        <v>2000</v>
      </c>
      <c r="P25" s="410">
        <v>748</v>
      </c>
      <c r="Q25" s="410">
        <v>650</v>
      </c>
      <c r="R25" s="410">
        <v>1700</v>
      </c>
      <c r="S25" s="410">
        <v>377</v>
      </c>
      <c r="T25" s="410">
        <v>940</v>
      </c>
      <c r="U25" s="410">
        <v>770</v>
      </c>
      <c r="V25" s="410">
        <v>1100</v>
      </c>
      <c r="W25" s="410">
        <v>148</v>
      </c>
      <c r="X25" s="410">
        <v>450</v>
      </c>
      <c r="Y25" s="410">
        <v>1200</v>
      </c>
      <c r="Z25" s="410">
        <v>440</v>
      </c>
      <c r="AA25" s="410">
        <v>1020</v>
      </c>
      <c r="AB25" s="410">
        <v>830</v>
      </c>
      <c r="AC25" s="410">
        <v>770</v>
      </c>
      <c r="AD25" s="410">
        <v>1050</v>
      </c>
      <c r="AE25" s="410">
        <v>860</v>
      </c>
      <c r="AF25" s="410">
        <v>880</v>
      </c>
      <c r="AG25" s="410">
        <v>180</v>
      </c>
      <c r="AH25" s="410">
        <v>138</v>
      </c>
      <c r="AI25" s="410">
        <v>740</v>
      </c>
      <c r="AJ25" s="410">
        <v>240</v>
      </c>
      <c r="AK25" s="410">
        <v>390</v>
      </c>
      <c r="AL25" s="410">
        <v>880</v>
      </c>
      <c r="AM25" s="410">
        <v>0</v>
      </c>
      <c r="AN25" s="410">
        <v>119</v>
      </c>
      <c r="AO25" s="410">
        <v>244</v>
      </c>
      <c r="AP25" s="410">
        <v>66</v>
      </c>
      <c r="AQ25" s="410">
        <v>25</v>
      </c>
      <c r="AR25" s="410">
        <v>5</v>
      </c>
      <c r="AS25" s="410">
        <v>6</v>
      </c>
      <c r="AT25" s="410">
        <v>11</v>
      </c>
      <c r="AU25" s="410">
        <v>6</v>
      </c>
      <c r="AV25" s="410">
        <v>8</v>
      </c>
      <c r="AW25" s="410">
        <v>11</v>
      </c>
      <c r="AX25" s="410">
        <v>10</v>
      </c>
      <c r="AY25" s="410">
        <v>3</v>
      </c>
      <c r="AZ25" s="410">
        <v>1</v>
      </c>
      <c r="BA25" s="410">
        <v>10</v>
      </c>
      <c r="BB25" s="410">
        <v>1</v>
      </c>
      <c r="BC25" s="410">
        <v>28</v>
      </c>
      <c r="BD25" s="410">
        <v>5</v>
      </c>
      <c r="BE25" s="410">
        <v>1</v>
      </c>
      <c r="BF25" s="410">
        <v>0</v>
      </c>
      <c r="BG25" s="410">
        <v>6</v>
      </c>
      <c r="BH25" s="410">
        <v>5</v>
      </c>
      <c r="BI25" s="410">
        <v>1</v>
      </c>
      <c r="BJ25" s="410">
        <v>7</v>
      </c>
      <c r="BK25" s="410">
        <v>1</v>
      </c>
      <c r="BL25" s="410">
        <v>38.799999999999997</v>
      </c>
      <c r="BM25" s="410">
        <v>354</v>
      </c>
    </row>
    <row r="26" spans="1:65" ht="15.75" thickBot="1" x14ac:dyDescent="0.3">
      <c r="A26" s="411" t="s">
        <v>109</v>
      </c>
      <c r="B26" s="411">
        <v>25</v>
      </c>
      <c r="C26" s="412">
        <v>10</v>
      </c>
      <c r="D26" s="408">
        <v>2021</v>
      </c>
      <c r="E26" s="410">
        <v>8315</v>
      </c>
      <c r="F26" s="410">
        <v>5379</v>
      </c>
      <c r="G26" s="413">
        <v>0</v>
      </c>
      <c r="H26" s="413">
        <v>4569</v>
      </c>
      <c r="I26" s="413">
        <v>8329</v>
      </c>
      <c r="J26" s="410">
        <v>2524</v>
      </c>
      <c r="K26" s="410">
        <v>3983</v>
      </c>
      <c r="L26" s="410">
        <v>14335</v>
      </c>
      <c r="M26" s="410">
        <v>1800</v>
      </c>
      <c r="N26" s="410">
        <v>2778</v>
      </c>
      <c r="O26" s="410">
        <v>2000</v>
      </c>
      <c r="P26" s="410">
        <v>794</v>
      </c>
      <c r="Q26" s="410">
        <v>600</v>
      </c>
      <c r="R26" s="410">
        <v>2000</v>
      </c>
      <c r="S26" s="410">
        <v>427</v>
      </c>
      <c r="T26" s="410">
        <v>1000</v>
      </c>
      <c r="U26" s="410">
        <v>840</v>
      </c>
      <c r="V26" s="410">
        <v>1100</v>
      </c>
      <c r="W26" s="410">
        <v>147</v>
      </c>
      <c r="X26" s="410">
        <v>550</v>
      </c>
      <c r="Y26" s="410">
        <v>1220</v>
      </c>
      <c r="Z26" s="410">
        <v>500</v>
      </c>
      <c r="AA26" s="410">
        <v>880</v>
      </c>
      <c r="AB26" s="410">
        <v>690</v>
      </c>
      <c r="AC26" s="410">
        <v>610</v>
      </c>
      <c r="AD26" s="410">
        <v>900</v>
      </c>
      <c r="AE26" s="410">
        <v>640</v>
      </c>
      <c r="AF26" s="410">
        <v>740</v>
      </c>
      <c r="AG26" s="410">
        <v>170</v>
      </c>
      <c r="AH26" s="410">
        <v>137</v>
      </c>
      <c r="AI26" s="410">
        <v>650</v>
      </c>
      <c r="AJ26" s="410">
        <v>240</v>
      </c>
      <c r="AK26" s="410">
        <v>410</v>
      </c>
      <c r="AL26" s="410">
        <v>550</v>
      </c>
      <c r="AM26" s="410">
        <v>0</v>
      </c>
      <c r="AN26" s="410">
        <v>87</v>
      </c>
      <c r="AO26" s="410">
        <v>254</v>
      </c>
      <c r="AP26" s="410">
        <v>82</v>
      </c>
      <c r="AQ26" s="410">
        <v>21</v>
      </c>
      <c r="AR26" s="410">
        <v>5</v>
      </c>
      <c r="AS26" s="410">
        <v>9</v>
      </c>
      <c r="AT26" s="410">
        <v>11</v>
      </c>
      <c r="AU26" s="410">
        <v>8</v>
      </c>
      <c r="AV26" s="410">
        <v>7</v>
      </c>
      <c r="AW26" s="410">
        <v>10</v>
      </c>
      <c r="AX26" s="410">
        <v>8</v>
      </c>
      <c r="AY26" s="410">
        <v>2</v>
      </c>
      <c r="AZ26" s="410">
        <v>1</v>
      </c>
      <c r="BA26" s="410">
        <v>5</v>
      </c>
      <c r="BB26" s="410">
        <v>2</v>
      </c>
      <c r="BC26" s="410">
        <v>26</v>
      </c>
      <c r="BD26" s="410">
        <v>4</v>
      </c>
      <c r="BE26" s="410">
        <v>0</v>
      </c>
      <c r="BF26" s="410">
        <v>1</v>
      </c>
      <c r="BG26" s="410">
        <v>3</v>
      </c>
      <c r="BH26" s="410">
        <v>2</v>
      </c>
      <c r="BI26" s="410">
        <v>28</v>
      </c>
      <c r="BJ26" s="410">
        <v>2</v>
      </c>
      <c r="BK26" s="410">
        <v>1</v>
      </c>
      <c r="BL26" s="410">
        <v>43.7</v>
      </c>
      <c r="BM26" s="410">
        <v>390</v>
      </c>
    </row>
    <row r="27" spans="1:65" ht="15.75" thickBot="1" x14ac:dyDescent="0.3">
      <c r="A27" s="411" t="s">
        <v>109</v>
      </c>
      <c r="B27" s="411">
        <v>26</v>
      </c>
      <c r="C27" s="412">
        <v>10</v>
      </c>
      <c r="D27" s="411">
        <v>2021</v>
      </c>
      <c r="E27" s="410">
        <v>141</v>
      </c>
      <c r="F27" s="410">
        <v>12905</v>
      </c>
      <c r="G27" s="413">
        <v>5863</v>
      </c>
      <c r="H27" s="413">
        <v>3398</v>
      </c>
      <c r="I27" s="413">
        <v>3658</v>
      </c>
      <c r="J27" s="410">
        <v>2537</v>
      </c>
      <c r="K27" s="410">
        <v>3918</v>
      </c>
      <c r="L27" s="410">
        <v>13824</v>
      </c>
      <c r="M27" s="410">
        <v>1800</v>
      </c>
      <c r="N27" s="410">
        <v>2738</v>
      </c>
      <c r="O27" s="410">
        <v>2100</v>
      </c>
      <c r="P27" s="410">
        <v>749</v>
      </c>
      <c r="Q27" s="410">
        <v>660</v>
      </c>
      <c r="R27" s="410">
        <v>1700</v>
      </c>
      <c r="S27" s="410">
        <v>390</v>
      </c>
      <c r="T27" s="410">
        <v>950</v>
      </c>
      <c r="U27" s="410">
        <v>840</v>
      </c>
      <c r="V27" s="410">
        <v>1000</v>
      </c>
      <c r="W27" s="410">
        <v>143</v>
      </c>
      <c r="X27" s="410">
        <v>460</v>
      </c>
      <c r="Y27" s="410">
        <v>1240</v>
      </c>
      <c r="Z27" s="410">
        <v>480</v>
      </c>
      <c r="AA27" s="410">
        <v>980</v>
      </c>
      <c r="AB27" s="410">
        <v>860</v>
      </c>
      <c r="AC27" s="410">
        <v>650</v>
      </c>
      <c r="AD27" s="410">
        <v>850</v>
      </c>
      <c r="AE27" s="410">
        <v>700</v>
      </c>
      <c r="AF27" s="410">
        <v>620</v>
      </c>
      <c r="AG27" s="410">
        <v>200</v>
      </c>
      <c r="AH27" s="410">
        <v>151</v>
      </c>
      <c r="AI27" s="410">
        <v>720</v>
      </c>
      <c r="AJ27" s="410">
        <v>250</v>
      </c>
      <c r="AK27" s="410">
        <v>300</v>
      </c>
      <c r="AL27" s="410">
        <v>390</v>
      </c>
      <c r="AM27" s="410">
        <v>0</v>
      </c>
      <c r="AN27" s="410">
        <v>83</v>
      </c>
      <c r="AO27" s="410">
        <v>278</v>
      </c>
      <c r="AP27" s="410">
        <v>75</v>
      </c>
      <c r="AQ27" s="410">
        <v>24</v>
      </c>
      <c r="AR27" s="410">
        <v>5</v>
      </c>
      <c r="AS27" s="410">
        <v>8</v>
      </c>
      <c r="AT27" s="410">
        <v>10</v>
      </c>
      <c r="AU27" s="410">
        <v>7</v>
      </c>
      <c r="AV27" s="410">
        <v>7</v>
      </c>
      <c r="AW27" s="410">
        <v>10</v>
      </c>
      <c r="AX27" s="410">
        <v>8</v>
      </c>
      <c r="AY27" s="410">
        <v>2</v>
      </c>
      <c r="AZ27" s="410">
        <v>1</v>
      </c>
      <c r="BA27" s="410">
        <v>6</v>
      </c>
      <c r="BB27" s="410">
        <v>6</v>
      </c>
      <c r="BC27" s="410">
        <v>29</v>
      </c>
      <c r="BD27" s="410">
        <v>5</v>
      </c>
      <c r="BE27" s="410">
        <v>1</v>
      </c>
      <c r="BF27" s="410">
        <v>0</v>
      </c>
      <c r="BG27" s="410">
        <v>4</v>
      </c>
      <c r="BH27" s="410">
        <v>2</v>
      </c>
      <c r="BI27" s="410">
        <v>19</v>
      </c>
      <c r="BJ27" s="410">
        <v>2</v>
      </c>
      <c r="BK27" s="410">
        <v>1</v>
      </c>
      <c r="BL27" s="410">
        <v>41.7</v>
      </c>
      <c r="BM27" s="410">
        <v>415</v>
      </c>
    </row>
    <row r="28" spans="1:65" ht="15.75" thickBot="1" x14ac:dyDescent="0.3">
      <c r="A28" s="411" t="s">
        <v>109</v>
      </c>
      <c r="B28" s="411">
        <v>27</v>
      </c>
      <c r="C28" s="412">
        <v>10</v>
      </c>
      <c r="D28" s="408">
        <v>2021</v>
      </c>
      <c r="E28" s="410">
        <v>6349</v>
      </c>
      <c r="F28" s="410">
        <v>7111</v>
      </c>
      <c r="G28" s="413">
        <v>1006</v>
      </c>
      <c r="H28" s="413">
        <v>3983</v>
      </c>
      <c r="I28" s="413">
        <v>7422</v>
      </c>
      <c r="J28" s="410">
        <v>2486</v>
      </c>
      <c r="K28" s="410">
        <v>4081</v>
      </c>
      <c r="L28" s="410">
        <v>13857</v>
      </c>
      <c r="M28" s="410">
        <v>1900</v>
      </c>
      <c r="N28" s="410">
        <v>2697</v>
      </c>
      <c r="O28" s="410">
        <v>1900</v>
      </c>
      <c r="P28" s="410">
        <v>789</v>
      </c>
      <c r="Q28" s="410">
        <v>700</v>
      </c>
      <c r="R28" s="410">
        <v>1600</v>
      </c>
      <c r="S28" s="410">
        <v>403</v>
      </c>
      <c r="T28" s="410">
        <v>960</v>
      </c>
      <c r="U28" s="410">
        <v>820</v>
      </c>
      <c r="V28" s="410">
        <v>1000</v>
      </c>
      <c r="W28" s="410">
        <v>147</v>
      </c>
      <c r="X28" s="410">
        <v>450</v>
      </c>
      <c r="Y28" s="410">
        <v>1240</v>
      </c>
      <c r="Z28" s="410">
        <v>390</v>
      </c>
      <c r="AA28" s="410">
        <v>940</v>
      </c>
      <c r="AB28" s="410">
        <v>820</v>
      </c>
      <c r="AC28" s="410">
        <v>740</v>
      </c>
      <c r="AD28" s="410">
        <v>840</v>
      </c>
      <c r="AE28" s="410">
        <v>720</v>
      </c>
      <c r="AF28" s="410">
        <v>650</v>
      </c>
      <c r="AG28" s="410">
        <v>220</v>
      </c>
      <c r="AH28" s="410">
        <v>155</v>
      </c>
      <c r="AI28" s="410">
        <v>690</v>
      </c>
      <c r="AJ28" s="410">
        <v>240</v>
      </c>
      <c r="AK28" s="410">
        <v>350</v>
      </c>
      <c r="AL28" s="410">
        <v>500</v>
      </c>
      <c r="AM28" s="410">
        <v>0</v>
      </c>
      <c r="AN28" s="410">
        <v>102</v>
      </c>
      <c r="AO28" s="410">
        <v>236</v>
      </c>
      <c r="AP28" s="410">
        <v>74</v>
      </c>
      <c r="AQ28" s="410">
        <v>21</v>
      </c>
      <c r="AR28" s="410">
        <v>6</v>
      </c>
      <c r="AS28" s="410">
        <v>9</v>
      </c>
      <c r="AT28" s="410">
        <v>10</v>
      </c>
      <c r="AU28" s="410">
        <v>8</v>
      </c>
      <c r="AV28" s="410">
        <v>6</v>
      </c>
      <c r="AW28" s="410">
        <v>10</v>
      </c>
      <c r="AX28" s="410">
        <v>7</v>
      </c>
      <c r="AY28" s="410">
        <v>2</v>
      </c>
      <c r="AZ28" s="410">
        <v>2</v>
      </c>
      <c r="BA28" s="410">
        <v>4</v>
      </c>
      <c r="BB28" s="410">
        <v>0</v>
      </c>
      <c r="BC28" s="410">
        <v>26</v>
      </c>
      <c r="BD28" s="410">
        <v>5</v>
      </c>
      <c r="BE28" s="410">
        <v>1</v>
      </c>
      <c r="BF28" s="410">
        <v>1</v>
      </c>
      <c r="BG28" s="410">
        <v>5</v>
      </c>
      <c r="BH28" s="410">
        <v>3</v>
      </c>
      <c r="BI28" s="410">
        <v>20</v>
      </c>
      <c r="BJ28" s="410">
        <v>1</v>
      </c>
      <c r="BK28" s="410">
        <v>7</v>
      </c>
      <c r="BL28" s="410">
        <v>39.799999999999997</v>
      </c>
      <c r="BM28" s="410">
        <v>374</v>
      </c>
    </row>
    <row r="29" spans="1:65" ht="15.75" thickBot="1" x14ac:dyDescent="0.3">
      <c r="A29" s="414" t="s">
        <v>109</v>
      </c>
      <c r="B29" s="414">
        <v>28</v>
      </c>
      <c r="C29" s="415">
        <v>10</v>
      </c>
      <c r="D29" s="411">
        <v>2021</v>
      </c>
      <c r="E29" s="410">
        <v>5232</v>
      </c>
      <c r="F29" s="410">
        <v>10328</v>
      </c>
      <c r="G29" s="416">
        <v>5474</v>
      </c>
      <c r="H29" s="416">
        <v>2157</v>
      </c>
      <c r="I29" s="416">
        <v>3262</v>
      </c>
      <c r="J29" s="410">
        <v>2595</v>
      </c>
      <c r="K29" s="410">
        <v>4122</v>
      </c>
      <c r="L29" s="410">
        <v>14059</v>
      </c>
      <c r="M29" s="410">
        <v>1800</v>
      </c>
      <c r="N29" s="410">
        <v>2647</v>
      </c>
      <c r="O29" s="410">
        <v>2200</v>
      </c>
      <c r="P29" s="410">
        <v>815</v>
      </c>
      <c r="Q29" s="410">
        <v>640</v>
      </c>
      <c r="R29" s="410">
        <v>1800</v>
      </c>
      <c r="S29" s="410">
        <v>403</v>
      </c>
      <c r="T29" s="410">
        <v>910</v>
      </c>
      <c r="U29" s="410">
        <v>830</v>
      </c>
      <c r="V29" s="410">
        <v>1000</v>
      </c>
      <c r="W29" s="410">
        <v>142</v>
      </c>
      <c r="X29" s="410">
        <v>460</v>
      </c>
      <c r="Y29" s="410">
        <v>1240</v>
      </c>
      <c r="Z29" s="410">
        <v>410</v>
      </c>
      <c r="AA29" s="410">
        <v>960</v>
      </c>
      <c r="AB29" s="410">
        <v>840</v>
      </c>
      <c r="AC29" s="410">
        <v>760</v>
      </c>
      <c r="AD29" s="410">
        <v>930</v>
      </c>
      <c r="AE29" s="410">
        <v>690</v>
      </c>
      <c r="AF29" s="410">
        <v>700</v>
      </c>
      <c r="AG29" s="410">
        <v>190</v>
      </c>
      <c r="AH29" s="410">
        <v>156</v>
      </c>
      <c r="AI29" s="410">
        <v>760</v>
      </c>
      <c r="AJ29" s="410">
        <v>230</v>
      </c>
      <c r="AK29" s="410">
        <v>400</v>
      </c>
      <c r="AL29" s="410">
        <v>480</v>
      </c>
      <c r="AM29" s="410">
        <v>0</v>
      </c>
      <c r="AN29" s="410">
        <v>102</v>
      </c>
      <c r="AO29" s="410">
        <v>241</v>
      </c>
      <c r="AP29" s="410">
        <v>77</v>
      </c>
      <c r="AQ29" s="410">
        <v>22</v>
      </c>
      <c r="AR29" s="410">
        <v>5</v>
      </c>
      <c r="AS29" s="410">
        <v>8</v>
      </c>
      <c r="AT29" s="410">
        <v>11</v>
      </c>
      <c r="AU29" s="410">
        <v>8</v>
      </c>
      <c r="AV29" s="410">
        <v>7</v>
      </c>
      <c r="AW29" s="410">
        <v>9</v>
      </c>
      <c r="AX29" s="410">
        <v>7</v>
      </c>
      <c r="AY29" s="410">
        <v>2</v>
      </c>
      <c r="AZ29" s="410">
        <v>1</v>
      </c>
      <c r="BA29" s="410">
        <v>3</v>
      </c>
      <c r="BB29" s="410">
        <v>4</v>
      </c>
      <c r="BC29" s="410">
        <v>29</v>
      </c>
      <c r="BD29" s="410">
        <v>5</v>
      </c>
      <c r="BE29" s="410">
        <v>2</v>
      </c>
      <c r="BF29" s="410">
        <v>4</v>
      </c>
      <c r="BG29" s="410">
        <v>6</v>
      </c>
      <c r="BH29" s="410">
        <v>2</v>
      </c>
      <c r="BI29" s="410">
        <v>19</v>
      </c>
      <c r="BJ29" s="410">
        <v>2</v>
      </c>
      <c r="BK29" s="410">
        <v>8</v>
      </c>
      <c r="BL29" s="410">
        <v>39.799999999999997</v>
      </c>
      <c r="BM29" s="410">
        <v>374</v>
      </c>
    </row>
    <row r="30" spans="1:65" ht="15.75" thickBot="1" x14ac:dyDescent="0.3">
      <c r="A30" s="414" t="s">
        <v>109</v>
      </c>
      <c r="B30" s="414">
        <v>29</v>
      </c>
      <c r="C30" s="415">
        <v>10</v>
      </c>
      <c r="D30" s="408">
        <v>2021</v>
      </c>
      <c r="E30" s="410">
        <v>9310</v>
      </c>
      <c r="F30" s="410">
        <v>4324</v>
      </c>
      <c r="G30" s="416">
        <v>1831</v>
      </c>
      <c r="H30" s="416">
        <v>4310</v>
      </c>
      <c r="I30" s="416">
        <v>7261</v>
      </c>
      <c r="J30" s="410">
        <v>2697</v>
      </c>
      <c r="K30" s="410">
        <v>4351</v>
      </c>
      <c r="L30" s="410">
        <v>14358</v>
      </c>
      <c r="M30" s="410">
        <v>1600</v>
      </c>
      <c r="N30" s="410">
        <v>2709</v>
      </c>
      <c r="O30" s="410">
        <v>2200</v>
      </c>
      <c r="P30" s="410">
        <v>811</v>
      </c>
      <c r="Q30" s="410">
        <v>730</v>
      </c>
      <c r="R30" s="410">
        <v>1600</v>
      </c>
      <c r="S30" s="410">
        <v>407</v>
      </c>
      <c r="T30" s="410">
        <v>890</v>
      </c>
      <c r="U30" s="410">
        <v>870</v>
      </c>
      <c r="V30" s="410">
        <v>1100</v>
      </c>
      <c r="W30" s="410">
        <v>151</v>
      </c>
      <c r="X30" s="410">
        <v>460</v>
      </c>
      <c r="Y30" s="410">
        <v>1250</v>
      </c>
      <c r="Z30" s="410">
        <v>460</v>
      </c>
      <c r="AA30" s="410">
        <v>1090</v>
      </c>
      <c r="AB30" s="410">
        <v>900</v>
      </c>
      <c r="AC30" s="410">
        <v>690</v>
      </c>
      <c r="AD30" s="410">
        <v>1030</v>
      </c>
      <c r="AE30" s="410">
        <v>870</v>
      </c>
      <c r="AF30" s="410">
        <v>720</v>
      </c>
      <c r="AG30" s="410">
        <v>200</v>
      </c>
      <c r="AH30" s="410">
        <v>190</v>
      </c>
      <c r="AI30" s="410">
        <v>770</v>
      </c>
      <c r="AJ30" s="410">
        <v>250</v>
      </c>
      <c r="AK30" s="410">
        <v>260</v>
      </c>
      <c r="AL30" s="410">
        <v>480</v>
      </c>
      <c r="AM30" s="410">
        <v>0</v>
      </c>
      <c r="AN30" s="410">
        <v>104</v>
      </c>
      <c r="AO30" s="410">
        <v>263</v>
      </c>
      <c r="AP30" s="410">
        <v>93</v>
      </c>
      <c r="AQ30" s="410">
        <v>30</v>
      </c>
      <c r="AR30" s="410">
        <v>5</v>
      </c>
      <c r="AS30" s="410">
        <v>10</v>
      </c>
      <c r="AT30" s="410">
        <v>11</v>
      </c>
      <c r="AU30" s="410">
        <v>8</v>
      </c>
      <c r="AV30" s="410">
        <v>7</v>
      </c>
      <c r="AW30" s="410">
        <v>9</v>
      </c>
      <c r="AX30" s="410">
        <v>7</v>
      </c>
      <c r="AY30" s="410">
        <v>2</v>
      </c>
      <c r="AZ30" s="410">
        <v>3</v>
      </c>
      <c r="BA30" s="410">
        <v>8</v>
      </c>
      <c r="BB30" s="410">
        <v>5</v>
      </c>
      <c r="BC30" s="410">
        <v>27</v>
      </c>
      <c r="BD30" s="410">
        <v>4</v>
      </c>
      <c r="BE30" s="410">
        <v>0</v>
      </c>
      <c r="BF30" s="410">
        <v>17</v>
      </c>
      <c r="BG30" s="410">
        <v>3</v>
      </c>
      <c r="BH30" s="410">
        <v>4</v>
      </c>
      <c r="BI30" s="410">
        <v>26</v>
      </c>
      <c r="BJ30" s="410">
        <v>2</v>
      </c>
      <c r="BK30" s="410">
        <v>2</v>
      </c>
      <c r="BL30" s="410">
        <v>36.9</v>
      </c>
      <c r="BM30" s="410">
        <v>296</v>
      </c>
    </row>
    <row r="31" spans="1:65" ht="15.75" thickBot="1" x14ac:dyDescent="0.3">
      <c r="A31" s="414" t="s">
        <v>109</v>
      </c>
      <c r="B31" s="414">
        <v>30</v>
      </c>
      <c r="C31" s="415">
        <v>10</v>
      </c>
      <c r="D31" s="411">
        <v>2021</v>
      </c>
      <c r="E31" s="410">
        <v>6978</v>
      </c>
      <c r="F31" s="410">
        <v>8451</v>
      </c>
      <c r="G31" s="416">
        <v>0</v>
      </c>
      <c r="H31" s="416">
        <v>4396</v>
      </c>
      <c r="I31" s="416">
        <v>6927</v>
      </c>
      <c r="J31" s="410">
        <v>2702</v>
      </c>
      <c r="K31" s="410">
        <v>4377</v>
      </c>
      <c r="L31" s="410">
        <v>13954</v>
      </c>
      <c r="M31" s="410">
        <v>1800</v>
      </c>
      <c r="N31" s="410">
        <v>2808</v>
      </c>
      <c r="O31" s="410">
        <v>2000</v>
      </c>
      <c r="P31" s="410">
        <v>859</v>
      </c>
      <c r="Q31" s="410">
        <v>680</v>
      </c>
      <c r="R31" s="410">
        <v>1700</v>
      </c>
      <c r="S31" s="410">
        <v>392</v>
      </c>
      <c r="T31" s="410">
        <v>890</v>
      </c>
      <c r="U31" s="410">
        <v>830</v>
      </c>
      <c r="V31" s="410">
        <v>1100</v>
      </c>
      <c r="W31" s="410">
        <v>152</v>
      </c>
      <c r="X31" s="410">
        <v>430</v>
      </c>
      <c r="Y31" s="410">
        <v>1250</v>
      </c>
      <c r="Z31" s="410">
        <v>380</v>
      </c>
      <c r="AA31" s="410">
        <v>980</v>
      </c>
      <c r="AB31" s="410">
        <v>810</v>
      </c>
      <c r="AC31" s="410">
        <v>600</v>
      </c>
      <c r="AD31" s="410">
        <v>1260</v>
      </c>
      <c r="AE31" s="410">
        <v>870</v>
      </c>
      <c r="AF31" s="410">
        <v>690</v>
      </c>
      <c r="AG31" s="410">
        <v>180</v>
      </c>
      <c r="AH31" s="410">
        <v>935</v>
      </c>
      <c r="AI31" s="410">
        <v>700</v>
      </c>
      <c r="AJ31" s="410">
        <v>240</v>
      </c>
      <c r="AK31" s="410">
        <v>340</v>
      </c>
      <c r="AL31" s="410">
        <v>490</v>
      </c>
      <c r="AM31" s="410">
        <v>0</v>
      </c>
      <c r="AN31" s="410">
        <v>96</v>
      </c>
      <c r="AO31" s="410">
        <v>259</v>
      </c>
      <c r="AP31" s="410">
        <v>69</v>
      </c>
      <c r="AQ31" s="410">
        <v>19</v>
      </c>
      <c r="AR31" s="410">
        <v>5</v>
      </c>
      <c r="AS31" s="410">
        <v>6</v>
      </c>
      <c r="AT31" s="410">
        <v>10</v>
      </c>
      <c r="AU31" s="410">
        <v>7</v>
      </c>
      <c r="AV31" s="410">
        <v>6</v>
      </c>
      <c r="AW31" s="410">
        <v>11</v>
      </c>
      <c r="AX31" s="410">
        <v>7</v>
      </c>
      <c r="AY31" s="410">
        <v>2</v>
      </c>
      <c r="AZ31" s="410">
        <v>1</v>
      </c>
      <c r="BA31" s="410">
        <v>6</v>
      </c>
      <c r="BB31" s="410">
        <v>3</v>
      </c>
      <c r="BC31" s="410">
        <v>29</v>
      </c>
      <c r="BD31" s="410">
        <v>5</v>
      </c>
      <c r="BE31" s="410">
        <v>1</v>
      </c>
      <c r="BF31" s="410">
        <v>13</v>
      </c>
      <c r="BG31" s="410">
        <v>3</v>
      </c>
      <c r="BH31" s="410">
        <v>0</v>
      </c>
      <c r="BI31" s="410">
        <v>17</v>
      </c>
      <c r="BJ31" s="410">
        <v>1</v>
      </c>
      <c r="BK31" s="410">
        <v>1</v>
      </c>
      <c r="BL31" s="410">
        <v>30.1</v>
      </c>
      <c r="BM31" s="410">
        <v>227</v>
      </c>
    </row>
    <row r="32" spans="1:65" ht="15.75" thickBot="1" x14ac:dyDescent="0.3">
      <c r="A32" s="414" t="s">
        <v>109</v>
      </c>
      <c r="B32" s="414">
        <v>31</v>
      </c>
      <c r="C32" s="415">
        <v>10</v>
      </c>
      <c r="D32" s="408">
        <v>2021</v>
      </c>
      <c r="E32" s="410">
        <v>1772</v>
      </c>
      <c r="F32" s="410">
        <v>8540</v>
      </c>
      <c r="G32" s="416">
        <v>4461</v>
      </c>
      <c r="H32" s="416">
        <v>1022</v>
      </c>
      <c r="I32" s="416">
        <v>11241</v>
      </c>
      <c r="J32" s="410">
        <v>2721</v>
      </c>
      <c r="K32" s="410">
        <v>4505</v>
      </c>
      <c r="L32" s="410">
        <v>13894</v>
      </c>
      <c r="M32" s="410">
        <v>1600</v>
      </c>
      <c r="N32" s="410">
        <v>2897</v>
      </c>
      <c r="O32" s="410">
        <v>2200</v>
      </c>
      <c r="P32" s="410">
        <v>881</v>
      </c>
      <c r="Q32" s="410">
        <v>730</v>
      </c>
      <c r="R32" s="410">
        <v>1600</v>
      </c>
      <c r="S32" s="410">
        <v>442</v>
      </c>
      <c r="T32" s="410">
        <v>930</v>
      </c>
      <c r="U32" s="410">
        <v>900</v>
      </c>
      <c r="V32" s="410">
        <v>1000</v>
      </c>
      <c r="W32" s="410">
        <v>170</v>
      </c>
      <c r="X32" s="410">
        <v>440</v>
      </c>
      <c r="Y32" s="410">
        <v>1240</v>
      </c>
      <c r="Z32" s="410">
        <v>420</v>
      </c>
      <c r="AA32" s="410">
        <v>980</v>
      </c>
      <c r="AB32" s="410">
        <v>800</v>
      </c>
      <c r="AC32" s="410">
        <v>610</v>
      </c>
      <c r="AD32" s="410">
        <v>1300</v>
      </c>
      <c r="AE32" s="410">
        <v>790</v>
      </c>
      <c r="AF32" s="410">
        <v>770</v>
      </c>
      <c r="AG32" s="410">
        <v>180</v>
      </c>
      <c r="AH32" s="410">
        <v>0</v>
      </c>
      <c r="AI32" s="410">
        <v>730</v>
      </c>
      <c r="AJ32" s="410">
        <v>240</v>
      </c>
      <c r="AK32" s="410">
        <v>340</v>
      </c>
      <c r="AL32" s="410">
        <v>530</v>
      </c>
      <c r="AM32" s="410">
        <v>0</v>
      </c>
      <c r="AN32" s="410">
        <v>94</v>
      </c>
      <c r="AO32" s="410">
        <v>270</v>
      </c>
      <c r="AP32" s="410">
        <v>78</v>
      </c>
      <c r="AQ32" s="410">
        <v>21</v>
      </c>
      <c r="AR32" s="410">
        <v>5</v>
      </c>
      <c r="AS32" s="410">
        <v>9</v>
      </c>
      <c r="AT32" s="410">
        <v>11</v>
      </c>
      <c r="AU32" s="410">
        <v>7</v>
      </c>
      <c r="AV32" s="410">
        <v>7</v>
      </c>
      <c r="AW32" s="410">
        <v>9</v>
      </c>
      <c r="AX32" s="410">
        <v>7</v>
      </c>
      <c r="AY32" s="410">
        <v>3</v>
      </c>
      <c r="AZ32" s="410">
        <v>2</v>
      </c>
      <c r="BA32" s="410">
        <v>6</v>
      </c>
      <c r="BB32" s="410">
        <v>1</v>
      </c>
      <c r="BC32" s="410">
        <v>29</v>
      </c>
      <c r="BD32" s="410">
        <v>5</v>
      </c>
      <c r="BE32" s="410">
        <v>3</v>
      </c>
      <c r="BF32" s="410">
        <v>11</v>
      </c>
      <c r="BG32" s="410">
        <v>3</v>
      </c>
      <c r="BH32" s="410">
        <v>4</v>
      </c>
      <c r="BI32" s="410">
        <v>19</v>
      </c>
      <c r="BJ32" s="410">
        <v>1</v>
      </c>
      <c r="BK32" s="410">
        <v>2</v>
      </c>
      <c r="BL32" s="410">
        <v>31.1</v>
      </c>
      <c r="BM32" s="410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topLeftCell="A3" zoomScale="85" zoomScaleNormal="85" workbookViewId="0">
      <pane xSplit="1" topLeftCell="AZ1" activePane="topRight" state="frozen"/>
      <selection pane="topRight" activeCell="BP5" sqref="BP5:BQ35"/>
    </sheetView>
  </sheetViews>
  <sheetFormatPr defaultRowHeight="15" x14ac:dyDescent="0.25"/>
  <cols>
    <col min="1" max="1" width="14" style="177" customWidth="1"/>
    <col min="2" max="2" width="2" style="177" customWidth="1"/>
    <col min="3" max="3" width="11.85546875" style="192" customWidth="1"/>
    <col min="4" max="4" width="13.5703125" style="193" customWidth="1"/>
    <col min="5" max="5" width="14.85546875" style="177" customWidth="1"/>
    <col min="6" max="11" width="14.85546875" style="192" customWidth="1"/>
    <col min="12" max="12" width="16.140625" style="192" customWidth="1"/>
    <col min="13" max="40" width="14.85546875" style="192" customWidth="1"/>
    <col min="41" max="41" width="8.85546875" style="177" customWidth="1"/>
    <col min="42" max="67" width="12.5703125" style="177" customWidth="1"/>
    <col min="68" max="69" width="13" style="196" customWidth="1"/>
    <col min="70" max="75" width="9.140625" style="177"/>
    <col min="76" max="76" width="13.140625" style="177" bestFit="1" customWidth="1"/>
    <col min="77" max="313" width="9.140625" style="177"/>
    <col min="314" max="314" width="14" style="177" customWidth="1"/>
    <col min="315" max="315" width="2" style="177" customWidth="1"/>
    <col min="316" max="316" width="11.85546875" style="177" customWidth="1"/>
    <col min="317" max="317" width="13.5703125" style="177" customWidth="1"/>
    <col min="318" max="319" width="13.85546875" style="177" customWidth="1"/>
    <col min="320" max="321" width="14.85546875" style="177" customWidth="1"/>
    <col min="322" max="322" width="8.85546875" style="177" customWidth="1"/>
    <col min="323" max="323" width="12.5703125" style="177" customWidth="1"/>
    <col min="324" max="325" width="13" style="177" customWidth="1"/>
    <col min="326" max="569" width="9.140625" style="177"/>
    <col min="570" max="570" width="14" style="177" customWidth="1"/>
    <col min="571" max="571" width="2" style="177" customWidth="1"/>
    <col min="572" max="572" width="11.85546875" style="177" customWidth="1"/>
    <col min="573" max="573" width="13.5703125" style="177" customWidth="1"/>
    <col min="574" max="575" width="13.85546875" style="177" customWidth="1"/>
    <col min="576" max="577" width="14.85546875" style="177" customWidth="1"/>
    <col min="578" max="578" width="8.85546875" style="177" customWidth="1"/>
    <col min="579" max="579" width="12.5703125" style="177" customWidth="1"/>
    <col min="580" max="581" width="13" style="177" customWidth="1"/>
    <col min="582" max="825" width="9.140625" style="177"/>
    <col min="826" max="826" width="14" style="177" customWidth="1"/>
    <col min="827" max="827" width="2" style="177" customWidth="1"/>
    <col min="828" max="828" width="11.85546875" style="177" customWidth="1"/>
    <col min="829" max="829" width="13.5703125" style="177" customWidth="1"/>
    <col min="830" max="831" width="13.85546875" style="177" customWidth="1"/>
    <col min="832" max="833" width="14.85546875" style="177" customWidth="1"/>
    <col min="834" max="834" width="8.85546875" style="177" customWidth="1"/>
    <col min="835" max="835" width="12.5703125" style="177" customWidth="1"/>
    <col min="836" max="837" width="13" style="177" customWidth="1"/>
    <col min="838" max="1081" width="9.140625" style="177"/>
    <col min="1082" max="1082" width="14" style="177" customWidth="1"/>
    <col min="1083" max="1083" width="2" style="177" customWidth="1"/>
    <col min="1084" max="1084" width="11.85546875" style="177" customWidth="1"/>
    <col min="1085" max="1085" width="13.5703125" style="177" customWidth="1"/>
    <col min="1086" max="1087" width="13.85546875" style="177" customWidth="1"/>
    <col min="1088" max="1089" width="14.85546875" style="177" customWidth="1"/>
    <col min="1090" max="1090" width="8.85546875" style="177" customWidth="1"/>
    <col min="1091" max="1091" width="12.5703125" style="177" customWidth="1"/>
    <col min="1092" max="1093" width="13" style="177" customWidth="1"/>
    <col min="1094" max="1337" width="9.140625" style="177"/>
    <col min="1338" max="1338" width="14" style="177" customWidth="1"/>
    <col min="1339" max="1339" width="2" style="177" customWidth="1"/>
    <col min="1340" max="1340" width="11.85546875" style="177" customWidth="1"/>
    <col min="1341" max="1341" width="13.5703125" style="177" customWidth="1"/>
    <col min="1342" max="1343" width="13.85546875" style="177" customWidth="1"/>
    <col min="1344" max="1345" width="14.85546875" style="177" customWidth="1"/>
    <col min="1346" max="1346" width="8.85546875" style="177" customWidth="1"/>
    <col min="1347" max="1347" width="12.5703125" style="177" customWidth="1"/>
    <col min="1348" max="1349" width="13" style="177" customWidth="1"/>
    <col min="1350" max="1593" width="9.140625" style="177"/>
    <col min="1594" max="1594" width="14" style="177" customWidth="1"/>
    <col min="1595" max="1595" width="2" style="177" customWidth="1"/>
    <col min="1596" max="1596" width="11.85546875" style="177" customWidth="1"/>
    <col min="1597" max="1597" width="13.5703125" style="177" customWidth="1"/>
    <col min="1598" max="1599" width="13.85546875" style="177" customWidth="1"/>
    <col min="1600" max="1601" width="14.85546875" style="177" customWidth="1"/>
    <col min="1602" max="1602" width="8.85546875" style="177" customWidth="1"/>
    <col min="1603" max="1603" width="12.5703125" style="177" customWidth="1"/>
    <col min="1604" max="1605" width="13" style="177" customWidth="1"/>
    <col min="1606" max="1849" width="9.140625" style="177"/>
    <col min="1850" max="1850" width="14" style="177" customWidth="1"/>
    <col min="1851" max="1851" width="2" style="177" customWidth="1"/>
    <col min="1852" max="1852" width="11.85546875" style="177" customWidth="1"/>
    <col min="1853" max="1853" width="13.5703125" style="177" customWidth="1"/>
    <col min="1854" max="1855" width="13.85546875" style="177" customWidth="1"/>
    <col min="1856" max="1857" width="14.85546875" style="177" customWidth="1"/>
    <col min="1858" max="1858" width="8.85546875" style="177" customWidth="1"/>
    <col min="1859" max="1859" width="12.5703125" style="177" customWidth="1"/>
    <col min="1860" max="1861" width="13" style="177" customWidth="1"/>
    <col min="1862" max="2105" width="9.140625" style="177"/>
    <col min="2106" max="2106" width="14" style="177" customWidth="1"/>
    <col min="2107" max="2107" width="2" style="177" customWidth="1"/>
    <col min="2108" max="2108" width="11.85546875" style="177" customWidth="1"/>
    <col min="2109" max="2109" width="13.5703125" style="177" customWidth="1"/>
    <col min="2110" max="2111" width="13.85546875" style="177" customWidth="1"/>
    <col min="2112" max="2113" width="14.85546875" style="177" customWidth="1"/>
    <col min="2114" max="2114" width="8.85546875" style="177" customWidth="1"/>
    <col min="2115" max="2115" width="12.5703125" style="177" customWidth="1"/>
    <col min="2116" max="2117" width="13" style="177" customWidth="1"/>
    <col min="2118" max="2361" width="9.140625" style="177"/>
    <col min="2362" max="2362" width="14" style="177" customWidth="1"/>
    <col min="2363" max="2363" width="2" style="177" customWidth="1"/>
    <col min="2364" max="2364" width="11.85546875" style="177" customWidth="1"/>
    <col min="2365" max="2365" width="13.5703125" style="177" customWidth="1"/>
    <col min="2366" max="2367" width="13.85546875" style="177" customWidth="1"/>
    <col min="2368" max="2369" width="14.85546875" style="177" customWidth="1"/>
    <col min="2370" max="2370" width="8.85546875" style="177" customWidth="1"/>
    <col min="2371" max="2371" width="12.5703125" style="177" customWidth="1"/>
    <col min="2372" max="2373" width="13" style="177" customWidth="1"/>
    <col min="2374" max="2617" width="9.140625" style="177"/>
    <col min="2618" max="2618" width="14" style="177" customWidth="1"/>
    <col min="2619" max="2619" width="2" style="177" customWidth="1"/>
    <col min="2620" max="2620" width="11.85546875" style="177" customWidth="1"/>
    <col min="2621" max="2621" width="13.5703125" style="177" customWidth="1"/>
    <col min="2622" max="2623" width="13.85546875" style="177" customWidth="1"/>
    <col min="2624" max="2625" width="14.85546875" style="177" customWidth="1"/>
    <col min="2626" max="2626" width="8.85546875" style="177" customWidth="1"/>
    <col min="2627" max="2627" width="12.5703125" style="177" customWidth="1"/>
    <col min="2628" max="2629" width="13" style="177" customWidth="1"/>
    <col min="2630" max="2873" width="9.140625" style="177"/>
    <col min="2874" max="2874" width="14" style="177" customWidth="1"/>
    <col min="2875" max="2875" width="2" style="177" customWidth="1"/>
    <col min="2876" max="2876" width="11.85546875" style="177" customWidth="1"/>
    <col min="2877" max="2877" width="13.5703125" style="177" customWidth="1"/>
    <col min="2878" max="2879" width="13.85546875" style="177" customWidth="1"/>
    <col min="2880" max="2881" width="14.85546875" style="177" customWidth="1"/>
    <col min="2882" max="2882" width="8.85546875" style="177" customWidth="1"/>
    <col min="2883" max="2883" width="12.5703125" style="177" customWidth="1"/>
    <col min="2884" max="2885" width="13" style="177" customWidth="1"/>
    <col min="2886" max="3129" width="9.140625" style="177"/>
    <col min="3130" max="3130" width="14" style="177" customWidth="1"/>
    <col min="3131" max="3131" width="2" style="177" customWidth="1"/>
    <col min="3132" max="3132" width="11.85546875" style="177" customWidth="1"/>
    <col min="3133" max="3133" width="13.5703125" style="177" customWidth="1"/>
    <col min="3134" max="3135" width="13.85546875" style="177" customWidth="1"/>
    <col min="3136" max="3137" width="14.85546875" style="177" customWidth="1"/>
    <col min="3138" max="3138" width="8.85546875" style="177" customWidth="1"/>
    <col min="3139" max="3139" width="12.5703125" style="177" customWidth="1"/>
    <col min="3140" max="3141" width="13" style="177" customWidth="1"/>
    <col min="3142" max="3385" width="9.140625" style="177"/>
    <col min="3386" max="3386" width="14" style="177" customWidth="1"/>
    <col min="3387" max="3387" width="2" style="177" customWidth="1"/>
    <col min="3388" max="3388" width="11.85546875" style="177" customWidth="1"/>
    <col min="3389" max="3389" width="13.5703125" style="177" customWidth="1"/>
    <col min="3390" max="3391" width="13.85546875" style="177" customWidth="1"/>
    <col min="3392" max="3393" width="14.85546875" style="177" customWidth="1"/>
    <col min="3394" max="3394" width="8.85546875" style="177" customWidth="1"/>
    <col min="3395" max="3395" width="12.5703125" style="177" customWidth="1"/>
    <col min="3396" max="3397" width="13" style="177" customWidth="1"/>
    <col min="3398" max="3641" width="9.140625" style="177"/>
    <col min="3642" max="3642" width="14" style="177" customWidth="1"/>
    <col min="3643" max="3643" width="2" style="177" customWidth="1"/>
    <col min="3644" max="3644" width="11.85546875" style="177" customWidth="1"/>
    <col min="3645" max="3645" width="13.5703125" style="177" customWidth="1"/>
    <col min="3646" max="3647" width="13.85546875" style="177" customWidth="1"/>
    <col min="3648" max="3649" width="14.85546875" style="177" customWidth="1"/>
    <col min="3650" max="3650" width="8.85546875" style="177" customWidth="1"/>
    <col min="3651" max="3651" width="12.5703125" style="177" customWidth="1"/>
    <col min="3652" max="3653" width="13" style="177" customWidth="1"/>
    <col min="3654" max="3897" width="9.140625" style="177"/>
    <col min="3898" max="3898" width="14" style="177" customWidth="1"/>
    <col min="3899" max="3899" width="2" style="177" customWidth="1"/>
    <col min="3900" max="3900" width="11.85546875" style="177" customWidth="1"/>
    <col min="3901" max="3901" width="13.5703125" style="177" customWidth="1"/>
    <col min="3902" max="3903" width="13.85546875" style="177" customWidth="1"/>
    <col min="3904" max="3905" width="14.85546875" style="177" customWidth="1"/>
    <col min="3906" max="3906" width="8.85546875" style="177" customWidth="1"/>
    <col min="3907" max="3907" width="12.5703125" style="177" customWidth="1"/>
    <col min="3908" max="3909" width="13" style="177" customWidth="1"/>
    <col min="3910" max="4153" width="9.140625" style="177"/>
    <col min="4154" max="4154" width="14" style="177" customWidth="1"/>
    <col min="4155" max="4155" width="2" style="177" customWidth="1"/>
    <col min="4156" max="4156" width="11.85546875" style="177" customWidth="1"/>
    <col min="4157" max="4157" width="13.5703125" style="177" customWidth="1"/>
    <col min="4158" max="4159" width="13.85546875" style="177" customWidth="1"/>
    <col min="4160" max="4161" width="14.85546875" style="177" customWidth="1"/>
    <col min="4162" max="4162" width="8.85546875" style="177" customWidth="1"/>
    <col min="4163" max="4163" width="12.5703125" style="177" customWidth="1"/>
    <col min="4164" max="4165" width="13" style="177" customWidth="1"/>
    <col min="4166" max="4409" width="9.140625" style="177"/>
    <col min="4410" max="4410" width="14" style="177" customWidth="1"/>
    <col min="4411" max="4411" width="2" style="177" customWidth="1"/>
    <col min="4412" max="4412" width="11.85546875" style="177" customWidth="1"/>
    <col min="4413" max="4413" width="13.5703125" style="177" customWidth="1"/>
    <col min="4414" max="4415" width="13.85546875" style="177" customWidth="1"/>
    <col min="4416" max="4417" width="14.85546875" style="177" customWidth="1"/>
    <col min="4418" max="4418" width="8.85546875" style="177" customWidth="1"/>
    <col min="4419" max="4419" width="12.5703125" style="177" customWidth="1"/>
    <col min="4420" max="4421" width="13" style="177" customWidth="1"/>
    <col min="4422" max="4665" width="9.140625" style="177"/>
    <col min="4666" max="4666" width="14" style="177" customWidth="1"/>
    <col min="4667" max="4667" width="2" style="177" customWidth="1"/>
    <col min="4668" max="4668" width="11.85546875" style="177" customWidth="1"/>
    <col min="4669" max="4669" width="13.5703125" style="177" customWidth="1"/>
    <col min="4670" max="4671" width="13.85546875" style="177" customWidth="1"/>
    <col min="4672" max="4673" width="14.85546875" style="177" customWidth="1"/>
    <col min="4674" max="4674" width="8.85546875" style="177" customWidth="1"/>
    <col min="4675" max="4675" width="12.5703125" style="177" customWidth="1"/>
    <col min="4676" max="4677" width="13" style="177" customWidth="1"/>
    <col min="4678" max="4921" width="9.140625" style="177"/>
    <col min="4922" max="4922" width="14" style="177" customWidth="1"/>
    <col min="4923" max="4923" width="2" style="177" customWidth="1"/>
    <col min="4924" max="4924" width="11.85546875" style="177" customWidth="1"/>
    <col min="4925" max="4925" width="13.5703125" style="177" customWidth="1"/>
    <col min="4926" max="4927" width="13.85546875" style="177" customWidth="1"/>
    <col min="4928" max="4929" width="14.85546875" style="177" customWidth="1"/>
    <col min="4930" max="4930" width="8.85546875" style="177" customWidth="1"/>
    <col min="4931" max="4931" width="12.5703125" style="177" customWidth="1"/>
    <col min="4932" max="4933" width="13" style="177" customWidth="1"/>
    <col min="4934" max="5177" width="9.140625" style="177"/>
    <col min="5178" max="5178" width="14" style="177" customWidth="1"/>
    <col min="5179" max="5179" width="2" style="177" customWidth="1"/>
    <col min="5180" max="5180" width="11.85546875" style="177" customWidth="1"/>
    <col min="5181" max="5181" width="13.5703125" style="177" customWidth="1"/>
    <col min="5182" max="5183" width="13.85546875" style="177" customWidth="1"/>
    <col min="5184" max="5185" width="14.85546875" style="177" customWidth="1"/>
    <col min="5186" max="5186" width="8.85546875" style="177" customWidth="1"/>
    <col min="5187" max="5187" width="12.5703125" style="177" customWidth="1"/>
    <col min="5188" max="5189" width="13" style="177" customWidth="1"/>
    <col min="5190" max="5433" width="9.140625" style="177"/>
    <col min="5434" max="5434" width="14" style="177" customWidth="1"/>
    <col min="5435" max="5435" width="2" style="177" customWidth="1"/>
    <col min="5436" max="5436" width="11.85546875" style="177" customWidth="1"/>
    <col min="5437" max="5437" width="13.5703125" style="177" customWidth="1"/>
    <col min="5438" max="5439" width="13.85546875" style="177" customWidth="1"/>
    <col min="5440" max="5441" width="14.85546875" style="177" customWidth="1"/>
    <col min="5442" max="5442" width="8.85546875" style="177" customWidth="1"/>
    <col min="5443" max="5443" width="12.5703125" style="177" customWidth="1"/>
    <col min="5444" max="5445" width="13" style="177" customWidth="1"/>
    <col min="5446" max="5689" width="9.140625" style="177"/>
    <col min="5690" max="5690" width="14" style="177" customWidth="1"/>
    <col min="5691" max="5691" width="2" style="177" customWidth="1"/>
    <col min="5692" max="5692" width="11.85546875" style="177" customWidth="1"/>
    <col min="5693" max="5693" width="13.5703125" style="177" customWidth="1"/>
    <col min="5694" max="5695" width="13.85546875" style="177" customWidth="1"/>
    <col min="5696" max="5697" width="14.85546875" style="177" customWidth="1"/>
    <col min="5698" max="5698" width="8.85546875" style="177" customWidth="1"/>
    <col min="5699" max="5699" width="12.5703125" style="177" customWidth="1"/>
    <col min="5700" max="5701" width="13" style="177" customWidth="1"/>
    <col min="5702" max="5945" width="9.140625" style="177"/>
    <col min="5946" max="5946" width="14" style="177" customWidth="1"/>
    <col min="5947" max="5947" width="2" style="177" customWidth="1"/>
    <col min="5948" max="5948" width="11.85546875" style="177" customWidth="1"/>
    <col min="5949" max="5949" width="13.5703125" style="177" customWidth="1"/>
    <col min="5950" max="5951" width="13.85546875" style="177" customWidth="1"/>
    <col min="5952" max="5953" width="14.85546875" style="177" customWidth="1"/>
    <col min="5954" max="5954" width="8.85546875" style="177" customWidth="1"/>
    <col min="5955" max="5955" width="12.5703125" style="177" customWidth="1"/>
    <col min="5956" max="5957" width="13" style="177" customWidth="1"/>
    <col min="5958" max="6201" width="9.140625" style="177"/>
    <col min="6202" max="6202" width="14" style="177" customWidth="1"/>
    <col min="6203" max="6203" width="2" style="177" customWidth="1"/>
    <col min="6204" max="6204" width="11.85546875" style="177" customWidth="1"/>
    <col min="6205" max="6205" width="13.5703125" style="177" customWidth="1"/>
    <col min="6206" max="6207" width="13.85546875" style="177" customWidth="1"/>
    <col min="6208" max="6209" width="14.85546875" style="177" customWidth="1"/>
    <col min="6210" max="6210" width="8.85546875" style="177" customWidth="1"/>
    <col min="6211" max="6211" width="12.5703125" style="177" customWidth="1"/>
    <col min="6212" max="6213" width="13" style="177" customWidth="1"/>
    <col min="6214" max="6457" width="9.140625" style="177"/>
    <col min="6458" max="6458" width="14" style="177" customWidth="1"/>
    <col min="6459" max="6459" width="2" style="177" customWidth="1"/>
    <col min="6460" max="6460" width="11.85546875" style="177" customWidth="1"/>
    <col min="6461" max="6461" width="13.5703125" style="177" customWidth="1"/>
    <col min="6462" max="6463" width="13.85546875" style="177" customWidth="1"/>
    <col min="6464" max="6465" width="14.85546875" style="177" customWidth="1"/>
    <col min="6466" max="6466" width="8.85546875" style="177" customWidth="1"/>
    <col min="6467" max="6467" width="12.5703125" style="177" customWidth="1"/>
    <col min="6468" max="6469" width="13" style="177" customWidth="1"/>
    <col min="6470" max="6713" width="9.140625" style="177"/>
    <col min="6714" max="6714" width="14" style="177" customWidth="1"/>
    <col min="6715" max="6715" width="2" style="177" customWidth="1"/>
    <col min="6716" max="6716" width="11.85546875" style="177" customWidth="1"/>
    <col min="6717" max="6717" width="13.5703125" style="177" customWidth="1"/>
    <col min="6718" max="6719" width="13.85546875" style="177" customWidth="1"/>
    <col min="6720" max="6721" width="14.85546875" style="177" customWidth="1"/>
    <col min="6722" max="6722" width="8.85546875" style="177" customWidth="1"/>
    <col min="6723" max="6723" width="12.5703125" style="177" customWidth="1"/>
    <col min="6724" max="6725" width="13" style="177" customWidth="1"/>
    <col min="6726" max="6969" width="9.140625" style="177"/>
    <col min="6970" max="6970" width="14" style="177" customWidth="1"/>
    <col min="6971" max="6971" width="2" style="177" customWidth="1"/>
    <col min="6972" max="6972" width="11.85546875" style="177" customWidth="1"/>
    <col min="6973" max="6973" width="13.5703125" style="177" customWidth="1"/>
    <col min="6974" max="6975" width="13.85546875" style="177" customWidth="1"/>
    <col min="6976" max="6977" width="14.85546875" style="177" customWidth="1"/>
    <col min="6978" max="6978" width="8.85546875" style="177" customWidth="1"/>
    <col min="6979" max="6979" width="12.5703125" style="177" customWidth="1"/>
    <col min="6980" max="6981" width="13" style="177" customWidth="1"/>
    <col min="6982" max="7225" width="9.140625" style="177"/>
    <col min="7226" max="7226" width="14" style="177" customWidth="1"/>
    <col min="7227" max="7227" width="2" style="177" customWidth="1"/>
    <col min="7228" max="7228" width="11.85546875" style="177" customWidth="1"/>
    <col min="7229" max="7229" width="13.5703125" style="177" customWidth="1"/>
    <col min="7230" max="7231" width="13.85546875" style="177" customWidth="1"/>
    <col min="7232" max="7233" width="14.85546875" style="177" customWidth="1"/>
    <col min="7234" max="7234" width="8.85546875" style="177" customWidth="1"/>
    <col min="7235" max="7235" width="12.5703125" style="177" customWidth="1"/>
    <col min="7236" max="7237" width="13" style="177" customWidth="1"/>
    <col min="7238" max="7481" width="9.140625" style="177"/>
    <col min="7482" max="7482" width="14" style="177" customWidth="1"/>
    <col min="7483" max="7483" width="2" style="177" customWidth="1"/>
    <col min="7484" max="7484" width="11.85546875" style="177" customWidth="1"/>
    <col min="7485" max="7485" width="13.5703125" style="177" customWidth="1"/>
    <col min="7486" max="7487" width="13.85546875" style="177" customWidth="1"/>
    <col min="7488" max="7489" width="14.85546875" style="177" customWidth="1"/>
    <col min="7490" max="7490" width="8.85546875" style="177" customWidth="1"/>
    <col min="7491" max="7491" width="12.5703125" style="177" customWidth="1"/>
    <col min="7492" max="7493" width="13" style="177" customWidth="1"/>
    <col min="7494" max="7737" width="9.140625" style="177"/>
    <col min="7738" max="7738" width="14" style="177" customWidth="1"/>
    <col min="7739" max="7739" width="2" style="177" customWidth="1"/>
    <col min="7740" max="7740" width="11.85546875" style="177" customWidth="1"/>
    <col min="7741" max="7741" width="13.5703125" style="177" customWidth="1"/>
    <col min="7742" max="7743" width="13.85546875" style="177" customWidth="1"/>
    <col min="7744" max="7745" width="14.85546875" style="177" customWidth="1"/>
    <col min="7746" max="7746" width="8.85546875" style="177" customWidth="1"/>
    <col min="7747" max="7747" width="12.5703125" style="177" customWidth="1"/>
    <col min="7748" max="7749" width="13" style="177" customWidth="1"/>
    <col min="7750" max="7993" width="9.140625" style="177"/>
    <col min="7994" max="7994" width="14" style="177" customWidth="1"/>
    <col min="7995" max="7995" width="2" style="177" customWidth="1"/>
    <col min="7996" max="7996" width="11.85546875" style="177" customWidth="1"/>
    <col min="7997" max="7997" width="13.5703125" style="177" customWidth="1"/>
    <col min="7998" max="7999" width="13.85546875" style="177" customWidth="1"/>
    <col min="8000" max="8001" width="14.85546875" style="177" customWidth="1"/>
    <col min="8002" max="8002" width="8.85546875" style="177" customWidth="1"/>
    <col min="8003" max="8003" width="12.5703125" style="177" customWidth="1"/>
    <col min="8004" max="8005" width="13" style="177" customWidth="1"/>
    <col min="8006" max="8249" width="9.140625" style="177"/>
    <col min="8250" max="8250" width="14" style="177" customWidth="1"/>
    <col min="8251" max="8251" width="2" style="177" customWidth="1"/>
    <col min="8252" max="8252" width="11.85546875" style="177" customWidth="1"/>
    <col min="8253" max="8253" width="13.5703125" style="177" customWidth="1"/>
    <col min="8254" max="8255" width="13.85546875" style="177" customWidth="1"/>
    <col min="8256" max="8257" width="14.85546875" style="177" customWidth="1"/>
    <col min="8258" max="8258" width="8.85546875" style="177" customWidth="1"/>
    <col min="8259" max="8259" width="12.5703125" style="177" customWidth="1"/>
    <col min="8260" max="8261" width="13" style="177" customWidth="1"/>
    <col min="8262" max="8505" width="9.140625" style="177"/>
    <col min="8506" max="8506" width="14" style="177" customWidth="1"/>
    <col min="8507" max="8507" width="2" style="177" customWidth="1"/>
    <col min="8508" max="8508" width="11.85546875" style="177" customWidth="1"/>
    <col min="8509" max="8509" width="13.5703125" style="177" customWidth="1"/>
    <col min="8510" max="8511" width="13.85546875" style="177" customWidth="1"/>
    <col min="8512" max="8513" width="14.85546875" style="177" customWidth="1"/>
    <col min="8514" max="8514" width="8.85546875" style="177" customWidth="1"/>
    <col min="8515" max="8515" width="12.5703125" style="177" customWidth="1"/>
    <col min="8516" max="8517" width="13" style="177" customWidth="1"/>
    <col min="8518" max="8761" width="9.140625" style="177"/>
    <col min="8762" max="8762" width="14" style="177" customWidth="1"/>
    <col min="8763" max="8763" width="2" style="177" customWidth="1"/>
    <col min="8764" max="8764" width="11.85546875" style="177" customWidth="1"/>
    <col min="8765" max="8765" width="13.5703125" style="177" customWidth="1"/>
    <col min="8766" max="8767" width="13.85546875" style="177" customWidth="1"/>
    <col min="8768" max="8769" width="14.85546875" style="177" customWidth="1"/>
    <col min="8770" max="8770" width="8.85546875" style="177" customWidth="1"/>
    <col min="8771" max="8771" width="12.5703125" style="177" customWidth="1"/>
    <col min="8772" max="8773" width="13" style="177" customWidth="1"/>
    <col min="8774" max="9017" width="9.140625" style="177"/>
    <col min="9018" max="9018" width="14" style="177" customWidth="1"/>
    <col min="9019" max="9019" width="2" style="177" customWidth="1"/>
    <col min="9020" max="9020" width="11.85546875" style="177" customWidth="1"/>
    <col min="9021" max="9021" width="13.5703125" style="177" customWidth="1"/>
    <col min="9022" max="9023" width="13.85546875" style="177" customWidth="1"/>
    <col min="9024" max="9025" width="14.85546875" style="177" customWidth="1"/>
    <col min="9026" max="9026" width="8.85546875" style="177" customWidth="1"/>
    <col min="9027" max="9027" width="12.5703125" style="177" customWidth="1"/>
    <col min="9028" max="9029" width="13" style="177" customWidth="1"/>
    <col min="9030" max="9273" width="9.140625" style="177"/>
    <col min="9274" max="9274" width="14" style="177" customWidth="1"/>
    <col min="9275" max="9275" width="2" style="177" customWidth="1"/>
    <col min="9276" max="9276" width="11.85546875" style="177" customWidth="1"/>
    <col min="9277" max="9277" width="13.5703125" style="177" customWidth="1"/>
    <col min="9278" max="9279" width="13.85546875" style="177" customWidth="1"/>
    <col min="9280" max="9281" width="14.85546875" style="177" customWidth="1"/>
    <col min="9282" max="9282" width="8.85546875" style="177" customWidth="1"/>
    <col min="9283" max="9283" width="12.5703125" style="177" customWidth="1"/>
    <col min="9284" max="9285" width="13" style="177" customWidth="1"/>
    <col min="9286" max="9529" width="9.140625" style="177"/>
    <col min="9530" max="9530" width="14" style="177" customWidth="1"/>
    <col min="9531" max="9531" width="2" style="177" customWidth="1"/>
    <col min="9532" max="9532" width="11.85546875" style="177" customWidth="1"/>
    <col min="9533" max="9533" width="13.5703125" style="177" customWidth="1"/>
    <col min="9534" max="9535" width="13.85546875" style="177" customWidth="1"/>
    <col min="9536" max="9537" width="14.85546875" style="177" customWidth="1"/>
    <col min="9538" max="9538" width="8.85546875" style="177" customWidth="1"/>
    <col min="9539" max="9539" width="12.5703125" style="177" customWidth="1"/>
    <col min="9540" max="9541" width="13" style="177" customWidth="1"/>
    <col min="9542" max="9785" width="9.140625" style="177"/>
    <col min="9786" max="9786" width="14" style="177" customWidth="1"/>
    <col min="9787" max="9787" width="2" style="177" customWidth="1"/>
    <col min="9788" max="9788" width="11.85546875" style="177" customWidth="1"/>
    <col min="9789" max="9789" width="13.5703125" style="177" customWidth="1"/>
    <col min="9790" max="9791" width="13.85546875" style="177" customWidth="1"/>
    <col min="9792" max="9793" width="14.85546875" style="177" customWidth="1"/>
    <col min="9794" max="9794" width="8.85546875" style="177" customWidth="1"/>
    <col min="9795" max="9795" width="12.5703125" style="177" customWidth="1"/>
    <col min="9796" max="9797" width="13" style="177" customWidth="1"/>
    <col min="9798" max="10041" width="9.140625" style="177"/>
    <col min="10042" max="10042" width="14" style="177" customWidth="1"/>
    <col min="10043" max="10043" width="2" style="177" customWidth="1"/>
    <col min="10044" max="10044" width="11.85546875" style="177" customWidth="1"/>
    <col min="10045" max="10045" width="13.5703125" style="177" customWidth="1"/>
    <col min="10046" max="10047" width="13.85546875" style="177" customWidth="1"/>
    <col min="10048" max="10049" width="14.85546875" style="177" customWidth="1"/>
    <col min="10050" max="10050" width="8.85546875" style="177" customWidth="1"/>
    <col min="10051" max="10051" width="12.5703125" style="177" customWidth="1"/>
    <col min="10052" max="10053" width="13" style="177" customWidth="1"/>
    <col min="10054" max="10297" width="9.140625" style="177"/>
    <col min="10298" max="10298" width="14" style="177" customWidth="1"/>
    <col min="10299" max="10299" width="2" style="177" customWidth="1"/>
    <col min="10300" max="10300" width="11.85546875" style="177" customWidth="1"/>
    <col min="10301" max="10301" width="13.5703125" style="177" customWidth="1"/>
    <col min="10302" max="10303" width="13.85546875" style="177" customWidth="1"/>
    <col min="10304" max="10305" width="14.85546875" style="177" customWidth="1"/>
    <col min="10306" max="10306" width="8.85546875" style="177" customWidth="1"/>
    <col min="10307" max="10307" width="12.5703125" style="177" customWidth="1"/>
    <col min="10308" max="10309" width="13" style="177" customWidth="1"/>
    <col min="10310" max="10553" width="9.140625" style="177"/>
    <col min="10554" max="10554" width="14" style="177" customWidth="1"/>
    <col min="10555" max="10555" width="2" style="177" customWidth="1"/>
    <col min="10556" max="10556" width="11.85546875" style="177" customWidth="1"/>
    <col min="10557" max="10557" width="13.5703125" style="177" customWidth="1"/>
    <col min="10558" max="10559" width="13.85546875" style="177" customWidth="1"/>
    <col min="10560" max="10561" width="14.85546875" style="177" customWidth="1"/>
    <col min="10562" max="10562" width="8.85546875" style="177" customWidth="1"/>
    <col min="10563" max="10563" width="12.5703125" style="177" customWidth="1"/>
    <col min="10564" max="10565" width="13" style="177" customWidth="1"/>
    <col min="10566" max="10809" width="9.140625" style="177"/>
    <col min="10810" max="10810" width="14" style="177" customWidth="1"/>
    <col min="10811" max="10811" width="2" style="177" customWidth="1"/>
    <col min="10812" max="10812" width="11.85546875" style="177" customWidth="1"/>
    <col min="10813" max="10813" width="13.5703125" style="177" customWidth="1"/>
    <col min="10814" max="10815" width="13.85546875" style="177" customWidth="1"/>
    <col min="10816" max="10817" width="14.85546875" style="177" customWidth="1"/>
    <col min="10818" max="10818" width="8.85546875" style="177" customWidth="1"/>
    <col min="10819" max="10819" width="12.5703125" style="177" customWidth="1"/>
    <col min="10820" max="10821" width="13" style="177" customWidth="1"/>
    <col min="10822" max="11065" width="9.140625" style="177"/>
    <col min="11066" max="11066" width="14" style="177" customWidth="1"/>
    <col min="11067" max="11067" width="2" style="177" customWidth="1"/>
    <col min="11068" max="11068" width="11.85546875" style="177" customWidth="1"/>
    <col min="11069" max="11069" width="13.5703125" style="177" customWidth="1"/>
    <col min="11070" max="11071" width="13.85546875" style="177" customWidth="1"/>
    <col min="11072" max="11073" width="14.85546875" style="177" customWidth="1"/>
    <col min="11074" max="11074" width="8.85546875" style="177" customWidth="1"/>
    <col min="11075" max="11075" width="12.5703125" style="177" customWidth="1"/>
    <col min="11076" max="11077" width="13" style="177" customWidth="1"/>
    <col min="11078" max="11321" width="9.140625" style="177"/>
    <col min="11322" max="11322" width="14" style="177" customWidth="1"/>
    <col min="11323" max="11323" width="2" style="177" customWidth="1"/>
    <col min="11324" max="11324" width="11.85546875" style="177" customWidth="1"/>
    <col min="11325" max="11325" width="13.5703125" style="177" customWidth="1"/>
    <col min="11326" max="11327" width="13.85546875" style="177" customWidth="1"/>
    <col min="11328" max="11329" width="14.85546875" style="177" customWidth="1"/>
    <col min="11330" max="11330" width="8.85546875" style="177" customWidth="1"/>
    <col min="11331" max="11331" width="12.5703125" style="177" customWidth="1"/>
    <col min="11332" max="11333" width="13" style="177" customWidth="1"/>
    <col min="11334" max="11577" width="9.140625" style="177"/>
    <col min="11578" max="11578" width="14" style="177" customWidth="1"/>
    <col min="11579" max="11579" width="2" style="177" customWidth="1"/>
    <col min="11580" max="11580" width="11.85546875" style="177" customWidth="1"/>
    <col min="11581" max="11581" width="13.5703125" style="177" customWidth="1"/>
    <col min="11582" max="11583" width="13.85546875" style="177" customWidth="1"/>
    <col min="11584" max="11585" width="14.85546875" style="177" customWidth="1"/>
    <col min="11586" max="11586" width="8.85546875" style="177" customWidth="1"/>
    <col min="11587" max="11587" width="12.5703125" style="177" customWidth="1"/>
    <col min="11588" max="11589" width="13" style="177" customWidth="1"/>
    <col min="11590" max="11833" width="9.140625" style="177"/>
    <col min="11834" max="11834" width="14" style="177" customWidth="1"/>
    <col min="11835" max="11835" width="2" style="177" customWidth="1"/>
    <col min="11836" max="11836" width="11.85546875" style="177" customWidth="1"/>
    <col min="11837" max="11837" width="13.5703125" style="177" customWidth="1"/>
    <col min="11838" max="11839" width="13.85546875" style="177" customWidth="1"/>
    <col min="11840" max="11841" width="14.85546875" style="177" customWidth="1"/>
    <col min="11842" max="11842" width="8.85546875" style="177" customWidth="1"/>
    <col min="11843" max="11843" width="12.5703125" style="177" customWidth="1"/>
    <col min="11844" max="11845" width="13" style="177" customWidth="1"/>
    <col min="11846" max="12089" width="9.140625" style="177"/>
    <col min="12090" max="12090" width="14" style="177" customWidth="1"/>
    <col min="12091" max="12091" width="2" style="177" customWidth="1"/>
    <col min="12092" max="12092" width="11.85546875" style="177" customWidth="1"/>
    <col min="12093" max="12093" width="13.5703125" style="177" customWidth="1"/>
    <col min="12094" max="12095" width="13.85546875" style="177" customWidth="1"/>
    <col min="12096" max="12097" width="14.85546875" style="177" customWidth="1"/>
    <col min="12098" max="12098" width="8.85546875" style="177" customWidth="1"/>
    <col min="12099" max="12099" width="12.5703125" style="177" customWidth="1"/>
    <col min="12100" max="12101" width="13" style="177" customWidth="1"/>
    <col min="12102" max="12345" width="9.140625" style="177"/>
    <col min="12346" max="12346" width="14" style="177" customWidth="1"/>
    <col min="12347" max="12347" width="2" style="177" customWidth="1"/>
    <col min="12348" max="12348" width="11.85546875" style="177" customWidth="1"/>
    <col min="12349" max="12349" width="13.5703125" style="177" customWidth="1"/>
    <col min="12350" max="12351" width="13.85546875" style="177" customWidth="1"/>
    <col min="12352" max="12353" width="14.85546875" style="177" customWidth="1"/>
    <col min="12354" max="12354" width="8.85546875" style="177" customWidth="1"/>
    <col min="12355" max="12355" width="12.5703125" style="177" customWidth="1"/>
    <col min="12356" max="12357" width="13" style="177" customWidth="1"/>
    <col min="12358" max="12601" width="9.140625" style="177"/>
    <col min="12602" max="12602" width="14" style="177" customWidth="1"/>
    <col min="12603" max="12603" width="2" style="177" customWidth="1"/>
    <col min="12604" max="12604" width="11.85546875" style="177" customWidth="1"/>
    <col min="12605" max="12605" width="13.5703125" style="177" customWidth="1"/>
    <col min="12606" max="12607" width="13.85546875" style="177" customWidth="1"/>
    <col min="12608" max="12609" width="14.85546875" style="177" customWidth="1"/>
    <col min="12610" max="12610" width="8.85546875" style="177" customWidth="1"/>
    <col min="12611" max="12611" width="12.5703125" style="177" customWidth="1"/>
    <col min="12612" max="12613" width="13" style="177" customWidth="1"/>
    <col min="12614" max="12857" width="9.140625" style="177"/>
    <col min="12858" max="12858" width="14" style="177" customWidth="1"/>
    <col min="12859" max="12859" width="2" style="177" customWidth="1"/>
    <col min="12860" max="12860" width="11.85546875" style="177" customWidth="1"/>
    <col min="12861" max="12861" width="13.5703125" style="177" customWidth="1"/>
    <col min="12862" max="12863" width="13.85546875" style="177" customWidth="1"/>
    <col min="12864" max="12865" width="14.85546875" style="177" customWidth="1"/>
    <col min="12866" max="12866" width="8.85546875" style="177" customWidth="1"/>
    <col min="12867" max="12867" width="12.5703125" style="177" customWidth="1"/>
    <col min="12868" max="12869" width="13" style="177" customWidth="1"/>
    <col min="12870" max="13113" width="9.140625" style="177"/>
    <col min="13114" max="13114" width="14" style="177" customWidth="1"/>
    <col min="13115" max="13115" width="2" style="177" customWidth="1"/>
    <col min="13116" max="13116" width="11.85546875" style="177" customWidth="1"/>
    <col min="13117" max="13117" width="13.5703125" style="177" customWidth="1"/>
    <col min="13118" max="13119" width="13.85546875" style="177" customWidth="1"/>
    <col min="13120" max="13121" width="14.85546875" style="177" customWidth="1"/>
    <col min="13122" max="13122" width="8.85546875" style="177" customWidth="1"/>
    <col min="13123" max="13123" width="12.5703125" style="177" customWidth="1"/>
    <col min="13124" max="13125" width="13" style="177" customWidth="1"/>
    <col min="13126" max="13369" width="9.140625" style="177"/>
    <col min="13370" max="13370" width="14" style="177" customWidth="1"/>
    <col min="13371" max="13371" width="2" style="177" customWidth="1"/>
    <col min="13372" max="13372" width="11.85546875" style="177" customWidth="1"/>
    <col min="13373" max="13373" width="13.5703125" style="177" customWidth="1"/>
    <col min="13374" max="13375" width="13.85546875" style="177" customWidth="1"/>
    <col min="13376" max="13377" width="14.85546875" style="177" customWidth="1"/>
    <col min="13378" max="13378" width="8.85546875" style="177" customWidth="1"/>
    <col min="13379" max="13379" width="12.5703125" style="177" customWidth="1"/>
    <col min="13380" max="13381" width="13" style="177" customWidth="1"/>
    <col min="13382" max="13625" width="9.140625" style="177"/>
    <col min="13626" max="13626" width="14" style="177" customWidth="1"/>
    <col min="13627" max="13627" width="2" style="177" customWidth="1"/>
    <col min="13628" max="13628" width="11.85546875" style="177" customWidth="1"/>
    <col min="13629" max="13629" width="13.5703125" style="177" customWidth="1"/>
    <col min="13630" max="13631" width="13.85546875" style="177" customWidth="1"/>
    <col min="13632" max="13633" width="14.85546875" style="177" customWidth="1"/>
    <col min="13634" max="13634" width="8.85546875" style="177" customWidth="1"/>
    <col min="13635" max="13635" width="12.5703125" style="177" customWidth="1"/>
    <col min="13636" max="13637" width="13" style="177" customWidth="1"/>
    <col min="13638" max="13881" width="9.140625" style="177"/>
    <col min="13882" max="13882" width="14" style="177" customWidth="1"/>
    <col min="13883" max="13883" width="2" style="177" customWidth="1"/>
    <col min="13884" max="13884" width="11.85546875" style="177" customWidth="1"/>
    <col min="13885" max="13885" width="13.5703125" style="177" customWidth="1"/>
    <col min="13886" max="13887" width="13.85546875" style="177" customWidth="1"/>
    <col min="13888" max="13889" width="14.85546875" style="177" customWidth="1"/>
    <col min="13890" max="13890" width="8.85546875" style="177" customWidth="1"/>
    <col min="13891" max="13891" width="12.5703125" style="177" customWidth="1"/>
    <col min="13892" max="13893" width="13" style="177" customWidth="1"/>
    <col min="13894" max="14137" width="9.140625" style="177"/>
    <col min="14138" max="14138" width="14" style="177" customWidth="1"/>
    <col min="14139" max="14139" width="2" style="177" customWidth="1"/>
    <col min="14140" max="14140" width="11.85546875" style="177" customWidth="1"/>
    <col min="14141" max="14141" width="13.5703125" style="177" customWidth="1"/>
    <col min="14142" max="14143" width="13.85546875" style="177" customWidth="1"/>
    <col min="14144" max="14145" width="14.85546875" style="177" customWidth="1"/>
    <col min="14146" max="14146" width="8.85546875" style="177" customWidth="1"/>
    <col min="14147" max="14147" width="12.5703125" style="177" customWidth="1"/>
    <col min="14148" max="14149" width="13" style="177" customWidth="1"/>
    <col min="14150" max="14393" width="9.140625" style="177"/>
    <col min="14394" max="14394" width="14" style="177" customWidth="1"/>
    <col min="14395" max="14395" width="2" style="177" customWidth="1"/>
    <col min="14396" max="14396" width="11.85546875" style="177" customWidth="1"/>
    <col min="14397" max="14397" width="13.5703125" style="177" customWidth="1"/>
    <col min="14398" max="14399" width="13.85546875" style="177" customWidth="1"/>
    <col min="14400" max="14401" width="14.85546875" style="177" customWidth="1"/>
    <col min="14402" max="14402" width="8.85546875" style="177" customWidth="1"/>
    <col min="14403" max="14403" width="12.5703125" style="177" customWidth="1"/>
    <col min="14404" max="14405" width="13" style="177" customWidth="1"/>
    <col min="14406" max="14649" width="9.140625" style="177"/>
    <col min="14650" max="14650" width="14" style="177" customWidth="1"/>
    <col min="14651" max="14651" width="2" style="177" customWidth="1"/>
    <col min="14652" max="14652" width="11.85546875" style="177" customWidth="1"/>
    <col min="14653" max="14653" width="13.5703125" style="177" customWidth="1"/>
    <col min="14654" max="14655" width="13.85546875" style="177" customWidth="1"/>
    <col min="14656" max="14657" width="14.85546875" style="177" customWidth="1"/>
    <col min="14658" max="14658" width="8.85546875" style="177" customWidth="1"/>
    <col min="14659" max="14659" width="12.5703125" style="177" customWidth="1"/>
    <col min="14660" max="14661" width="13" style="177" customWidth="1"/>
    <col min="14662" max="14905" width="9.140625" style="177"/>
    <col min="14906" max="14906" width="14" style="177" customWidth="1"/>
    <col min="14907" max="14907" width="2" style="177" customWidth="1"/>
    <col min="14908" max="14908" width="11.85546875" style="177" customWidth="1"/>
    <col min="14909" max="14909" width="13.5703125" style="177" customWidth="1"/>
    <col min="14910" max="14911" width="13.85546875" style="177" customWidth="1"/>
    <col min="14912" max="14913" width="14.85546875" style="177" customWidth="1"/>
    <col min="14914" max="14914" width="8.85546875" style="177" customWidth="1"/>
    <col min="14915" max="14915" width="12.5703125" style="177" customWidth="1"/>
    <col min="14916" max="14917" width="13" style="177" customWidth="1"/>
    <col min="14918" max="15161" width="9.140625" style="177"/>
    <col min="15162" max="15162" width="14" style="177" customWidth="1"/>
    <col min="15163" max="15163" width="2" style="177" customWidth="1"/>
    <col min="15164" max="15164" width="11.85546875" style="177" customWidth="1"/>
    <col min="15165" max="15165" width="13.5703125" style="177" customWidth="1"/>
    <col min="15166" max="15167" width="13.85546875" style="177" customWidth="1"/>
    <col min="15168" max="15169" width="14.85546875" style="177" customWidth="1"/>
    <col min="15170" max="15170" width="8.85546875" style="177" customWidth="1"/>
    <col min="15171" max="15171" width="12.5703125" style="177" customWidth="1"/>
    <col min="15172" max="15173" width="13" style="177" customWidth="1"/>
    <col min="15174" max="15417" width="9.140625" style="177"/>
    <col min="15418" max="15418" width="14" style="177" customWidth="1"/>
    <col min="15419" max="15419" width="2" style="177" customWidth="1"/>
    <col min="15420" max="15420" width="11.85546875" style="177" customWidth="1"/>
    <col min="15421" max="15421" width="13.5703125" style="177" customWidth="1"/>
    <col min="15422" max="15423" width="13.85546875" style="177" customWidth="1"/>
    <col min="15424" max="15425" width="14.85546875" style="177" customWidth="1"/>
    <col min="15426" max="15426" width="8.85546875" style="177" customWidth="1"/>
    <col min="15427" max="15427" width="12.5703125" style="177" customWidth="1"/>
    <col min="15428" max="15429" width="13" style="177" customWidth="1"/>
    <col min="15430" max="15673" width="9.140625" style="177"/>
    <col min="15674" max="15674" width="14" style="177" customWidth="1"/>
    <col min="15675" max="15675" width="2" style="177" customWidth="1"/>
    <col min="15676" max="15676" width="11.85546875" style="177" customWidth="1"/>
    <col min="15677" max="15677" width="13.5703125" style="177" customWidth="1"/>
    <col min="15678" max="15679" width="13.85546875" style="177" customWidth="1"/>
    <col min="15680" max="15681" width="14.85546875" style="177" customWidth="1"/>
    <col min="15682" max="15682" width="8.85546875" style="177" customWidth="1"/>
    <col min="15683" max="15683" width="12.5703125" style="177" customWidth="1"/>
    <col min="15684" max="15685" width="13" style="177" customWidth="1"/>
    <col min="15686" max="15929" width="9.140625" style="177"/>
    <col min="15930" max="15930" width="14" style="177" customWidth="1"/>
    <col min="15931" max="15931" width="2" style="177" customWidth="1"/>
    <col min="15932" max="15932" width="11.85546875" style="177" customWidth="1"/>
    <col min="15933" max="15933" width="13.5703125" style="177" customWidth="1"/>
    <col min="15934" max="15935" width="13.85546875" style="177" customWidth="1"/>
    <col min="15936" max="15937" width="14.85546875" style="177" customWidth="1"/>
    <col min="15938" max="15938" width="8.85546875" style="177" customWidth="1"/>
    <col min="15939" max="15939" width="12.5703125" style="177" customWidth="1"/>
    <col min="15940" max="15941" width="13" style="177" customWidth="1"/>
    <col min="15942" max="16185" width="9.140625" style="177"/>
    <col min="16186" max="16186" width="14" style="177" customWidth="1"/>
    <col min="16187" max="16187" width="2" style="177" customWidth="1"/>
    <col min="16188" max="16188" width="11.85546875" style="177" customWidth="1"/>
    <col min="16189" max="16189" width="13.5703125" style="177" customWidth="1"/>
    <col min="16190" max="16191" width="13.85546875" style="177" customWidth="1"/>
    <col min="16192" max="16193" width="14.85546875" style="177" customWidth="1"/>
    <col min="16194" max="16194" width="8.85546875" style="177" customWidth="1"/>
    <col min="16195" max="16195" width="12.5703125" style="177" customWidth="1"/>
    <col min="16196" max="16197" width="13" style="177" customWidth="1"/>
    <col min="16198" max="16384" width="9.140625" style="177"/>
  </cols>
  <sheetData>
    <row r="1" spans="1:69" ht="10.5" customHeight="1" thickBot="1" x14ac:dyDescent="0.45">
      <c r="A1" s="175"/>
      <c r="B1" s="335"/>
      <c r="C1" s="175"/>
      <c r="D1" s="176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332"/>
      <c r="AP1" s="332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3"/>
      <c r="BD1" s="313"/>
      <c r="BE1" s="313"/>
      <c r="BF1" s="313"/>
      <c r="BG1" s="313"/>
      <c r="BH1" s="313"/>
      <c r="BI1" s="313"/>
      <c r="BJ1" s="313"/>
      <c r="BK1" s="313"/>
      <c r="BL1" s="313"/>
      <c r="BM1" s="313"/>
      <c r="BN1" s="313"/>
      <c r="BO1" s="313"/>
      <c r="BP1" s="191"/>
      <c r="BQ1" s="191"/>
    </row>
    <row r="2" spans="1:69" s="317" customFormat="1" ht="61.5" customHeight="1" thickBot="1" x14ac:dyDescent="0.3">
      <c r="A2" s="314" t="s">
        <v>89</v>
      </c>
      <c r="B2" s="335"/>
      <c r="C2" s="336" t="s">
        <v>90</v>
      </c>
      <c r="D2" s="337"/>
      <c r="E2" s="338" t="s">
        <v>91</v>
      </c>
      <c r="F2" s="338"/>
      <c r="G2" s="315" t="s">
        <v>18</v>
      </c>
      <c r="H2" s="315" t="s">
        <v>25</v>
      </c>
      <c r="I2" s="315" t="s">
        <v>28</v>
      </c>
      <c r="J2" s="315" t="s">
        <v>32</v>
      </c>
      <c r="K2" s="315" t="s">
        <v>34</v>
      </c>
      <c r="L2" s="315" t="s">
        <v>198</v>
      </c>
      <c r="M2" s="315" t="s">
        <v>177</v>
      </c>
      <c r="N2" s="315" t="s">
        <v>185</v>
      </c>
      <c r="O2" s="315" t="s">
        <v>45</v>
      </c>
      <c r="P2" s="315" t="s">
        <v>46</v>
      </c>
      <c r="Q2" s="315" t="s">
        <v>47</v>
      </c>
      <c r="R2" s="315" t="s">
        <v>48</v>
      </c>
      <c r="S2" s="315" t="s">
        <v>199</v>
      </c>
      <c r="T2" s="315" t="s">
        <v>200</v>
      </c>
      <c r="U2" s="315" t="s">
        <v>71</v>
      </c>
      <c r="V2" s="315" t="s">
        <v>69</v>
      </c>
      <c r="W2" s="315" t="s">
        <v>70</v>
      </c>
      <c r="X2" s="315" t="s">
        <v>180</v>
      </c>
      <c r="Y2" s="315" t="s">
        <v>181</v>
      </c>
      <c r="Z2" s="315" t="s">
        <v>159</v>
      </c>
      <c r="AA2" s="315" t="s">
        <v>182</v>
      </c>
      <c r="AB2" s="315" t="s">
        <v>183</v>
      </c>
      <c r="AC2" s="315" t="s">
        <v>65</v>
      </c>
      <c r="AD2" s="315" t="s">
        <v>54</v>
      </c>
      <c r="AE2" s="315" t="s">
        <v>55</v>
      </c>
      <c r="AF2" s="315" t="s">
        <v>56</v>
      </c>
      <c r="AG2" s="315" t="s">
        <v>57</v>
      </c>
      <c r="AH2" s="315" t="s">
        <v>67</v>
      </c>
      <c r="AI2" s="315" t="s">
        <v>79</v>
      </c>
      <c r="AJ2" s="315" t="s">
        <v>80</v>
      </c>
      <c r="AK2" s="315" t="s">
        <v>81</v>
      </c>
      <c r="AL2" s="315" t="s">
        <v>82</v>
      </c>
      <c r="AM2" s="315" t="s">
        <v>83</v>
      </c>
      <c r="AN2" s="315" t="s">
        <v>84</v>
      </c>
      <c r="AO2" s="333" t="s">
        <v>92</v>
      </c>
      <c r="AP2" s="334"/>
      <c r="AQ2" s="316" t="s">
        <v>111</v>
      </c>
      <c r="AR2" s="316" t="s">
        <v>112</v>
      </c>
      <c r="AS2" s="316" t="s">
        <v>113</v>
      </c>
      <c r="AT2" s="316" t="s">
        <v>114</v>
      </c>
      <c r="AU2" s="316" t="s">
        <v>126</v>
      </c>
      <c r="AV2" s="316" t="s">
        <v>201</v>
      </c>
      <c r="AW2" s="316" t="s">
        <v>129</v>
      </c>
      <c r="AX2" s="316" t="s">
        <v>202</v>
      </c>
      <c r="AY2" s="316" t="s">
        <v>131</v>
      </c>
      <c r="AZ2" s="316" t="s">
        <v>132</v>
      </c>
      <c r="BA2" s="316" t="s">
        <v>133</v>
      </c>
      <c r="BB2" s="316" t="s">
        <v>134</v>
      </c>
      <c r="BC2" s="316" t="s">
        <v>135</v>
      </c>
      <c r="BD2" s="316" t="s">
        <v>136</v>
      </c>
      <c r="BE2" s="316" t="s">
        <v>137</v>
      </c>
      <c r="BF2" s="316" t="s">
        <v>138</v>
      </c>
      <c r="BG2" s="316" t="s">
        <v>139</v>
      </c>
      <c r="BH2" s="316" t="s">
        <v>140</v>
      </c>
      <c r="BI2" s="316" t="s">
        <v>141</v>
      </c>
      <c r="BJ2" s="316" t="s">
        <v>142</v>
      </c>
      <c r="BK2" s="316" t="s">
        <v>143</v>
      </c>
      <c r="BL2" s="316" t="s">
        <v>144</v>
      </c>
      <c r="BM2" s="316" t="s">
        <v>145</v>
      </c>
      <c r="BN2" s="316" t="s">
        <v>146</v>
      </c>
      <c r="BO2" s="316" t="s">
        <v>147</v>
      </c>
      <c r="BP2" s="195"/>
      <c r="BQ2" s="195"/>
    </row>
    <row r="3" spans="1:69" ht="44.25" customHeight="1" x14ac:dyDescent="0.25">
      <c r="A3" s="179" t="s">
        <v>39</v>
      </c>
      <c r="B3" s="335"/>
      <c r="C3" s="180" t="s">
        <v>93</v>
      </c>
      <c r="D3" s="181" t="s">
        <v>94</v>
      </c>
      <c r="E3" s="182" t="s">
        <v>95</v>
      </c>
      <c r="F3" s="182" t="s">
        <v>96</v>
      </c>
      <c r="G3" s="182" t="s">
        <v>203</v>
      </c>
      <c r="H3" s="182" t="s">
        <v>203</v>
      </c>
      <c r="I3" s="182" t="s">
        <v>203</v>
      </c>
      <c r="J3" s="182" t="s">
        <v>203</v>
      </c>
      <c r="K3" s="182" t="s">
        <v>203</v>
      </c>
      <c r="L3" s="182" t="s">
        <v>203</v>
      </c>
      <c r="M3" s="182" t="s">
        <v>203</v>
      </c>
      <c r="N3" s="182" t="s">
        <v>203</v>
      </c>
      <c r="O3" s="182" t="s">
        <v>203</v>
      </c>
      <c r="P3" s="182" t="s">
        <v>203</v>
      </c>
      <c r="Q3" s="182" t="s">
        <v>203</v>
      </c>
      <c r="R3" s="182" t="s">
        <v>203</v>
      </c>
      <c r="S3" s="182" t="s">
        <v>203</v>
      </c>
      <c r="T3" s="182" t="s">
        <v>203</v>
      </c>
      <c r="U3" s="182" t="s">
        <v>203</v>
      </c>
      <c r="V3" s="182" t="s">
        <v>203</v>
      </c>
      <c r="W3" s="182" t="s">
        <v>203</v>
      </c>
      <c r="X3" s="182" t="s">
        <v>203</v>
      </c>
      <c r="Y3" s="182" t="s">
        <v>203</v>
      </c>
      <c r="Z3" s="182" t="s">
        <v>203</v>
      </c>
      <c r="AA3" s="182" t="s">
        <v>203</v>
      </c>
      <c r="AB3" s="182" t="s">
        <v>203</v>
      </c>
      <c r="AC3" s="182" t="s">
        <v>203</v>
      </c>
      <c r="AD3" s="182" t="s">
        <v>203</v>
      </c>
      <c r="AE3" s="182" t="s">
        <v>203</v>
      </c>
      <c r="AF3" s="182" t="s">
        <v>203</v>
      </c>
      <c r="AG3" s="182" t="s">
        <v>203</v>
      </c>
      <c r="AH3" s="182" t="s">
        <v>203</v>
      </c>
      <c r="AI3" s="182" t="s">
        <v>203</v>
      </c>
      <c r="AJ3" s="182" t="s">
        <v>203</v>
      </c>
      <c r="AK3" s="182" t="s">
        <v>203</v>
      </c>
      <c r="AL3" s="182" t="s">
        <v>203</v>
      </c>
      <c r="AM3" s="182" t="s">
        <v>203</v>
      </c>
      <c r="AN3" s="182" t="s">
        <v>203</v>
      </c>
      <c r="AO3" s="318" t="s">
        <v>97</v>
      </c>
      <c r="AP3" s="319" t="s">
        <v>98</v>
      </c>
      <c r="AQ3" s="319" t="s">
        <v>98</v>
      </c>
      <c r="AR3" s="319" t="s">
        <v>98</v>
      </c>
      <c r="AS3" s="319" t="s">
        <v>98</v>
      </c>
      <c r="AT3" s="319" t="s">
        <v>98</v>
      </c>
      <c r="AU3" s="319" t="s">
        <v>98</v>
      </c>
      <c r="AV3" s="319" t="s">
        <v>98</v>
      </c>
      <c r="AW3" s="319" t="s">
        <v>98</v>
      </c>
      <c r="AX3" s="319" t="s">
        <v>98</v>
      </c>
      <c r="AY3" s="319" t="s">
        <v>98</v>
      </c>
      <c r="AZ3" s="319" t="s">
        <v>98</v>
      </c>
      <c r="BA3" s="319" t="s">
        <v>98</v>
      </c>
      <c r="BB3" s="319" t="s">
        <v>98</v>
      </c>
      <c r="BC3" s="319" t="s">
        <v>98</v>
      </c>
      <c r="BD3" s="319" t="s">
        <v>98</v>
      </c>
      <c r="BE3" s="319" t="s">
        <v>98</v>
      </c>
      <c r="BF3" s="319" t="s">
        <v>98</v>
      </c>
      <c r="BG3" s="319" t="s">
        <v>98</v>
      </c>
      <c r="BH3" s="319" t="s">
        <v>98</v>
      </c>
      <c r="BI3" s="319" t="s">
        <v>98</v>
      </c>
      <c r="BJ3" s="319" t="s">
        <v>98</v>
      </c>
      <c r="BK3" s="319" t="s">
        <v>98</v>
      </c>
      <c r="BL3" s="319" t="s">
        <v>98</v>
      </c>
      <c r="BM3" s="319" t="s">
        <v>98</v>
      </c>
      <c r="BN3" s="319" t="s">
        <v>98</v>
      </c>
      <c r="BO3" s="319" t="s">
        <v>98</v>
      </c>
      <c r="BP3" s="195" t="s">
        <v>99</v>
      </c>
      <c r="BQ3" s="195" t="s">
        <v>197</v>
      </c>
    </row>
    <row r="4" spans="1:69" s="187" customFormat="1" ht="35.25" customHeight="1" x14ac:dyDescent="0.25">
      <c r="A4" s="183">
        <v>44469</v>
      </c>
      <c r="B4" s="335"/>
      <c r="C4" s="401">
        <v>93663559</v>
      </c>
      <c r="D4" s="320">
        <v>31701</v>
      </c>
      <c r="E4" s="185"/>
      <c r="F4" s="186">
        <v>90</v>
      </c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321"/>
      <c r="AO4" s="322">
        <v>1003522</v>
      </c>
      <c r="AP4" s="323">
        <v>318</v>
      </c>
      <c r="AQ4" s="323"/>
      <c r="AR4" s="323"/>
      <c r="AS4" s="323"/>
      <c r="AT4" s="323"/>
      <c r="AU4" s="323"/>
      <c r="AV4" s="323"/>
      <c r="AW4" s="323"/>
      <c r="AX4" s="323"/>
      <c r="AY4" s="323"/>
      <c r="AZ4" s="323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3"/>
      <c r="BO4" s="323"/>
      <c r="BP4" s="188">
        <f>'[1]Room Nights and Food Covers'!B4</f>
        <v>14.6</v>
      </c>
      <c r="BQ4" s="188">
        <f>'[1]Room Nights and Food Covers'!C4</f>
        <v>159</v>
      </c>
    </row>
    <row r="5" spans="1:69" ht="33" customHeight="1" x14ac:dyDescent="0.25">
      <c r="A5" s="189">
        <f>A4+1</f>
        <v>44470</v>
      </c>
      <c r="B5" s="335"/>
      <c r="C5" s="401">
        <f>SUM('GENSET #1'!C10+'GENSET #2'!C10+'GENSET #3'!C10+'GENSET #4'!C10+'GENSET #5'!C10)</f>
        <v>93687010</v>
      </c>
      <c r="D5" s="324">
        <f>IF((C5-C4&lt;0), "0",C5-C4)</f>
        <v>23451</v>
      </c>
      <c r="E5" s="401">
        <f>'Gas-2'!G6</f>
        <v>180</v>
      </c>
      <c r="F5" s="324">
        <f>IF((E5-E4&lt;0), "0",E5-E4)</f>
        <v>180</v>
      </c>
      <c r="G5" s="324">
        <f>'GENSET #1'!D10</f>
        <v>11980</v>
      </c>
      <c r="H5" s="324">
        <f>'GENSET #2'!D10</f>
        <v>0</v>
      </c>
      <c r="I5" s="324">
        <f>'GENSET #3'!D10</f>
        <v>0</v>
      </c>
      <c r="J5" s="324">
        <f>'GENSET #4'!D10</f>
        <v>1797</v>
      </c>
      <c r="K5" s="324">
        <f>'GENSET #5'!D10</f>
        <v>9674</v>
      </c>
      <c r="L5" s="324">
        <f>'FEEDER Consumption '!E5</f>
        <v>2022</v>
      </c>
      <c r="M5" s="324">
        <f>'FEEDER Consumption '!J5</f>
        <v>3360</v>
      </c>
      <c r="N5" s="324">
        <f>'FEEDER Consumption '!O5</f>
        <v>13461</v>
      </c>
      <c r="O5" s="324">
        <f>'FEEDER Consumption '!T5</f>
        <v>1500</v>
      </c>
      <c r="P5" s="324">
        <f>'FEEDER Consumption '!Y5</f>
        <v>2615</v>
      </c>
      <c r="Q5" s="324">
        <f>'FEEDER Consumption '!AD5</f>
        <v>1500</v>
      </c>
      <c r="R5" s="324">
        <f>'FEEDER Consumption '!AI5</f>
        <v>796</v>
      </c>
      <c r="S5" s="324">
        <f>'FEEDER Consumption '!AN5</f>
        <v>580</v>
      </c>
      <c r="T5" s="324">
        <f>'FEEDER Consumption '!AS5</f>
        <v>785</v>
      </c>
      <c r="U5" s="324">
        <f>'FEEDER Consumption '!AX5</f>
        <v>443</v>
      </c>
      <c r="V5" s="324">
        <f>'FEEDER Consumption '!BH5</f>
        <v>865</v>
      </c>
      <c r="W5" s="324">
        <f>'FEEDER Consumption '!BH5</f>
        <v>865</v>
      </c>
      <c r="X5" s="324">
        <f>'FEEDER Consumption '!BM5</f>
        <v>1205</v>
      </c>
      <c r="Y5" s="324">
        <f>'FEEDER Consumption '!BR5</f>
        <v>944</v>
      </c>
      <c r="Z5" s="324">
        <f>'FEEDER Consumption '!BW5</f>
        <v>355</v>
      </c>
      <c r="AA5" s="324">
        <f>'FEEDER Consumption '!CB5</f>
        <v>1250</v>
      </c>
      <c r="AB5" s="324">
        <f>'FEEDER Consumption '!CG5</f>
        <v>380</v>
      </c>
      <c r="AC5" s="324">
        <f>'FEEDER Consumption '!CL5</f>
        <v>0</v>
      </c>
      <c r="AD5" s="324">
        <f>'FEEDER Consumption '!CQ5</f>
        <v>700</v>
      </c>
      <c r="AE5" s="324">
        <f>'FEEDER Consumption '!CV5</f>
        <v>410</v>
      </c>
      <c r="AF5" s="324">
        <f>'FEEDER Consumption '!DA5</f>
        <v>910</v>
      </c>
      <c r="AG5" s="324">
        <f>'FEEDER Consumption '!DF5</f>
        <v>710</v>
      </c>
      <c r="AH5" s="324">
        <f>'FEEDER Consumption '!DK5</f>
        <v>490</v>
      </c>
      <c r="AI5" s="324">
        <f>'FEEDER Consumption '!DP5</f>
        <v>170</v>
      </c>
      <c r="AJ5" s="324">
        <f>'FEEDER Consumption '!DU5</f>
        <v>143</v>
      </c>
      <c r="AK5" s="324">
        <f>'FEEDER Consumption '!DZ5</f>
        <v>630</v>
      </c>
      <c r="AL5" s="324">
        <f>'FEEDER Consumption '!EE5</f>
        <v>200</v>
      </c>
      <c r="AM5" s="324">
        <f>'FEEDER Consumption '!EJ5</f>
        <v>220</v>
      </c>
      <c r="AN5" s="325">
        <f>'FEEDER Consumption '!EO5</f>
        <v>490</v>
      </c>
      <c r="AO5" s="326">
        <f>SUM(WATER!C6+WATER!H6+WATER!M6+WATER!R6)</f>
        <v>1003862</v>
      </c>
      <c r="AP5" s="327">
        <f>IF((AO5-AO4&lt;0), "0",AO5-AO4)</f>
        <v>340</v>
      </c>
      <c r="AQ5" s="327">
        <f>WATER!D6</f>
        <v>0</v>
      </c>
      <c r="AR5" s="327">
        <f>[1]WATER!I6</f>
        <v>0</v>
      </c>
      <c r="AS5" s="327">
        <f>[1]WATER!N6</f>
        <v>190</v>
      </c>
      <c r="AT5" s="327">
        <f>[1]WATER!S6</f>
        <v>10</v>
      </c>
      <c r="AU5" s="327">
        <f>[1]WATER!AD6</f>
        <v>18</v>
      </c>
      <c r="AV5" s="327">
        <f>[1]WATER!AI6</f>
        <v>6</v>
      </c>
      <c r="AW5" s="327">
        <f>[1]WATER!AN6</f>
        <v>0</v>
      </c>
      <c r="AX5" s="327">
        <f>[1]WATER!AS6</f>
        <v>10</v>
      </c>
      <c r="AY5" s="327">
        <f>[1]WATER!AX6</f>
        <v>8</v>
      </c>
      <c r="AZ5" s="327">
        <f>[1]WATER!BC6</f>
        <v>7</v>
      </c>
      <c r="BA5" s="327">
        <f>[1]WATER!BH6</f>
        <v>10</v>
      </c>
      <c r="BB5" s="327">
        <f>[1]WATER!BM6</f>
        <v>5</v>
      </c>
      <c r="BC5" s="327">
        <f>[1]WATER!BR6</f>
        <v>1</v>
      </c>
      <c r="BD5" s="327">
        <f>[1]WATER!BW6</f>
        <v>0</v>
      </c>
      <c r="BE5" s="327">
        <f>[1]WATER!CB6</f>
        <v>4</v>
      </c>
      <c r="BF5" s="327">
        <f>[1]WATER!CG6</f>
        <v>1</v>
      </c>
      <c r="BG5" s="327">
        <f>[1]WATER!CL6</f>
        <v>24</v>
      </c>
      <c r="BH5" s="327">
        <f>[1]WATER!CQ6</f>
        <v>7</v>
      </c>
      <c r="BI5" s="327">
        <f>[1]WATER!CV6</f>
        <v>0</v>
      </c>
      <c r="BJ5" s="327">
        <f>[1]WATER!DA6</f>
        <v>1</v>
      </c>
      <c r="BK5" s="327">
        <f>[1]WATER!DF6</f>
        <v>1</v>
      </c>
      <c r="BL5" s="327">
        <f>[1]WATER!DK6</f>
        <v>0</v>
      </c>
      <c r="BM5" s="327">
        <f>[1]WATER!DP6</f>
        <v>7</v>
      </c>
      <c r="BN5" s="327">
        <f>[1]WATER!DU6</f>
        <v>0</v>
      </c>
      <c r="BO5" s="327">
        <f>[1]WATER!DZ6</f>
        <v>0</v>
      </c>
      <c r="BP5" s="188">
        <f>'[1]Room Nights and Food Covers'!B5</f>
        <v>11.7</v>
      </c>
      <c r="BQ5" s="188">
        <f>'[1]Room Nights and Food Covers'!C5</f>
        <v>94</v>
      </c>
    </row>
    <row r="6" spans="1:69" ht="45" customHeight="1" x14ac:dyDescent="0.25">
      <c r="A6" s="189">
        <f t="shared" ref="A6:A35" si="0">A5+1</f>
        <v>44471</v>
      </c>
      <c r="B6" s="335"/>
      <c r="C6" s="401">
        <f>SUM('GENSET #1'!C11+'GENSET #2'!C11+'GENSET #3'!C11+'GENSET #4'!C11+'GENSET #5'!C11)</f>
        <v>93708636</v>
      </c>
      <c r="D6" s="324">
        <f>IF((C6-C5&lt;0), "0",C6-C5)</f>
        <v>21626</v>
      </c>
      <c r="E6" s="401">
        <f>'Gas-2'!G7</f>
        <v>225</v>
      </c>
      <c r="F6" s="324">
        <f>IF((E6-E5&lt;0), "0",E6-E5)</f>
        <v>45</v>
      </c>
      <c r="G6" s="324">
        <f>'GENSET #1'!D11</f>
        <v>399</v>
      </c>
      <c r="H6" s="324">
        <f>'GENSET #2'!D11</f>
        <v>5232</v>
      </c>
      <c r="I6" s="324">
        <f>'GENSET #3'!D11</f>
        <v>5275</v>
      </c>
      <c r="J6" s="324">
        <f>'GENSET #4'!D11</f>
        <v>2735</v>
      </c>
      <c r="K6" s="324">
        <f>'GENSET #5'!D11</f>
        <v>7985</v>
      </c>
      <c r="L6" s="324">
        <f>'FEEDER Consumption '!E6</f>
        <v>1986</v>
      </c>
      <c r="M6" s="324">
        <f>'FEEDER Consumption '!J6</f>
        <v>3311</v>
      </c>
      <c r="N6" s="324">
        <f>'FEEDER Consumption '!O6</f>
        <v>11790</v>
      </c>
      <c r="O6" s="324">
        <f>'FEEDER Consumption '!T6</f>
        <v>1500</v>
      </c>
      <c r="P6" s="324">
        <f>'FEEDER Consumption '!Y6</f>
        <v>2541</v>
      </c>
      <c r="Q6" s="324">
        <f>'FEEDER Consumption '!AD6</f>
        <v>1500</v>
      </c>
      <c r="R6" s="324">
        <f>'FEEDER Consumption '!AI6</f>
        <v>701</v>
      </c>
      <c r="S6" s="324">
        <f>'FEEDER Consumption '!AN6</f>
        <v>570</v>
      </c>
      <c r="T6" s="324">
        <f>'FEEDER Consumption '!AS6</f>
        <v>600</v>
      </c>
      <c r="U6" s="324">
        <f>'FEEDER Consumption '!AX6</f>
        <v>370</v>
      </c>
      <c r="V6" s="324">
        <f>'FEEDER Consumption '!BH6</f>
        <v>660</v>
      </c>
      <c r="W6" s="324">
        <f>'FEEDER Consumption '!BH6</f>
        <v>660</v>
      </c>
      <c r="X6" s="324">
        <f>'FEEDER Consumption '!BM6</f>
        <v>1000</v>
      </c>
      <c r="Y6" s="324">
        <f>'FEEDER Consumption '!BR6</f>
        <v>135</v>
      </c>
      <c r="Z6" s="324">
        <f>'FEEDER Consumption '!BW6</f>
        <v>360</v>
      </c>
      <c r="AA6" s="324">
        <f>'FEEDER Consumption '!CB6</f>
        <v>1180</v>
      </c>
      <c r="AB6" s="324">
        <f>'FEEDER Consumption '!CG6</f>
        <v>350</v>
      </c>
      <c r="AC6" s="324">
        <f>'FEEDER Consumption '!CL6</f>
        <v>1770</v>
      </c>
      <c r="AD6" s="324">
        <f>'FEEDER Consumption '!CQ6</f>
        <v>700</v>
      </c>
      <c r="AE6" s="324">
        <f>'FEEDER Consumption '!CV6</f>
        <v>450</v>
      </c>
      <c r="AF6" s="324">
        <f>'FEEDER Consumption '!DA6</f>
        <v>910</v>
      </c>
      <c r="AG6" s="324">
        <f>'FEEDER Consumption '!DF6</f>
        <v>880</v>
      </c>
      <c r="AH6" s="324">
        <f>'FEEDER Consumption '!DK6</f>
        <v>440</v>
      </c>
      <c r="AI6" s="324">
        <f>'FEEDER Consumption '!DP6</f>
        <v>170</v>
      </c>
      <c r="AJ6" s="324">
        <f>'FEEDER Consumption '!DU6</f>
        <v>109</v>
      </c>
      <c r="AK6" s="324">
        <f>'FEEDER Consumption '!DZ6</f>
        <v>620</v>
      </c>
      <c r="AL6" s="324">
        <f>'FEEDER Consumption '!EE6</f>
        <v>220</v>
      </c>
      <c r="AM6" s="324">
        <f>'FEEDER Consumption '!EJ6</f>
        <v>310</v>
      </c>
      <c r="AN6" s="325">
        <f>'FEEDER Consumption '!EO6</f>
        <v>490</v>
      </c>
      <c r="AO6" s="326">
        <f>SUM(WATER!C7+WATER!H7+WATER!M7+WATER!R7)</f>
        <v>1004211</v>
      </c>
      <c r="AP6" s="327">
        <f>IF((AO6-AO5&lt;0), "0",AO6-AO5)</f>
        <v>349</v>
      </c>
      <c r="AQ6" s="327">
        <f>[1]WATER!D7</f>
        <v>71</v>
      </c>
      <c r="AR6" s="327">
        <f>[1]WATER!I7</f>
        <v>0</v>
      </c>
      <c r="AS6" s="327">
        <f>[1]WATER!N7</f>
        <v>143</v>
      </c>
      <c r="AT6" s="327">
        <f>[1]WATER!S7</f>
        <v>113</v>
      </c>
      <c r="AU6" s="327">
        <f>[1]WATER!AD7</f>
        <v>17</v>
      </c>
      <c r="AV6" s="327">
        <f>[1]WATER!AI7</f>
        <v>13</v>
      </c>
      <c r="AW6" s="327">
        <f>[1]WATER!AN7</f>
        <v>16</v>
      </c>
      <c r="AX6" s="327">
        <f>[1]WATER!AS7</f>
        <v>12</v>
      </c>
      <c r="AY6" s="327">
        <f>[1]WATER!AX7</f>
        <v>7</v>
      </c>
      <c r="AZ6" s="327">
        <f>[1]WATER!BC7</f>
        <v>7</v>
      </c>
      <c r="BA6" s="327">
        <f>[1]WATER!BH7</f>
        <v>10</v>
      </c>
      <c r="BB6" s="327">
        <f>[1]WATER!BM7</f>
        <v>10</v>
      </c>
      <c r="BC6" s="327">
        <f>[1]WATER!BR7</f>
        <v>1</v>
      </c>
      <c r="BD6" s="327">
        <f>[1]WATER!BW7</f>
        <v>1</v>
      </c>
      <c r="BE6" s="327">
        <f>[1]WATER!CB7</f>
        <v>5</v>
      </c>
      <c r="BF6" s="327">
        <f>[1]WATER!CG7</f>
        <v>1</v>
      </c>
      <c r="BG6" s="327">
        <f>[1]WATER!CL7</f>
        <v>22</v>
      </c>
      <c r="BH6" s="327">
        <f>[1]WATER!CQ7</f>
        <v>8</v>
      </c>
      <c r="BI6" s="327">
        <f>[1]WATER!CV7</f>
        <v>1</v>
      </c>
      <c r="BJ6" s="327">
        <f>[1]WATER!DA7</f>
        <v>1</v>
      </c>
      <c r="BK6" s="327">
        <f>[1]WATER!DF7</f>
        <v>2</v>
      </c>
      <c r="BL6" s="327">
        <f>[1]WATER!DK7</f>
        <v>5</v>
      </c>
      <c r="BM6" s="327">
        <f>[1]WATER!DP7</f>
        <v>5</v>
      </c>
      <c r="BN6" s="327">
        <f>[1]WATER!DU7</f>
        <v>1</v>
      </c>
      <c r="BO6" s="327">
        <f>[1]WATER!DZ7</f>
        <v>2</v>
      </c>
      <c r="BP6" s="188">
        <f>'[1]Room Nights and Food Covers'!B6</f>
        <v>15.5</v>
      </c>
      <c r="BQ6" s="188">
        <f>'[1]Room Nights and Food Covers'!C6</f>
        <v>119</v>
      </c>
    </row>
    <row r="7" spans="1:69" ht="45" customHeight="1" x14ac:dyDescent="0.25">
      <c r="A7" s="189">
        <f t="shared" si="0"/>
        <v>44472</v>
      </c>
      <c r="B7" s="335"/>
      <c r="C7" s="401">
        <f>SUM('GENSET #1'!C12+'GENSET #2'!C12+'GENSET #3'!C12+'GENSET #4'!C12+'GENSET #5'!C12)</f>
        <v>93732560</v>
      </c>
      <c r="D7" s="324">
        <f t="shared" ref="D7:D22" si="1">IF((C7-C6&lt;0), "0",C7-C6)</f>
        <v>23924</v>
      </c>
      <c r="E7" s="401">
        <f>'Gas-2'!G8</f>
        <v>225</v>
      </c>
      <c r="F7" s="324">
        <f>IF((E7-E6&lt;0), "0",E7-E6)</f>
        <v>0</v>
      </c>
      <c r="G7" s="324">
        <f>'GENSET #1'!D12</f>
        <v>4555</v>
      </c>
      <c r="H7" s="324">
        <f>'GENSET #2'!D12</f>
        <v>5467</v>
      </c>
      <c r="I7" s="324">
        <f>'GENSET #3'!D12</f>
        <v>3209</v>
      </c>
      <c r="J7" s="324">
        <f>'GENSET #4'!D12</f>
        <v>2624</v>
      </c>
      <c r="K7" s="324">
        <f>'GENSET #5'!D12</f>
        <v>8069</v>
      </c>
      <c r="L7" s="324">
        <f>'FEEDER Consumption '!E7</f>
        <v>2234</v>
      </c>
      <c r="M7" s="324">
        <f>'FEEDER Consumption '!J7</f>
        <v>3865</v>
      </c>
      <c r="N7" s="324">
        <f>'FEEDER Consumption '!O7</f>
        <v>12898</v>
      </c>
      <c r="O7" s="324">
        <f>'FEEDER Consumption '!T7</f>
        <v>1500</v>
      </c>
      <c r="P7" s="324">
        <f>'FEEDER Consumption '!Y7</f>
        <v>2753</v>
      </c>
      <c r="Q7" s="324">
        <f>'FEEDER Consumption '!AD7</f>
        <v>1500</v>
      </c>
      <c r="R7" s="324">
        <f>'FEEDER Consumption '!AI7</f>
        <v>756</v>
      </c>
      <c r="S7" s="324">
        <f>'FEEDER Consumption '!AN7</f>
        <v>580</v>
      </c>
      <c r="T7" s="324">
        <f>'FEEDER Consumption '!AS7</f>
        <v>1200</v>
      </c>
      <c r="U7" s="324">
        <f>'FEEDER Consumption '!AX7</f>
        <v>410</v>
      </c>
      <c r="V7" s="324">
        <f>'FEEDER Consumption '!BH7</f>
        <v>730</v>
      </c>
      <c r="W7" s="324">
        <f>'FEEDER Consumption '!BH7</f>
        <v>730</v>
      </c>
      <c r="X7" s="324">
        <f>'FEEDER Consumption '!BM7</f>
        <v>1400</v>
      </c>
      <c r="Y7" s="324">
        <f>'FEEDER Consumption '!BR7</f>
        <v>179</v>
      </c>
      <c r="Z7" s="324">
        <f>'FEEDER Consumption '!BW7</f>
        <v>400</v>
      </c>
      <c r="AA7" s="324">
        <f>'FEEDER Consumption '!CB7</f>
        <v>1240</v>
      </c>
      <c r="AB7" s="324">
        <f>'FEEDER Consumption '!CG7</f>
        <v>410</v>
      </c>
      <c r="AC7" s="324">
        <f>'FEEDER Consumption '!CL7</f>
        <v>820</v>
      </c>
      <c r="AD7" s="324">
        <f>'FEEDER Consumption '!CQ7</f>
        <v>760</v>
      </c>
      <c r="AE7" s="324">
        <f>'FEEDER Consumption '!CV7</f>
        <v>520</v>
      </c>
      <c r="AF7" s="324">
        <f>'FEEDER Consumption '!DA7</f>
        <v>1080</v>
      </c>
      <c r="AG7" s="324">
        <f>'FEEDER Consumption '!DF7</f>
        <v>870</v>
      </c>
      <c r="AH7" s="324">
        <f>'FEEDER Consumption '!DK7</f>
        <v>445</v>
      </c>
      <c r="AI7" s="324">
        <f>'FEEDER Consumption '!DP7</f>
        <v>190</v>
      </c>
      <c r="AJ7" s="324">
        <f>'FEEDER Consumption '!DU7</f>
        <v>120</v>
      </c>
      <c r="AK7" s="324">
        <f>'FEEDER Consumption '!DZ7</f>
        <v>640</v>
      </c>
      <c r="AL7" s="324">
        <f>'FEEDER Consumption '!EE7</f>
        <v>220</v>
      </c>
      <c r="AM7" s="324">
        <f>'FEEDER Consumption '!EJ7</f>
        <v>290</v>
      </c>
      <c r="AN7" s="325">
        <f>'FEEDER Consumption '!EO7</f>
        <v>350</v>
      </c>
      <c r="AO7" s="326">
        <f>SUM(WATER!C8+WATER!H8+WATER!M8+WATER!R8)</f>
        <v>1004557</v>
      </c>
      <c r="AP7" s="327">
        <f t="shared" ref="AP7:AP35" si="2">IF((AO7-AO6&lt;0), "0",AO7-AO6)</f>
        <v>346</v>
      </c>
      <c r="AQ7" s="327">
        <f>[1]WATER!D8</f>
        <v>65</v>
      </c>
      <c r="AR7" s="327">
        <f>[1]WATER!I8</f>
        <v>0</v>
      </c>
      <c r="AS7" s="327">
        <f>[1]WATER!N8</f>
        <v>197</v>
      </c>
      <c r="AT7" s="327">
        <f>[1]WATER!S8</f>
        <v>109</v>
      </c>
      <c r="AU7" s="327">
        <f>[1]WATER!AD8</f>
        <v>18</v>
      </c>
      <c r="AV7" s="327">
        <f>[1]WATER!AI8</f>
        <v>4</v>
      </c>
      <c r="AW7" s="327">
        <f>[1]WATER!AN8</f>
        <v>9</v>
      </c>
      <c r="AX7" s="327">
        <f>[1]WATER!AS8</f>
        <v>11</v>
      </c>
      <c r="AY7" s="327">
        <f>[1]WATER!AX8</f>
        <v>7</v>
      </c>
      <c r="AZ7" s="327">
        <f>[1]WATER!BC8</f>
        <v>8</v>
      </c>
      <c r="BA7" s="327">
        <f>[1]WATER!BH8</f>
        <v>0</v>
      </c>
      <c r="BB7" s="327">
        <f>[1]WATER!BM8</f>
        <v>8</v>
      </c>
      <c r="BC7" s="327">
        <f>[1]WATER!BR8</f>
        <v>0</v>
      </c>
      <c r="BD7" s="327">
        <f>[1]WATER!BW8</f>
        <v>0</v>
      </c>
      <c r="BE7" s="327">
        <f>[1]WATER!CB8</f>
        <v>4</v>
      </c>
      <c r="BF7" s="327">
        <f>[1]WATER!CG8</f>
        <v>1</v>
      </c>
      <c r="BG7" s="327">
        <f>[1]WATER!CL8</f>
        <v>26</v>
      </c>
      <c r="BH7" s="327">
        <f>[1]WATER!CQ8</f>
        <v>7</v>
      </c>
      <c r="BI7" s="327">
        <f>[1]WATER!CV8</f>
        <v>0</v>
      </c>
      <c r="BJ7" s="327">
        <f>[1]WATER!DA8</f>
        <v>0</v>
      </c>
      <c r="BK7" s="327">
        <f>[1]WATER!DF8</f>
        <v>3</v>
      </c>
      <c r="BL7" s="327">
        <f>[1]WATER!DK8</f>
        <v>3</v>
      </c>
      <c r="BM7" s="327">
        <f>[1]WATER!DP8</f>
        <v>0</v>
      </c>
      <c r="BN7" s="327">
        <f>[1]WATER!DU8</f>
        <v>1</v>
      </c>
      <c r="BO7" s="327">
        <f>[1]WATER!DZ8</f>
        <v>1</v>
      </c>
      <c r="BP7" s="188">
        <f>'[1]Room Nights and Food Covers'!B7</f>
        <v>19.399999999999999</v>
      </c>
      <c r="BQ7" s="188">
        <f>'[1]Room Nights and Food Covers'!C7</f>
        <v>156</v>
      </c>
    </row>
    <row r="8" spans="1:69" ht="45" customHeight="1" x14ac:dyDescent="0.25">
      <c r="A8" s="189">
        <f t="shared" si="0"/>
        <v>44473</v>
      </c>
      <c r="B8" s="335"/>
      <c r="C8" s="401">
        <f>SUM('GENSET #1'!C13+'GENSET #2'!C13+'GENSET #3'!C13+'GENSET #4'!C13+'GENSET #5'!C13)</f>
        <v>93755854</v>
      </c>
      <c r="D8" s="324">
        <f t="shared" si="1"/>
        <v>23294</v>
      </c>
      <c r="E8" s="401">
        <f>'Gas-2'!G9</f>
        <v>225</v>
      </c>
      <c r="F8" s="324">
        <f t="shared" ref="F8:F35" si="3">IF((E8-E7&lt;0), "0",E8-E7)</f>
        <v>0</v>
      </c>
      <c r="G8" s="324">
        <f>'GENSET #1'!D13</f>
        <v>7287</v>
      </c>
      <c r="H8" s="324">
        <f>'GENSET #2'!D13</f>
        <v>5758</v>
      </c>
      <c r="I8" s="324">
        <f>'GENSET #3'!D13</f>
        <v>7157</v>
      </c>
      <c r="J8" s="324">
        <f>'GENSET #4'!D13</f>
        <v>1595</v>
      </c>
      <c r="K8" s="324">
        <f>'GENSET #5'!D13</f>
        <v>1497</v>
      </c>
      <c r="L8" s="324">
        <f>'FEEDER Consumption '!E8</f>
        <v>2208</v>
      </c>
      <c r="M8" s="324">
        <f>'FEEDER Consumption '!J8</f>
        <v>3858</v>
      </c>
      <c r="N8" s="324">
        <f>'FEEDER Consumption '!O8</f>
        <v>13231</v>
      </c>
      <c r="O8" s="324">
        <f>'FEEDER Consumption '!T8</f>
        <v>1500</v>
      </c>
      <c r="P8" s="324">
        <f>'FEEDER Consumption '!Y8</f>
        <v>2550</v>
      </c>
      <c r="Q8" s="324">
        <f>'FEEDER Consumption '!AD8</f>
        <v>1500</v>
      </c>
      <c r="R8" s="324">
        <f>'FEEDER Consumption '!AI8</f>
        <v>753</v>
      </c>
      <c r="S8" s="324">
        <f>'FEEDER Consumption '!AN8</f>
        <v>540</v>
      </c>
      <c r="T8" s="324">
        <f>'FEEDER Consumption '!AS8</f>
        <v>700</v>
      </c>
      <c r="U8" s="324">
        <f>'FEEDER Consumption '!AX8</f>
        <v>407</v>
      </c>
      <c r="V8" s="324">
        <f>'FEEDER Consumption '!BH8</f>
        <v>760</v>
      </c>
      <c r="W8" s="324">
        <f>'FEEDER Consumption '!BH8</f>
        <v>760</v>
      </c>
      <c r="X8" s="324">
        <f>'FEEDER Consumption '!BM8</f>
        <v>1300</v>
      </c>
      <c r="Y8" s="324">
        <f>'FEEDER Consumption '!BR8</f>
        <v>151</v>
      </c>
      <c r="Z8" s="324">
        <f>'FEEDER Consumption '!BW8</f>
        <v>430</v>
      </c>
      <c r="AA8" s="324">
        <f>'FEEDER Consumption '!CB8</f>
        <v>1180</v>
      </c>
      <c r="AB8" s="324">
        <f>'FEEDER Consumption '!CG8</f>
        <v>410</v>
      </c>
      <c r="AC8" s="324">
        <f>'FEEDER Consumption '!CL8</f>
        <v>760</v>
      </c>
      <c r="AD8" s="324">
        <f>'FEEDER Consumption '!CQ8</f>
        <v>770</v>
      </c>
      <c r="AE8" s="324">
        <f>'FEEDER Consumption '!CV8</f>
        <v>440</v>
      </c>
      <c r="AF8" s="324">
        <f>'FEEDER Consumption '!DA8</f>
        <v>1080</v>
      </c>
      <c r="AG8" s="324">
        <f>'FEEDER Consumption '!DF8</f>
        <v>880</v>
      </c>
      <c r="AH8" s="324">
        <f>'FEEDER Consumption '!DK8</f>
        <v>795</v>
      </c>
      <c r="AI8" s="324">
        <f>'FEEDER Consumption '!DP8</f>
        <v>180</v>
      </c>
      <c r="AJ8" s="324">
        <f>'FEEDER Consumption '!DU8</f>
        <v>122</v>
      </c>
      <c r="AK8" s="324">
        <f>'FEEDER Consumption '!DZ8</f>
        <v>610</v>
      </c>
      <c r="AL8" s="324">
        <f>'FEEDER Consumption '!EE8</f>
        <v>210</v>
      </c>
      <c r="AM8" s="324">
        <f>'FEEDER Consumption '!EJ8</f>
        <v>400</v>
      </c>
      <c r="AN8" s="325">
        <f>'FEEDER Consumption '!EO8</f>
        <v>650</v>
      </c>
      <c r="AO8" s="326">
        <f>SUM(WATER!C9+WATER!H9+WATER!M9+WATER!R9)</f>
        <v>1004897</v>
      </c>
      <c r="AP8" s="327">
        <f t="shared" si="2"/>
        <v>340</v>
      </c>
      <c r="AQ8" s="327">
        <f>[1]WATER!D9</f>
        <v>66</v>
      </c>
      <c r="AR8" s="327">
        <f>[1]WATER!I9</f>
        <v>0</v>
      </c>
      <c r="AS8" s="327">
        <f>[1]WATER!N9</f>
        <v>179</v>
      </c>
      <c r="AT8" s="327">
        <f>[1]WATER!S9</f>
        <v>94</v>
      </c>
      <c r="AU8" s="327">
        <f>[1]WATER!AD9</f>
        <v>17</v>
      </c>
      <c r="AV8" s="327">
        <f>[1]WATER!AI9</f>
        <v>5</v>
      </c>
      <c r="AW8" s="327">
        <f>[1]WATER!AN9</f>
        <v>9</v>
      </c>
      <c r="AX8" s="327">
        <f>[1]WATER!AS9</f>
        <v>10</v>
      </c>
      <c r="AY8" s="327">
        <f>[1]WATER!AX9</f>
        <v>7</v>
      </c>
      <c r="AZ8" s="327">
        <f>[1]WATER!BC9</f>
        <v>7</v>
      </c>
      <c r="BA8" s="327">
        <f>[1]WATER!BH9</f>
        <v>0</v>
      </c>
      <c r="BB8" s="327">
        <f>[1]WATER!BM9</f>
        <v>7</v>
      </c>
      <c r="BC8" s="327">
        <f>[1]WATER!BR9</f>
        <v>4</v>
      </c>
      <c r="BD8" s="327">
        <f>[1]WATER!BW9</f>
        <v>0</v>
      </c>
      <c r="BE8" s="327">
        <f>[1]WATER!CB9</f>
        <v>6</v>
      </c>
      <c r="BF8" s="327">
        <f>[1]WATER!CG9</f>
        <v>5</v>
      </c>
      <c r="BG8" s="327">
        <f>[1]WATER!CL9</f>
        <v>24</v>
      </c>
      <c r="BH8" s="327">
        <f>[1]WATER!CQ9</f>
        <v>7</v>
      </c>
      <c r="BI8" s="327">
        <f>[1]WATER!CV9</f>
        <v>1</v>
      </c>
      <c r="BJ8" s="327">
        <f>[1]WATER!DA9</f>
        <v>0</v>
      </c>
      <c r="BK8" s="327">
        <f>[1]WATER!DF9</f>
        <v>2</v>
      </c>
      <c r="BL8" s="327">
        <f>[1]WATER!DK9</f>
        <v>5</v>
      </c>
      <c r="BM8" s="327">
        <f>[1]WATER!DP9</f>
        <v>50</v>
      </c>
      <c r="BN8" s="327">
        <f>[1]WATER!DU9</f>
        <v>1</v>
      </c>
      <c r="BO8" s="327">
        <f>[1]WATER!DZ9</f>
        <v>2</v>
      </c>
      <c r="BP8" s="188">
        <f>'[1]Room Nights and Food Covers'!B8</f>
        <v>18.399999999999999</v>
      </c>
      <c r="BQ8" s="188">
        <f>'[1]Room Nights and Food Covers'!C8</f>
        <v>141</v>
      </c>
    </row>
    <row r="9" spans="1:69" ht="45" customHeight="1" x14ac:dyDescent="0.25">
      <c r="A9" s="189">
        <f t="shared" si="0"/>
        <v>44474</v>
      </c>
      <c r="B9" s="335"/>
      <c r="C9" s="401">
        <f>SUM('GENSET #1'!C14+'GENSET #2'!C14+'GENSET #3'!C14+'GENSET #4'!C14+'GENSET #5'!C14)</f>
        <v>93778347</v>
      </c>
      <c r="D9" s="324">
        <f t="shared" si="1"/>
        <v>22493</v>
      </c>
      <c r="E9" s="401">
        <f>'Gas-2'!G10</f>
        <v>225</v>
      </c>
      <c r="F9" s="324">
        <f t="shared" si="3"/>
        <v>0</v>
      </c>
      <c r="G9" s="324">
        <f>'GENSET #1'!D14</f>
        <v>4695</v>
      </c>
      <c r="H9" s="324">
        <f>'GENSET #2'!D14</f>
        <v>10548</v>
      </c>
      <c r="I9" s="324">
        <f>'GENSET #3'!D14</f>
        <v>2548</v>
      </c>
      <c r="J9" s="324">
        <f>'GENSET #4'!D14</f>
        <v>27</v>
      </c>
      <c r="K9" s="324">
        <f>'GENSET #5'!D14</f>
        <v>4675</v>
      </c>
      <c r="L9" s="324">
        <f>'FEEDER Consumption '!E9</f>
        <v>2083</v>
      </c>
      <c r="M9" s="324">
        <f>'FEEDER Consumption '!J9</f>
        <v>3329</v>
      </c>
      <c r="N9" s="324">
        <f>'FEEDER Consumption '!O9</f>
        <v>12533</v>
      </c>
      <c r="O9" s="324">
        <f>'FEEDER Consumption '!T9</f>
        <v>1600</v>
      </c>
      <c r="P9" s="324">
        <f>'FEEDER Consumption '!Y9</f>
        <v>2609</v>
      </c>
      <c r="Q9" s="324">
        <f>'FEEDER Consumption '!AD9</f>
        <v>1400</v>
      </c>
      <c r="R9" s="324">
        <f>'FEEDER Consumption '!AI9</f>
        <v>803</v>
      </c>
      <c r="S9" s="324">
        <f>'FEEDER Consumption '!AN9</f>
        <v>530</v>
      </c>
      <c r="T9" s="324">
        <f>'FEEDER Consumption '!AS9</f>
        <v>1300</v>
      </c>
      <c r="U9" s="324">
        <f>'FEEDER Consumption '!AX9</f>
        <v>376</v>
      </c>
      <c r="V9" s="324">
        <f>'FEEDER Consumption '!BH9</f>
        <v>670</v>
      </c>
      <c r="W9" s="324">
        <f>'FEEDER Consumption '!BH9</f>
        <v>670</v>
      </c>
      <c r="X9" s="324">
        <f>'FEEDER Consumption '!BM9</f>
        <v>1400</v>
      </c>
      <c r="Y9" s="324">
        <f>'FEEDER Consumption '!BR9</f>
        <v>130</v>
      </c>
      <c r="Z9" s="324">
        <f>'FEEDER Consumption '!BW9</f>
        <v>420</v>
      </c>
      <c r="AA9" s="324">
        <f>'FEEDER Consumption '!CB9</f>
        <v>1150</v>
      </c>
      <c r="AB9" s="324">
        <f>'FEEDER Consumption '!CG9</f>
        <v>350</v>
      </c>
      <c r="AC9" s="324">
        <f>'FEEDER Consumption '!CL9</f>
        <v>610</v>
      </c>
      <c r="AD9" s="324">
        <f>'FEEDER Consumption '!CQ9</f>
        <v>680</v>
      </c>
      <c r="AE9" s="324">
        <f>'FEEDER Consumption '!CV9</f>
        <v>390</v>
      </c>
      <c r="AF9" s="324">
        <f>'FEEDER Consumption '!DA9</f>
        <v>1000</v>
      </c>
      <c r="AG9" s="324">
        <f>'FEEDER Consumption '!DF9</f>
        <v>750</v>
      </c>
      <c r="AH9" s="324">
        <f>'FEEDER Consumption '!DK9</f>
        <v>510</v>
      </c>
      <c r="AI9" s="324">
        <f>'FEEDER Consumption '!DP9</f>
        <v>170</v>
      </c>
      <c r="AJ9" s="324">
        <f>'FEEDER Consumption '!DU9</f>
        <v>138</v>
      </c>
      <c r="AK9" s="324">
        <f>'FEEDER Consumption '!DZ9</f>
        <v>590</v>
      </c>
      <c r="AL9" s="324">
        <f>'FEEDER Consumption '!EE9</f>
        <v>210</v>
      </c>
      <c r="AM9" s="324">
        <f>'FEEDER Consumption '!EJ9</f>
        <v>320</v>
      </c>
      <c r="AN9" s="325">
        <f>'FEEDER Consumption '!EO9</f>
        <v>530</v>
      </c>
      <c r="AO9" s="326">
        <f>SUM(WATER!C10+WATER!H10+WATER!M10+WATER!R10)</f>
        <v>1005172</v>
      </c>
      <c r="AP9" s="327">
        <f t="shared" si="2"/>
        <v>275</v>
      </c>
      <c r="AQ9" s="327">
        <f>[1]WATER!D10</f>
        <v>70</v>
      </c>
      <c r="AR9" s="327">
        <f>[1]WATER!I10</f>
        <v>0</v>
      </c>
      <c r="AS9" s="327">
        <f>[1]WATER!N10</f>
        <v>179</v>
      </c>
      <c r="AT9" s="327">
        <f>[1]WATER!S10</f>
        <v>85</v>
      </c>
      <c r="AU9" s="327">
        <f>[1]WATER!AD10</f>
        <v>18</v>
      </c>
      <c r="AV9" s="327">
        <f>[1]WATER!AI10</f>
        <v>5</v>
      </c>
      <c r="AW9" s="327">
        <f>[1]WATER!AN10</f>
        <v>8</v>
      </c>
      <c r="AX9" s="327">
        <f>[1]WATER!AS10</f>
        <v>10</v>
      </c>
      <c r="AY9" s="327">
        <f>[1]WATER!AX10</f>
        <v>7</v>
      </c>
      <c r="AZ9" s="327">
        <f>[1]WATER!BC10</f>
        <v>8</v>
      </c>
      <c r="BA9" s="327">
        <f>[1]WATER!BH10</f>
        <v>19</v>
      </c>
      <c r="BB9" s="327">
        <f>[1]WATER!BM10</f>
        <v>7</v>
      </c>
      <c r="BC9" s="327">
        <f>[1]WATER!BR10</f>
        <v>1</v>
      </c>
      <c r="BD9" s="327">
        <f>[1]WATER!BW10</f>
        <v>1</v>
      </c>
      <c r="BE9" s="327">
        <f>[1]WATER!CB10</f>
        <v>4</v>
      </c>
      <c r="BF9" s="327">
        <f>[1]WATER!CG10</f>
        <v>2</v>
      </c>
      <c r="BG9" s="327">
        <f>[1]WATER!CL10</f>
        <v>27</v>
      </c>
      <c r="BH9" s="327">
        <f>[1]WATER!CQ10</f>
        <v>7</v>
      </c>
      <c r="BI9" s="327">
        <f>[1]WATER!CV10</f>
        <v>1</v>
      </c>
      <c r="BJ9" s="327">
        <f>[1]WATER!DA10</f>
        <v>3</v>
      </c>
      <c r="BK9" s="327">
        <f>[1]WATER!DF10</f>
        <v>3</v>
      </c>
      <c r="BL9" s="327">
        <f>[1]WATER!DK10</f>
        <v>9</v>
      </c>
      <c r="BM9" s="327">
        <f>[1]WATER!DP10</f>
        <v>0</v>
      </c>
      <c r="BN9" s="327">
        <f>[1]WATER!DU10</f>
        <v>10</v>
      </c>
      <c r="BO9" s="327">
        <f>[1]WATER!DZ10</f>
        <v>3</v>
      </c>
      <c r="BP9" s="188">
        <f>'[1]Room Nights and Food Covers'!B9</f>
        <v>18.399999999999999</v>
      </c>
      <c r="BQ9" s="188">
        <f>'[1]Room Nights and Food Covers'!C9</f>
        <v>131</v>
      </c>
    </row>
    <row r="10" spans="1:69" ht="45" customHeight="1" x14ac:dyDescent="0.25">
      <c r="A10" s="189">
        <f t="shared" si="0"/>
        <v>44475</v>
      </c>
      <c r="B10" s="335"/>
      <c r="C10" s="401">
        <f>SUM('GENSET #1'!C15+'GENSET #2'!C15+'GENSET #3'!C15+'GENSET #4'!C15+'GENSET #5'!C15)</f>
        <v>93801999</v>
      </c>
      <c r="D10" s="324">
        <f t="shared" si="1"/>
        <v>23652</v>
      </c>
      <c r="E10" s="401">
        <f>'Gas-2'!G11</f>
        <v>225</v>
      </c>
      <c r="F10" s="324">
        <f t="shared" si="3"/>
        <v>0</v>
      </c>
      <c r="G10" s="324">
        <f>'GENSET #1'!D15</f>
        <v>5576</v>
      </c>
      <c r="H10" s="324">
        <f>'GENSET #2'!D15</f>
        <v>9782</v>
      </c>
      <c r="I10" s="324">
        <f>'GENSET #3'!D15</f>
        <v>6770</v>
      </c>
      <c r="J10" s="324">
        <f>'GENSET #4'!D15</f>
        <v>1524</v>
      </c>
      <c r="K10" s="324">
        <f>'GENSET #5'!D15</f>
        <v>0</v>
      </c>
      <c r="L10" s="324">
        <f>'FEEDER Consumption '!E10</f>
        <v>2341</v>
      </c>
      <c r="M10" s="324">
        <f>'FEEDER Consumption '!J10</f>
        <v>4031</v>
      </c>
      <c r="N10" s="324">
        <f>'FEEDER Consumption '!O10</f>
        <v>12944</v>
      </c>
      <c r="O10" s="324">
        <f>'FEEDER Consumption '!T10</f>
        <v>1600</v>
      </c>
      <c r="P10" s="324">
        <f>'FEEDER Consumption '!Y10</f>
        <v>2746</v>
      </c>
      <c r="Q10" s="324">
        <f>'FEEDER Consumption '!AD10</f>
        <v>1500</v>
      </c>
      <c r="R10" s="324">
        <f>'FEEDER Consumption '!AI10</f>
        <v>809</v>
      </c>
      <c r="S10" s="324">
        <f>'FEEDER Consumption '!AN10</f>
        <v>600</v>
      </c>
      <c r="T10" s="324">
        <f>'FEEDER Consumption '!AS10</f>
        <v>700</v>
      </c>
      <c r="U10" s="324">
        <f>'FEEDER Consumption '!AX10</f>
        <v>379</v>
      </c>
      <c r="V10" s="324">
        <f>'FEEDER Consumption '!BH10</f>
        <v>730</v>
      </c>
      <c r="W10" s="324">
        <f>'FEEDER Consumption '!BH10</f>
        <v>730</v>
      </c>
      <c r="X10" s="324">
        <f>'FEEDER Consumption '!BM10</f>
        <v>1300</v>
      </c>
      <c r="Y10" s="324">
        <f>'FEEDER Consumption '!BR10</f>
        <v>155</v>
      </c>
      <c r="Z10" s="324">
        <f>'FEEDER Consumption '!BW10</f>
        <v>430</v>
      </c>
      <c r="AA10" s="324">
        <f>'FEEDER Consumption '!CB10</f>
        <v>1200</v>
      </c>
      <c r="AB10" s="324">
        <f>'FEEDER Consumption '!CG10</f>
        <v>380</v>
      </c>
      <c r="AC10" s="324">
        <f>'FEEDER Consumption '!CL10</f>
        <v>750</v>
      </c>
      <c r="AD10" s="324">
        <f>'FEEDER Consumption '!CQ10</f>
        <v>750</v>
      </c>
      <c r="AE10" s="324">
        <f>'FEEDER Consumption '!CV10</f>
        <v>480</v>
      </c>
      <c r="AF10" s="324">
        <f>'FEEDER Consumption '!DA10</f>
        <v>1280</v>
      </c>
      <c r="AG10" s="324">
        <f>'FEEDER Consumption '!DF10</f>
        <v>860</v>
      </c>
      <c r="AH10" s="324">
        <f>'FEEDER Consumption '!DK10</f>
        <v>650</v>
      </c>
      <c r="AI10" s="324">
        <f>'FEEDER Consumption '!DP10</f>
        <v>190</v>
      </c>
      <c r="AJ10" s="324">
        <f>'FEEDER Consumption '!DU10</f>
        <v>138</v>
      </c>
      <c r="AK10" s="324">
        <f>'FEEDER Consumption '!DZ10</f>
        <v>610</v>
      </c>
      <c r="AL10" s="324">
        <f>'FEEDER Consumption '!EE10</f>
        <v>230</v>
      </c>
      <c r="AM10" s="324">
        <f>'FEEDER Consumption '!EJ10</f>
        <v>300</v>
      </c>
      <c r="AN10" s="325">
        <f>'FEEDER Consumption '!EO10</f>
        <v>480</v>
      </c>
      <c r="AO10" s="326">
        <f>SUM(WATER!C11+WATER!H11+WATER!M11+WATER!R11)</f>
        <v>1005536</v>
      </c>
      <c r="AP10" s="327">
        <f t="shared" si="2"/>
        <v>364</v>
      </c>
      <c r="AQ10" s="327">
        <f>[1]WATER!D11</f>
        <v>52</v>
      </c>
      <c r="AR10" s="327">
        <f>[1]WATER!I11</f>
        <v>0</v>
      </c>
      <c r="AS10" s="327">
        <f>[1]WATER!N11</f>
        <v>200</v>
      </c>
      <c r="AT10" s="327">
        <f>[1]WATER!S11</f>
        <v>69</v>
      </c>
      <c r="AU10" s="327">
        <f>[1]WATER!AD11</f>
        <v>20</v>
      </c>
      <c r="AV10" s="327">
        <f>[1]WATER!AI11</f>
        <v>6</v>
      </c>
      <c r="AW10" s="327">
        <f>[1]WATER!AN11</f>
        <v>9</v>
      </c>
      <c r="AX10" s="327">
        <f>[1]WATER!AS11</f>
        <v>12</v>
      </c>
      <c r="AY10" s="327">
        <f>[1]WATER!AX11</f>
        <v>7</v>
      </c>
      <c r="AZ10" s="327">
        <f>[1]WATER!BC11</f>
        <v>7</v>
      </c>
      <c r="BA10" s="327">
        <f>[1]WATER!BH11</f>
        <v>7</v>
      </c>
      <c r="BB10" s="327">
        <f>[1]WATER!BM11</f>
        <v>8</v>
      </c>
      <c r="BC10" s="327">
        <f>[1]WATER!BR11</f>
        <v>2</v>
      </c>
      <c r="BD10" s="327">
        <f>[1]WATER!BW11</f>
        <v>-1</v>
      </c>
      <c r="BE10" s="327">
        <f>[1]WATER!CB11</f>
        <v>4</v>
      </c>
      <c r="BF10" s="327">
        <f>[1]WATER!CG11</f>
        <v>1</v>
      </c>
      <c r="BG10" s="327">
        <f>[1]WATER!CL11</f>
        <v>24</v>
      </c>
      <c r="BH10" s="327">
        <f>[1]WATER!CQ11</f>
        <v>7</v>
      </c>
      <c r="BI10" s="327">
        <f>[1]WATER!CV11</f>
        <v>0</v>
      </c>
      <c r="BJ10" s="327">
        <f>[1]WATER!DA11</f>
        <v>3</v>
      </c>
      <c r="BK10" s="327">
        <f>[1]WATER!DF11</f>
        <v>4</v>
      </c>
      <c r="BL10" s="327">
        <f>[1]WATER!DK11</f>
        <v>4</v>
      </c>
      <c r="BM10" s="327">
        <f>[1]WATER!DP11</f>
        <v>38</v>
      </c>
      <c r="BN10" s="327">
        <f>[1]WATER!DU11</f>
        <v>1</v>
      </c>
      <c r="BO10" s="327">
        <f>[1]WATER!DZ11</f>
        <v>2</v>
      </c>
      <c r="BP10" s="188">
        <f>'[1]Room Nights and Food Covers'!B10</f>
        <v>14.6</v>
      </c>
      <c r="BQ10" s="188">
        <f>'[1]Room Nights and Food Covers'!C10</f>
        <v>122</v>
      </c>
    </row>
    <row r="11" spans="1:69" ht="45" customHeight="1" x14ac:dyDescent="0.25">
      <c r="A11" s="189">
        <f t="shared" si="0"/>
        <v>44476</v>
      </c>
      <c r="B11" s="335"/>
      <c r="C11" s="401">
        <f>SUM('GENSET #1'!C16+'GENSET #2'!C16+'GENSET #3'!C16+'GENSET #4'!C16+'GENSET #5'!C16)</f>
        <v>93826001</v>
      </c>
      <c r="D11" s="324">
        <f t="shared" si="1"/>
        <v>24002</v>
      </c>
      <c r="E11" s="401">
        <f>'Gas-2'!G12</f>
        <v>270</v>
      </c>
      <c r="F11" s="324">
        <f t="shared" si="3"/>
        <v>45</v>
      </c>
      <c r="G11" s="324">
        <f>'GENSET #1'!D16</f>
        <v>4603</v>
      </c>
      <c r="H11" s="324">
        <f>'GENSET #2'!D16</f>
        <v>7514</v>
      </c>
      <c r="I11" s="324">
        <f>'GENSET #3'!D16</f>
        <v>2259</v>
      </c>
      <c r="J11" s="324">
        <f>'GENSET #4'!D16</f>
        <v>2657</v>
      </c>
      <c r="K11" s="324">
        <f>'GENSET #5'!D16</f>
        <v>6969</v>
      </c>
      <c r="L11" s="324">
        <f>'FEEDER Consumption '!E11</f>
        <v>2355</v>
      </c>
      <c r="M11" s="324">
        <f>'FEEDER Consumption '!J11</f>
        <v>4044</v>
      </c>
      <c r="N11" s="324">
        <f>'FEEDER Consumption '!O11</f>
        <v>12706</v>
      </c>
      <c r="O11" s="324">
        <f>'FEEDER Consumption '!T11</f>
        <v>1600</v>
      </c>
      <c r="P11" s="324">
        <f>'FEEDER Consumption '!Y11</f>
        <v>2711</v>
      </c>
      <c r="Q11" s="324">
        <f>'FEEDER Consumption '!AD11</f>
        <v>1500</v>
      </c>
      <c r="R11" s="324">
        <f>'FEEDER Consumption '!AI11</f>
        <v>687</v>
      </c>
      <c r="S11" s="324">
        <f>'FEEDER Consumption '!AN11</f>
        <v>560</v>
      </c>
      <c r="T11" s="324">
        <f>'FEEDER Consumption '!AS11</f>
        <v>1500</v>
      </c>
      <c r="U11" s="324">
        <f>'FEEDER Consumption '!AX11</f>
        <v>393</v>
      </c>
      <c r="V11" s="324">
        <f>'FEEDER Consumption '!BH11</f>
        <v>770</v>
      </c>
      <c r="W11" s="324">
        <f>'FEEDER Consumption '!BH11</f>
        <v>770</v>
      </c>
      <c r="X11" s="324">
        <f>'FEEDER Consumption '!BM11</f>
        <v>1200</v>
      </c>
      <c r="Y11" s="324">
        <f>'FEEDER Consumption '!BR11</f>
        <v>120</v>
      </c>
      <c r="Z11" s="324">
        <f>'FEEDER Consumption '!BW11</f>
        <v>460</v>
      </c>
      <c r="AA11" s="324">
        <f>'FEEDER Consumption '!CB11</f>
        <v>1210</v>
      </c>
      <c r="AB11" s="324">
        <f>'FEEDER Consumption '!CG11</f>
        <v>380</v>
      </c>
      <c r="AC11" s="324">
        <f>'FEEDER Consumption '!CL11</f>
        <v>750</v>
      </c>
      <c r="AD11" s="324">
        <f>'FEEDER Consumption '!CQ11</f>
        <v>810</v>
      </c>
      <c r="AE11" s="324">
        <f>'FEEDER Consumption '!CV11</f>
        <v>500</v>
      </c>
      <c r="AF11" s="324">
        <f>'FEEDER Consumption '!DA11</f>
        <v>1290</v>
      </c>
      <c r="AG11" s="324">
        <f>'FEEDER Consumption '!DF11</f>
        <v>880</v>
      </c>
      <c r="AH11" s="324">
        <f>'FEEDER Consumption '!DK11</f>
        <v>650</v>
      </c>
      <c r="AI11" s="324">
        <f>'FEEDER Consumption '!DP11</f>
        <v>180</v>
      </c>
      <c r="AJ11" s="324">
        <f>'FEEDER Consumption '!DU11</f>
        <v>129</v>
      </c>
      <c r="AK11" s="324">
        <f>'FEEDER Consumption '!DZ11</f>
        <v>640</v>
      </c>
      <c r="AL11" s="324">
        <f>'FEEDER Consumption '!EE11</f>
        <v>200</v>
      </c>
      <c r="AM11" s="324">
        <f>'FEEDER Consumption '!EJ11</f>
        <v>350</v>
      </c>
      <c r="AN11" s="325">
        <f>'FEEDER Consumption '!EO11</f>
        <v>520</v>
      </c>
      <c r="AO11" s="326">
        <f>SUM(WATER!C12+WATER!H12+WATER!M12+WATER!R12)</f>
        <v>1005859</v>
      </c>
      <c r="AP11" s="327">
        <f t="shared" si="2"/>
        <v>323</v>
      </c>
      <c r="AQ11" s="327">
        <f>[1]WATER!D12</f>
        <v>71</v>
      </c>
      <c r="AR11" s="327">
        <f>[1]WATER!I12</f>
        <v>0</v>
      </c>
      <c r="AS11" s="327">
        <f>[1]WATER!N12</f>
        <v>214</v>
      </c>
      <c r="AT11" s="327">
        <f>[1]WATER!S12</f>
        <v>97</v>
      </c>
      <c r="AU11" s="327">
        <f>[1]WATER!AD12</f>
        <v>18</v>
      </c>
      <c r="AV11" s="327">
        <f>[1]WATER!AI12</f>
        <v>6</v>
      </c>
      <c r="AW11" s="327">
        <f>[1]WATER!AN12</f>
        <v>9</v>
      </c>
      <c r="AX11" s="327">
        <f>[1]WATER!AS12</f>
        <v>11</v>
      </c>
      <c r="AY11" s="327">
        <f>[1]WATER!AX12</f>
        <v>8</v>
      </c>
      <c r="AZ11" s="327">
        <f>[1]WATER!BC12</f>
        <v>7</v>
      </c>
      <c r="BA11" s="327">
        <f>[1]WATER!BH12</f>
        <v>7</v>
      </c>
      <c r="BB11" s="327">
        <f>[1]WATER!BM12</f>
        <v>8</v>
      </c>
      <c r="BC11" s="327">
        <f>[1]WATER!BR12</f>
        <v>2</v>
      </c>
      <c r="BD11" s="327">
        <f>[1]WATER!BW12</f>
        <v>2</v>
      </c>
      <c r="BE11" s="327">
        <f>[1]WATER!CB12</f>
        <v>8</v>
      </c>
      <c r="BF11" s="327">
        <f>[1]WATER!CG12</f>
        <v>4</v>
      </c>
      <c r="BG11" s="327">
        <f>[1]WATER!CL12</f>
        <v>25</v>
      </c>
      <c r="BH11" s="327">
        <f>[1]WATER!CQ12</f>
        <v>7</v>
      </c>
      <c r="BI11" s="327">
        <f>[1]WATER!CV12</f>
        <v>1</v>
      </c>
      <c r="BJ11" s="327">
        <f>[1]WATER!DA12</f>
        <v>3</v>
      </c>
      <c r="BK11" s="327">
        <f>[1]WATER!DF12</f>
        <v>3</v>
      </c>
      <c r="BL11" s="327">
        <f>[1]WATER!DK12</f>
        <v>4</v>
      </c>
      <c r="BM11" s="327">
        <f>[1]WATER!DP12</f>
        <v>38</v>
      </c>
      <c r="BN11" s="327">
        <f>[1]WATER!DU12</f>
        <v>2</v>
      </c>
      <c r="BO11" s="327">
        <f>[1]WATER!DZ12</f>
        <v>1</v>
      </c>
      <c r="BP11" s="188">
        <f>'[1]Room Nights and Food Covers'!B11</f>
        <v>15.5</v>
      </c>
      <c r="BQ11" s="188">
        <f>'[1]Room Nights and Food Covers'!C11</f>
        <v>134</v>
      </c>
    </row>
    <row r="12" spans="1:69" ht="45" customHeight="1" x14ac:dyDescent="0.25">
      <c r="A12" s="189">
        <f t="shared" si="0"/>
        <v>44477</v>
      </c>
      <c r="B12" s="335"/>
      <c r="C12" s="401">
        <f>SUM('GENSET #1'!C17+'GENSET #2'!C17+'GENSET #3'!C17+'GENSET #4'!C17+'GENSET #5'!C17)</f>
        <v>93850529</v>
      </c>
      <c r="D12" s="324">
        <f t="shared" si="1"/>
        <v>24528</v>
      </c>
      <c r="E12" s="401">
        <f>'Gas-2'!G13</f>
        <v>225</v>
      </c>
      <c r="F12" s="324" t="str">
        <f t="shared" si="3"/>
        <v>0</v>
      </c>
      <c r="G12" s="324">
        <f>'GENSET #1'!D17</f>
        <v>6403</v>
      </c>
      <c r="H12" s="324">
        <f>'GENSET #2'!D17</f>
        <v>8568</v>
      </c>
      <c r="I12" s="324">
        <f>'GENSET #3'!D17</f>
        <v>1552</v>
      </c>
      <c r="J12" s="324">
        <f>'GENSET #4'!D17</f>
        <v>1657</v>
      </c>
      <c r="K12" s="324">
        <f>'GENSET #5'!D17</f>
        <v>6348</v>
      </c>
      <c r="L12" s="324">
        <f>'FEEDER Consumption '!E12</f>
        <v>2472</v>
      </c>
      <c r="M12" s="324">
        <f>'FEEDER Consumption '!J12</f>
        <v>4490</v>
      </c>
      <c r="N12" s="324">
        <f>'FEEDER Consumption '!O12</f>
        <v>13014</v>
      </c>
      <c r="O12" s="324">
        <f>'FEEDER Consumption '!T12</f>
        <v>1700</v>
      </c>
      <c r="P12" s="324">
        <f>'FEEDER Consumption '!Y12</f>
        <v>2815</v>
      </c>
      <c r="Q12" s="324">
        <f>'FEEDER Consumption '!AD12</f>
        <v>1400</v>
      </c>
      <c r="R12" s="324">
        <f>'FEEDER Consumption '!AI12</f>
        <v>734</v>
      </c>
      <c r="S12" s="324">
        <f>'FEEDER Consumption '!AN12</f>
        <v>580</v>
      </c>
      <c r="T12" s="324">
        <f>'FEEDER Consumption '!AS12</f>
        <v>800</v>
      </c>
      <c r="U12" s="324">
        <f>'FEEDER Consumption '!AX12</f>
        <v>399</v>
      </c>
      <c r="V12" s="324">
        <f>'FEEDER Consumption '!BH12</f>
        <v>830</v>
      </c>
      <c r="W12" s="324">
        <f>'FEEDER Consumption '!BH12</f>
        <v>830</v>
      </c>
      <c r="X12" s="324">
        <f>'FEEDER Consumption '!BM12</f>
        <v>1300</v>
      </c>
      <c r="Y12" s="324">
        <f>'FEEDER Consumption '!BR12</f>
        <v>163</v>
      </c>
      <c r="Z12" s="324">
        <f>'FEEDER Consumption '!BW12</f>
        <v>410</v>
      </c>
      <c r="AA12" s="324">
        <f>'FEEDER Consumption '!CB12</f>
        <v>1210</v>
      </c>
      <c r="AB12" s="324">
        <f>'FEEDER Consumption '!CG12</f>
        <v>470</v>
      </c>
      <c r="AC12" s="324">
        <f>'FEEDER Consumption '!CL12</f>
        <v>850</v>
      </c>
      <c r="AD12" s="324">
        <f>'FEEDER Consumption '!CQ12</f>
        <v>840</v>
      </c>
      <c r="AE12" s="324">
        <f>'FEEDER Consumption '!CV12</f>
        <v>550</v>
      </c>
      <c r="AF12" s="324">
        <f>'FEEDER Consumption '!DA12</f>
        <v>1280</v>
      </c>
      <c r="AG12" s="324">
        <f>'FEEDER Consumption '!DF12</f>
        <v>1130</v>
      </c>
      <c r="AH12" s="324">
        <f>'FEEDER Consumption '!DK12</f>
        <v>680</v>
      </c>
      <c r="AI12" s="324">
        <f>'FEEDER Consumption '!DP12</f>
        <v>250</v>
      </c>
      <c r="AJ12" s="324">
        <f>'FEEDER Consumption '!DU12</f>
        <v>132</v>
      </c>
      <c r="AK12" s="324">
        <f>'FEEDER Consumption '!DZ12</f>
        <v>650</v>
      </c>
      <c r="AL12" s="324">
        <f>'FEEDER Consumption '!EE12</f>
        <v>260</v>
      </c>
      <c r="AM12" s="324">
        <f>'FEEDER Consumption '!EJ12</f>
        <v>310</v>
      </c>
      <c r="AN12" s="325">
        <f>'FEEDER Consumption '!EO12</f>
        <v>500</v>
      </c>
      <c r="AO12" s="326">
        <f>SUM(WATER!C13+WATER!H13+WATER!M13+WATER!R13)</f>
        <v>1006196</v>
      </c>
      <c r="AP12" s="327">
        <f t="shared" si="2"/>
        <v>337</v>
      </c>
      <c r="AQ12" s="327">
        <f>[1]WATER!D13</f>
        <v>38</v>
      </c>
      <c r="AR12" s="327">
        <f>[1]WATER!I13</f>
        <v>0</v>
      </c>
      <c r="AS12" s="327">
        <f>[1]WATER!N13</f>
        <v>202</v>
      </c>
      <c r="AT12" s="327">
        <f>[1]WATER!S13</f>
        <v>111</v>
      </c>
      <c r="AU12" s="327">
        <f>[1]WATER!AD13</f>
        <v>19</v>
      </c>
      <c r="AV12" s="327">
        <f>[1]WATER!AI13</f>
        <v>6</v>
      </c>
      <c r="AW12" s="327">
        <f>[1]WATER!AN13</f>
        <v>9</v>
      </c>
      <c r="AX12" s="327">
        <f>[1]WATER!AS13</f>
        <v>12</v>
      </c>
      <c r="AY12" s="327">
        <f>[1]WATER!AX13</f>
        <v>8</v>
      </c>
      <c r="AZ12" s="327">
        <f>[1]WATER!BC13</f>
        <v>7</v>
      </c>
      <c r="BA12" s="327">
        <f>[1]WATER!BH13</f>
        <v>8</v>
      </c>
      <c r="BB12" s="327">
        <f>[1]WATER!BM13</f>
        <v>8</v>
      </c>
      <c r="BC12" s="327">
        <f>[1]WATER!BR13</f>
        <v>2</v>
      </c>
      <c r="BD12" s="327">
        <f>[1]WATER!BW13</f>
        <v>0</v>
      </c>
      <c r="BE12" s="327">
        <f>[1]WATER!CB13</f>
        <v>3</v>
      </c>
      <c r="BF12" s="327">
        <f>[1]WATER!CG13</f>
        <v>1</v>
      </c>
      <c r="BG12" s="327">
        <f>[1]WATER!CL13</f>
        <v>24</v>
      </c>
      <c r="BH12" s="327">
        <f>[1]WATER!CQ13</f>
        <v>8</v>
      </c>
      <c r="BI12" s="327">
        <f>[1]WATER!CV13</f>
        <v>3</v>
      </c>
      <c r="BJ12" s="327">
        <f>[1]WATER!DA13</f>
        <v>6</v>
      </c>
      <c r="BK12" s="327">
        <f>[1]WATER!DF13</f>
        <v>3</v>
      </c>
      <c r="BL12" s="327">
        <f>[1]WATER!DK13</f>
        <v>0</v>
      </c>
      <c r="BM12" s="327">
        <f>[1]WATER!DP13</f>
        <v>3</v>
      </c>
      <c r="BN12" s="327">
        <f>[1]WATER!DU13</f>
        <v>1</v>
      </c>
      <c r="BO12" s="327">
        <f>[1]WATER!DZ13</f>
        <v>2</v>
      </c>
      <c r="BP12" s="188">
        <f>'[1]Room Nights and Food Covers'!B12</f>
        <v>17.5</v>
      </c>
      <c r="BQ12" s="188">
        <f>'[1]Room Nights and Food Covers'!C12</f>
        <v>126</v>
      </c>
    </row>
    <row r="13" spans="1:69" ht="45" customHeight="1" x14ac:dyDescent="0.25">
      <c r="A13" s="189">
        <f t="shared" si="0"/>
        <v>44478</v>
      </c>
      <c r="B13" s="335"/>
      <c r="C13" s="401">
        <f>SUM('GENSET #1'!C18+'GENSET #2'!C18+'GENSET #3'!C18+'GENSET #4'!C18+'GENSET #5'!C18)</f>
        <v>93875929</v>
      </c>
      <c r="D13" s="324">
        <f t="shared" si="1"/>
        <v>25400</v>
      </c>
      <c r="E13" s="401">
        <f>'Gas-2'!G14</f>
        <v>315</v>
      </c>
      <c r="F13" s="324">
        <f t="shared" si="3"/>
        <v>90</v>
      </c>
      <c r="G13" s="324">
        <f>'GENSET #1'!D18</f>
        <v>6008</v>
      </c>
      <c r="H13" s="324">
        <f>'GENSET #2'!D18</f>
        <v>8114</v>
      </c>
      <c r="I13" s="324">
        <f>'GENSET #3'!D18</f>
        <v>3348</v>
      </c>
      <c r="J13" s="324">
        <f>'GENSET #4'!D18</f>
        <v>2157</v>
      </c>
      <c r="K13" s="324">
        <f>'GENSET #5'!D18</f>
        <v>5773</v>
      </c>
      <c r="L13" s="324">
        <f>'FEEDER Consumption '!E13</f>
        <v>2526</v>
      </c>
      <c r="M13" s="324">
        <f>'FEEDER Consumption '!J13</f>
        <v>4139</v>
      </c>
      <c r="N13" s="324">
        <f>'FEEDER Consumption '!O13</f>
        <v>13392</v>
      </c>
      <c r="O13" s="324">
        <f>'FEEDER Consumption '!T13</f>
        <v>1600</v>
      </c>
      <c r="P13" s="324">
        <f>'FEEDER Consumption '!Y13</f>
        <v>2794</v>
      </c>
      <c r="Q13" s="324">
        <f>'FEEDER Consumption '!AD13</f>
        <v>1800</v>
      </c>
      <c r="R13" s="324">
        <f>'FEEDER Consumption '!AI13</f>
        <v>807</v>
      </c>
      <c r="S13" s="324">
        <f>'FEEDER Consumption '!AN13</f>
        <v>570</v>
      </c>
      <c r="T13" s="324">
        <f>'FEEDER Consumption '!AS13</f>
        <v>1300</v>
      </c>
      <c r="U13" s="324">
        <f>'FEEDER Consumption '!AX13</f>
        <v>420</v>
      </c>
      <c r="V13" s="324">
        <f>'FEEDER Consumption '!BH13</f>
        <v>860</v>
      </c>
      <c r="W13" s="324">
        <f>'FEEDER Consumption '!BH13</f>
        <v>860</v>
      </c>
      <c r="X13" s="324">
        <f>'FEEDER Consumption '!BM13</f>
        <v>1200</v>
      </c>
      <c r="Y13" s="324">
        <f>'FEEDER Consumption '!BR13</f>
        <v>169</v>
      </c>
      <c r="Z13" s="324">
        <f>'FEEDER Consumption '!BW13</f>
        <v>410</v>
      </c>
      <c r="AA13" s="324">
        <f>'FEEDER Consumption '!CB13</f>
        <v>1210</v>
      </c>
      <c r="AB13" s="324">
        <f>'FEEDER Consumption '!CG13</f>
        <v>390</v>
      </c>
      <c r="AC13" s="324">
        <f>'FEEDER Consumption '!CL13</f>
        <v>830</v>
      </c>
      <c r="AD13" s="324">
        <f>'FEEDER Consumption '!CQ13</f>
        <v>800</v>
      </c>
      <c r="AE13" s="324">
        <f>'FEEDER Consumption '!CV13</f>
        <v>490</v>
      </c>
      <c r="AF13" s="324">
        <f>'FEEDER Consumption '!DA13</f>
        <v>1390</v>
      </c>
      <c r="AG13" s="324">
        <f>'FEEDER Consumption '!DF13</f>
        <v>1040</v>
      </c>
      <c r="AH13" s="324">
        <f>'FEEDER Consumption '!DK13</f>
        <v>650</v>
      </c>
      <c r="AI13" s="324">
        <f>'FEEDER Consumption '!DP13</f>
        <v>210</v>
      </c>
      <c r="AJ13" s="324">
        <f>'FEEDER Consumption '!DU13</f>
        <v>139</v>
      </c>
      <c r="AK13" s="324">
        <f>'FEEDER Consumption '!DZ13</f>
        <v>690</v>
      </c>
      <c r="AL13" s="324">
        <f>'FEEDER Consumption '!EE13</f>
        <v>230</v>
      </c>
      <c r="AM13" s="324">
        <f>'FEEDER Consumption '!EJ13</f>
        <v>250</v>
      </c>
      <c r="AN13" s="325">
        <f>'FEEDER Consumption '!EO13</f>
        <v>460</v>
      </c>
      <c r="AO13" s="326">
        <f>SUM(WATER!C14+WATER!H14+WATER!M14+WATER!R14)</f>
        <v>1006543</v>
      </c>
      <c r="AP13" s="327">
        <f t="shared" si="2"/>
        <v>347</v>
      </c>
      <c r="AQ13" s="327">
        <f>[1]WATER!D14</f>
        <v>55</v>
      </c>
      <c r="AR13" s="327">
        <f>[1]WATER!I14</f>
        <v>0</v>
      </c>
      <c r="AS13" s="327">
        <f>[1]WATER!N14</f>
        <v>197</v>
      </c>
      <c r="AT13" s="327">
        <f>[1]WATER!S14</f>
        <v>145</v>
      </c>
      <c r="AU13" s="327">
        <f>[1]WATER!AD14</f>
        <v>19</v>
      </c>
      <c r="AV13" s="327">
        <f>[1]WATER!AI14</f>
        <v>5</v>
      </c>
      <c r="AW13" s="327">
        <f>[1]WATER!AN14</f>
        <v>8</v>
      </c>
      <c r="AX13" s="327">
        <f>[1]WATER!AS14</f>
        <v>12</v>
      </c>
      <c r="AY13" s="327">
        <f>[1]WATER!AX14</f>
        <v>7</v>
      </c>
      <c r="AZ13" s="327">
        <f>[1]WATER!BC14</f>
        <v>7</v>
      </c>
      <c r="BA13" s="327">
        <f>[1]WATER!BH14</f>
        <v>7</v>
      </c>
      <c r="BB13" s="327">
        <f>[1]WATER!BM14</f>
        <v>7</v>
      </c>
      <c r="BC13" s="327">
        <f>[1]WATER!BR14</f>
        <v>3</v>
      </c>
      <c r="BD13" s="327">
        <f>[1]WATER!BW14</f>
        <v>0</v>
      </c>
      <c r="BE13" s="327">
        <f>[1]WATER!CB14</f>
        <v>6</v>
      </c>
      <c r="BF13" s="327">
        <f>[1]WATER!CG14</f>
        <v>0</v>
      </c>
      <c r="BG13" s="327">
        <f>[1]WATER!CL14</f>
        <v>23</v>
      </c>
      <c r="BH13" s="327">
        <f>[1]WATER!CQ14</f>
        <v>8</v>
      </c>
      <c r="BI13" s="327">
        <f>[1]WATER!CV14</f>
        <v>0</v>
      </c>
      <c r="BJ13" s="327">
        <f>[1]WATER!DA14</f>
        <v>5</v>
      </c>
      <c r="BK13" s="327">
        <f>[1]WATER!DF14</f>
        <v>3</v>
      </c>
      <c r="BL13" s="327">
        <f>[1]WATER!DK14</f>
        <v>5</v>
      </c>
      <c r="BM13" s="327">
        <f>[1]WATER!DP14</f>
        <v>0</v>
      </c>
      <c r="BN13" s="327">
        <f>[1]WATER!DU14</f>
        <v>3</v>
      </c>
      <c r="BO13" s="327">
        <f>[1]WATER!DZ14</f>
        <v>1</v>
      </c>
      <c r="BP13" s="188">
        <f>'[1]Room Nights and Food Covers'!B13</f>
        <v>12.6</v>
      </c>
      <c r="BQ13" s="188">
        <f>'[1]Room Nights and Food Covers'!C13</f>
        <v>130</v>
      </c>
    </row>
    <row r="14" spans="1:69" ht="45" customHeight="1" x14ac:dyDescent="0.25">
      <c r="A14" s="189">
        <f t="shared" si="0"/>
        <v>44479</v>
      </c>
      <c r="B14" s="335"/>
      <c r="C14" s="401">
        <f>SUM('GENSET #1'!C19+'GENSET #2'!C19+'GENSET #3'!C19+'GENSET #4'!C19+'GENSET #5'!C19)</f>
        <v>93901313</v>
      </c>
      <c r="D14" s="324">
        <f t="shared" si="1"/>
        <v>25384</v>
      </c>
      <c r="E14" s="401">
        <f>'Gas-2'!G15</f>
        <v>270</v>
      </c>
      <c r="F14" s="324" t="str">
        <f t="shared" si="3"/>
        <v>0</v>
      </c>
      <c r="G14" s="324">
        <f>'GENSET #1'!D19</f>
        <v>2427</v>
      </c>
      <c r="H14" s="324">
        <f>'GENSET #2'!D19</f>
        <v>9992</v>
      </c>
      <c r="I14" s="324">
        <f>'GENSET #3'!D19</f>
        <v>5298</v>
      </c>
      <c r="J14" s="324">
        <f>'GENSET #4'!D19</f>
        <v>1966</v>
      </c>
      <c r="K14" s="324">
        <f>'GENSET #5'!D19</f>
        <v>5701</v>
      </c>
      <c r="L14" s="324">
        <f>'FEEDER Consumption '!E14</f>
        <v>2580</v>
      </c>
      <c r="M14" s="324">
        <f>'FEEDER Consumption '!J14</f>
        <v>4418</v>
      </c>
      <c r="N14" s="324">
        <f>'FEEDER Consumption '!O14</f>
        <v>13908</v>
      </c>
      <c r="O14" s="324">
        <f>'FEEDER Consumption '!T14</f>
        <v>1600</v>
      </c>
      <c r="P14" s="324">
        <f>'FEEDER Consumption '!Y14</f>
        <v>2850</v>
      </c>
      <c r="Q14" s="324">
        <f>'FEEDER Consumption '!AD14</f>
        <v>1800</v>
      </c>
      <c r="R14" s="324">
        <f>'FEEDER Consumption '!AI14</f>
        <v>832</v>
      </c>
      <c r="S14" s="324">
        <f>'FEEDER Consumption '!AN14</f>
        <v>590</v>
      </c>
      <c r="T14" s="324">
        <f>'FEEDER Consumption '!AS14</f>
        <v>800</v>
      </c>
      <c r="U14" s="324">
        <f>'FEEDER Consumption '!AX14</f>
        <v>447</v>
      </c>
      <c r="V14" s="324">
        <f>'FEEDER Consumption '!BH14</f>
        <v>890</v>
      </c>
      <c r="W14" s="324">
        <f>'FEEDER Consumption '!BH14</f>
        <v>890</v>
      </c>
      <c r="X14" s="324">
        <f>'FEEDER Consumption '!BM14</f>
        <v>1400</v>
      </c>
      <c r="Y14" s="324">
        <f>'FEEDER Consumption '!BR14</f>
        <v>156</v>
      </c>
      <c r="Z14" s="324">
        <f>'FEEDER Consumption '!BW14</f>
        <v>420</v>
      </c>
      <c r="AA14" s="324">
        <f>'FEEDER Consumption '!CB14</f>
        <v>1190</v>
      </c>
      <c r="AB14" s="324">
        <f>'FEEDER Consumption '!CG14</f>
        <v>430</v>
      </c>
      <c r="AC14" s="324">
        <f>'FEEDER Consumption '!CL14</f>
        <v>990</v>
      </c>
      <c r="AD14" s="324">
        <f>'FEEDER Consumption '!CQ14</f>
        <v>720</v>
      </c>
      <c r="AE14" s="324">
        <f>'FEEDER Consumption '!CV14</f>
        <v>460</v>
      </c>
      <c r="AF14" s="324">
        <f>'FEEDER Consumption '!DA14</f>
        <v>1430</v>
      </c>
      <c r="AG14" s="324">
        <f>'FEEDER Consumption '!DF14</f>
        <v>950</v>
      </c>
      <c r="AH14" s="324">
        <f>'FEEDER Consumption '!DK14</f>
        <v>710</v>
      </c>
      <c r="AI14" s="324">
        <f>'FEEDER Consumption '!DP14</f>
        <v>150</v>
      </c>
      <c r="AJ14" s="324">
        <f>'FEEDER Consumption '!DU14</f>
        <v>136</v>
      </c>
      <c r="AK14" s="324">
        <f>'FEEDER Consumption '!DZ14</f>
        <v>690</v>
      </c>
      <c r="AL14" s="324">
        <f>'FEEDER Consumption '!EE14</f>
        <v>220</v>
      </c>
      <c r="AM14" s="324">
        <f>'FEEDER Consumption '!EJ14</f>
        <v>330</v>
      </c>
      <c r="AN14" s="325">
        <f>'FEEDER Consumption '!EO14</f>
        <v>480</v>
      </c>
      <c r="AO14" s="326">
        <f>SUM(WATER!C15+WATER!H15+WATER!M15+WATER!R15)</f>
        <v>1006917</v>
      </c>
      <c r="AP14" s="327">
        <f t="shared" si="2"/>
        <v>374</v>
      </c>
      <c r="AQ14" s="327">
        <f>[1]WATER!D15</f>
        <v>38</v>
      </c>
      <c r="AR14" s="327">
        <f>[1]WATER!I15</f>
        <v>0</v>
      </c>
      <c r="AS14" s="327">
        <f>[1]WATER!N15</f>
        <v>230</v>
      </c>
      <c r="AT14" s="327">
        <f>[1]WATER!S15</f>
        <v>110</v>
      </c>
      <c r="AU14" s="327">
        <f>[1]WATER!AD15</f>
        <v>15</v>
      </c>
      <c r="AV14" s="327">
        <f>[1]WATER!AI15</f>
        <v>6</v>
      </c>
      <c r="AW14" s="327">
        <f>[1]WATER!AN15</f>
        <v>10</v>
      </c>
      <c r="AX14" s="327">
        <f>[1]WATER!AS15</f>
        <v>13</v>
      </c>
      <c r="AY14" s="327">
        <f>[1]WATER!AX15</f>
        <v>7</v>
      </c>
      <c r="AZ14" s="327">
        <f>[1]WATER!BC15</f>
        <v>7</v>
      </c>
      <c r="BA14" s="327">
        <f>[1]WATER!BH15</f>
        <v>7</v>
      </c>
      <c r="BB14" s="327">
        <f>[1]WATER!BM15</f>
        <v>8</v>
      </c>
      <c r="BC14" s="327">
        <f>[1]WATER!BR15</f>
        <v>2</v>
      </c>
      <c r="BD14" s="327">
        <f>[1]WATER!BW15</f>
        <v>0</v>
      </c>
      <c r="BE14" s="327">
        <f>[1]WATER!CB15</f>
        <v>5</v>
      </c>
      <c r="BF14" s="327">
        <f>[1]WATER!CG15</f>
        <v>1</v>
      </c>
      <c r="BG14" s="327">
        <f>[1]WATER!CL15</f>
        <v>24</v>
      </c>
      <c r="BH14" s="327">
        <f>[1]WATER!CQ15</f>
        <v>6</v>
      </c>
      <c r="BI14" s="327">
        <f>[1]WATER!CV15</f>
        <v>1</v>
      </c>
      <c r="BJ14" s="327">
        <f>[1]WATER!DA15</f>
        <v>5</v>
      </c>
      <c r="BK14" s="327">
        <f>[1]WATER!DF15</f>
        <v>1</v>
      </c>
      <c r="BL14" s="327">
        <f>[1]WATER!DK15</f>
        <v>3</v>
      </c>
      <c r="BM14" s="327">
        <f>[1]WATER!DP15</f>
        <v>0</v>
      </c>
      <c r="BN14" s="327">
        <f>[1]WATER!DU15</f>
        <v>1</v>
      </c>
      <c r="BO14" s="327">
        <f>[1]WATER!DZ15</f>
        <v>1</v>
      </c>
      <c r="BP14" s="188">
        <f>'[1]Room Nights and Food Covers'!B14</f>
        <v>12.6</v>
      </c>
      <c r="BQ14" s="188">
        <f>'[1]Room Nights and Food Covers'!C14</f>
        <v>116</v>
      </c>
    </row>
    <row r="15" spans="1:69" ht="45" customHeight="1" x14ac:dyDescent="0.25">
      <c r="A15" s="189">
        <f t="shared" si="0"/>
        <v>44480</v>
      </c>
      <c r="B15" s="335"/>
      <c r="C15" s="401">
        <f>SUM('GENSET #1'!C20+'GENSET #2'!C20+'GENSET #3'!C20+'GENSET #4'!C20+'GENSET #5'!C20)</f>
        <v>93927428</v>
      </c>
      <c r="D15" s="324">
        <f t="shared" si="1"/>
        <v>26115</v>
      </c>
      <c r="E15" s="401">
        <f>'Gas-2'!G16</f>
        <v>180</v>
      </c>
      <c r="F15" s="324" t="str">
        <f t="shared" si="3"/>
        <v>0</v>
      </c>
      <c r="G15" s="324">
        <f>'GENSET #1'!D20</f>
        <v>8397</v>
      </c>
      <c r="H15" s="324">
        <f>'GENSET #2'!D20</f>
        <v>5674</v>
      </c>
      <c r="I15" s="324">
        <f>'GENSET #3'!D20</f>
        <v>422</v>
      </c>
      <c r="J15" s="324">
        <f>'GENSET #4'!D20</f>
        <v>3230</v>
      </c>
      <c r="K15" s="324">
        <f>'GENSET #5'!D20</f>
        <v>8392</v>
      </c>
      <c r="L15" s="324">
        <f>'FEEDER Consumption '!E15</f>
        <v>2400</v>
      </c>
      <c r="M15" s="324">
        <f>'FEEDER Consumption '!J15</f>
        <v>4486</v>
      </c>
      <c r="N15" s="324">
        <f>'FEEDER Consumption '!O15</f>
        <v>13888</v>
      </c>
      <c r="O15" s="324">
        <f>'FEEDER Consumption '!T15</f>
        <v>1500</v>
      </c>
      <c r="P15" s="324">
        <f>'FEEDER Consumption '!Y15</f>
        <v>2797</v>
      </c>
      <c r="Q15" s="324">
        <f>'FEEDER Consumption '!AD15</f>
        <v>1700</v>
      </c>
      <c r="R15" s="324">
        <f>'FEEDER Consumption '!AI15</f>
        <v>800</v>
      </c>
      <c r="S15" s="324">
        <f>'FEEDER Consumption '!AN15</f>
        <v>620</v>
      </c>
      <c r="T15" s="324">
        <f>'FEEDER Consumption '!AS15</f>
        <v>1300</v>
      </c>
      <c r="U15" s="324">
        <f>'FEEDER Consumption '!AX15</f>
        <v>428</v>
      </c>
      <c r="V15" s="324">
        <f>'FEEDER Consumption '!BH15</f>
        <v>880</v>
      </c>
      <c r="W15" s="324">
        <f>'FEEDER Consumption '!BH15</f>
        <v>880</v>
      </c>
      <c r="X15" s="324">
        <f>'FEEDER Consumption '!BM15</f>
        <v>1400</v>
      </c>
      <c r="Y15" s="324">
        <f>'FEEDER Consumption '!BR15</f>
        <v>157</v>
      </c>
      <c r="Z15" s="324">
        <f>'FEEDER Consumption '!BW15</f>
        <v>460</v>
      </c>
      <c r="AA15" s="324">
        <f>'FEEDER Consumption '!CB15</f>
        <v>1200</v>
      </c>
      <c r="AB15" s="324">
        <f>'FEEDER Consumption '!CG15</f>
        <v>400</v>
      </c>
      <c r="AC15" s="324">
        <f>'FEEDER Consumption '!CL15</f>
        <v>890</v>
      </c>
      <c r="AD15" s="324">
        <f>'FEEDER Consumption '!CQ15</f>
        <v>720</v>
      </c>
      <c r="AE15" s="324">
        <f>'FEEDER Consumption '!CV15</f>
        <v>510</v>
      </c>
      <c r="AF15" s="324">
        <f>'FEEDER Consumption '!DA15</f>
        <v>1430</v>
      </c>
      <c r="AG15" s="324">
        <f>'FEEDER Consumption '!DF15</f>
        <v>950</v>
      </c>
      <c r="AH15" s="324">
        <f>'FEEDER Consumption '!DK15</f>
        <v>780</v>
      </c>
      <c r="AI15" s="324">
        <f>'FEEDER Consumption '!DP15</f>
        <v>250</v>
      </c>
      <c r="AJ15" s="324">
        <f>'FEEDER Consumption '!DU15</f>
        <v>132</v>
      </c>
      <c r="AK15" s="324">
        <f>'FEEDER Consumption '!DZ15</f>
        <v>640</v>
      </c>
      <c r="AL15" s="324">
        <f>'FEEDER Consumption '!EE15</f>
        <v>240</v>
      </c>
      <c r="AM15" s="324">
        <f>'FEEDER Consumption '!EJ15</f>
        <v>330</v>
      </c>
      <c r="AN15" s="325">
        <f>'FEEDER Consumption '!EO15</f>
        <v>530</v>
      </c>
      <c r="AO15" s="326">
        <f>SUM(WATER!C16+WATER!H16+WATER!M16+WATER!R16)</f>
        <v>1007289</v>
      </c>
      <c r="AP15" s="327">
        <f t="shared" si="2"/>
        <v>372</v>
      </c>
      <c r="AQ15" s="327">
        <f>[1]WATER!D16</f>
        <v>32</v>
      </c>
      <c r="AR15" s="327">
        <f>[1]WATER!I16</f>
        <v>0</v>
      </c>
      <c r="AS15" s="327">
        <f>[1]WATER!N16</f>
        <v>218</v>
      </c>
      <c r="AT15" s="327">
        <f>[1]WATER!S16</f>
        <v>72</v>
      </c>
      <c r="AU15" s="327">
        <f>[1]WATER!AD16</f>
        <v>17</v>
      </c>
      <c r="AV15" s="327">
        <f>[1]WATER!AI16</f>
        <v>5</v>
      </c>
      <c r="AW15" s="327">
        <f>[1]WATER!AN16</f>
        <v>0</v>
      </c>
      <c r="AX15" s="327">
        <f>[1]WATER!AS16</f>
        <v>11</v>
      </c>
      <c r="AY15" s="327">
        <f>[1]WATER!AX16</f>
        <v>7</v>
      </c>
      <c r="AZ15" s="327">
        <f>[1]WATER!BC16</f>
        <v>6</v>
      </c>
      <c r="BA15" s="327">
        <f>[1]WATER!BH16</f>
        <v>7</v>
      </c>
      <c r="BB15" s="327">
        <f>[1]WATER!BM16</f>
        <v>6</v>
      </c>
      <c r="BC15" s="327">
        <f>[1]WATER!BR16</f>
        <v>2</v>
      </c>
      <c r="BD15" s="327">
        <f>[1]WATER!BW16</f>
        <v>2</v>
      </c>
      <c r="BE15" s="327">
        <f>[1]WATER!CB16</f>
        <v>6</v>
      </c>
      <c r="BF15" s="327">
        <f>[1]WATER!CG16</f>
        <v>4</v>
      </c>
      <c r="BG15" s="327">
        <f>[1]WATER!CL16</f>
        <v>25</v>
      </c>
      <c r="BH15" s="327">
        <f>[1]WATER!CQ16</f>
        <v>6</v>
      </c>
      <c r="BI15" s="327">
        <f>[1]WATER!CV16</f>
        <v>0</v>
      </c>
      <c r="BJ15" s="327">
        <f>[1]WATER!DA16</f>
        <v>7</v>
      </c>
      <c r="BK15" s="327">
        <f>[1]WATER!DF16</f>
        <v>4</v>
      </c>
      <c r="BL15" s="327">
        <f>[1]WATER!DK16</f>
        <v>4</v>
      </c>
      <c r="BM15" s="327">
        <f>[1]WATER!DP16</f>
        <v>0</v>
      </c>
      <c r="BN15" s="327">
        <f>[1]WATER!DU16</f>
        <v>1</v>
      </c>
      <c r="BO15" s="327">
        <f>[1]WATER!DZ16</f>
        <v>1</v>
      </c>
      <c r="BP15" s="188">
        <f>'[1]Room Nights and Food Covers'!B15</f>
        <v>12.6</v>
      </c>
      <c r="BQ15" s="188">
        <f>'[1]Room Nights and Food Covers'!C15</f>
        <v>119</v>
      </c>
    </row>
    <row r="16" spans="1:69" ht="45" customHeight="1" x14ac:dyDescent="0.25">
      <c r="A16" s="189">
        <f t="shared" si="0"/>
        <v>44481</v>
      </c>
      <c r="B16" s="335"/>
      <c r="C16" s="401">
        <f>SUM('GENSET #1'!C21+'GENSET #2'!C21+'GENSET #3'!C21+'GENSET #4'!C21+'GENSET #5'!C21)</f>
        <v>93952796</v>
      </c>
      <c r="D16" s="324">
        <f t="shared" si="1"/>
        <v>25368</v>
      </c>
      <c r="E16" s="401">
        <f>'Gas-2'!G17</f>
        <v>180</v>
      </c>
      <c r="F16" s="324">
        <f t="shared" si="3"/>
        <v>0</v>
      </c>
      <c r="G16" s="324">
        <f>'GENSET #1'!D21</f>
        <v>8365</v>
      </c>
      <c r="H16" s="324">
        <f>'GENSET #2'!D21</f>
        <v>6028</v>
      </c>
      <c r="I16" s="324">
        <f>'GENSET #3'!D21</f>
        <v>0</v>
      </c>
      <c r="J16" s="324">
        <f>'GENSET #4'!D21</f>
        <v>2611</v>
      </c>
      <c r="K16" s="324">
        <f>'GENSET #5'!D21</f>
        <v>8364</v>
      </c>
      <c r="L16" s="324">
        <f>'FEEDER Consumption '!E16</f>
        <v>2579</v>
      </c>
      <c r="M16" s="324">
        <f>'FEEDER Consumption '!J16</f>
        <v>4633</v>
      </c>
      <c r="N16" s="324">
        <f>'FEEDER Consumption '!O16</f>
        <v>13425</v>
      </c>
      <c r="O16" s="324">
        <f>'FEEDER Consumption '!T16</f>
        <v>1600</v>
      </c>
      <c r="P16" s="324">
        <f>'FEEDER Consumption '!Y16</f>
        <v>2758</v>
      </c>
      <c r="Q16" s="324">
        <f>'FEEDER Consumption '!AD16</f>
        <v>1600</v>
      </c>
      <c r="R16" s="324">
        <f>'FEEDER Consumption '!AI16</f>
        <v>812</v>
      </c>
      <c r="S16" s="324">
        <f>'FEEDER Consumption '!AN16</f>
        <v>580</v>
      </c>
      <c r="T16" s="324">
        <f>'FEEDER Consumption '!AS16</f>
        <v>800</v>
      </c>
      <c r="U16" s="324">
        <f>'FEEDER Consumption '!AX16</f>
        <v>432</v>
      </c>
      <c r="V16" s="324">
        <f>'FEEDER Consumption '!BH16</f>
        <v>840</v>
      </c>
      <c r="W16" s="324">
        <f>'FEEDER Consumption '!BH16</f>
        <v>840</v>
      </c>
      <c r="X16" s="324">
        <f>'FEEDER Consumption '!BM16</f>
        <v>1200</v>
      </c>
      <c r="Y16" s="324">
        <f>'FEEDER Consumption '!BR16</f>
        <v>151</v>
      </c>
      <c r="Z16" s="324">
        <f>'FEEDER Consumption '!BW16</f>
        <v>420</v>
      </c>
      <c r="AA16" s="324">
        <f>'FEEDER Consumption '!CB16</f>
        <v>1250</v>
      </c>
      <c r="AB16" s="324">
        <f>'FEEDER Consumption '!CG16</f>
        <v>410</v>
      </c>
      <c r="AC16" s="324">
        <f>'FEEDER Consumption '!CL16</f>
        <v>860</v>
      </c>
      <c r="AD16" s="324">
        <f>'FEEDER Consumption '!CQ16</f>
        <v>750</v>
      </c>
      <c r="AE16" s="324">
        <f>'FEEDER Consumption '!CV16</f>
        <v>630</v>
      </c>
      <c r="AF16" s="324">
        <f>'FEEDER Consumption '!DA16</f>
        <v>1440</v>
      </c>
      <c r="AG16" s="324">
        <f>'FEEDER Consumption '!DF16</f>
        <v>980</v>
      </c>
      <c r="AH16" s="324">
        <f>'FEEDER Consumption '!DK16</f>
        <v>890</v>
      </c>
      <c r="AI16" s="324">
        <f>'FEEDER Consumption '!DP16</f>
        <v>180</v>
      </c>
      <c r="AJ16" s="324">
        <f>'FEEDER Consumption '!DU16</f>
        <v>113</v>
      </c>
      <c r="AK16" s="324">
        <f>'FEEDER Consumption '!DZ16</f>
        <v>680</v>
      </c>
      <c r="AL16" s="324">
        <f>'FEEDER Consumption '!EE16</f>
        <v>190</v>
      </c>
      <c r="AM16" s="324">
        <f>'FEEDER Consumption '!EJ16</f>
        <v>300</v>
      </c>
      <c r="AN16" s="325">
        <f>'FEEDER Consumption '!EO16</f>
        <v>520</v>
      </c>
      <c r="AO16" s="326">
        <f>SUM(WATER!C17+WATER!H17+WATER!M17+WATER!R17)</f>
        <v>1007705</v>
      </c>
      <c r="AP16" s="327">
        <f t="shared" si="2"/>
        <v>416</v>
      </c>
      <c r="AQ16" s="327">
        <f>[1]WATER!D17</f>
        <v>19</v>
      </c>
      <c r="AR16" s="327">
        <f>[1]WATER!I17</f>
        <v>0</v>
      </c>
      <c r="AS16" s="327">
        <f>[1]WATER!N17</f>
        <v>186</v>
      </c>
      <c r="AT16" s="327">
        <f>[1]WATER!S17</f>
        <v>113</v>
      </c>
      <c r="AU16" s="327">
        <f>[1]WATER!AD17</f>
        <v>16</v>
      </c>
      <c r="AV16" s="327">
        <f>[1]WATER!AI17</f>
        <v>6</v>
      </c>
      <c r="AW16" s="327">
        <f>[1]WATER!AN17</f>
        <v>0</v>
      </c>
      <c r="AX16" s="327">
        <f>[1]WATER!AS17</f>
        <v>13</v>
      </c>
      <c r="AY16" s="327">
        <f>[1]WATER!AX17</f>
        <v>8</v>
      </c>
      <c r="AZ16" s="327">
        <f>[1]WATER!BC17</f>
        <v>7</v>
      </c>
      <c r="BA16" s="327">
        <f>[1]WATER!BH17</f>
        <v>8</v>
      </c>
      <c r="BB16" s="327">
        <f>[1]WATER!BM17</f>
        <v>9</v>
      </c>
      <c r="BC16" s="327">
        <f>[1]WATER!BR17</f>
        <v>2</v>
      </c>
      <c r="BD16" s="327">
        <f>[1]WATER!BW17</f>
        <v>0</v>
      </c>
      <c r="BE16" s="327">
        <f>[1]WATER!CB17</f>
        <v>4</v>
      </c>
      <c r="BF16" s="327">
        <f>[1]WATER!CG17</f>
        <v>2</v>
      </c>
      <c r="BG16" s="327">
        <f>[1]WATER!CL17</f>
        <v>28</v>
      </c>
      <c r="BH16" s="327">
        <f>[1]WATER!CQ17</f>
        <v>7</v>
      </c>
      <c r="BI16" s="327">
        <f>[1]WATER!CV17</f>
        <v>1</v>
      </c>
      <c r="BJ16" s="327">
        <f>[1]WATER!DA17</f>
        <v>-3</v>
      </c>
      <c r="BK16" s="327">
        <f>[1]WATER!DF17</f>
        <v>2</v>
      </c>
      <c r="BL16" s="327">
        <f>[1]WATER!DK17</f>
        <v>4</v>
      </c>
      <c r="BM16" s="327">
        <f>[1]WATER!DP17</f>
        <v>50</v>
      </c>
      <c r="BN16" s="327">
        <f>[1]WATER!DU17</f>
        <v>0</v>
      </c>
      <c r="BO16" s="327">
        <f>[1]WATER!DZ17</f>
        <v>1</v>
      </c>
      <c r="BP16" s="188">
        <f>'[1]Room Nights and Food Covers'!B16</f>
        <v>11.7</v>
      </c>
      <c r="BQ16" s="188">
        <f>'[1]Room Nights and Food Covers'!C16</f>
        <v>118</v>
      </c>
    </row>
    <row r="17" spans="1:76" ht="45" customHeight="1" x14ac:dyDescent="0.25">
      <c r="A17" s="189">
        <f t="shared" si="0"/>
        <v>44482</v>
      </c>
      <c r="B17" s="335"/>
      <c r="C17" s="401">
        <f>SUM('GENSET #1'!C22+'GENSET #2'!C22+'GENSET #3'!C22+'GENSET #4'!C22+'GENSET #5'!C22)</f>
        <v>93979229</v>
      </c>
      <c r="D17" s="324">
        <f t="shared" si="1"/>
        <v>26433</v>
      </c>
      <c r="E17" s="401">
        <f>'Gas-2'!G18</f>
        <v>270</v>
      </c>
      <c r="F17" s="324">
        <f t="shared" si="3"/>
        <v>90</v>
      </c>
      <c r="G17" s="324">
        <f>'GENSET #1'!D22</f>
        <v>5400</v>
      </c>
      <c r="H17" s="324">
        <f>'GENSET #2'!D22</f>
        <v>9672</v>
      </c>
      <c r="I17" s="324">
        <f>'GENSET #3'!D22</f>
        <v>4600</v>
      </c>
      <c r="J17" s="324">
        <f>'GENSET #4'!D22</f>
        <v>3947</v>
      </c>
      <c r="K17" s="324">
        <f>'GENSET #5'!D22</f>
        <v>2814</v>
      </c>
      <c r="L17" s="324">
        <f>'FEEDER Consumption '!E17</f>
        <v>2672</v>
      </c>
      <c r="M17" s="324">
        <f>'FEEDER Consumption '!J17</f>
        <v>4818</v>
      </c>
      <c r="N17" s="324">
        <f>'FEEDER Consumption '!O17</f>
        <v>13914</v>
      </c>
      <c r="O17" s="324">
        <f>'FEEDER Consumption '!T17</f>
        <v>1600</v>
      </c>
      <c r="P17" s="324">
        <f>'FEEDER Consumption '!Y17</f>
        <v>2654</v>
      </c>
      <c r="Q17" s="324">
        <f>'FEEDER Consumption '!AD17</f>
        <v>1800</v>
      </c>
      <c r="R17" s="324">
        <f>'FEEDER Consumption '!AI17</f>
        <v>820</v>
      </c>
      <c r="S17" s="324">
        <f>'FEEDER Consumption '!AN17</f>
        <v>600</v>
      </c>
      <c r="T17" s="324">
        <f>'FEEDER Consumption '!AS17</f>
        <v>1300</v>
      </c>
      <c r="U17" s="324">
        <f>'FEEDER Consumption '!AX17</f>
        <v>462</v>
      </c>
      <c r="V17" s="324">
        <f>'FEEDER Consumption '!BH17</f>
        <v>850</v>
      </c>
      <c r="W17" s="324">
        <f>'FEEDER Consumption '!BH17</f>
        <v>850</v>
      </c>
      <c r="X17" s="324">
        <f>'FEEDER Consumption '!BM17</f>
        <v>1200</v>
      </c>
      <c r="Y17" s="324">
        <f>'FEEDER Consumption '!BR17</f>
        <v>140</v>
      </c>
      <c r="Z17" s="324">
        <f>'FEEDER Consumption '!BW17</f>
        <v>420</v>
      </c>
      <c r="AA17" s="324">
        <f>'FEEDER Consumption '!CB17</f>
        <v>1220</v>
      </c>
      <c r="AB17" s="324">
        <f>'FEEDER Consumption '!CG17</f>
        <v>420</v>
      </c>
      <c r="AC17" s="324">
        <f>'FEEDER Consumption '!CL17</f>
        <v>820</v>
      </c>
      <c r="AD17" s="324">
        <f>'FEEDER Consumption '!CQ17</f>
        <v>840</v>
      </c>
      <c r="AE17" s="324">
        <f>'FEEDER Consumption '!CV17</f>
        <v>600</v>
      </c>
      <c r="AF17" s="324">
        <f>'FEEDER Consumption '!DA17</f>
        <v>1520</v>
      </c>
      <c r="AG17" s="324">
        <f>'FEEDER Consumption '!DF17</f>
        <v>1050</v>
      </c>
      <c r="AH17" s="324">
        <f>'FEEDER Consumption '!DK17</f>
        <v>960</v>
      </c>
      <c r="AI17" s="324">
        <f>'FEEDER Consumption '!DP17</f>
        <v>200</v>
      </c>
      <c r="AJ17" s="324">
        <f>'FEEDER Consumption '!DU17</f>
        <v>133</v>
      </c>
      <c r="AK17" s="324">
        <f>'FEEDER Consumption '!DZ17</f>
        <v>730</v>
      </c>
      <c r="AL17" s="324">
        <f>'FEEDER Consumption '!EE17</f>
        <v>230</v>
      </c>
      <c r="AM17" s="324">
        <f>'FEEDER Consumption '!EJ17</f>
        <v>340</v>
      </c>
      <c r="AN17" s="325">
        <f>'FEEDER Consumption '!EO17</f>
        <v>480</v>
      </c>
      <c r="AO17" s="326">
        <f>SUM(WATER!C18+WATER!H18+WATER!M18+WATER!R18)</f>
        <v>1008081</v>
      </c>
      <c r="AP17" s="327">
        <f t="shared" si="2"/>
        <v>376</v>
      </c>
      <c r="AQ17" s="327">
        <f>[1]WATER!D18</f>
        <v>0</v>
      </c>
      <c r="AR17" s="327">
        <f>[1]WATER!I18</f>
        <v>0</v>
      </c>
      <c r="AS17" s="327">
        <f>[1]WATER!N18</f>
        <v>199</v>
      </c>
      <c r="AT17" s="327">
        <f>[1]WATER!S18</f>
        <v>111</v>
      </c>
      <c r="AU17" s="327">
        <f>[1]WATER!AD18</f>
        <v>16</v>
      </c>
      <c r="AV17" s="327">
        <f>[1]WATER!AI18</f>
        <v>6</v>
      </c>
      <c r="AW17" s="327">
        <f>[1]WATER!AN18</f>
        <v>0</v>
      </c>
      <c r="AX17" s="327">
        <f>[1]WATER!AS18</f>
        <v>6</v>
      </c>
      <c r="AY17" s="327">
        <f>[1]WATER!AX18</f>
        <v>7</v>
      </c>
      <c r="AZ17" s="327">
        <f>[1]WATER!BC18</f>
        <v>6</v>
      </c>
      <c r="BA17" s="327">
        <f>[1]WATER!BH18</f>
        <v>7</v>
      </c>
      <c r="BB17" s="327">
        <f>[1]WATER!BM18</f>
        <v>7</v>
      </c>
      <c r="BC17" s="327">
        <f>[1]WATER!BR18</f>
        <v>2</v>
      </c>
      <c r="BD17" s="327">
        <f>[1]WATER!BW18</f>
        <v>0</v>
      </c>
      <c r="BE17" s="327">
        <f>[1]WATER!CB18</f>
        <v>6</v>
      </c>
      <c r="BF17" s="327">
        <f>[1]WATER!CG18</f>
        <v>2</v>
      </c>
      <c r="BG17" s="327">
        <f>[1]WATER!CL18</f>
        <v>26</v>
      </c>
      <c r="BH17" s="327">
        <f>[1]WATER!CQ18</f>
        <v>3</v>
      </c>
      <c r="BI17" s="327">
        <f>[1]WATER!CV18</f>
        <v>1</v>
      </c>
      <c r="BJ17" s="327">
        <f>[1]WATER!DA18</f>
        <v>8</v>
      </c>
      <c r="BK17" s="327">
        <f>[1]WATER!DF18</f>
        <v>2</v>
      </c>
      <c r="BL17" s="327">
        <f>[1]WATER!DK18</f>
        <v>4</v>
      </c>
      <c r="BM17" s="327">
        <f>[1]WATER!DP18</f>
        <v>0</v>
      </c>
      <c r="BN17" s="327">
        <f>[1]WATER!DU18</f>
        <v>1</v>
      </c>
      <c r="BO17" s="327">
        <f>[1]WATER!DZ18</f>
        <v>0</v>
      </c>
      <c r="BP17" s="188">
        <f>'[1]Room Nights and Food Covers'!B17</f>
        <v>13.6</v>
      </c>
      <c r="BQ17" s="188">
        <f>'[1]Room Nights and Food Covers'!C17</f>
        <v>106</v>
      </c>
    </row>
    <row r="18" spans="1:76" ht="45" customHeight="1" x14ac:dyDescent="0.25">
      <c r="A18" s="189">
        <f t="shared" si="0"/>
        <v>44483</v>
      </c>
      <c r="B18" s="335"/>
      <c r="C18" s="401">
        <f>SUM('GENSET #1'!C23+'GENSET #2'!C23+'GENSET #3'!C23+'GENSET #4'!C23+'GENSET #5'!C23)</f>
        <v>94005845</v>
      </c>
      <c r="D18" s="324">
        <f t="shared" si="1"/>
        <v>26616</v>
      </c>
      <c r="E18" s="401">
        <f>'Gas-2'!G19</f>
        <v>225</v>
      </c>
      <c r="F18" s="324" t="str">
        <f t="shared" si="3"/>
        <v>0</v>
      </c>
      <c r="G18" s="324">
        <f>'GENSET #1'!D23</f>
        <v>8395</v>
      </c>
      <c r="H18" s="324">
        <f>'GENSET #2'!D23</f>
        <v>5710</v>
      </c>
      <c r="I18" s="324">
        <f>'GENSET #3'!D23</f>
        <v>2029</v>
      </c>
      <c r="J18" s="324">
        <f>'GENSET #4'!D23</f>
        <v>2173</v>
      </c>
      <c r="K18" s="324">
        <f>'GENSET #5'!D23</f>
        <v>8309</v>
      </c>
      <c r="L18" s="324">
        <f>'FEEDER Consumption '!E18</f>
        <v>2486</v>
      </c>
      <c r="M18" s="324">
        <f>'FEEDER Consumption '!J18</f>
        <v>5215</v>
      </c>
      <c r="N18" s="324">
        <f>'FEEDER Consumption '!O18</f>
        <v>14210</v>
      </c>
      <c r="O18" s="324">
        <f>'FEEDER Consumption '!T18</f>
        <v>1600</v>
      </c>
      <c r="P18" s="324">
        <f>'FEEDER Consumption '!Y18</f>
        <v>2672</v>
      </c>
      <c r="Q18" s="324">
        <f>'FEEDER Consumption '!AD18</f>
        <v>1800</v>
      </c>
      <c r="R18" s="324">
        <f>'FEEDER Consumption '!AI18</f>
        <v>834</v>
      </c>
      <c r="S18" s="324">
        <f>'FEEDER Consumption '!AN18</f>
        <v>640</v>
      </c>
      <c r="T18" s="324">
        <f>'FEEDER Consumption '!AS18</f>
        <v>900</v>
      </c>
      <c r="U18" s="324">
        <f>'FEEDER Consumption '!AX18</f>
        <v>469</v>
      </c>
      <c r="V18" s="324">
        <f>'FEEDER Consumption '!BH18</f>
        <v>890</v>
      </c>
      <c r="W18" s="324">
        <f>'FEEDER Consumption '!BH18</f>
        <v>890</v>
      </c>
      <c r="X18" s="324">
        <f>'FEEDER Consumption '!BM18</f>
        <v>1400</v>
      </c>
      <c r="Y18" s="324">
        <f>'FEEDER Consumption '!BR18</f>
        <v>180</v>
      </c>
      <c r="Z18" s="324">
        <f>'FEEDER Consumption '!BW18</f>
        <v>470</v>
      </c>
      <c r="AA18" s="324">
        <f>'FEEDER Consumption '!CB18</f>
        <v>1240</v>
      </c>
      <c r="AB18" s="324">
        <f>'FEEDER Consumption '!CG18</f>
        <v>430</v>
      </c>
      <c r="AC18" s="324">
        <f>'FEEDER Consumption '!CL18</f>
        <v>1050</v>
      </c>
      <c r="AD18" s="324">
        <f>'FEEDER Consumption '!CQ18</f>
        <v>910</v>
      </c>
      <c r="AE18" s="324">
        <f>'FEEDER Consumption '!CV18</f>
        <v>670</v>
      </c>
      <c r="AF18" s="324">
        <f>'FEEDER Consumption '!DA18</f>
        <v>1480</v>
      </c>
      <c r="AG18" s="324">
        <f>'FEEDER Consumption '!DF18</f>
        <v>1010</v>
      </c>
      <c r="AH18" s="324">
        <f>'FEEDER Consumption '!DK18</f>
        <v>1010</v>
      </c>
      <c r="AI18" s="324">
        <f>'FEEDER Consumption '!DP18</f>
        <v>200</v>
      </c>
      <c r="AJ18" s="324">
        <f>'FEEDER Consumption '!DU18</f>
        <v>126</v>
      </c>
      <c r="AK18" s="324">
        <f>'FEEDER Consumption '!DZ18</f>
        <v>680</v>
      </c>
      <c r="AL18" s="324">
        <f>'FEEDER Consumption '!EE18</f>
        <v>220</v>
      </c>
      <c r="AM18" s="324">
        <f>'FEEDER Consumption '!EJ18</f>
        <v>350</v>
      </c>
      <c r="AN18" s="325">
        <f>'FEEDER Consumption '!EO18</f>
        <v>760</v>
      </c>
      <c r="AO18" s="326">
        <f>SUM(WATER!C19+WATER!H19+WATER!M19+WATER!R19)</f>
        <v>1008457</v>
      </c>
      <c r="AP18" s="327">
        <f t="shared" si="2"/>
        <v>376</v>
      </c>
      <c r="AQ18" s="327">
        <f>[1]WATER!D19</f>
        <v>0</v>
      </c>
      <c r="AR18" s="327">
        <f>[1]WATER!I19</f>
        <v>0</v>
      </c>
      <c r="AS18" s="327">
        <f>[1]WATER!N19</f>
        <v>226</v>
      </c>
      <c r="AT18" s="327">
        <f>[1]WATER!S19</f>
        <v>96</v>
      </c>
      <c r="AU18" s="327">
        <f>[1]WATER!AD19</f>
        <v>17</v>
      </c>
      <c r="AV18" s="327">
        <f>[1]WATER!AI19</f>
        <v>5</v>
      </c>
      <c r="AW18" s="327">
        <f>[1]WATER!AN19</f>
        <v>0</v>
      </c>
      <c r="AX18" s="327">
        <f>[1]WATER!AS19</f>
        <v>18</v>
      </c>
      <c r="AY18" s="327">
        <f>[1]WATER!AX19</f>
        <v>8</v>
      </c>
      <c r="AZ18" s="327">
        <f>[1]WATER!BC19</f>
        <v>7</v>
      </c>
      <c r="BA18" s="327">
        <f>[1]WATER!BH19</f>
        <v>0</v>
      </c>
      <c r="BB18" s="327">
        <f>[1]WATER!BM19</f>
        <v>0</v>
      </c>
      <c r="BC18" s="327">
        <f>[1]WATER!BR19</f>
        <v>0</v>
      </c>
      <c r="BD18" s="327">
        <f>[1]WATER!BW19</f>
        <v>0</v>
      </c>
      <c r="BE18" s="327">
        <f>[1]WATER!CB19</f>
        <v>4</v>
      </c>
      <c r="BF18" s="327">
        <f>[1]WATER!CG19</f>
        <v>3</v>
      </c>
      <c r="BG18" s="327">
        <f>[1]WATER!CL19</f>
        <v>22</v>
      </c>
      <c r="BH18" s="327">
        <f>[1]WATER!CQ19</f>
        <v>11</v>
      </c>
      <c r="BI18" s="327">
        <f>[1]WATER!CV19</f>
        <v>1</v>
      </c>
      <c r="BJ18" s="327">
        <f>[1]WATER!DA19</f>
        <v>-7</v>
      </c>
      <c r="BK18" s="327">
        <f>[1]WATER!DF19</f>
        <v>12</v>
      </c>
      <c r="BL18" s="327">
        <f>[1]WATER!DK19</f>
        <v>7</v>
      </c>
      <c r="BM18" s="327">
        <f>[1]WATER!DP19</f>
        <v>0</v>
      </c>
      <c r="BN18" s="327">
        <f>[1]WATER!DU19</f>
        <v>0</v>
      </c>
      <c r="BO18" s="327">
        <f>[1]WATER!DZ19</f>
        <v>1</v>
      </c>
      <c r="BP18" s="188">
        <f>'[1]Room Nights and Food Covers'!B18</f>
        <v>14.6</v>
      </c>
      <c r="BQ18" s="188">
        <f>'[1]Room Nights and Food Covers'!C18</f>
        <v>129</v>
      </c>
    </row>
    <row r="19" spans="1:76" ht="45" customHeight="1" x14ac:dyDescent="0.25">
      <c r="A19" s="189">
        <f t="shared" si="0"/>
        <v>44484</v>
      </c>
      <c r="B19" s="335"/>
      <c r="C19" s="401">
        <f>SUM('GENSET #1'!C24+'GENSET #2'!C24+'GENSET #3'!C24+'GENSET #4'!C24+'GENSET #5'!C24)</f>
        <v>94033227</v>
      </c>
      <c r="D19" s="324">
        <f t="shared" si="1"/>
        <v>27382</v>
      </c>
      <c r="E19" s="401">
        <f>'Gas-2'!G20</f>
        <v>225</v>
      </c>
      <c r="F19" s="324">
        <f t="shared" si="3"/>
        <v>0</v>
      </c>
      <c r="G19" s="324">
        <f>'GENSET #1'!D24</f>
        <v>8480</v>
      </c>
      <c r="H19" s="324">
        <f>'GENSET #2'!D24</f>
        <v>6038</v>
      </c>
      <c r="I19" s="324">
        <f>'GENSET #3'!D24</f>
        <v>63</v>
      </c>
      <c r="J19" s="324">
        <f>'GENSET #4'!D24</f>
        <v>4332</v>
      </c>
      <c r="K19" s="324">
        <f>'GENSET #5'!D24</f>
        <v>8469</v>
      </c>
      <c r="L19" s="324">
        <f>'FEEDER Consumption '!E19</f>
        <v>2618</v>
      </c>
      <c r="M19" s="324">
        <f>'FEEDER Consumption '!J19</f>
        <v>5586</v>
      </c>
      <c r="N19" s="324">
        <f>'FEEDER Consumption '!O19</f>
        <v>13986</v>
      </c>
      <c r="O19" s="324">
        <f>'FEEDER Consumption '!T19</f>
        <v>1700</v>
      </c>
      <c r="P19" s="324">
        <f>'FEEDER Consumption '!Y19</f>
        <v>2876</v>
      </c>
      <c r="Q19" s="324">
        <f>'FEEDER Consumption '!AD19</f>
        <v>1700</v>
      </c>
      <c r="R19" s="324">
        <f>'FEEDER Consumption '!AI19</f>
        <v>845</v>
      </c>
      <c r="S19" s="324">
        <f>'FEEDER Consumption '!AN19</f>
        <v>710</v>
      </c>
      <c r="T19" s="324">
        <f>'FEEDER Consumption '!AS19</f>
        <v>1200</v>
      </c>
      <c r="U19" s="324">
        <f>'FEEDER Consumption '!AX19</f>
        <v>465</v>
      </c>
      <c r="V19" s="324">
        <f>'FEEDER Consumption '!BH19</f>
        <v>890</v>
      </c>
      <c r="W19" s="324">
        <f>'FEEDER Consumption '!BH19</f>
        <v>890</v>
      </c>
      <c r="X19" s="324">
        <f>'FEEDER Consumption '!BM19</f>
        <v>1300</v>
      </c>
      <c r="Y19" s="324">
        <f>'FEEDER Consumption '!BR19</f>
        <v>142</v>
      </c>
      <c r="Z19" s="324">
        <f>'FEEDER Consumption '!BW19</f>
        <v>440</v>
      </c>
      <c r="AA19" s="324">
        <f>'FEEDER Consumption '!CB19</f>
        <v>1290</v>
      </c>
      <c r="AB19" s="324">
        <f>'FEEDER Consumption '!CG19</f>
        <v>430</v>
      </c>
      <c r="AC19" s="324">
        <f>'FEEDER Consumption '!CL19</f>
        <v>1050</v>
      </c>
      <c r="AD19" s="324">
        <f>'FEEDER Consumption '!CQ19</f>
        <v>1020</v>
      </c>
      <c r="AE19" s="324">
        <f>'FEEDER Consumption '!CV19</f>
        <v>770</v>
      </c>
      <c r="AF19" s="324">
        <f>'FEEDER Consumption '!DA19</f>
        <v>1700</v>
      </c>
      <c r="AG19" s="324">
        <f>'FEEDER Consumption '!DF19</f>
        <v>980</v>
      </c>
      <c r="AH19" s="324">
        <f>'FEEDER Consumption '!DK19</f>
        <v>1190</v>
      </c>
      <c r="AI19" s="324">
        <f>'FEEDER Consumption '!DP19</f>
        <v>230</v>
      </c>
      <c r="AJ19" s="324">
        <f>'FEEDER Consumption '!DU19</f>
        <v>137</v>
      </c>
      <c r="AK19" s="324">
        <f>'FEEDER Consumption '!DZ19</f>
        <v>720</v>
      </c>
      <c r="AL19" s="324">
        <f>'FEEDER Consumption '!EE19</f>
        <v>240</v>
      </c>
      <c r="AM19" s="324">
        <f>'FEEDER Consumption '!EJ19</f>
        <v>220</v>
      </c>
      <c r="AN19" s="325">
        <f>'FEEDER Consumption '!EO19</f>
        <v>190</v>
      </c>
      <c r="AO19" s="326">
        <f>SUM(WATER!C20+WATER!H20+WATER!M20+WATER!R20)</f>
        <v>1008863</v>
      </c>
      <c r="AP19" s="327">
        <f t="shared" si="2"/>
        <v>406</v>
      </c>
      <c r="AQ19" s="327">
        <f>[1]WATER!D20</f>
        <v>0</v>
      </c>
      <c r="AR19" s="327">
        <f>[1]WATER!I20</f>
        <v>0</v>
      </c>
      <c r="AS19" s="327">
        <f>[1]WATER!N20</f>
        <v>195</v>
      </c>
      <c r="AT19" s="327">
        <f>[1]WATER!S20</f>
        <v>112</v>
      </c>
      <c r="AU19" s="327">
        <f>[1]WATER!AD20</f>
        <v>16</v>
      </c>
      <c r="AV19" s="327">
        <f>[1]WATER!AI20</f>
        <v>6</v>
      </c>
      <c r="AW19" s="327">
        <f>[1]WATER!AN20</f>
        <v>0</v>
      </c>
      <c r="AX19" s="327">
        <f>[1]WATER!AS20</f>
        <v>13</v>
      </c>
      <c r="AY19" s="327">
        <f>[1]WATER!AX20</f>
        <v>5</v>
      </c>
      <c r="AZ19" s="327">
        <f>[1]WATER!BC20</f>
        <v>7</v>
      </c>
      <c r="BA19" s="327">
        <f>[1]WATER!BH20</f>
        <v>15</v>
      </c>
      <c r="BB19" s="327">
        <f>[1]WATER!BM20</f>
        <v>0</v>
      </c>
      <c r="BC19" s="327">
        <f>[1]WATER!BR20</f>
        <v>0</v>
      </c>
      <c r="BD19" s="327">
        <f>[1]WATER!BW20</f>
        <v>0</v>
      </c>
      <c r="BE19" s="327">
        <f>[1]WATER!CB20</f>
        <v>3</v>
      </c>
      <c r="BF19" s="327">
        <f>[1]WATER!CG20</f>
        <v>3</v>
      </c>
      <c r="BG19" s="327">
        <f>[1]WATER!CL20</f>
        <v>26</v>
      </c>
      <c r="BH19" s="327">
        <f>[1]WATER!CQ20</f>
        <v>7</v>
      </c>
      <c r="BI19" s="327">
        <f>[1]WATER!CV20</f>
        <v>1</v>
      </c>
      <c r="BJ19" s="327">
        <f>[1]WATER!DA20</f>
        <v>0</v>
      </c>
      <c r="BK19" s="327">
        <f>[1]WATER!DF20</f>
        <v>2</v>
      </c>
      <c r="BL19" s="327">
        <f>[1]WATER!DK20</f>
        <v>0</v>
      </c>
      <c r="BM19" s="327">
        <f>[1]WATER!DP20</f>
        <v>47</v>
      </c>
      <c r="BN19" s="327">
        <f>[1]WATER!DU20</f>
        <v>1</v>
      </c>
      <c r="BO19" s="327">
        <f>[1]WATER!DZ20</f>
        <v>1</v>
      </c>
      <c r="BP19" s="188">
        <f>'[1]Room Nights and Food Covers'!B19</f>
        <v>13.6</v>
      </c>
      <c r="BQ19" s="188">
        <f>'[1]Room Nights and Food Covers'!C19</f>
        <v>139</v>
      </c>
    </row>
    <row r="20" spans="1:76" ht="45" customHeight="1" x14ac:dyDescent="0.25">
      <c r="A20" s="189">
        <f t="shared" si="0"/>
        <v>44485</v>
      </c>
      <c r="B20" s="335"/>
      <c r="C20" s="401">
        <f>SUM('GENSET #1'!C25+'GENSET #2'!C25+'GENSET #3'!C25+'GENSET #4'!C25+'GENSET #5'!C25)</f>
        <v>94060579</v>
      </c>
      <c r="D20" s="324">
        <f t="shared" si="1"/>
        <v>27352</v>
      </c>
      <c r="E20" s="401">
        <f>'Gas-2'!G21</f>
        <v>315</v>
      </c>
      <c r="F20" s="324">
        <f t="shared" si="3"/>
        <v>90</v>
      </c>
      <c r="G20" s="324">
        <f>'GENSET #1'!D25</f>
        <v>8328</v>
      </c>
      <c r="H20" s="324">
        <f>'GENSET #2'!D25</f>
        <v>5912</v>
      </c>
      <c r="I20" s="324">
        <f>'GENSET #3'!D25</f>
        <v>0</v>
      </c>
      <c r="J20" s="324">
        <f>'GENSET #4'!D25</f>
        <v>4800</v>
      </c>
      <c r="K20" s="324">
        <f>'GENSET #5'!D25</f>
        <v>8312</v>
      </c>
      <c r="L20" s="324">
        <f>'FEEDER Consumption '!E20</f>
        <v>2587</v>
      </c>
      <c r="M20" s="324">
        <f>'FEEDER Consumption '!J20</f>
        <v>5509</v>
      </c>
      <c r="N20" s="324">
        <f>'FEEDER Consumption '!O20</f>
        <v>14193</v>
      </c>
      <c r="O20" s="324">
        <f>'FEEDER Consumption '!T20</f>
        <v>1700</v>
      </c>
      <c r="P20" s="324">
        <f>'FEEDER Consumption '!Y20</f>
        <v>2780</v>
      </c>
      <c r="Q20" s="324">
        <f>'FEEDER Consumption '!AD20</f>
        <v>2100</v>
      </c>
      <c r="R20" s="324">
        <f>'FEEDER Consumption '!AI20</f>
        <v>885</v>
      </c>
      <c r="S20" s="324">
        <f>'FEEDER Consumption '!AN20</f>
        <v>600</v>
      </c>
      <c r="T20" s="324">
        <f>'FEEDER Consumption '!AS20</f>
        <v>1100</v>
      </c>
      <c r="U20" s="324">
        <f>'FEEDER Consumption '!AX20</f>
        <v>445</v>
      </c>
      <c r="V20" s="324">
        <f>'FEEDER Consumption '!BH20</f>
        <v>880</v>
      </c>
      <c r="W20" s="324">
        <f>'FEEDER Consumption '!BH20</f>
        <v>880</v>
      </c>
      <c r="X20" s="324">
        <f>'FEEDER Consumption '!BM20</f>
        <v>1300</v>
      </c>
      <c r="Y20" s="324">
        <f>'FEEDER Consumption '!BR20</f>
        <v>165</v>
      </c>
      <c r="Z20" s="324">
        <f>'FEEDER Consumption '!BW20</f>
        <v>430</v>
      </c>
      <c r="AA20" s="324">
        <f>'FEEDER Consumption '!CB20</f>
        <v>1240</v>
      </c>
      <c r="AB20" s="324">
        <f>'FEEDER Consumption '!CG20</f>
        <v>410</v>
      </c>
      <c r="AC20" s="324">
        <f>'FEEDER Consumption '!CL20</f>
        <v>910</v>
      </c>
      <c r="AD20" s="324">
        <f>'FEEDER Consumption '!CQ20</f>
        <v>870</v>
      </c>
      <c r="AE20" s="324">
        <f>'FEEDER Consumption '!CV20</f>
        <v>800</v>
      </c>
      <c r="AF20" s="324">
        <f>'FEEDER Consumption '!DA20</f>
        <v>1620</v>
      </c>
      <c r="AG20" s="324">
        <f>'FEEDER Consumption '!DF20</f>
        <v>1120</v>
      </c>
      <c r="AH20" s="324">
        <f>'FEEDER Consumption '!DK20</f>
        <v>1220</v>
      </c>
      <c r="AI20" s="324">
        <f>'FEEDER Consumption '!DP20</f>
        <v>220</v>
      </c>
      <c r="AJ20" s="324">
        <f>'FEEDER Consumption '!DU20</f>
        <v>138</v>
      </c>
      <c r="AK20" s="324">
        <f>'FEEDER Consumption '!DZ20</f>
        <v>700</v>
      </c>
      <c r="AL20" s="324">
        <f>'FEEDER Consumption '!EE20</f>
        <v>240</v>
      </c>
      <c r="AM20" s="324">
        <f>'FEEDER Consumption '!EJ20</f>
        <v>330</v>
      </c>
      <c r="AN20" s="325">
        <f>'FEEDER Consumption '!EO20</f>
        <v>490</v>
      </c>
      <c r="AO20" s="326">
        <f>SUM(WATER!C21+WATER!H21+WATER!M21+WATER!R21)</f>
        <v>1009289</v>
      </c>
      <c r="AP20" s="327">
        <f t="shared" si="2"/>
        <v>426</v>
      </c>
      <c r="AQ20" s="327">
        <f>[1]WATER!D21</f>
        <v>0</v>
      </c>
      <c r="AR20" s="327">
        <f>[1]WATER!I21</f>
        <v>0</v>
      </c>
      <c r="AS20" s="327">
        <f>[1]WATER!N21</f>
        <v>238</v>
      </c>
      <c r="AT20" s="327">
        <f>[1]WATER!S21</f>
        <v>64</v>
      </c>
      <c r="AU20" s="327">
        <f>[1]WATER!AD21</f>
        <v>16</v>
      </c>
      <c r="AV20" s="327">
        <f>[1]WATER!AI21</f>
        <v>0</v>
      </c>
      <c r="AW20" s="327">
        <f>[1]WATER!AN21</f>
        <v>0</v>
      </c>
      <c r="AX20" s="327">
        <f>[1]WATER!AS21</f>
        <v>20</v>
      </c>
      <c r="AY20" s="327">
        <f>[1]WATER!AX21</f>
        <v>11</v>
      </c>
      <c r="AZ20" s="327">
        <f>[1]WATER!BC21</f>
        <v>6</v>
      </c>
      <c r="BA20" s="327">
        <f>[1]WATER!BH21</f>
        <v>7</v>
      </c>
      <c r="BB20" s="327">
        <f>[1]WATER!BM21</f>
        <v>0</v>
      </c>
      <c r="BC20" s="327">
        <f>[1]WATER!BR21</f>
        <v>0</v>
      </c>
      <c r="BD20" s="327">
        <f>[1]WATER!BW21</f>
        <v>0</v>
      </c>
      <c r="BE20" s="327">
        <f>[1]WATER!CB21</f>
        <v>1</v>
      </c>
      <c r="BF20" s="327">
        <f>[1]WATER!CG21</f>
        <v>0</v>
      </c>
      <c r="BG20" s="327">
        <f>[1]WATER!CL21</f>
        <v>26</v>
      </c>
      <c r="BH20" s="327">
        <f>[1]WATER!CQ21</f>
        <v>7</v>
      </c>
      <c r="BI20" s="327">
        <f>[1]WATER!CV21</f>
        <v>1</v>
      </c>
      <c r="BJ20" s="327">
        <f>[1]WATER!DA21</f>
        <v>1</v>
      </c>
      <c r="BK20" s="327">
        <f>[1]WATER!DF21</f>
        <v>2</v>
      </c>
      <c r="BL20" s="327">
        <f>[1]WATER!DK21</f>
        <v>4</v>
      </c>
      <c r="BM20" s="327">
        <f>[1]WATER!DP21</f>
        <v>6</v>
      </c>
      <c r="BN20" s="327">
        <f>[1]WATER!DU21</f>
        <v>2</v>
      </c>
      <c r="BO20" s="327">
        <f>[1]WATER!DZ21</f>
        <v>0</v>
      </c>
      <c r="BP20" s="188">
        <f>'[1]Room Nights and Food Covers'!B20</f>
        <v>19.399999999999999</v>
      </c>
      <c r="BQ20" s="188">
        <f>'[1]Room Nights and Food Covers'!C20</f>
        <v>204</v>
      </c>
    </row>
    <row r="21" spans="1:76" ht="45" customHeight="1" x14ac:dyDescent="0.25">
      <c r="A21" s="189">
        <f t="shared" si="0"/>
        <v>44486</v>
      </c>
      <c r="B21" s="335"/>
      <c r="C21" s="401">
        <f>SUM('GENSET #1'!C26+'GENSET #2'!C26+'GENSET #3'!C26+'GENSET #4'!C26+'GENSET #5'!C26)</f>
        <v>94084216</v>
      </c>
      <c r="D21" s="324">
        <f t="shared" si="1"/>
        <v>23637</v>
      </c>
      <c r="E21" s="401">
        <f>'Gas-2'!G22</f>
        <v>225</v>
      </c>
      <c r="F21" s="324" t="str">
        <f t="shared" si="3"/>
        <v>0</v>
      </c>
      <c r="G21" s="324">
        <f>'GENSET #1'!D26</f>
        <v>7977</v>
      </c>
      <c r="H21" s="324">
        <f>'GENSET #2'!D26</f>
        <v>5665</v>
      </c>
      <c r="I21" s="324">
        <f>'GENSET #3'!D26</f>
        <v>4203</v>
      </c>
      <c r="J21" s="324">
        <f>'GENSET #4'!D26</f>
        <v>2395</v>
      </c>
      <c r="K21" s="324">
        <f>'GENSET #5'!D26</f>
        <v>3397</v>
      </c>
      <c r="L21" s="324">
        <f>'FEEDER Consumption '!E21</f>
        <v>2213</v>
      </c>
      <c r="M21" s="324">
        <f>'FEEDER Consumption '!J21</f>
        <v>3714</v>
      </c>
      <c r="N21" s="324">
        <f>'FEEDER Consumption '!O21</f>
        <v>12771</v>
      </c>
      <c r="O21" s="324">
        <f>'FEEDER Consumption '!T21</f>
        <v>1600</v>
      </c>
      <c r="P21" s="324">
        <f>'FEEDER Consumption '!Y21</f>
        <v>2513</v>
      </c>
      <c r="Q21" s="324">
        <f>'FEEDER Consumption '!AD21</f>
        <v>1600</v>
      </c>
      <c r="R21" s="324">
        <f>'FEEDER Consumption '!AI21</f>
        <v>929</v>
      </c>
      <c r="S21" s="324">
        <f>'FEEDER Consumption '!AN21</f>
        <v>530</v>
      </c>
      <c r="T21" s="324">
        <f>'FEEDER Consumption '!AS21</f>
        <v>1300</v>
      </c>
      <c r="U21" s="324">
        <f>'FEEDER Consumption '!AX21</f>
        <v>354</v>
      </c>
      <c r="V21" s="324">
        <f>'FEEDER Consumption '!BH21</f>
        <v>850</v>
      </c>
      <c r="W21" s="324">
        <f>'FEEDER Consumption '!BH21</f>
        <v>850</v>
      </c>
      <c r="X21" s="324">
        <f>'FEEDER Consumption '!BM21</f>
        <v>1100</v>
      </c>
      <c r="Y21" s="324">
        <f>'FEEDER Consumption '!BR21</f>
        <v>162</v>
      </c>
      <c r="Z21" s="324">
        <f>'FEEDER Consumption '!BW21</f>
        <v>450</v>
      </c>
      <c r="AA21" s="324">
        <f>'FEEDER Consumption '!CB21</f>
        <v>1150</v>
      </c>
      <c r="AB21" s="324">
        <f>'FEEDER Consumption '!CG21</f>
        <v>360</v>
      </c>
      <c r="AC21" s="324">
        <f>'FEEDER Consumption '!CL21</f>
        <v>760</v>
      </c>
      <c r="AD21" s="324">
        <f>'FEEDER Consumption '!CQ21</f>
        <v>670</v>
      </c>
      <c r="AE21" s="324">
        <f>'FEEDER Consumption '!CV21</f>
        <v>490</v>
      </c>
      <c r="AF21" s="324">
        <f>'FEEDER Consumption '!DA21</f>
        <v>960</v>
      </c>
      <c r="AG21" s="324">
        <f>'FEEDER Consumption '!DF21</f>
        <v>740</v>
      </c>
      <c r="AH21" s="324">
        <f>'FEEDER Consumption '!DK21</f>
        <v>760</v>
      </c>
      <c r="AI21" s="324">
        <f>'FEEDER Consumption '!DP21</f>
        <v>180</v>
      </c>
      <c r="AJ21" s="324">
        <f>'FEEDER Consumption '!DU21</f>
        <v>149</v>
      </c>
      <c r="AK21" s="324">
        <f>'FEEDER Consumption '!DZ21</f>
        <v>670</v>
      </c>
      <c r="AL21" s="324">
        <f>'FEEDER Consumption '!EE21</f>
        <v>230</v>
      </c>
      <c r="AM21" s="324">
        <f>'FEEDER Consumption '!EJ21</f>
        <v>340</v>
      </c>
      <c r="AN21" s="325">
        <f>'FEEDER Consumption '!EO21</f>
        <v>460</v>
      </c>
      <c r="AO21" s="326">
        <f>SUM(WATER!C22+WATER!H22+WATER!M22+WATER!R22)</f>
        <v>1009710</v>
      </c>
      <c r="AP21" s="327">
        <f t="shared" si="2"/>
        <v>421</v>
      </c>
      <c r="AQ21" s="327">
        <f>[1]WATER!D22</f>
        <v>0</v>
      </c>
      <c r="AR21" s="327">
        <f>[1]WATER!I22</f>
        <v>0</v>
      </c>
      <c r="AS21" s="327">
        <f>[1]WATER!N22</f>
        <v>225</v>
      </c>
      <c r="AT21" s="327">
        <f>[1]WATER!S22</f>
        <v>87</v>
      </c>
      <c r="AU21" s="327">
        <f>[1]WATER!AD22</f>
        <v>0</v>
      </c>
      <c r="AV21" s="327">
        <f>[1]WATER!AI22</f>
        <v>0</v>
      </c>
      <c r="AW21" s="327">
        <f>[1]WATER!AN22</f>
        <v>0</v>
      </c>
      <c r="AX21" s="327">
        <f>[1]WATER!AS22</f>
        <v>0</v>
      </c>
      <c r="AY21" s="327">
        <f>[1]WATER!AX22</f>
        <v>0</v>
      </c>
      <c r="AZ21" s="327">
        <f>[1]WATER!BC22</f>
        <v>0</v>
      </c>
      <c r="BA21" s="327">
        <f>[1]WATER!BH22</f>
        <v>0</v>
      </c>
      <c r="BB21" s="327">
        <f>[1]WATER!BM22</f>
        <v>0</v>
      </c>
      <c r="BC21" s="327">
        <f>[1]WATER!BR22</f>
        <v>0</v>
      </c>
      <c r="BD21" s="327">
        <f>[1]WATER!BW22</f>
        <v>0</v>
      </c>
      <c r="BE21" s="327">
        <f>[1]WATER!CB22</f>
        <v>0</v>
      </c>
      <c r="BF21" s="327">
        <f>[1]WATER!CG22</f>
        <v>0</v>
      </c>
      <c r="BG21" s="327">
        <f>[1]WATER!CL22</f>
        <v>0</v>
      </c>
      <c r="BH21" s="327">
        <f>[1]WATER!CQ22</f>
        <v>0</v>
      </c>
      <c r="BI21" s="327">
        <f>[1]WATER!CV22</f>
        <v>1</v>
      </c>
      <c r="BJ21" s="327">
        <f>[1]WATER!DA22</f>
        <v>1</v>
      </c>
      <c r="BK21" s="327">
        <f>[1]WATER!DF22</f>
        <v>0</v>
      </c>
      <c r="BL21" s="327">
        <f>[1]WATER!DK22</f>
        <v>5</v>
      </c>
      <c r="BM21" s="327">
        <f>[1]WATER!DP22</f>
        <v>0</v>
      </c>
      <c r="BN21" s="327">
        <f>[1]WATER!DU22</f>
        <v>2</v>
      </c>
      <c r="BO21" s="327">
        <f>[1]WATER!DZ22</f>
        <v>3</v>
      </c>
      <c r="BP21" s="188">
        <f>'[1]Room Nights and Food Covers'!B21</f>
        <v>17.5</v>
      </c>
      <c r="BQ21" s="188">
        <f>'[1]Room Nights and Food Covers'!C21</f>
        <v>159</v>
      </c>
    </row>
    <row r="22" spans="1:76" ht="45" customHeight="1" x14ac:dyDescent="0.25">
      <c r="A22" s="189">
        <f t="shared" si="0"/>
        <v>44487</v>
      </c>
      <c r="B22" s="335"/>
      <c r="C22" s="401">
        <f>SUM('GENSET #1'!C27+'GENSET #2'!C27+'GENSET #3'!C27+'GENSET #4'!C27+'GENSET #5'!C27)</f>
        <v>94106647</v>
      </c>
      <c r="D22" s="324">
        <f t="shared" si="1"/>
        <v>22431</v>
      </c>
      <c r="E22" s="401">
        <f>'Gas-2'!G23</f>
        <v>180</v>
      </c>
      <c r="F22" s="324" t="str">
        <f t="shared" si="3"/>
        <v>0</v>
      </c>
      <c r="G22" s="324">
        <f>'GENSET #1'!D27</f>
        <v>7858</v>
      </c>
      <c r="H22" s="324">
        <f>'GENSET #2'!D27</f>
        <v>5992</v>
      </c>
      <c r="I22" s="324">
        <f>'GENSET #3'!D27</f>
        <v>0</v>
      </c>
      <c r="J22" s="324">
        <f>'GENSET #4'!D27</f>
        <v>743</v>
      </c>
      <c r="K22" s="324">
        <f>'GENSET #5'!D27</f>
        <v>7838</v>
      </c>
      <c r="L22" s="324">
        <f>'FEEDER Consumption '!E22</f>
        <v>2166</v>
      </c>
      <c r="M22" s="324">
        <f>'FEEDER Consumption '!J22</f>
        <v>3083</v>
      </c>
      <c r="N22" s="324">
        <f>'FEEDER Consumption '!O22</f>
        <v>12201</v>
      </c>
      <c r="O22" s="324">
        <f>'FEEDER Consumption '!T22</f>
        <v>1700</v>
      </c>
      <c r="P22" s="324">
        <f>'FEEDER Consumption '!Y22</f>
        <v>2482</v>
      </c>
      <c r="Q22" s="324">
        <f>'FEEDER Consumption '!AD22</f>
        <v>1600</v>
      </c>
      <c r="R22" s="324">
        <f>'FEEDER Consumption '!AI22</f>
        <v>867</v>
      </c>
      <c r="S22" s="324">
        <f>'FEEDER Consumption '!AN22</f>
        <v>550</v>
      </c>
      <c r="T22" s="324">
        <f>'FEEDER Consumption '!AS22</f>
        <v>1500</v>
      </c>
      <c r="U22" s="324">
        <f>'FEEDER Consumption '!AX22</f>
        <v>320</v>
      </c>
      <c r="V22" s="324">
        <f>'FEEDER Consumption '!BH22</f>
        <v>720</v>
      </c>
      <c r="W22" s="324">
        <f>'FEEDER Consumption '!BH22</f>
        <v>720</v>
      </c>
      <c r="X22" s="324">
        <f>'FEEDER Consumption '!BM22</f>
        <v>900</v>
      </c>
      <c r="Y22" s="324">
        <f>'FEEDER Consumption '!BR22</f>
        <v>113</v>
      </c>
      <c r="Z22" s="324">
        <f>'FEEDER Consumption '!BW22</f>
        <v>380</v>
      </c>
      <c r="AA22" s="324">
        <f>'FEEDER Consumption '!CB22</f>
        <v>1140</v>
      </c>
      <c r="AB22" s="324">
        <f>'FEEDER Consumption '!CG22</f>
        <v>380</v>
      </c>
      <c r="AC22" s="324">
        <f>'FEEDER Consumption '!CL22</f>
        <v>680</v>
      </c>
      <c r="AD22" s="324">
        <f>'FEEDER Consumption '!CQ22</f>
        <v>540</v>
      </c>
      <c r="AE22" s="324">
        <f>'FEEDER Consumption '!CV22</f>
        <v>380</v>
      </c>
      <c r="AF22" s="324">
        <f>'FEEDER Consumption '!DA22</f>
        <v>800</v>
      </c>
      <c r="AG22" s="324">
        <f>'FEEDER Consumption '!DF22</f>
        <v>640</v>
      </c>
      <c r="AH22" s="324">
        <f>'FEEDER Consumption '!DK22</f>
        <v>540</v>
      </c>
      <c r="AI22" s="324">
        <f>'FEEDER Consumption '!DP22</f>
        <v>160</v>
      </c>
      <c r="AJ22" s="324">
        <f>'FEEDER Consumption '!DU22</f>
        <v>157</v>
      </c>
      <c r="AK22" s="324">
        <f>'FEEDER Consumption '!DZ22</f>
        <v>660</v>
      </c>
      <c r="AL22" s="324">
        <f>'FEEDER Consumption '!EE22</f>
        <v>250</v>
      </c>
      <c r="AM22" s="324">
        <f>'FEEDER Consumption '!EJ22</f>
        <v>350</v>
      </c>
      <c r="AN22" s="325">
        <f>'FEEDER Consumption '!EO22</f>
        <v>480</v>
      </c>
      <c r="AO22" s="326">
        <f>SUM(WATER!C23+WATER!H23+WATER!M23+WATER!R23)</f>
        <v>1010013</v>
      </c>
      <c r="AP22" s="327">
        <f t="shared" si="2"/>
        <v>303</v>
      </c>
      <c r="AQ22" s="327">
        <f>[1]WATER!D23</f>
        <v>0</v>
      </c>
      <c r="AR22" s="327">
        <f>[1]WATER!I23</f>
        <v>0</v>
      </c>
      <c r="AS22" s="327">
        <f>[1]WATER!N23</f>
        <v>117</v>
      </c>
      <c r="AT22" s="327">
        <f>[1]WATER!S23</f>
        <v>146</v>
      </c>
      <c r="AU22" s="327">
        <f>[1]WATER!AD23</f>
        <v>35</v>
      </c>
      <c r="AV22" s="327">
        <f>[1]WATER!AI23</f>
        <v>17</v>
      </c>
      <c r="AW22" s="327">
        <f>[1]WATER!AN23</f>
        <v>69</v>
      </c>
      <c r="AX22" s="327">
        <f>[1]WATER!AS23</f>
        <v>16</v>
      </c>
      <c r="AY22" s="327">
        <f>[1]WATER!AX23</f>
        <v>116</v>
      </c>
      <c r="AZ22" s="327">
        <f>[1]WATER!BC23</f>
        <v>14</v>
      </c>
      <c r="BA22" s="327">
        <f>[1]WATER!BH23</f>
        <v>15</v>
      </c>
      <c r="BB22" s="327">
        <f>[1]WATER!BM23</f>
        <v>0</v>
      </c>
      <c r="BC22" s="327">
        <f>[1]WATER!BR23</f>
        <v>0</v>
      </c>
      <c r="BD22" s="327">
        <f>[1]WATER!BW23</f>
        <v>0</v>
      </c>
      <c r="BE22" s="327">
        <f>[1]WATER!CB23</f>
        <v>0</v>
      </c>
      <c r="BF22" s="327">
        <f>[1]WATER!CG23</f>
        <v>3</v>
      </c>
      <c r="BG22" s="327">
        <f>[1]WATER!CL23</f>
        <v>0</v>
      </c>
      <c r="BH22" s="327">
        <f>[1]WATER!CQ23</f>
        <v>0</v>
      </c>
      <c r="BI22" s="327">
        <f>[1]WATER!CV23</f>
        <v>0</v>
      </c>
      <c r="BJ22" s="327">
        <f>[1]WATER!DA23</f>
        <v>0</v>
      </c>
      <c r="BK22" s="327">
        <f>[1]WATER!DF23</f>
        <v>5</v>
      </c>
      <c r="BL22" s="327">
        <f>[1]WATER!DK23</f>
        <v>0</v>
      </c>
      <c r="BM22" s="327">
        <f>[1]WATER!DP23</f>
        <v>13</v>
      </c>
      <c r="BN22" s="327">
        <f>[1]WATER!DU23</f>
        <v>0</v>
      </c>
      <c r="BO22" s="327">
        <f>[1]WATER!DZ23</f>
        <v>0</v>
      </c>
      <c r="BP22" s="188">
        <f>'[1]Room Nights and Food Covers'!B22</f>
        <v>19.399999999999999</v>
      </c>
      <c r="BQ22" s="188">
        <f>'[1]Room Nights and Food Covers'!C22</f>
        <v>185</v>
      </c>
    </row>
    <row r="23" spans="1:76" ht="45" customHeight="1" x14ac:dyDescent="0.25">
      <c r="A23" s="189">
        <f t="shared" si="0"/>
        <v>44488</v>
      </c>
      <c r="B23" s="335"/>
      <c r="C23" s="401">
        <f>SUM('GENSET #1'!C28+'GENSET #2'!C28+'GENSET #3'!C28+'GENSET #4'!C28+'GENSET #5'!C28)</f>
        <v>94130628</v>
      </c>
      <c r="D23" s="324">
        <f>IF((C23-C22&lt;0), "0",C23-C22)</f>
        <v>23981</v>
      </c>
      <c r="E23" s="401">
        <f>'Gas-2'!G24</f>
        <v>180</v>
      </c>
      <c r="F23" s="324">
        <f t="shared" si="3"/>
        <v>0</v>
      </c>
      <c r="G23" s="324">
        <f>'GENSET #1'!D28</f>
        <v>92</v>
      </c>
      <c r="H23" s="324">
        <f>'GENSET #2'!D28</f>
        <v>14027</v>
      </c>
      <c r="I23" s="324">
        <f>'GENSET #3'!D28</f>
        <v>5793</v>
      </c>
      <c r="J23" s="324">
        <f>'GENSET #4'!D28</f>
        <v>739</v>
      </c>
      <c r="K23" s="324">
        <f>'GENSET #5'!D28</f>
        <v>3330</v>
      </c>
      <c r="L23" s="324">
        <f>'FEEDER Consumption '!E23</f>
        <v>2456</v>
      </c>
      <c r="M23" s="324">
        <f>'FEEDER Consumption '!J23</f>
        <v>3558</v>
      </c>
      <c r="N23" s="324">
        <f>'FEEDER Consumption '!O23</f>
        <v>12646</v>
      </c>
      <c r="O23" s="324">
        <f>'FEEDER Consumption '!T23</f>
        <v>1700</v>
      </c>
      <c r="P23" s="324">
        <f>'FEEDER Consumption '!Y23</f>
        <v>2688</v>
      </c>
      <c r="Q23" s="324">
        <f>'FEEDER Consumption '!AD23</f>
        <v>1700</v>
      </c>
      <c r="R23" s="324">
        <f>'FEEDER Consumption '!AI23</f>
        <v>890</v>
      </c>
      <c r="S23" s="324">
        <f>'FEEDER Consumption '!AN23</f>
        <v>640</v>
      </c>
      <c r="T23" s="324">
        <f>'FEEDER Consumption '!AS23</f>
        <v>1400</v>
      </c>
      <c r="U23" s="324">
        <f>'FEEDER Consumption '!AX23</f>
        <v>354</v>
      </c>
      <c r="V23" s="324">
        <f>'FEEDER Consumption '!BH23</f>
        <v>690</v>
      </c>
      <c r="W23" s="324">
        <f>'FEEDER Consumption '!BH23</f>
        <v>690</v>
      </c>
      <c r="X23" s="324">
        <f>'FEEDER Consumption '!BM23</f>
        <v>900</v>
      </c>
      <c r="Y23" s="324">
        <f>'FEEDER Consumption '!BR23</f>
        <v>113</v>
      </c>
      <c r="Z23" s="324">
        <f>'FEEDER Consumption '!BW23</f>
        <v>320</v>
      </c>
      <c r="AA23" s="324">
        <f>'FEEDER Consumption '!CB23</f>
        <v>1124</v>
      </c>
      <c r="AB23" s="324">
        <f>'FEEDER Consumption '!CG23</f>
        <v>420</v>
      </c>
      <c r="AC23" s="324">
        <f>'FEEDER Consumption '!CL23</f>
        <v>730</v>
      </c>
      <c r="AD23" s="324">
        <f>'FEEDER Consumption '!CQ23</f>
        <v>500</v>
      </c>
      <c r="AE23" s="324">
        <f>'FEEDER Consumption '!CV23</f>
        <v>500</v>
      </c>
      <c r="AF23" s="324">
        <f>'FEEDER Consumption '!DA23</f>
        <v>850</v>
      </c>
      <c r="AG23" s="324">
        <f>'FEEDER Consumption '!DF23</f>
        <v>820</v>
      </c>
      <c r="AH23" s="324">
        <f>'FEEDER Consumption '!DK23</f>
        <v>620</v>
      </c>
      <c r="AI23" s="324">
        <f>'FEEDER Consumption '!DP23</f>
        <v>250</v>
      </c>
      <c r="AJ23" s="324">
        <f>'FEEDER Consumption '!DU23</f>
        <v>140</v>
      </c>
      <c r="AK23" s="324">
        <f>'FEEDER Consumption '!DZ23</f>
        <v>680</v>
      </c>
      <c r="AL23" s="324">
        <f>'FEEDER Consumption '!EE23</f>
        <v>230</v>
      </c>
      <c r="AM23" s="324">
        <f>'FEEDER Consumption '!EJ23</f>
        <v>320</v>
      </c>
      <c r="AN23" s="325">
        <f>'FEEDER Consumption '!EO23</f>
        <v>490</v>
      </c>
      <c r="AO23" s="326">
        <f>SUM(WATER!C24+WATER!H24+WATER!M24+WATER!R24)</f>
        <v>1010411</v>
      </c>
      <c r="AP23" s="327">
        <f t="shared" si="2"/>
        <v>398</v>
      </c>
      <c r="AQ23" s="327">
        <f>[1]WATER!D24</f>
        <v>0</v>
      </c>
      <c r="AR23" s="327">
        <f>[1]WATER!I24</f>
        <v>0</v>
      </c>
      <c r="AS23" s="327">
        <f>[1]WATER!N24</f>
        <v>255</v>
      </c>
      <c r="AT23" s="327">
        <f>[1]WATER!S24</f>
        <v>106</v>
      </c>
      <c r="AU23" s="327">
        <f>[1]WATER!AD24</f>
        <v>17</v>
      </c>
      <c r="AV23" s="327">
        <f>[1]WATER!AI24</f>
        <v>6</v>
      </c>
      <c r="AW23" s="327">
        <f>[1]WATER!AN24</f>
        <v>0</v>
      </c>
      <c r="AX23" s="327">
        <f>[1]WATER!AS24</f>
        <v>45</v>
      </c>
      <c r="AY23" s="327">
        <f>[1]WATER!AX24</f>
        <v>-93</v>
      </c>
      <c r="AZ23" s="327">
        <f>[1]WATER!BC24</f>
        <v>6</v>
      </c>
      <c r="BA23" s="327">
        <f>[1]WATER!BH24</f>
        <v>0</v>
      </c>
      <c r="BB23" s="327">
        <f>[1]WATER!BM24</f>
        <v>0</v>
      </c>
      <c r="BC23" s="327">
        <f>[1]WATER!BR24</f>
        <v>0</v>
      </c>
      <c r="BD23" s="327">
        <f>[1]WATER!BW24</f>
        <v>0</v>
      </c>
      <c r="BE23" s="327">
        <f>[1]WATER!CB24</f>
        <v>19</v>
      </c>
      <c r="BF23" s="327">
        <f>[1]WATER!CG24</f>
        <v>2</v>
      </c>
      <c r="BG23" s="327">
        <f>[1]WATER!CL24</f>
        <v>78</v>
      </c>
      <c r="BH23" s="327">
        <f>[1]WATER!CQ24</f>
        <v>22</v>
      </c>
      <c r="BI23" s="327">
        <f>[1]WATER!CV24</f>
        <v>1</v>
      </c>
      <c r="BJ23" s="327">
        <f>[1]WATER!DA24</f>
        <v>0</v>
      </c>
      <c r="BK23" s="327">
        <f>[1]WATER!DF24</f>
        <v>3</v>
      </c>
      <c r="BL23" s="327">
        <f>[1]WATER!DK24</f>
        <v>2</v>
      </c>
      <c r="BM23" s="327">
        <f>[1]WATER!DP24</f>
        <v>0</v>
      </c>
      <c r="BN23" s="327">
        <f>[1]WATER!DU24</f>
        <v>2</v>
      </c>
      <c r="BO23" s="327">
        <f>[1]WATER!DZ24</f>
        <v>4</v>
      </c>
      <c r="BP23" s="188">
        <f>'[1]Room Nights and Food Covers'!B23</f>
        <v>16.5</v>
      </c>
      <c r="BQ23" s="188">
        <f>'[1]Room Nights and Food Covers'!C23</f>
        <v>157</v>
      </c>
    </row>
    <row r="24" spans="1:76" ht="45" customHeight="1" x14ac:dyDescent="0.25">
      <c r="A24" s="189">
        <f t="shared" si="0"/>
        <v>44489</v>
      </c>
      <c r="B24" s="335"/>
      <c r="C24" s="401">
        <f>SUM('GENSET #1'!C29+'GENSET #2'!C29+'GENSET #3'!C29+'GENSET #4'!C29+'GENSET #5'!C29)</f>
        <v>94155780</v>
      </c>
      <c r="D24" s="324">
        <f t="shared" ref="D24:D35" si="4">IF((C24-C23&lt;0), "0",C24-C23)</f>
        <v>25152</v>
      </c>
      <c r="E24" s="401">
        <f>'Gas-2'!G25</f>
        <v>225</v>
      </c>
      <c r="F24" s="324">
        <f t="shared" si="3"/>
        <v>45</v>
      </c>
      <c r="G24" s="324">
        <f>'GENSET #1'!D29</f>
        <v>9754</v>
      </c>
      <c r="H24" s="324">
        <f>'GENSET #2'!D29</f>
        <v>3128</v>
      </c>
      <c r="I24" s="324">
        <f>'GENSET #3'!D29</f>
        <v>4959</v>
      </c>
      <c r="J24" s="324">
        <f>'GENSET #4'!D29</f>
        <v>1189</v>
      </c>
      <c r="K24" s="324">
        <f>'GENSET #5'!D29</f>
        <v>6122</v>
      </c>
      <c r="L24" s="324">
        <f>'FEEDER Consumption '!E24</f>
        <v>2455</v>
      </c>
      <c r="M24" s="324">
        <f>'FEEDER Consumption '!J24</f>
        <v>4113</v>
      </c>
      <c r="N24" s="324">
        <f>'FEEDER Consumption '!O24</f>
        <v>13316</v>
      </c>
      <c r="O24" s="324">
        <f>'FEEDER Consumption '!T24</f>
        <v>1800</v>
      </c>
      <c r="P24" s="324">
        <f>'FEEDER Consumption '!Y24</f>
        <v>2694</v>
      </c>
      <c r="Q24" s="324">
        <f>'FEEDER Consumption '!AD24</f>
        <v>2000</v>
      </c>
      <c r="R24" s="324">
        <f>'FEEDER Consumption '!AI24</f>
        <v>877</v>
      </c>
      <c r="S24" s="324">
        <f>'FEEDER Consumption '!AN24</f>
        <v>640</v>
      </c>
      <c r="T24" s="324">
        <f>'FEEDER Consumption '!AS24</f>
        <v>1500</v>
      </c>
      <c r="U24" s="324">
        <f>'FEEDER Consumption '!AX24</f>
        <v>402</v>
      </c>
      <c r="V24" s="324">
        <f>'FEEDER Consumption '!BH24</f>
        <v>740</v>
      </c>
      <c r="W24" s="324">
        <f>'FEEDER Consumption '!BH24</f>
        <v>740</v>
      </c>
      <c r="X24" s="324">
        <f>'FEEDER Consumption '!BM24</f>
        <v>1000</v>
      </c>
      <c r="Y24" s="324">
        <f>'FEEDER Consumption '!BR24</f>
        <v>130</v>
      </c>
      <c r="Z24" s="324">
        <f>'FEEDER Consumption '!BW24</f>
        <v>320</v>
      </c>
      <c r="AA24" s="324">
        <f>'FEEDER Consumption '!CB24</f>
        <v>1266</v>
      </c>
      <c r="AB24" s="324">
        <f>'FEEDER Consumption '!CG24</f>
        <v>450</v>
      </c>
      <c r="AC24" s="324">
        <f>'FEEDER Consumption '!CL24</f>
        <v>950</v>
      </c>
      <c r="AD24" s="324">
        <f>'FEEDER Consumption '!CQ24</f>
        <v>730</v>
      </c>
      <c r="AE24" s="324">
        <f>'FEEDER Consumption '!CV24</f>
        <v>590</v>
      </c>
      <c r="AF24" s="324">
        <f>'FEEDER Consumption '!DA24</f>
        <v>890</v>
      </c>
      <c r="AG24" s="324">
        <f>'FEEDER Consumption '!DF24</f>
        <v>870</v>
      </c>
      <c r="AH24" s="324">
        <f>'FEEDER Consumption '!DK24</f>
        <v>760</v>
      </c>
      <c r="AI24" s="324">
        <f>'FEEDER Consumption '!DP24</f>
        <v>130</v>
      </c>
      <c r="AJ24" s="324">
        <f>'FEEDER Consumption '!DU24</f>
        <v>160</v>
      </c>
      <c r="AK24" s="324">
        <f>'FEEDER Consumption '!DZ24</f>
        <v>680</v>
      </c>
      <c r="AL24" s="324">
        <f>'FEEDER Consumption '!EE24</f>
        <v>270</v>
      </c>
      <c r="AM24" s="324">
        <f>'FEEDER Consumption '!EJ24</f>
        <v>380</v>
      </c>
      <c r="AN24" s="325">
        <f>'FEEDER Consumption '!EO24</f>
        <v>410</v>
      </c>
      <c r="AO24" s="326">
        <f>SUM(WATER!C25+WATER!H25+WATER!M25+WATER!R25)</f>
        <v>1010815</v>
      </c>
      <c r="AP24" s="327">
        <f t="shared" si="2"/>
        <v>404</v>
      </c>
      <c r="AQ24" s="327">
        <f>[1]WATER!D25</f>
        <v>0</v>
      </c>
      <c r="AR24" s="327">
        <f>[1]WATER!I25</f>
        <v>0</v>
      </c>
      <c r="AS24" s="327">
        <f>[1]WATER!N25</f>
        <v>185</v>
      </c>
      <c r="AT24" s="327">
        <f>[1]WATER!S25</f>
        <v>137</v>
      </c>
      <c r="AU24" s="327">
        <f>[1]WATER!AD25</f>
        <v>20</v>
      </c>
      <c r="AV24" s="327">
        <f>[1]WATER!AI25</f>
        <v>0</v>
      </c>
      <c r="AW24" s="327">
        <f>[1]WATER!AN25</f>
        <v>16</v>
      </c>
      <c r="AX24" s="327">
        <f>[1]WATER!AS25</f>
        <v>0</v>
      </c>
      <c r="AY24" s="327">
        <f>[1]WATER!AX25</f>
        <v>9</v>
      </c>
      <c r="AZ24" s="327">
        <f>[1]WATER!BC25</f>
        <v>7</v>
      </c>
      <c r="BA24" s="327">
        <f>[1]WATER!BH25</f>
        <v>17</v>
      </c>
      <c r="BB24" s="327">
        <f>[1]WATER!BM25</f>
        <v>54</v>
      </c>
      <c r="BC24" s="327">
        <f>[1]WATER!BR25</f>
        <v>15</v>
      </c>
      <c r="BD24" s="327">
        <f>[1]WATER!BW25</f>
        <v>1</v>
      </c>
      <c r="BE24" s="327">
        <f>[1]WATER!CB25</f>
        <v>7</v>
      </c>
      <c r="BF24" s="327">
        <f>[1]WATER!CG25</f>
        <v>1</v>
      </c>
      <c r="BG24" s="327">
        <f>[1]WATER!CL25</f>
        <v>0</v>
      </c>
      <c r="BH24" s="327">
        <f>[1]WATER!CQ25</f>
        <v>7</v>
      </c>
      <c r="BI24" s="327">
        <f>[1]WATER!CV25</f>
        <v>1</v>
      </c>
      <c r="BJ24" s="327">
        <f>[1]WATER!DA25</f>
        <v>1</v>
      </c>
      <c r="BK24" s="327">
        <f>[1]WATER!DF25</f>
        <v>2</v>
      </c>
      <c r="BL24" s="327">
        <f>[1]WATER!DK25</f>
        <v>2</v>
      </c>
      <c r="BM24" s="327">
        <f>[1]WATER!DP25</f>
        <v>0</v>
      </c>
      <c r="BN24" s="327">
        <f>[1]WATER!DU25</f>
        <v>3</v>
      </c>
      <c r="BO24" s="327">
        <f>[1]WATER!DZ25</f>
        <v>3</v>
      </c>
      <c r="BP24" s="188">
        <f>'[1]Room Nights and Food Covers'!B24</f>
        <v>23.3</v>
      </c>
      <c r="BQ24" s="188">
        <f>'[1]Room Nights and Food Covers'!C24</f>
        <v>225</v>
      </c>
      <c r="BX24" s="328"/>
    </row>
    <row r="25" spans="1:76" ht="45" customHeight="1" x14ac:dyDescent="0.25">
      <c r="A25" s="189">
        <f t="shared" si="0"/>
        <v>44490</v>
      </c>
      <c r="B25" s="335"/>
      <c r="C25" s="401">
        <f>SUM('GENSET #1'!C30+'GENSET #2'!C30+'GENSET #3'!C30+'GENSET #4'!C30+'GENSET #5'!C30)</f>
        <v>94181961</v>
      </c>
      <c r="D25" s="324">
        <f t="shared" si="4"/>
        <v>26181</v>
      </c>
      <c r="E25" s="401">
        <f>'Gas-2'!G26</f>
        <v>270</v>
      </c>
      <c r="F25" s="324">
        <f t="shared" si="3"/>
        <v>45</v>
      </c>
      <c r="G25" s="324">
        <f>'GENSET #1'!D30</f>
        <v>4165</v>
      </c>
      <c r="H25" s="324">
        <f>'GENSET #2'!D30</f>
        <v>13503</v>
      </c>
      <c r="I25" s="324">
        <f>'GENSET #3'!D30</f>
        <v>3510</v>
      </c>
      <c r="J25" s="324">
        <f>'GENSET #4'!D30</f>
        <v>1710</v>
      </c>
      <c r="K25" s="324">
        <f>'GENSET #5'!D30</f>
        <v>3293</v>
      </c>
      <c r="L25" s="324">
        <f>'FEEDER Consumption '!E25</f>
        <v>2580</v>
      </c>
      <c r="M25" s="324">
        <f>'FEEDER Consumption '!J25</f>
        <v>4404</v>
      </c>
      <c r="N25" s="324">
        <f>'FEEDER Consumption '!O25</f>
        <v>13648</v>
      </c>
      <c r="O25" s="324">
        <f>'FEEDER Consumption '!T25</f>
        <v>1900</v>
      </c>
      <c r="P25" s="324">
        <f>'FEEDER Consumption '!Y25</f>
        <v>2791</v>
      </c>
      <c r="Q25" s="324">
        <f>'FEEDER Consumption '!AD25</f>
        <v>2100</v>
      </c>
      <c r="R25" s="324">
        <f>'FEEDER Consumption '!AI25</f>
        <v>895</v>
      </c>
      <c r="S25" s="324">
        <f>'FEEDER Consumption '!AN25</f>
        <v>610</v>
      </c>
      <c r="T25" s="324">
        <f>'FEEDER Consumption '!AS25</f>
        <v>1700</v>
      </c>
      <c r="U25" s="324">
        <f>'FEEDER Consumption '!AX25</f>
        <v>398</v>
      </c>
      <c r="V25" s="324">
        <f>'FEEDER Consumption '!BH25</f>
        <v>790</v>
      </c>
      <c r="W25" s="324">
        <f>'FEEDER Consumption '!BH25</f>
        <v>790</v>
      </c>
      <c r="X25" s="324">
        <f>'FEEDER Consumption '!BM25</f>
        <v>1000</v>
      </c>
      <c r="Y25" s="324">
        <f>'FEEDER Consumption '!BR25</f>
        <v>141</v>
      </c>
      <c r="Z25" s="324">
        <f>'FEEDER Consumption '!BW25</f>
        <v>420</v>
      </c>
      <c r="AA25" s="324">
        <f>'FEEDER Consumption '!CB25</f>
        <v>1190</v>
      </c>
      <c r="AB25" s="324">
        <f>'FEEDER Consumption '!CG25</f>
        <v>460</v>
      </c>
      <c r="AC25" s="324">
        <f>'FEEDER Consumption '!CL25</f>
        <v>400</v>
      </c>
      <c r="AD25" s="324">
        <f>'FEEDER Consumption '!CQ25</f>
        <v>380</v>
      </c>
      <c r="AE25" s="324">
        <f>'FEEDER Consumption '!CV25</f>
        <v>320</v>
      </c>
      <c r="AF25" s="324">
        <f>'FEEDER Consumption '!DA25</f>
        <v>500</v>
      </c>
      <c r="AG25" s="324">
        <f>'FEEDER Consumption '!DF25</f>
        <v>810</v>
      </c>
      <c r="AH25" s="324">
        <f>'FEEDER Consumption '!DK25</f>
        <v>790</v>
      </c>
      <c r="AI25" s="324">
        <f>'FEEDER Consumption '!DP25</f>
        <v>220</v>
      </c>
      <c r="AJ25" s="324">
        <f>'FEEDER Consumption '!DU25</f>
        <v>188</v>
      </c>
      <c r="AK25" s="324">
        <f>'FEEDER Consumption '!DZ25</f>
        <v>490</v>
      </c>
      <c r="AL25" s="324">
        <f>'FEEDER Consumption '!EE25</f>
        <v>230</v>
      </c>
      <c r="AM25" s="324">
        <f>'FEEDER Consumption '!EJ25</f>
        <v>380</v>
      </c>
      <c r="AN25" s="325">
        <f>'FEEDER Consumption '!EO25</f>
        <v>360</v>
      </c>
      <c r="AO25" s="326">
        <f>SUM(WATER!C26+WATER!H26+WATER!M26+WATER!R26)</f>
        <v>1011239</v>
      </c>
      <c r="AP25" s="327">
        <f t="shared" si="2"/>
        <v>424</v>
      </c>
      <c r="AQ25" s="327">
        <f>[1]WATER!D26</f>
        <v>0</v>
      </c>
      <c r="AR25" s="327">
        <f>[1]WATER!I26</f>
        <v>0</v>
      </c>
      <c r="AS25" s="327">
        <f>[1]WATER!N26</f>
        <v>177</v>
      </c>
      <c r="AT25" s="327">
        <f>[1]WATER!S26</f>
        <v>151</v>
      </c>
      <c r="AU25" s="327">
        <f>[1]WATER!AD26</f>
        <v>11</v>
      </c>
      <c r="AV25" s="327">
        <f>[1]WATER!AI26</f>
        <v>0</v>
      </c>
      <c r="AW25" s="327">
        <f>[1]WATER!AN26</f>
        <v>0</v>
      </c>
      <c r="AX25" s="327">
        <f>[1]WATER!AS26</f>
        <v>0</v>
      </c>
      <c r="AY25" s="327">
        <f>[1]WATER!AX26</f>
        <v>0</v>
      </c>
      <c r="AZ25" s="327">
        <f>[1]WATER!BC26</f>
        <v>0</v>
      </c>
      <c r="BA25" s="327">
        <f>[1]WATER!BH26</f>
        <v>0</v>
      </c>
      <c r="BB25" s="327">
        <f>[1]WATER!BM26</f>
        <v>0</v>
      </c>
      <c r="BC25" s="327">
        <f>[1]WATER!BR26</f>
        <v>0</v>
      </c>
      <c r="BD25" s="327">
        <f>[1]WATER!BW26</f>
        <v>0</v>
      </c>
      <c r="BE25" s="327">
        <f>[1]WATER!CB26</f>
        <v>0</v>
      </c>
      <c r="BF25" s="327">
        <f>[1]WATER!CG26</f>
        <v>0</v>
      </c>
      <c r="BG25" s="327">
        <f>[1]WATER!CL26</f>
        <v>0</v>
      </c>
      <c r="BH25" s="327">
        <f>[1]WATER!CQ26</f>
        <v>0</v>
      </c>
      <c r="BI25" s="327">
        <f>[1]WATER!CV26</f>
        <v>0</v>
      </c>
      <c r="BJ25" s="327">
        <f>[1]WATER!DA26</f>
        <v>0</v>
      </c>
      <c r="BK25" s="327">
        <f>[1]WATER!DF26</f>
        <v>0</v>
      </c>
      <c r="BL25" s="327">
        <f>[1]WATER!DK26</f>
        <v>0</v>
      </c>
      <c r="BM25" s="327">
        <f>[1]WATER!DP26</f>
        <v>0</v>
      </c>
      <c r="BN25" s="327">
        <f>[1]WATER!DU26</f>
        <v>0</v>
      </c>
      <c r="BO25" s="327">
        <f>[1]WATER!DZ26</f>
        <v>0</v>
      </c>
      <c r="BP25" s="188">
        <f>'[1]Room Nights and Food Covers'!B25</f>
        <v>28.2</v>
      </c>
      <c r="BQ25" s="188">
        <f>'[1]Room Nights and Food Covers'!C25</f>
        <v>260</v>
      </c>
    </row>
    <row r="26" spans="1:76" ht="45" customHeight="1" x14ac:dyDescent="0.25">
      <c r="A26" s="189">
        <f t="shared" si="0"/>
        <v>44491</v>
      </c>
      <c r="B26" s="335"/>
      <c r="C26" s="401">
        <f>SUM('GENSET #1'!C31+'GENSET #2'!C31+'GENSET #3'!C31+'GENSET #4'!C31+'GENSET #5'!C31)</f>
        <v>94207295</v>
      </c>
      <c r="D26" s="324">
        <f t="shared" si="4"/>
        <v>25334</v>
      </c>
      <c r="E26" s="401">
        <f>'Gas-2'!G27</f>
        <v>225</v>
      </c>
      <c r="F26" s="324" t="str">
        <f t="shared" si="3"/>
        <v>0</v>
      </c>
      <c r="G26" s="324">
        <f>'GENSET #1'!D31</f>
        <v>1299</v>
      </c>
      <c r="H26" s="324">
        <f>'GENSET #2'!D31</f>
        <v>14689</v>
      </c>
      <c r="I26" s="324">
        <f>'GENSET #3'!D31</f>
        <v>1223</v>
      </c>
      <c r="J26" s="324">
        <f>'GENSET #4'!D31</f>
        <v>1052</v>
      </c>
      <c r="K26" s="324">
        <f>'GENSET #5'!D31</f>
        <v>7071</v>
      </c>
      <c r="L26" s="324">
        <f>'FEEDER Consumption '!E26</f>
        <v>2455</v>
      </c>
      <c r="M26" s="324">
        <f>'FEEDER Consumption '!J26</f>
        <v>4099</v>
      </c>
      <c r="N26" s="324">
        <f>'FEEDER Consumption '!O26</f>
        <v>12982</v>
      </c>
      <c r="O26" s="324">
        <f>'FEEDER Consumption '!T26</f>
        <v>1800</v>
      </c>
      <c r="P26" s="324">
        <f>'FEEDER Consumption '!Y26</f>
        <v>2688</v>
      </c>
      <c r="Q26" s="324">
        <f>'FEEDER Consumption '!AD26</f>
        <v>1700</v>
      </c>
      <c r="R26" s="324">
        <f>'FEEDER Consumption '!AI26</f>
        <v>821</v>
      </c>
      <c r="S26" s="324">
        <f>'FEEDER Consumption '!AN26</f>
        <v>610</v>
      </c>
      <c r="T26" s="324">
        <f>'FEEDER Consumption '!AS26</f>
        <v>1800</v>
      </c>
      <c r="U26" s="324">
        <f>'FEEDER Consumption '!AX26</f>
        <v>356</v>
      </c>
      <c r="V26" s="324">
        <f>'FEEDER Consumption '!BH26</f>
        <v>810</v>
      </c>
      <c r="W26" s="324">
        <f>'FEEDER Consumption '!BH26</f>
        <v>810</v>
      </c>
      <c r="X26" s="324">
        <f>'FEEDER Consumption '!BM26</f>
        <v>1000</v>
      </c>
      <c r="Y26" s="324">
        <f>'FEEDER Consumption '!BR26</f>
        <v>139</v>
      </c>
      <c r="Z26" s="324">
        <f>'FEEDER Consumption '!BW26</f>
        <v>440</v>
      </c>
      <c r="AA26" s="324">
        <f>'FEEDER Consumption '!CB26</f>
        <v>1150</v>
      </c>
      <c r="AB26" s="324">
        <f>'FEEDER Consumption '!CG26</f>
        <v>380</v>
      </c>
      <c r="AC26" s="324">
        <f>'FEEDER Consumption '!CL26</f>
        <v>1810</v>
      </c>
      <c r="AD26" s="324">
        <f>'FEEDER Consumption '!CQ26</f>
        <v>1120</v>
      </c>
      <c r="AE26" s="324">
        <f>'FEEDER Consumption '!CV26</f>
        <v>1030</v>
      </c>
      <c r="AF26" s="324">
        <f>'FEEDER Consumption '!DA26</f>
        <v>1150</v>
      </c>
      <c r="AG26" s="324">
        <f>'FEEDER Consumption '!DF26</f>
        <v>870</v>
      </c>
      <c r="AH26" s="324">
        <f>'FEEDER Consumption '!DK26</f>
        <v>700</v>
      </c>
      <c r="AI26" s="324">
        <f>'FEEDER Consumption '!DP26</f>
        <v>180</v>
      </c>
      <c r="AJ26" s="324">
        <f>'FEEDER Consumption '!DU26</f>
        <v>116</v>
      </c>
      <c r="AK26" s="324">
        <f>'FEEDER Consumption '!DZ26</f>
        <v>880</v>
      </c>
      <c r="AL26" s="324">
        <f>'FEEDER Consumption '!EE26</f>
        <v>280</v>
      </c>
      <c r="AM26" s="324">
        <f>'FEEDER Consumption '!EJ26</f>
        <v>220</v>
      </c>
      <c r="AN26" s="325">
        <f>'FEEDER Consumption '!EO26</f>
        <v>380</v>
      </c>
      <c r="AO26" s="326">
        <f>SUM(WATER!C27+WATER!H27+WATER!M27+WATER!R27)</f>
        <v>1011659</v>
      </c>
      <c r="AP26" s="327">
        <f t="shared" si="2"/>
        <v>420</v>
      </c>
      <c r="AQ26" s="327">
        <f>[1]WATER!D27</f>
        <v>0</v>
      </c>
      <c r="AR26" s="327">
        <f>[1]WATER!I27</f>
        <v>0</v>
      </c>
      <c r="AS26" s="327">
        <f>[1]WATER!N27</f>
        <v>188</v>
      </c>
      <c r="AT26" s="327">
        <f>[1]WATER!S27</f>
        <v>166</v>
      </c>
      <c r="AU26" s="327">
        <f>[1]WATER!AD27</f>
        <v>28</v>
      </c>
      <c r="AV26" s="327">
        <f>[1]WATER!AI27</f>
        <v>17</v>
      </c>
      <c r="AW26" s="327">
        <f>[1]WATER!AN27</f>
        <v>16</v>
      </c>
      <c r="AX26" s="327">
        <f>[1]WATER!AS27</f>
        <v>2</v>
      </c>
      <c r="AY26" s="327">
        <f>[1]WATER!AX27</f>
        <v>14</v>
      </c>
      <c r="AZ26" s="327">
        <f>[1]WATER!BC27</f>
        <v>13</v>
      </c>
      <c r="BA26" s="327">
        <f>[1]WATER!BH27</f>
        <v>17</v>
      </c>
      <c r="BB26" s="327">
        <f>[1]WATER!BM27</f>
        <v>-85</v>
      </c>
      <c r="BC26" s="327">
        <f>[1]WATER!BR27</f>
        <v>3</v>
      </c>
      <c r="BD26" s="327">
        <f>[1]WATER!BW27</f>
        <v>0</v>
      </c>
      <c r="BE26" s="327">
        <f>[1]WATER!CB27</f>
        <v>11</v>
      </c>
      <c r="BF26" s="327">
        <f>[1]WATER!CG27</f>
        <v>5</v>
      </c>
      <c r="BG26" s="327">
        <f>[1]WATER!CL27</f>
        <v>78</v>
      </c>
      <c r="BH26" s="327">
        <f>[1]WATER!CQ27</f>
        <v>17</v>
      </c>
      <c r="BI26" s="327">
        <f>[1]WATER!CV27</f>
        <v>1</v>
      </c>
      <c r="BJ26" s="327">
        <f>[1]WATER!DA27</f>
        <v>1</v>
      </c>
      <c r="BK26" s="327">
        <f>[1]WATER!DF27</f>
        <v>4</v>
      </c>
      <c r="BL26" s="327">
        <f>[1]WATER!DK27</f>
        <v>3</v>
      </c>
      <c r="BM26" s="327">
        <f>[1]WATER!DP27</f>
        <v>348</v>
      </c>
      <c r="BN26" s="327">
        <f>[1]WATER!DU27</f>
        <v>2</v>
      </c>
      <c r="BO26" s="327">
        <f>[1]WATER!DZ27</f>
        <v>1</v>
      </c>
      <c r="BP26" s="188">
        <f>'[1]Room Nights and Food Covers'!B26</f>
        <v>37.9</v>
      </c>
      <c r="BQ26" s="188">
        <f>'[1]Room Nights and Food Covers'!C26</f>
        <v>355</v>
      </c>
    </row>
    <row r="27" spans="1:76" ht="45" customHeight="1" x14ac:dyDescent="0.25">
      <c r="A27" s="189">
        <f t="shared" si="0"/>
        <v>44492</v>
      </c>
      <c r="B27" s="335"/>
      <c r="C27" s="401">
        <f>SUM('GENSET #1'!C32+'GENSET #2'!C32+'GENSET #3'!C32+'GENSET #4'!C32+'GENSET #5'!C32)</f>
        <v>94233358</v>
      </c>
      <c r="D27" s="324">
        <f t="shared" si="4"/>
        <v>26063</v>
      </c>
      <c r="E27" s="401">
        <f>'Gas-2'!G28</f>
        <v>270</v>
      </c>
      <c r="F27" s="324">
        <f t="shared" si="3"/>
        <v>45</v>
      </c>
      <c r="G27" s="324">
        <f>'GENSET #1'!D32</f>
        <v>6411</v>
      </c>
      <c r="H27" s="324">
        <f>'GENSET #2'!D32</f>
        <v>8042</v>
      </c>
      <c r="I27" s="324">
        <f>'GENSET #3'!D32</f>
        <v>5746</v>
      </c>
      <c r="J27" s="324">
        <f>'GENSET #4'!D32</f>
        <v>951</v>
      </c>
      <c r="K27" s="324">
        <f>'GENSET #5'!D32</f>
        <v>4913</v>
      </c>
      <c r="L27" s="324">
        <f>'FEEDER Consumption '!E27</f>
        <v>2512</v>
      </c>
      <c r="M27" s="324">
        <f>'FEEDER Consumption '!J27</f>
        <v>4549</v>
      </c>
      <c r="N27" s="324">
        <f>'FEEDER Consumption '!O27</f>
        <v>13268</v>
      </c>
      <c r="O27" s="324">
        <f>'FEEDER Consumption '!T27</f>
        <v>1800</v>
      </c>
      <c r="P27" s="324">
        <f>'FEEDER Consumption '!Y27</f>
        <v>2833</v>
      </c>
      <c r="Q27" s="324">
        <f>'FEEDER Consumption '!AD27</f>
        <v>1900</v>
      </c>
      <c r="R27" s="324">
        <f>'FEEDER Consumption '!AI27</f>
        <v>770</v>
      </c>
      <c r="S27" s="324">
        <f>'FEEDER Consumption '!AN27</f>
        <v>610</v>
      </c>
      <c r="T27" s="324">
        <f>'FEEDER Consumption '!AS27</f>
        <v>1900</v>
      </c>
      <c r="U27" s="324">
        <f>'FEEDER Consumption '!AX27</f>
        <v>402</v>
      </c>
      <c r="V27" s="324">
        <f>'FEEDER Consumption '!BH27</f>
        <v>790</v>
      </c>
      <c r="W27" s="324">
        <f>'FEEDER Consumption '!BH27</f>
        <v>790</v>
      </c>
      <c r="X27" s="324">
        <f>'FEEDER Consumption '!BM27</f>
        <v>1000</v>
      </c>
      <c r="Y27" s="324">
        <f>'FEEDER Consumption '!BR27</f>
        <v>133</v>
      </c>
      <c r="Z27" s="324">
        <f>'FEEDER Consumption '!BW27</f>
        <v>460</v>
      </c>
      <c r="AA27" s="324">
        <f>'FEEDER Consumption '!CB27</f>
        <v>1200</v>
      </c>
      <c r="AB27" s="324">
        <f>'FEEDER Consumption '!CG27</f>
        <v>530</v>
      </c>
      <c r="AC27" s="324">
        <f>'FEEDER Consumption '!CL27</f>
        <v>1150</v>
      </c>
      <c r="AD27" s="324">
        <f>'FEEDER Consumption '!CQ27</f>
        <v>760</v>
      </c>
      <c r="AE27" s="324">
        <f>'FEEDER Consumption '!CV27</f>
        <v>710</v>
      </c>
      <c r="AF27" s="324">
        <f>'FEEDER Consumption '!DA27</f>
        <v>960</v>
      </c>
      <c r="AG27" s="324">
        <f>'FEEDER Consumption '!DF27</f>
        <v>840</v>
      </c>
      <c r="AH27" s="324">
        <f>'FEEDER Consumption '!DK27</f>
        <v>860</v>
      </c>
      <c r="AI27" s="324">
        <f>'FEEDER Consumption '!DP27</f>
        <v>200</v>
      </c>
      <c r="AJ27" s="324">
        <f>'FEEDER Consumption '!DU27</f>
        <v>147</v>
      </c>
      <c r="AK27" s="324">
        <f>'FEEDER Consumption '!DZ27</f>
        <v>660</v>
      </c>
      <c r="AL27" s="324">
        <f>'FEEDER Consumption '!EE27</f>
        <v>230</v>
      </c>
      <c r="AM27" s="324">
        <f>'FEEDER Consumption '!EJ27</f>
        <v>290</v>
      </c>
      <c r="AN27" s="325">
        <f>'FEEDER Consumption '!EO27</f>
        <v>410</v>
      </c>
      <c r="AO27" s="326">
        <f>SUM(WATER!C28+WATER!H28+WATER!M28+WATER!R28)</f>
        <v>1011991</v>
      </c>
      <c r="AP27" s="327">
        <f t="shared" si="2"/>
        <v>332</v>
      </c>
      <c r="AQ27" s="327">
        <f>[1]WATER!D28</f>
        <v>0</v>
      </c>
      <c r="AR27" s="327">
        <f>[1]WATER!I28</f>
        <v>0</v>
      </c>
      <c r="AS27" s="327">
        <f>[1]WATER!N28</f>
        <v>156</v>
      </c>
      <c r="AT27" s="327">
        <f>[1]WATER!S28</f>
        <v>119</v>
      </c>
      <c r="AU27" s="327">
        <f>[1]WATER!AD28</f>
        <v>30</v>
      </c>
      <c r="AV27" s="327">
        <f>[1]WATER!AI28</f>
        <v>6</v>
      </c>
      <c r="AW27" s="327">
        <f>[1]WATER!AN28</f>
        <v>0</v>
      </c>
      <c r="AX27" s="327">
        <f>[1]WATER!AS28</f>
        <v>14</v>
      </c>
      <c r="AY27" s="327">
        <f>[1]WATER!AX28</f>
        <v>8</v>
      </c>
      <c r="AZ27" s="327">
        <f>[1]WATER!BC28</f>
        <v>6</v>
      </c>
      <c r="BA27" s="327">
        <f>[1]WATER!BH28</f>
        <v>7</v>
      </c>
      <c r="BB27" s="327">
        <f>[1]WATER!BM28</f>
        <v>0</v>
      </c>
      <c r="BC27" s="327">
        <f>[1]WATER!BR28</f>
        <v>2</v>
      </c>
      <c r="BD27" s="327">
        <f>[1]WATER!BW28</f>
        <v>1</v>
      </c>
      <c r="BE27" s="327">
        <f>[1]WATER!CB28</f>
        <v>6</v>
      </c>
      <c r="BF27" s="327">
        <f>[1]WATER!CG28</f>
        <v>1</v>
      </c>
      <c r="BG27" s="327">
        <f>[1]WATER!CL28</f>
        <v>26</v>
      </c>
      <c r="BH27" s="327">
        <f>[1]WATER!CQ28</f>
        <v>5</v>
      </c>
      <c r="BI27" s="327">
        <f>[1]WATER!CV28</f>
        <v>1</v>
      </c>
      <c r="BJ27" s="327">
        <f>[1]WATER!DA28</f>
        <v>1</v>
      </c>
      <c r="BK27" s="327">
        <f>[1]WATER!DF28</f>
        <v>2</v>
      </c>
      <c r="BL27" s="327">
        <f>[1]WATER!DK28</f>
        <v>4</v>
      </c>
      <c r="BM27" s="327">
        <f>[1]WATER!DP28</f>
        <v>0</v>
      </c>
      <c r="BN27" s="327">
        <f>[1]WATER!DU28</f>
        <v>1</v>
      </c>
      <c r="BO27" s="327">
        <f>[1]WATER!DZ28</f>
        <v>1</v>
      </c>
      <c r="BP27" s="188">
        <f>'[1]Room Nights and Food Covers'!B27</f>
        <v>36.9</v>
      </c>
      <c r="BQ27" s="188">
        <f>'[1]Room Nights and Food Covers'!C27</f>
        <v>323</v>
      </c>
    </row>
    <row r="28" spans="1:76" ht="45" customHeight="1" x14ac:dyDescent="0.25">
      <c r="A28" s="189">
        <f t="shared" si="0"/>
        <v>44493</v>
      </c>
      <c r="B28" s="335"/>
      <c r="C28" s="401">
        <f>SUM('GENSET #1'!C33+'GENSET #2'!C33+'GENSET #3'!C33+'GENSET #4'!C33+'GENSET #5'!C33)</f>
        <v>94259674</v>
      </c>
      <c r="D28" s="324">
        <f t="shared" si="4"/>
        <v>26316</v>
      </c>
      <c r="E28" s="401">
        <f>'Gas-2'!G29</f>
        <v>225</v>
      </c>
      <c r="F28" s="324" t="str">
        <f t="shared" si="3"/>
        <v>0</v>
      </c>
      <c r="G28" s="324">
        <f>'GENSET #1'!D33</f>
        <v>4989</v>
      </c>
      <c r="H28" s="324">
        <f>'GENSET #2'!D33</f>
        <v>10318</v>
      </c>
      <c r="I28" s="324">
        <f>'GENSET #3'!D33</f>
        <v>2409</v>
      </c>
      <c r="J28" s="324">
        <f>'GENSET #4'!D33</f>
        <v>3427</v>
      </c>
      <c r="K28" s="324">
        <f>'GENSET #5'!D33</f>
        <v>5173</v>
      </c>
      <c r="L28" s="324">
        <f>'FEEDER Consumption '!E28</f>
        <v>2611</v>
      </c>
      <c r="M28" s="324">
        <f>'FEEDER Consumption '!J28</f>
        <v>4538</v>
      </c>
      <c r="N28" s="324">
        <f>'FEEDER Consumption '!O28</f>
        <v>13343</v>
      </c>
      <c r="O28" s="324">
        <f>'FEEDER Consumption '!T28</f>
        <v>1700</v>
      </c>
      <c r="P28" s="324">
        <f>'FEEDER Consumption '!Y28</f>
        <v>2854</v>
      </c>
      <c r="Q28" s="324">
        <f>'FEEDER Consumption '!AD28</f>
        <v>2000</v>
      </c>
      <c r="R28" s="324">
        <f>'FEEDER Consumption '!AI28</f>
        <v>748</v>
      </c>
      <c r="S28" s="324">
        <f>'FEEDER Consumption '!AN28</f>
        <v>650</v>
      </c>
      <c r="T28" s="324">
        <f>'FEEDER Consumption '!AS28</f>
        <v>1700</v>
      </c>
      <c r="U28" s="324">
        <f>'FEEDER Consumption '!AX28</f>
        <v>377</v>
      </c>
      <c r="V28" s="324">
        <f>'FEEDER Consumption '!BH28</f>
        <v>770</v>
      </c>
      <c r="W28" s="324">
        <f>'FEEDER Consumption '!BH28</f>
        <v>770</v>
      </c>
      <c r="X28" s="324">
        <f>'FEEDER Consumption '!BM28</f>
        <v>1100</v>
      </c>
      <c r="Y28" s="324">
        <f>'FEEDER Consumption '!BR28</f>
        <v>148</v>
      </c>
      <c r="Z28" s="324">
        <f>'FEEDER Consumption '!BW28</f>
        <v>450</v>
      </c>
      <c r="AA28" s="324">
        <f>'FEEDER Consumption '!CB28</f>
        <v>1200</v>
      </c>
      <c r="AB28" s="324">
        <f>'FEEDER Consumption '!CG28</f>
        <v>440</v>
      </c>
      <c r="AC28" s="324">
        <f>'FEEDER Consumption '!CL28</f>
        <v>1020</v>
      </c>
      <c r="AD28" s="324">
        <f>'FEEDER Consumption '!CQ28</f>
        <v>830</v>
      </c>
      <c r="AE28" s="324">
        <f>'FEEDER Consumption '!CV28</f>
        <v>770</v>
      </c>
      <c r="AF28" s="324">
        <f>'FEEDER Consumption '!DA28</f>
        <v>1050</v>
      </c>
      <c r="AG28" s="324">
        <f>'FEEDER Consumption '!DF28</f>
        <v>860</v>
      </c>
      <c r="AH28" s="324">
        <f>'FEEDER Consumption '!DK28</f>
        <v>880</v>
      </c>
      <c r="AI28" s="324">
        <f>'FEEDER Consumption '!DP28</f>
        <v>180</v>
      </c>
      <c r="AJ28" s="324">
        <f>'FEEDER Consumption '!DU28</f>
        <v>138</v>
      </c>
      <c r="AK28" s="324">
        <f>'FEEDER Consumption '!DZ28</f>
        <v>740</v>
      </c>
      <c r="AL28" s="324">
        <f>'FEEDER Consumption '!EE28</f>
        <v>240</v>
      </c>
      <c r="AM28" s="324">
        <f>'FEEDER Consumption '!EJ28</f>
        <v>390</v>
      </c>
      <c r="AN28" s="325">
        <f>'FEEDER Consumption '!EO28</f>
        <v>880</v>
      </c>
      <c r="AO28" s="326">
        <f>SUM(WATER!C29+WATER!H29+WATER!M29+WATER!R29)</f>
        <v>1012420</v>
      </c>
      <c r="AP28" s="327">
        <f t="shared" si="2"/>
        <v>429</v>
      </c>
      <c r="AQ28" s="327">
        <f>[1]WATER!D29</f>
        <v>0</v>
      </c>
      <c r="AR28" s="327">
        <f>[1]WATER!I29</f>
        <v>0</v>
      </c>
      <c r="AS28" s="327">
        <f>[1]WATER!N29</f>
        <v>112</v>
      </c>
      <c r="AT28" s="327">
        <f>[1]WATER!S29</f>
        <v>127</v>
      </c>
      <c r="AU28" s="327">
        <f>[1]WATER!AD29</f>
        <v>13</v>
      </c>
      <c r="AV28" s="327">
        <f>[1]WATER!AI29</f>
        <v>6</v>
      </c>
      <c r="AW28" s="327">
        <f>[1]WATER!AN29</f>
        <v>16</v>
      </c>
      <c r="AX28" s="327">
        <f>[1]WATER!AS29</f>
        <v>8</v>
      </c>
      <c r="AY28" s="327">
        <f>[1]WATER!AX29</f>
        <v>5</v>
      </c>
      <c r="AZ28" s="327">
        <f>[1]WATER!BC29</f>
        <v>7</v>
      </c>
      <c r="BA28" s="327">
        <f>[1]WATER!BH29</f>
        <v>7</v>
      </c>
      <c r="BB28" s="327">
        <f>[1]WATER!BM29</f>
        <v>15</v>
      </c>
      <c r="BC28" s="327">
        <f>[1]WATER!BR29</f>
        <v>2</v>
      </c>
      <c r="BD28" s="327">
        <f>[1]WATER!BW29</f>
        <v>0</v>
      </c>
      <c r="BE28" s="327">
        <f>[1]WATER!CB29</f>
        <v>2</v>
      </c>
      <c r="BF28" s="327">
        <f>[1]WATER!CG29</f>
        <v>5</v>
      </c>
      <c r="BG28" s="327">
        <f>[1]WATER!CL29</f>
        <v>26</v>
      </c>
      <c r="BH28" s="327">
        <f>[1]WATER!CQ29</f>
        <v>10</v>
      </c>
      <c r="BI28" s="327">
        <f>[1]WATER!CV29</f>
        <v>1</v>
      </c>
      <c r="BJ28" s="327">
        <f>[1]WATER!DA29</f>
        <v>0</v>
      </c>
      <c r="BK28" s="327">
        <f>[1]WATER!DF29</f>
        <v>4</v>
      </c>
      <c r="BL28" s="327">
        <f>[1]WATER!DK29</f>
        <v>2</v>
      </c>
      <c r="BM28" s="327">
        <f>[1]WATER!DP29</f>
        <v>0</v>
      </c>
      <c r="BN28" s="327">
        <f>[1]WATER!DU29</f>
        <v>2</v>
      </c>
      <c r="BO28" s="327">
        <f>[1]WATER!DZ29</f>
        <v>1</v>
      </c>
      <c r="BP28" s="188">
        <f>'[1]Room Nights and Food Covers'!B28</f>
        <v>38.799999999999997</v>
      </c>
      <c r="BQ28" s="188">
        <f>'[1]Room Nights and Food Covers'!C28</f>
        <v>354</v>
      </c>
    </row>
    <row r="29" spans="1:76" ht="45" customHeight="1" x14ac:dyDescent="0.25">
      <c r="A29" s="189">
        <f t="shared" si="0"/>
        <v>44494</v>
      </c>
      <c r="B29" s="335"/>
      <c r="C29" s="401">
        <f>SUM('GENSET #1'!C34+'GENSET #2'!C34+'GENSET #3'!C34+'GENSET #4'!C34+'GENSET #5'!C34)</f>
        <v>94286266</v>
      </c>
      <c r="D29" s="324">
        <f t="shared" si="4"/>
        <v>26592</v>
      </c>
      <c r="E29" s="401">
        <f>'Gas-2'!G30</f>
        <v>225</v>
      </c>
      <c r="F29" s="324">
        <f t="shared" si="3"/>
        <v>0</v>
      </c>
      <c r="G29" s="324">
        <f>'GENSET #1'!D34</f>
        <v>8315</v>
      </c>
      <c r="H29" s="324">
        <f>'GENSET #2'!D34</f>
        <v>5379</v>
      </c>
      <c r="I29" s="324">
        <f>'GENSET #3'!D34</f>
        <v>0</v>
      </c>
      <c r="J29" s="324">
        <f>'GENSET #4'!D34</f>
        <v>4569</v>
      </c>
      <c r="K29" s="324">
        <f>'GENSET #5'!D34</f>
        <v>8329</v>
      </c>
      <c r="L29" s="324">
        <f>'FEEDER Consumption '!E29</f>
        <v>2524</v>
      </c>
      <c r="M29" s="324">
        <f>'FEEDER Consumption '!J29</f>
        <v>3983</v>
      </c>
      <c r="N29" s="324">
        <f>'FEEDER Consumption '!O29</f>
        <v>14335</v>
      </c>
      <c r="O29" s="324">
        <f>'FEEDER Consumption '!T29</f>
        <v>1800</v>
      </c>
      <c r="P29" s="324">
        <f>'FEEDER Consumption '!Y29</f>
        <v>2778</v>
      </c>
      <c r="Q29" s="324">
        <f>'FEEDER Consumption '!AD29</f>
        <v>2000</v>
      </c>
      <c r="R29" s="324">
        <f>'FEEDER Consumption '!AI29</f>
        <v>794</v>
      </c>
      <c r="S29" s="324">
        <f>'FEEDER Consumption '!AN29</f>
        <v>600</v>
      </c>
      <c r="T29" s="324">
        <f>'FEEDER Consumption '!AS29</f>
        <v>2000</v>
      </c>
      <c r="U29" s="324">
        <f>'FEEDER Consumption '!AX29</f>
        <v>427</v>
      </c>
      <c r="V29" s="324">
        <f>'FEEDER Consumption '!BH29</f>
        <v>840</v>
      </c>
      <c r="W29" s="324">
        <f>'FEEDER Consumption '!BH29</f>
        <v>840</v>
      </c>
      <c r="X29" s="324">
        <f>'FEEDER Consumption '!BM29</f>
        <v>1100</v>
      </c>
      <c r="Y29" s="324">
        <f>'FEEDER Consumption '!BR29</f>
        <v>147</v>
      </c>
      <c r="Z29" s="324">
        <f>'FEEDER Consumption '!BW29</f>
        <v>550</v>
      </c>
      <c r="AA29" s="324">
        <f>'FEEDER Consumption '!CB29</f>
        <v>1220</v>
      </c>
      <c r="AB29" s="324">
        <f>'FEEDER Consumption '!CG29</f>
        <v>500</v>
      </c>
      <c r="AC29" s="324">
        <f>'FEEDER Consumption '!CL29</f>
        <v>880</v>
      </c>
      <c r="AD29" s="324">
        <f>'FEEDER Consumption '!CQ29</f>
        <v>690</v>
      </c>
      <c r="AE29" s="324">
        <f>'FEEDER Consumption '!CV29</f>
        <v>610</v>
      </c>
      <c r="AF29" s="324">
        <f>'FEEDER Consumption '!DA29</f>
        <v>900</v>
      </c>
      <c r="AG29" s="324">
        <f>'FEEDER Consumption '!DF29</f>
        <v>640</v>
      </c>
      <c r="AH29" s="324">
        <f>'FEEDER Consumption '!DK29</f>
        <v>740</v>
      </c>
      <c r="AI29" s="324">
        <f>'FEEDER Consumption '!DP29</f>
        <v>170</v>
      </c>
      <c r="AJ29" s="324">
        <f>'FEEDER Consumption '!DU29</f>
        <v>137</v>
      </c>
      <c r="AK29" s="324">
        <f>'FEEDER Consumption '!DZ29</f>
        <v>650</v>
      </c>
      <c r="AL29" s="324">
        <f>'FEEDER Consumption '!EE29</f>
        <v>240</v>
      </c>
      <c r="AM29" s="324">
        <f>'FEEDER Consumption '!EJ29</f>
        <v>410</v>
      </c>
      <c r="AN29" s="325">
        <f>'FEEDER Consumption '!EO29</f>
        <v>550</v>
      </c>
      <c r="AO29" s="326">
        <f>SUM(WATER!C30+WATER!H30+WATER!M30+WATER!R30)</f>
        <v>1012843</v>
      </c>
      <c r="AP29" s="327">
        <f t="shared" si="2"/>
        <v>423</v>
      </c>
      <c r="AQ29" s="327">
        <f>[1]WATER!D30</f>
        <v>178</v>
      </c>
      <c r="AR29" s="327">
        <f>[1]WATER!I30</f>
        <v>0</v>
      </c>
      <c r="AS29" s="327">
        <f>[1]WATER!N30</f>
        <v>46</v>
      </c>
      <c r="AT29" s="327">
        <f>[1]WATER!S30</f>
        <v>121</v>
      </c>
      <c r="AU29" s="327">
        <f>[1]WATER!AD30</f>
        <v>24</v>
      </c>
      <c r="AV29" s="327">
        <f>[1]WATER!AI30</f>
        <v>6</v>
      </c>
      <c r="AW29" s="327">
        <f>[1]WATER!AN30</f>
        <v>9</v>
      </c>
      <c r="AX29" s="327">
        <f>[1]WATER!AS30</f>
        <v>10</v>
      </c>
      <c r="AY29" s="327">
        <f>[1]WATER!AX30</f>
        <v>7</v>
      </c>
      <c r="AZ29" s="327">
        <f>[1]WATER!BC30</f>
        <v>7</v>
      </c>
      <c r="BA29" s="327">
        <f>[1]WATER!BH30</f>
        <v>9</v>
      </c>
      <c r="BB29" s="327">
        <f>[1]WATER!BM30</f>
        <v>108</v>
      </c>
      <c r="BC29" s="327">
        <f>[1]WATER!BR30</f>
        <v>0</v>
      </c>
      <c r="BD29" s="327">
        <f>[1]WATER!BW30</f>
        <v>0</v>
      </c>
      <c r="BE29" s="327">
        <f>[1]WATER!CB30</f>
        <v>0</v>
      </c>
      <c r="BF29" s="327">
        <f>[1]WATER!CG30</f>
        <v>5</v>
      </c>
      <c r="BG29" s="327">
        <f>[1]WATER!CL30</f>
        <v>28</v>
      </c>
      <c r="BH29" s="327">
        <f>[1]WATER!CQ30</f>
        <v>68</v>
      </c>
      <c r="BI29" s="327">
        <f>[1]WATER!CV30</f>
        <v>0</v>
      </c>
      <c r="BJ29" s="327">
        <f>[1]WATER!DA30</f>
        <v>1</v>
      </c>
      <c r="BK29" s="327">
        <f>[1]WATER!DF30</f>
        <v>4</v>
      </c>
      <c r="BL29" s="327">
        <f>[1]WATER!DK30</f>
        <v>3</v>
      </c>
      <c r="BM29" s="327">
        <f>[1]WATER!DP30</f>
        <v>-230</v>
      </c>
      <c r="BN29" s="327">
        <f>[1]WATER!DU30</f>
        <v>1</v>
      </c>
      <c r="BO29" s="327">
        <f>[1]WATER!DZ30</f>
        <v>1</v>
      </c>
      <c r="BP29" s="188">
        <f>'[1]Room Nights and Food Covers'!B29</f>
        <v>43.7</v>
      </c>
      <c r="BQ29" s="188">
        <f>'[1]Room Nights and Food Covers'!C29</f>
        <v>390</v>
      </c>
    </row>
    <row r="30" spans="1:76" ht="45" customHeight="1" x14ac:dyDescent="0.25">
      <c r="A30" s="189">
        <f t="shared" si="0"/>
        <v>44495</v>
      </c>
      <c r="B30" s="335"/>
      <c r="C30" s="401">
        <f>SUM('GENSET #1'!C35+'GENSET #2'!C35+'GENSET #3'!C35+'GENSET #4'!C35+'GENSET #5'!C35)</f>
        <v>94312231</v>
      </c>
      <c r="D30" s="324">
        <f t="shared" si="4"/>
        <v>25965</v>
      </c>
      <c r="E30" s="401">
        <f>'Gas-2'!G31</f>
        <v>225</v>
      </c>
      <c r="F30" s="324">
        <f t="shared" si="3"/>
        <v>0</v>
      </c>
      <c r="G30" s="324">
        <f>'GENSET #1'!D35</f>
        <v>141</v>
      </c>
      <c r="H30" s="324">
        <f>'GENSET #2'!D35</f>
        <v>12905</v>
      </c>
      <c r="I30" s="324">
        <f>'GENSET #3'!D35</f>
        <v>5863</v>
      </c>
      <c r="J30" s="324">
        <f>'GENSET #4'!D35</f>
        <v>3398</v>
      </c>
      <c r="K30" s="324">
        <f>'GENSET #5'!D35</f>
        <v>3658</v>
      </c>
      <c r="L30" s="324">
        <f>'FEEDER Consumption '!E30</f>
        <v>2537</v>
      </c>
      <c r="M30" s="324">
        <f>'FEEDER Consumption '!J30</f>
        <v>3918</v>
      </c>
      <c r="N30" s="324">
        <f>'FEEDER Consumption '!O30</f>
        <v>13824</v>
      </c>
      <c r="O30" s="324">
        <f>'FEEDER Consumption '!T30</f>
        <v>1800</v>
      </c>
      <c r="P30" s="324">
        <f>'FEEDER Consumption '!Y30</f>
        <v>2738</v>
      </c>
      <c r="Q30" s="324">
        <f>'FEEDER Consumption '!AD30</f>
        <v>2100</v>
      </c>
      <c r="R30" s="324">
        <f>'FEEDER Consumption '!AI30</f>
        <v>749</v>
      </c>
      <c r="S30" s="324">
        <f>'FEEDER Consumption '!AN30</f>
        <v>660</v>
      </c>
      <c r="T30" s="324">
        <f>'FEEDER Consumption '!AS30</f>
        <v>1700</v>
      </c>
      <c r="U30" s="324">
        <f>'FEEDER Consumption '!AX30</f>
        <v>390</v>
      </c>
      <c r="V30" s="324">
        <f>'FEEDER Consumption '!BH30</f>
        <v>840</v>
      </c>
      <c r="W30" s="324">
        <f>'FEEDER Consumption '!BH30</f>
        <v>840</v>
      </c>
      <c r="X30" s="324">
        <f>'FEEDER Consumption '!BM30</f>
        <v>1000</v>
      </c>
      <c r="Y30" s="324">
        <f>'FEEDER Consumption '!BR30</f>
        <v>143</v>
      </c>
      <c r="Z30" s="324">
        <f>'FEEDER Consumption '!BW30</f>
        <v>460</v>
      </c>
      <c r="AA30" s="324">
        <f>'FEEDER Consumption '!CB30</f>
        <v>1240</v>
      </c>
      <c r="AB30" s="324">
        <f>'FEEDER Consumption '!CG30</f>
        <v>480</v>
      </c>
      <c r="AC30" s="324">
        <f>'FEEDER Consumption '!CL30</f>
        <v>980</v>
      </c>
      <c r="AD30" s="324">
        <f>'FEEDER Consumption '!CQ30</f>
        <v>860</v>
      </c>
      <c r="AE30" s="324">
        <f>'FEEDER Consumption '!CV30</f>
        <v>650</v>
      </c>
      <c r="AF30" s="324">
        <f>'FEEDER Consumption '!DA30</f>
        <v>850</v>
      </c>
      <c r="AG30" s="324">
        <f>'FEEDER Consumption '!DF30</f>
        <v>700</v>
      </c>
      <c r="AH30" s="324">
        <f>'FEEDER Consumption '!DK30</f>
        <v>620</v>
      </c>
      <c r="AI30" s="324">
        <f>'FEEDER Consumption '!DP30</f>
        <v>200</v>
      </c>
      <c r="AJ30" s="324">
        <f>'FEEDER Consumption '!DU30</f>
        <v>151</v>
      </c>
      <c r="AK30" s="324">
        <f>'FEEDER Consumption '!DZ30</f>
        <v>720</v>
      </c>
      <c r="AL30" s="324">
        <f>'FEEDER Consumption '!EE30</f>
        <v>250</v>
      </c>
      <c r="AM30" s="324">
        <f>'FEEDER Consumption '!EJ30</f>
        <v>300</v>
      </c>
      <c r="AN30" s="325">
        <f>'FEEDER Consumption '!EO30</f>
        <v>390</v>
      </c>
      <c r="AO30" s="326">
        <f>SUM(WATER!C31+WATER!H31+WATER!M31+WATER!R31)</f>
        <v>1013279</v>
      </c>
      <c r="AP30" s="327">
        <f t="shared" si="2"/>
        <v>436</v>
      </c>
      <c r="AQ30" s="327">
        <f>[1]WATER!D31</f>
        <v>172</v>
      </c>
      <c r="AR30" s="327">
        <f>[1]WATER!I31</f>
        <v>0</v>
      </c>
      <c r="AS30" s="327">
        <f>[1]WATER!N31</f>
        <v>30</v>
      </c>
      <c r="AT30" s="327">
        <f>[1]WATER!S31</f>
        <v>123</v>
      </c>
      <c r="AU30" s="327">
        <f>[1]WATER!AD31</f>
        <v>23</v>
      </c>
      <c r="AV30" s="327">
        <f>[1]WATER!AI31</f>
        <v>5</v>
      </c>
      <c r="AW30" s="327">
        <f>[1]WATER!AN31</f>
        <v>8</v>
      </c>
      <c r="AX30" s="327">
        <f>[1]WATER!AS31</f>
        <v>11</v>
      </c>
      <c r="AY30" s="327">
        <f>[1]WATER!AX31</f>
        <v>7</v>
      </c>
      <c r="AZ30" s="327">
        <f>[1]WATER!BC31</f>
        <v>6</v>
      </c>
      <c r="BA30" s="327">
        <f>[1]WATER!BH31</f>
        <v>7</v>
      </c>
      <c r="BB30" s="327">
        <f>[1]WATER!BM31</f>
        <v>7</v>
      </c>
      <c r="BC30" s="327">
        <f>[1]WATER!BR31</f>
        <v>7</v>
      </c>
      <c r="BD30" s="327">
        <f>[1]WATER!BW31</f>
        <v>0</v>
      </c>
      <c r="BE30" s="327">
        <f>[1]WATER!CB31</f>
        <v>10</v>
      </c>
      <c r="BF30" s="327">
        <f>[1]WATER!CG31</f>
        <v>2</v>
      </c>
      <c r="BG30" s="327">
        <f>[1]WATER!CL31</f>
        <v>0</v>
      </c>
      <c r="BH30" s="327">
        <f>[1]WATER!CQ31</f>
        <v>-53</v>
      </c>
      <c r="BI30" s="327">
        <f>[1]WATER!CV31</f>
        <v>1</v>
      </c>
      <c r="BJ30" s="327">
        <f>[1]WATER!DA31</f>
        <v>1</v>
      </c>
      <c r="BK30" s="327">
        <f>[1]WATER!DF31</f>
        <v>2</v>
      </c>
      <c r="BL30" s="327">
        <f>[1]WATER!DK31</f>
        <v>4</v>
      </c>
      <c r="BM30" s="327">
        <f>[1]WATER!DP31</f>
        <v>7</v>
      </c>
      <c r="BN30" s="327">
        <f>[1]WATER!DU31</f>
        <v>1</v>
      </c>
      <c r="BO30" s="327">
        <f>[1]WATER!DZ31</f>
        <v>1</v>
      </c>
      <c r="BP30" s="188">
        <f>'[1]Room Nights and Food Covers'!B30</f>
        <v>41.7</v>
      </c>
      <c r="BQ30" s="188">
        <f>'[1]Room Nights and Food Covers'!C30</f>
        <v>415</v>
      </c>
    </row>
    <row r="31" spans="1:76" ht="45" customHeight="1" x14ac:dyDescent="0.25">
      <c r="A31" s="189">
        <f t="shared" si="0"/>
        <v>44496</v>
      </c>
      <c r="B31" s="335"/>
      <c r="C31" s="401">
        <f>SUM('GENSET #1'!C36+'GENSET #2'!C36+'GENSET #3'!C36+'GENSET #4'!C36+'GENSET #5'!C36)</f>
        <v>94338102</v>
      </c>
      <c r="D31" s="324">
        <f t="shared" si="4"/>
        <v>25871</v>
      </c>
      <c r="E31" s="401">
        <f>'Gas-2'!G32</f>
        <v>270</v>
      </c>
      <c r="F31" s="324">
        <f t="shared" si="3"/>
        <v>45</v>
      </c>
      <c r="G31" s="324">
        <f>'GENSET #1'!D36</f>
        <v>6349</v>
      </c>
      <c r="H31" s="324">
        <f>'GENSET #2'!D36</f>
        <v>7111</v>
      </c>
      <c r="I31" s="324">
        <f>'GENSET #3'!D36</f>
        <v>1006</v>
      </c>
      <c r="J31" s="324">
        <f>'GENSET #4'!D36</f>
        <v>3983</v>
      </c>
      <c r="K31" s="324">
        <f>'GENSET #5'!D36</f>
        <v>7422</v>
      </c>
      <c r="L31" s="324">
        <f>'FEEDER Consumption '!E31</f>
        <v>2486</v>
      </c>
      <c r="M31" s="324">
        <f>'FEEDER Consumption '!J31</f>
        <v>4081</v>
      </c>
      <c r="N31" s="324">
        <f>'FEEDER Consumption '!O31</f>
        <v>13857</v>
      </c>
      <c r="O31" s="324">
        <f>'FEEDER Consumption '!T31</f>
        <v>1900</v>
      </c>
      <c r="P31" s="324">
        <f>'FEEDER Consumption '!Y31</f>
        <v>2697</v>
      </c>
      <c r="Q31" s="324">
        <f>'FEEDER Consumption '!AD31</f>
        <v>1900</v>
      </c>
      <c r="R31" s="324">
        <f>'FEEDER Consumption '!AI31</f>
        <v>789</v>
      </c>
      <c r="S31" s="324">
        <f>'FEEDER Consumption '!AN31</f>
        <v>700</v>
      </c>
      <c r="T31" s="324">
        <f>'FEEDER Consumption '!AS31</f>
        <v>1600</v>
      </c>
      <c r="U31" s="324">
        <f>'FEEDER Consumption '!AX31</f>
        <v>403</v>
      </c>
      <c r="V31" s="324">
        <f>'FEEDER Consumption '!BH31</f>
        <v>820</v>
      </c>
      <c r="W31" s="324">
        <f>'FEEDER Consumption '!BH31</f>
        <v>820</v>
      </c>
      <c r="X31" s="324">
        <f>'FEEDER Consumption '!BM31</f>
        <v>1000</v>
      </c>
      <c r="Y31" s="324">
        <f>'FEEDER Consumption '!BR31</f>
        <v>147</v>
      </c>
      <c r="Z31" s="324">
        <f>'FEEDER Consumption '!BW31</f>
        <v>450</v>
      </c>
      <c r="AA31" s="324">
        <f>'FEEDER Consumption '!CB31</f>
        <v>1240</v>
      </c>
      <c r="AB31" s="324">
        <f>'FEEDER Consumption '!CG31</f>
        <v>390</v>
      </c>
      <c r="AC31" s="324">
        <f>'FEEDER Consumption '!CL31</f>
        <v>940</v>
      </c>
      <c r="AD31" s="324">
        <f>'FEEDER Consumption '!CQ31</f>
        <v>820</v>
      </c>
      <c r="AE31" s="324">
        <f>'FEEDER Consumption '!CV31</f>
        <v>740</v>
      </c>
      <c r="AF31" s="324">
        <f>'FEEDER Consumption '!DA31</f>
        <v>840</v>
      </c>
      <c r="AG31" s="324">
        <f>'FEEDER Consumption '!DF31</f>
        <v>720</v>
      </c>
      <c r="AH31" s="324">
        <f>'FEEDER Consumption '!DK31</f>
        <v>650</v>
      </c>
      <c r="AI31" s="324">
        <f>'FEEDER Consumption '!DP31</f>
        <v>220</v>
      </c>
      <c r="AJ31" s="324">
        <f>'FEEDER Consumption '!DU31</f>
        <v>155</v>
      </c>
      <c r="AK31" s="324">
        <f>'FEEDER Consumption '!DZ31</f>
        <v>690</v>
      </c>
      <c r="AL31" s="324">
        <f>'FEEDER Consumption '!EE31</f>
        <v>240</v>
      </c>
      <c r="AM31" s="324">
        <f>'FEEDER Consumption '!EJ31</f>
        <v>350</v>
      </c>
      <c r="AN31" s="325">
        <f>'FEEDER Consumption '!EO31</f>
        <v>500</v>
      </c>
      <c r="AO31" s="326">
        <f>SUM(WATER!C32+WATER!H32+WATER!M32+WATER!R32)</f>
        <v>1013691</v>
      </c>
      <c r="AP31" s="327">
        <f t="shared" si="2"/>
        <v>412</v>
      </c>
      <c r="AQ31" s="327">
        <f>[1]WATER!D32</f>
        <v>191</v>
      </c>
      <c r="AR31" s="327">
        <f>[1]WATER!I32</f>
        <v>0</v>
      </c>
      <c r="AS31" s="327">
        <f>[1]WATER!N32</f>
        <v>21</v>
      </c>
      <c r="AT31" s="327">
        <f>[1]WATER!S32</f>
        <v>129</v>
      </c>
      <c r="AU31" s="327">
        <f>[1]WATER!AD32</f>
        <v>27</v>
      </c>
      <c r="AV31" s="327">
        <f>[1]WATER!AI32</f>
        <v>6</v>
      </c>
      <c r="AW31" s="327">
        <f>[1]WATER!AN32</f>
        <v>8</v>
      </c>
      <c r="AX31" s="327">
        <f>[1]WATER!AS32</f>
        <v>11</v>
      </c>
      <c r="AY31" s="327">
        <f>[1]WATER!AX32</f>
        <v>7</v>
      </c>
      <c r="AZ31" s="327">
        <f>[1]WATER!BC32</f>
        <v>7</v>
      </c>
      <c r="BA31" s="327">
        <f>[1]WATER!BH32</f>
        <v>9</v>
      </c>
      <c r="BB31" s="327">
        <f>[1]WATER!BM32</f>
        <v>9</v>
      </c>
      <c r="BC31" s="327">
        <f>[1]WATER!BR32</f>
        <v>-1</v>
      </c>
      <c r="BD31" s="327">
        <f>[1]WATER!BW32</f>
        <v>0</v>
      </c>
      <c r="BE31" s="327">
        <f>[1]WATER!CB32</f>
        <v>3</v>
      </c>
      <c r="BF31" s="327">
        <f>[1]WATER!CG32</f>
        <v>1</v>
      </c>
      <c r="BG31" s="327">
        <f>[1]WATER!CL32</f>
        <v>0</v>
      </c>
      <c r="BH31" s="327">
        <f>[1]WATER!CQ32</f>
        <v>5</v>
      </c>
      <c r="BI31" s="327">
        <f>[1]WATER!CV32</f>
        <v>1</v>
      </c>
      <c r="BJ31" s="327">
        <f>[1]WATER!DA32</f>
        <v>1</v>
      </c>
      <c r="BK31" s="327">
        <f>[1]WATER!DF32</f>
        <v>5</v>
      </c>
      <c r="BL31" s="327">
        <f>[1]WATER!DK32</f>
        <v>4</v>
      </c>
      <c r="BM31" s="327">
        <f>[1]WATER!DP32</f>
        <v>30</v>
      </c>
      <c r="BN31" s="327">
        <f>[1]WATER!DU32</f>
        <v>2</v>
      </c>
      <c r="BO31" s="327">
        <f>[1]WATER!DZ32</f>
        <v>2</v>
      </c>
      <c r="BP31" s="188">
        <f>'[1]Room Nights and Food Covers'!B31</f>
        <v>39.799999999999997</v>
      </c>
      <c r="BQ31" s="188">
        <f>'[1]Room Nights and Food Covers'!C31</f>
        <v>374</v>
      </c>
    </row>
    <row r="32" spans="1:76" ht="45" customHeight="1" x14ac:dyDescent="0.25">
      <c r="A32" s="189">
        <f t="shared" si="0"/>
        <v>44497</v>
      </c>
      <c r="B32" s="335"/>
      <c r="C32" s="401">
        <f>SUM('GENSET #1'!C37+'GENSET #2'!C37+'GENSET #3'!C37+'GENSET #4'!C37+'GENSET #5'!C37)</f>
        <v>94364555</v>
      </c>
      <c r="D32" s="324">
        <f t="shared" si="4"/>
        <v>26453</v>
      </c>
      <c r="E32" s="401">
        <f>'Gas-2'!G33</f>
        <v>270</v>
      </c>
      <c r="F32" s="324">
        <f t="shared" si="3"/>
        <v>0</v>
      </c>
      <c r="G32" s="324">
        <f>'GENSET #1'!D37</f>
        <v>5232</v>
      </c>
      <c r="H32" s="324">
        <f>'GENSET #2'!D37</f>
        <v>10328</v>
      </c>
      <c r="I32" s="324">
        <f>'GENSET #3'!D37</f>
        <v>5474</v>
      </c>
      <c r="J32" s="324">
        <f>'GENSET #4'!D37</f>
        <v>2157</v>
      </c>
      <c r="K32" s="324">
        <f>'GENSET #5'!D37</f>
        <v>3262</v>
      </c>
      <c r="L32" s="324">
        <f>'FEEDER Consumption '!E32</f>
        <v>2595</v>
      </c>
      <c r="M32" s="324">
        <f>'FEEDER Consumption '!J32</f>
        <v>4122</v>
      </c>
      <c r="N32" s="324">
        <f>'FEEDER Consumption '!O32</f>
        <v>14059</v>
      </c>
      <c r="O32" s="324">
        <f>'FEEDER Consumption '!T32</f>
        <v>1800</v>
      </c>
      <c r="P32" s="324">
        <f>'FEEDER Consumption '!Y32</f>
        <v>2647</v>
      </c>
      <c r="Q32" s="324">
        <f>'FEEDER Consumption '!AD32</f>
        <v>2200</v>
      </c>
      <c r="R32" s="324">
        <f>'FEEDER Consumption '!AI32</f>
        <v>815</v>
      </c>
      <c r="S32" s="324">
        <f>'FEEDER Consumption '!AN32</f>
        <v>640</v>
      </c>
      <c r="T32" s="324">
        <f>'FEEDER Consumption '!AS32</f>
        <v>1800</v>
      </c>
      <c r="U32" s="324">
        <f>'FEEDER Consumption '!AX32</f>
        <v>403</v>
      </c>
      <c r="V32" s="324">
        <f>'FEEDER Consumption '!BH32</f>
        <v>830</v>
      </c>
      <c r="W32" s="324">
        <f>'FEEDER Consumption '!BH32</f>
        <v>830</v>
      </c>
      <c r="X32" s="324">
        <f>'FEEDER Consumption '!BM32</f>
        <v>1000</v>
      </c>
      <c r="Y32" s="324">
        <f>'FEEDER Consumption '!BR32</f>
        <v>142</v>
      </c>
      <c r="Z32" s="324">
        <f>'FEEDER Consumption '!BW32</f>
        <v>460</v>
      </c>
      <c r="AA32" s="324">
        <f>'FEEDER Consumption '!CB32</f>
        <v>1240</v>
      </c>
      <c r="AB32" s="324">
        <f>'FEEDER Consumption '!CG32</f>
        <v>410</v>
      </c>
      <c r="AC32" s="324">
        <f>'FEEDER Consumption '!CL32</f>
        <v>960</v>
      </c>
      <c r="AD32" s="324">
        <f>'FEEDER Consumption '!CQ32</f>
        <v>840</v>
      </c>
      <c r="AE32" s="324">
        <f>'FEEDER Consumption '!CV32</f>
        <v>760</v>
      </c>
      <c r="AF32" s="324">
        <f>'FEEDER Consumption '!DA32</f>
        <v>930</v>
      </c>
      <c r="AG32" s="324">
        <f>'FEEDER Consumption '!DF32</f>
        <v>690</v>
      </c>
      <c r="AH32" s="324">
        <f>'FEEDER Consumption '!DK32</f>
        <v>700</v>
      </c>
      <c r="AI32" s="324">
        <f>'FEEDER Consumption '!DP32</f>
        <v>190</v>
      </c>
      <c r="AJ32" s="324">
        <f>'FEEDER Consumption '!DU32</f>
        <v>156</v>
      </c>
      <c r="AK32" s="324">
        <f>'FEEDER Consumption '!DZ32</f>
        <v>760</v>
      </c>
      <c r="AL32" s="324">
        <f>'FEEDER Consumption '!EE32</f>
        <v>230</v>
      </c>
      <c r="AM32" s="324">
        <f>'FEEDER Consumption '!EJ32</f>
        <v>400</v>
      </c>
      <c r="AN32" s="325">
        <f>'FEEDER Consumption '!EO32</f>
        <v>480</v>
      </c>
      <c r="AO32" s="326">
        <f>SUM(WATER!C33+WATER!H33+WATER!M33+WATER!R33)</f>
        <v>1014111</v>
      </c>
      <c r="AP32" s="327">
        <f t="shared" si="2"/>
        <v>420</v>
      </c>
      <c r="AQ32" s="327">
        <f>[1]WATER!D33</f>
        <v>206</v>
      </c>
      <c r="AR32" s="327">
        <f>[1]WATER!I33</f>
        <v>0</v>
      </c>
      <c r="AS32" s="327">
        <f>[1]WATER!N33</f>
        <v>20</v>
      </c>
      <c r="AT32" s="327">
        <f>[1]WATER!S33</f>
        <v>109</v>
      </c>
      <c r="AU32" s="327">
        <f>[1]WATER!AD33</f>
        <v>18</v>
      </c>
      <c r="AV32" s="327">
        <f>[1]WATER!AI33</f>
        <v>6</v>
      </c>
      <c r="AW32" s="327">
        <f>[1]WATER!AN33</f>
        <v>1</v>
      </c>
      <c r="AX32" s="327">
        <f>[1]WATER!AS33</f>
        <v>3</v>
      </c>
      <c r="AY32" s="327">
        <f>[1]WATER!AX33</f>
        <v>7</v>
      </c>
      <c r="AZ32" s="327">
        <f>[1]WATER!BC33</f>
        <v>6</v>
      </c>
      <c r="BA32" s="327">
        <f>[1]WATER!BH33</f>
        <v>7</v>
      </c>
      <c r="BB32" s="327">
        <f>[1]WATER!BM33</f>
        <v>7</v>
      </c>
      <c r="BC32" s="327">
        <f>[1]WATER!BR33</f>
        <v>1</v>
      </c>
      <c r="BD32" s="327">
        <f>[1]WATER!BW33</f>
        <v>0</v>
      </c>
      <c r="BE32" s="327">
        <f>[1]WATER!CB33</f>
        <v>0</v>
      </c>
      <c r="BF32" s="327">
        <f>[1]WATER!CG33</f>
        <v>3</v>
      </c>
      <c r="BG32" s="327">
        <f>[1]WATER!CL33</f>
        <v>84</v>
      </c>
      <c r="BH32" s="327">
        <f>[1]WATER!CQ33</f>
        <v>13</v>
      </c>
      <c r="BI32" s="327">
        <f>[1]WATER!CV33</f>
        <v>3</v>
      </c>
      <c r="BJ32" s="327">
        <f>[1]WATER!DA33</f>
        <v>0</v>
      </c>
      <c r="BK32" s="327">
        <f>[1]WATER!DF33</f>
        <v>3</v>
      </c>
      <c r="BL32" s="327">
        <f>[1]WATER!DK33</f>
        <v>2</v>
      </c>
      <c r="BM32" s="327">
        <f>[1]WATER!DP33</f>
        <v>11</v>
      </c>
      <c r="BN32" s="327">
        <f>[1]WATER!DU33</f>
        <v>2</v>
      </c>
      <c r="BO32" s="327">
        <f>[1]WATER!DZ33</f>
        <v>0</v>
      </c>
      <c r="BP32" s="188">
        <f>'[1]Room Nights and Food Covers'!B32</f>
        <v>39.799999999999997</v>
      </c>
      <c r="BQ32" s="188">
        <f>'[1]Room Nights and Food Covers'!C32</f>
        <v>374</v>
      </c>
    </row>
    <row r="33" spans="1:69" ht="36" customHeight="1" x14ac:dyDescent="0.25">
      <c r="A33" s="189">
        <f t="shared" si="0"/>
        <v>44498</v>
      </c>
      <c r="C33" s="401">
        <f>SUM('GENSET #1'!C38+'GENSET #2'!C38+'GENSET #3'!C38+'GENSET #4'!C38+'GENSET #5'!C38)</f>
        <v>94391591</v>
      </c>
      <c r="D33" s="324">
        <f t="shared" si="4"/>
        <v>27036</v>
      </c>
      <c r="E33" s="401">
        <f>'Gas-2'!G34</f>
        <v>315</v>
      </c>
      <c r="F33" s="324">
        <f t="shared" si="3"/>
        <v>45</v>
      </c>
      <c r="G33" s="324">
        <f>'GENSET #1'!D38</f>
        <v>9310</v>
      </c>
      <c r="H33" s="324">
        <f>'GENSET #2'!D38</f>
        <v>4324</v>
      </c>
      <c r="I33" s="324">
        <f>'GENSET #3'!D38</f>
        <v>1831</v>
      </c>
      <c r="J33" s="324">
        <f>'GENSET #4'!D38</f>
        <v>4310</v>
      </c>
      <c r="K33" s="324">
        <f>'GENSET #5'!D38</f>
        <v>7261</v>
      </c>
      <c r="L33" s="324">
        <f>'FEEDER Consumption '!E33</f>
        <v>2697</v>
      </c>
      <c r="M33" s="324">
        <f>'FEEDER Consumption '!J33</f>
        <v>4351</v>
      </c>
      <c r="N33" s="324">
        <f>'FEEDER Consumption '!O33</f>
        <v>14358</v>
      </c>
      <c r="O33" s="324">
        <f>'FEEDER Consumption '!T33</f>
        <v>1600</v>
      </c>
      <c r="P33" s="324">
        <f>'FEEDER Consumption '!Y33</f>
        <v>2709</v>
      </c>
      <c r="Q33" s="324">
        <f>'FEEDER Consumption '!AD33</f>
        <v>2200</v>
      </c>
      <c r="R33" s="324">
        <f>'FEEDER Consumption '!AI33</f>
        <v>811</v>
      </c>
      <c r="S33" s="324">
        <f>'FEEDER Consumption '!AN33</f>
        <v>730</v>
      </c>
      <c r="T33" s="324">
        <f>'FEEDER Consumption '!AS33</f>
        <v>1600</v>
      </c>
      <c r="U33" s="324">
        <f>'FEEDER Consumption '!AX33</f>
        <v>407</v>
      </c>
      <c r="V33" s="324">
        <f>'FEEDER Consumption '!BH33</f>
        <v>870</v>
      </c>
      <c r="W33" s="324">
        <f>'FEEDER Consumption '!BH33</f>
        <v>870</v>
      </c>
      <c r="X33" s="324">
        <f>'FEEDER Consumption '!BM33</f>
        <v>1100</v>
      </c>
      <c r="Y33" s="324">
        <f>'FEEDER Consumption '!BR33</f>
        <v>151</v>
      </c>
      <c r="Z33" s="324">
        <f>'FEEDER Consumption '!BW33</f>
        <v>460</v>
      </c>
      <c r="AA33" s="324">
        <f>'FEEDER Consumption '!CB33</f>
        <v>1250</v>
      </c>
      <c r="AB33" s="324">
        <f>'FEEDER Consumption '!CG33</f>
        <v>460</v>
      </c>
      <c r="AC33" s="324">
        <f>'FEEDER Consumption '!CL33</f>
        <v>1090</v>
      </c>
      <c r="AD33" s="324">
        <f>'FEEDER Consumption '!CQ33</f>
        <v>900</v>
      </c>
      <c r="AE33" s="324">
        <f>'FEEDER Consumption '!CV33</f>
        <v>690</v>
      </c>
      <c r="AF33" s="324">
        <f>'FEEDER Consumption '!DA33</f>
        <v>1030</v>
      </c>
      <c r="AG33" s="324">
        <f>'FEEDER Consumption '!DF33</f>
        <v>870</v>
      </c>
      <c r="AH33" s="324">
        <f>'FEEDER Consumption '!DK33</f>
        <v>720</v>
      </c>
      <c r="AI33" s="324">
        <f>'FEEDER Consumption '!DP33</f>
        <v>200</v>
      </c>
      <c r="AJ33" s="324">
        <f>'FEEDER Consumption '!DU33</f>
        <v>190</v>
      </c>
      <c r="AK33" s="324">
        <f>'FEEDER Consumption '!DZ33</f>
        <v>770</v>
      </c>
      <c r="AL33" s="324">
        <f>'FEEDER Consumption '!EE33</f>
        <v>250</v>
      </c>
      <c r="AM33" s="324">
        <f>'FEEDER Consumption '!EJ33</f>
        <v>260</v>
      </c>
      <c r="AN33" s="325">
        <f>'FEEDER Consumption '!EO33</f>
        <v>480</v>
      </c>
      <c r="AO33" s="326">
        <f>SUM(WATER!C34+WATER!H34+WATER!M34+WATER!R34)</f>
        <v>1014571</v>
      </c>
      <c r="AP33" s="327">
        <f t="shared" si="2"/>
        <v>460</v>
      </c>
      <c r="AQ33" s="327">
        <f>[1]WATER!D34</f>
        <v>218</v>
      </c>
      <c r="AR33" s="327">
        <f>[1]WATER!I34</f>
        <v>0</v>
      </c>
      <c r="AS33" s="327">
        <f>[1]WATER!N34</f>
        <v>0</v>
      </c>
      <c r="AT33" s="327">
        <f>[1]WATER!S34</f>
        <v>101</v>
      </c>
      <c r="AU33" s="327">
        <f>[1]WATER!AD34</f>
        <v>25</v>
      </c>
      <c r="AV33" s="327">
        <f>[1]WATER!AI34</f>
        <v>11</v>
      </c>
      <c r="AW33" s="327">
        <f>[1]WATER!AN34</f>
        <v>19</v>
      </c>
      <c r="AX33" s="327">
        <f>[1]WATER!AS34</f>
        <v>34</v>
      </c>
      <c r="AY33" s="327">
        <f>[1]WATER!AX34</f>
        <v>14</v>
      </c>
      <c r="AZ33" s="327">
        <f>[1]WATER!BC34</f>
        <v>15</v>
      </c>
      <c r="BA33" s="327">
        <f>[1]WATER!BH34</f>
        <v>15</v>
      </c>
      <c r="BB33" s="327">
        <f>[1]WATER!BM34</f>
        <v>15</v>
      </c>
      <c r="BC33" s="327">
        <f>[1]WATER!BR34</f>
        <v>5</v>
      </c>
      <c r="BD33" s="327">
        <f>[1]WATER!BW34</f>
        <v>0</v>
      </c>
      <c r="BE33" s="327">
        <f>[1]WATER!CB34</f>
        <v>14</v>
      </c>
      <c r="BF33" s="327">
        <f>[1]WATER!CG34</f>
        <v>2</v>
      </c>
      <c r="BG33" s="327">
        <f>[1]WATER!CL34</f>
        <v>52</v>
      </c>
      <c r="BH33" s="327">
        <f>[1]WATER!CQ34</f>
        <v>17</v>
      </c>
      <c r="BI33" s="327">
        <f>[1]WATER!CV34</f>
        <v>-1</v>
      </c>
      <c r="BJ33" s="327">
        <f>[1]WATER!DA34</f>
        <v>1</v>
      </c>
      <c r="BK33" s="327">
        <f>[1]WATER!DF34</f>
        <v>8</v>
      </c>
      <c r="BL33" s="327">
        <f>[1]WATER!DK34</f>
        <v>2</v>
      </c>
      <c r="BM33" s="327">
        <f>[1]WATER!DP34</f>
        <v>0</v>
      </c>
      <c r="BN33" s="327">
        <f>[1]WATER!DU34</f>
        <v>3</v>
      </c>
      <c r="BO33" s="327">
        <f>[1]WATER!DZ34</f>
        <v>3</v>
      </c>
      <c r="BP33" s="188">
        <f>'[1]Room Nights and Food Covers'!B33</f>
        <v>36.9</v>
      </c>
      <c r="BQ33" s="188">
        <f>'[1]Room Nights and Food Covers'!C33</f>
        <v>296</v>
      </c>
    </row>
    <row r="34" spans="1:69" ht="36" customHeight="1" x14ac:dyDescent="0.25">
      <c r="A34" s="189">
        <f t="shared" si="0"/>
        <v>44499</v>
      </c>
      <c r="C34" s="401">
        <f>SUM('GENSET #1'!C39+'GENSET #2'!C39+'GENSET #3'!C39+'GENSET #4'!C39+'GENSET #5'!C39)</f>
        <v>94418343</v>
      </c>
      <c r="D34" s="324">
        <f t="shared" si="4"/>
        <v>26752</v>
      </c>
      <c r="E34" s="401">
        <f>'Gas-2'!G35</f>
        <v>225</v>
      </c>
      <c r="F34" s="324" t="str">
        <f t="shared" si="3"/>
        <v>0</v>
      </c>
      <c r="G34" s="324">
        <f>'GENSET #1'!D39</f>
        <v>6978</v>
      </c>
      <c r="H34" s="324">
        <f>'GENSET #2'!D39</f>
        <v>8451</v>
      </c>
      <c r="I34" s="324">
        <f>'GENSET #3'!D39</f>
        <v>0</v>
      </c>
      <c r="J34" s="324">
        <f>'GENSET #4'!D39</f>
        <v>4396</v>
      </c>
      <c r="K34" s="324">
        <f>'GENSET #5'!D39</f>
        <v>6927</v>
      </c>
      <c r="L34" s="324">
        <f>'FEEDER Consumption '!E34</f>
        <v>2702</v>
      </c>
      <c r="M34" s="324">
        <f>'FEEDER Consumption '!J34</f>
        <v>4377</v>
      </c>
      <c r="N34" s="324">
        <f>'FEEDER Consumption '!O34</f>
        <v>13954</v>
      </c>
      <c r="O34" s="324">
        <f>'FEEDER Consumption '!T34</f>
        <v>1800</v>
      </c>
      <c r="P34" s="324">
        <f>'FEEDER Consumption '!Y34</f>
        <v>2808</v>
      </c>
      <c r="Q34" s="324">
        <f>'FEEDER Consumption '!AD34</f>
        <v>2000</v>
      </c>
      <c r="R34" s="324">
        <f>'FEEDER Consumption '!AI34</f>
        <v>859</v>
      </c>
      <c r="S34" s="324">
        <f>'FEEDER Consumption '!AN34</f>
        <v>680</v>
      </c>
      <c r="T34" s="324">
        <f>'FEEDER Consumption '!AS34</f>
        <v>1700</v>
      </c>
      <c r="U34" s="324">
        <f>'FEEDER Consumption '!AX34</f>
        <v>392</v>
      </c>
      <c r="V34" s="324">
        <f>'FEEDER Consumption '!BH34</f>
        <v>830</v>
      </c>
      <c r="W34" s="324">
        <f>'FEEDER Consumption '!BH34</f>
        <v>830</v>
      </c>
      <c r="X34" s="324">
        <f>'FEEDER Consumption '!BM34</f>
        <v>1100</v>
      </c>
      <c r="Y34" s="324">
        <f>'FEEDER Consumption '!BR34</f>
        <v>152</v>
      </c>
      <c r="Z34" s="324">
        <f>'FEEDER Consumption '!BW34</f>
        <v>430</v>
      </c>
      <c r="AA34" s="324">
        <f>'FEEDER Consumption '!CB34</f>
        <v>1250</v>
      </c>
      <c r="AB34" s="324">
        <f>'FEEDER Consumption '!CG34</f>
        <v>380</v>
      </c>
      <c r="AC34" s="324">
        <f>'FEEDER Consumption '!CL34</f>
        <v>980</v>
      </c>
      <c r="AD34" s="324">
        <f>'FEEDER Consumption '!CQ34</f>
        <v>810</v>
      </c>
      <c r="AE34" s="324">
        <f>'FEEDER Consumption '!CV34</f>
        <v>600</v>
      </c>
      <c r="AF34" s="324">
        <f>'FEEDER Consumption '!DA34</f>
        <v>1260</v>
      </c>
      <c r="AG34" s="324">
        <f>'FEEDER Consumption '!DF34</f>
        <v>870</v>
      </c>
      <c r="AH34" s="324">
        <f>'FEEDER Consumption '!DK34</f>
        <v>690</v>
      </c>
      <c r="AI34" s="324">
        <f>'FEEDER Consumption '!DP34</f>
        <v>180</v>
      </c>
      <c r="AJ34" s="324">
        <f>'FEEDER Consumption '!DU34</f>
        <v>935</v>
      </c>
      <c r="AK34" s="324">
        <f>'FEEDER Consumption '!DZ34</f>
        <v>700</v>
      </c>
      <c r="AL34" s="324">
        <f>'FEEDER Consumption '!EE34</f>
        <v>240</v>
      </c>
      <c r="AM34" s="324">
        <f>'FEEDER Consumption '!EJ34</f>
        <v>340</v>
      </c>
      <c r="AN34" s="325">
        <f>'FEEDER Consumption '!EO34</f>
        <v>490</v>
      </c>
      <c r="AO34" s="326">
        <f>SUM(WATER!C35+WATER!H35+WATER!M35+WATER!R35)</f>
        <v>1014995</v>
      </c>
      <c r="AP34" s="327">
        <f t="shared" si="2"/>
        <v>424</v>
      </c>
      <c r="AQ34" s="327">
        <f>[1]WATER!D35</f>
        <v>194</v>
      </c>
      <c r="AR34" s="327">
        <f>[1]WATER!I35</f>
        <v>0</v>
      </c>
      <c r="AS34" s="327">
        <f>[1]WATER!N35</f>
        <v>0</v>
      </c>
      <c r="AT34" s="327">
        <f>[1]WATER!S35</f>
        <v>149</v>
      </c>
      <c r="AU34" s="327">
        <f>[1]WATER!AD35</f>
        <v>26</v>
      </c>
      <c r="AV34" s="327">
        <f>[1]WATER!AI35</f>
        <v>0</v>
      </c>
      <c r="AW34" s="327">
        <f>[1]WATER!AN35</f>
        <v>0</v>
      </c>
      <c r="AX34" s="327">
        <f>[1]WATER!AS35</f>
        <v>0</v>
      </c>
      <c r="AY34" s="327">
        <f>[1]WATER!AX35</f>
        <v>1</v>
      </c>
      <c r="AZ34" s="327">
        <f>[1]WATER!BC35</f>
        <v>0</v>
      </c>
      <c r="BA34" s="327">
        <f>[1]WATER!BH35</f>
        <v>0</v>
      </c>
      <c r="BB34" s="327">
        <f>[1]WATER!BM35</f>
        <v>0</v>
      </c>
      <c r="BC34" s="327">
        <f>[1]WATER!BR35</f>
        <v>0</v>
      </c>
      <c r="BD34" s="327">
        <f>[1]WATER!BW35</f>
        <v>0</v>
      </c>
      <c r="BE34" s="327">
        <f>[1]WATER!CB35</f>
        <v>0</v>
      </c>
      <c r="BF34" s="327">
        <f>[1]WATER!CG35</f>
        <v>0</v>
      </c>
      <c r="BG34" s="327">
        <f>[1]WATER!CL35</f>
        <v>0</v>
      </c>
      <c r="BH34" s="327">
        <f>[1]WATER!CQ35</f>
        <v>0</v>
      </c>
      <c r="BI34" s="327">
        <f>[1]WATER!CV35</f>
        <v>0</v>
      </c>
      <c r="BJ34" s="327">
        <f>[1]WATER!DA35</f>
        <v>0</v>
      </c>
      <c r="BK34" s="327">
        <f>[1]WATER!DF35</f>
        <v>0</v>
      </c>
      <c r="BL34" s="327">
        <f>[1]WATER!DK35</f>
        <v>0</v>
      </c>
      <c r="BM34" s="327">
        <f>[1]WATER!DP35</f>
        <v>34</v>
      </c>
      <c r="BN34" s="327">
        <f>[1]WATER!DU35</f>
        <v>0</v>
      </c>
      <c r="BO34" s="327">
        <f>[1]WATER!DZ35</f>
        <v>0</v>
      </c>
      <c r="BP34" s="188">
        <f>'[1]Room Nights and Food Covers'!B34</f>
        <v>30.1</v>
      </c>
      <c r="BQ34" s="188">
        <f>'[1]Room Nights and Food Covers'!C34</f>
        <v>227</v>
      </c>
    </row>
    <row r="35" spans="1:69" ht="36" customHeight="1" x14ac:dyDescent="0.25">
      <c r="A35" s="189">
        <f t="shared" si="0"/>
        <v>44500</v>
      </c>
      <c r="C35" s="401">
        <f>SUM('GENSET #1'!C40+'GENSET #2'!C40+'GENSET #3'!C40+'GENSET #4'!C40+'GENSET #5'!C40)</f>
        <v>94445379</v>
      </c>
      <c r="D35" s="324">
        <f t="shared" si="4"/>
        <v>27036</v>
      </c>
      <c r="E35" s="401">
        <f>'Gas-2'!G36</f>
        <v>270</v>
      </c>
      <c r="F35" s="324">
        <f t="shared" si="3"/>
        <v>45</v>
      </c>
      <c r="G35" s="324">
        <f>'GENSET #1'!D40</f>
        <v>1772</v>
      </c>
      <c r="H35" s="324">
        <f>'GENSET #2'!D40</f>
        <v>8540</v>
      </c>
      <c r="I35" s="324">
        <f>'GENSET #3'!D40</f>
        <v>4461</v>
      </c>
      <c r="J35" s="324">
        <f>'GENSET #4'!D40</f>
        <v>1022</v>
      </c>
      <c r="K35" s="324">
        <f>'GENSET #5'!D40</f>
        <v>11241</v>
      </c>
      <c r="L35" s="324">
        <f>'FEEDER Consumption '!E35</f>
        <v>2721</v>
      </c>
      <c r="M35" s="324">
        <f>'FEEDER Consumption '!J35</f>
        <v>4505</v>
      </c>
      <c r="N35" s="324">
        <f>'FEEDER Consumption '!O35</f>
        <v>13894</v>
      </c>
      <c r="O35" s="324">
        <f>'FEEDER Consumption '!T35</f>
        <v>1600</v>
      </c>
      <c r="P35" s="324">
        <f>'FEEDER Consumption '!Y35</f>
        <v>2897</v>
      </c>
      <c r="Q35" s="324">
        <f>'FEEDER Consumption '!AD35</f>
        <v>2200</v>
      </c>
      <c r="R35" s="324">
        <f>'FEEDER Consumption '!AI35</f>
        <v>881</v>
      </c>
      <c r="S35" s="324">
        <f>'FEEDER Consumption '!AN35</f>
        <v>730</v>
      </c>
      <c r="T35" s="324">
        <f>'FEEDER Consumption '!AS35</f>
        <v>1600</v>
      </c>
      <c r="U35" s="324">
        <f>'FEEDER Consumption '!AX35</f>
        <v>442</v>
      </c>
      <c r="V35" s="324">
        <f>'FEEDER Consumption '!BH35</f>
        <v>900</v>
      </c>
      <c r="W35" s="324">
        <f>'FEEDER Consumption '!BH35</f>
        <v>900</v>
      </c>
      <c r="X35" s="324">
        <f>'FEEDER Consumption '!BM35</f>
        <v>1000</v>
      </c>
      <c r="Y35" s="324">
        <f>'FEEDER Consumption '!BR35</f>
        <v>170</v>
      </c>
      <c r="Z35" s="324">
        <f>'FEEDER Consumption '!BW35</f>
        <v>440</v>
      </c>
      <c r="AA35" s="324">
        <f>'FEEDER Consumption '!CB35</f>
        <v>1240</v>
      </c>
      <c r="AB35" s="324">
        <f>'FEEDER Consumption '!CG35</f>
        <v>420</v>
      </c>
      <c r="AC35" s="324">
        <f>'FEEDER Consumption '!CL35</f>
        <v>980</v>
      </c>
      <c r="AD35" s="324">
        <f>'FEEDER Consumption '!CQ35</f>
        <v>800</v>
      </c>
      <c r="AE35" s="324">
        <f>'FEEDER Consumption '!CV35</f>
        <v>610</v>
      </c>
      <c r="AF35" s="324">
        <f>'FEEDER Consumption '!DA35</f>
        <v>1300</v>
      </c>
      <c r="AG35" s="324">
        <f>'FEEDER Consumption '!DF35</f>
        <v>790</v>
      </c>
      <c r="AH35" s="324">
        <f>'FEEDER Consumption '!DK35</f>
        <v>770</v>
      </c>
      <c r="AI35" s="324">
        <f>'FEEDER Consumption '!DP35</f>
        <v>180</v>
      </c>
      <c r="AJ35" s="324">
        <f>'FEEDER Consumption '!DU35</f>
        <v>0</v>
      </c>
      <c r="AK35" s="324">
        <f>'FEEDER Consumption '!DZ35</f>
        <v>730</v>
      </c>
      <c r="AL35" s="324">
        <f>'FEEDER Consumption '!EE35</f>
        <v>240</v>
      </c>
      <c r="AM35" s="324">
        <f>'FEEDER Consumption '!EJ35</f>
        <v>340</v>
      </c>
      <c r="AN35" s="325">
        <f>'FEEDER Consumption '!EO35</f>
        <v>530</v>
      </c>
      <c r="AO35" s="326">
        <f>SUM(WATER!C36+WATER!H36+WATER!M36+WATER!R36)</f>
        <v>1015437</v>
      </c>
      <c r="AP35" s="327">
        <f t="shared" si="2"/>
        <v>442</v>
      </c>
      <c r="AQ35" s="327">
        <f>[1]WATER!D36</f>
        <v>202</v>
      </c>
      <c r="AR35" s="327">
        <f>[1]WATER!I36</f>
        <v>0</v>
      </c>
      <c r="AS35" s="327">
        <f>[1]WATER!N36</f>
        <v>41</v>
      </c>
      <c r="AT35" s="327">
        <f>[1]WATER!S36</f>
        <v>133</v>
      </c>
      <c r="AU35" s="327">
        <f>[1]WATER!AD36</f>
        <v>18</v>
      </c>
      <c r="AV35" s="327">
        <f>[1]WATER!AI36</f>
        <v>6</v>
      </c>
      <c r="AW35" s="327">
        <f>[1]WATER!AN36</f>
        <v>15</v>
      </c>
      <c r="AX35" s="327">
        <f>[1]WATER!AS36</f>
        <v>11</v>
      </c>
      <c r="AY35" s="327">
        <f>[1]WATER!AX36</f>
        <v>7</v>
      </c>
      <c r="AZ35" s="327">
        <f>[1]WATER!BC36</f>
        <v>7</v>
      </c>
      <c r="BA35" s="327">
        <f>[1]WATER!BH36</f>
        <v>1</v>
      </c>
      <c r="BB35" s="327">
        <f>[1]WATER!BM36</f>
        <v>9</v>
      </c>
      <c r="BC35" s="327">
        <f>[1]WATER!BR36</f>
        <v>1</v>
      </c>
      <c r="BD35" s="327">
        <f>[1]WATER!BW36</f>
        <v>0</v>
      </c>
      <c r="BE35" s="327">
        <f>[1]WATER!CB36</f>
        <v>1</v>
      </c>
      <c r="BF35" s="327">
        <f>[1]WATER!CG36</f>
        <v>2</v>
      </c>
      <c r="BG35" s="327">
        <f>[1]WATER!CL36</f>
        <v>0</v>
      </c>
      <c r="BH35" s="327">
        <f>[1]WATER!CQ36</f>
        <v>9</v>
      </c>
      <c r="BI35" s="327">
        <f>[1]WATER!CV36</f>
        <v>0</v>
      </c>
      <c r="BJ35" s="327">
        <f>[1]WATER!DA36</f>
        <v>1</v>
      </c>
      <c r="BK35" s="327">
        <f>[1]WATER!DF36</f>
        <v>3</v>
      </c>
      <c r="BL35" s="327">
        <f>[1]WATER!DK36</f>
        <v>3</v>
      </c>
      <c r="BM35" s="327">
        <f>[1]WATER!DP36</f>
        <v>7</v>
      </c>
      <c r="BN35" s="327">
        <f>[1]WATER!DU36</f>
        <v>2</v>
      </c>
      <c r="BO35" s="327">
        <f>[1]WATER!DZ36</f>
        <v>1</v>
      </c>
      <c r="BP35" s="188">
        <f>'[1]Room Nights and Food Covers'!B35</f>
        <v>31.1</v>
      </c>
      <c r="BQ35" s="188">
        <f>'[1]Room Nights and Food Covers'!C35</f>
        <v>195</v>
      </c>
    </row>
    <row r="36" spans="1:69" ht="16.5" x14ac:dyDescent="0.25">
      <c r="C36" s="184"/>
      <c r="D36" s="190"/>
      <c r="E36" s="184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329"/>
      <c r="AO36" s="330"/>
      <c r="AP36" s="190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  <c r="BC36" s="331"/>
      <c r="BD36" s="331"/>
      <c r="BE36" s="331"/>
      <c r="BF36" s="331"/>
      <c r="BG36" s="331"/>
      <c r="BH36" s="331"/>
      <c r="BI36" s="331"/>
      <c r="BJ36" s="331"/>
      <c r="BK36" s="331"/>
      <c r="BL36" s="331"/>
      <c r="BM36" s="331"/>
      <c r="BN36" s="331"/>
      <c r="BO36" s="33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zoomScaleNormal="100" workbookViewId="0">
      <selection activeCell="B41" sqref="B41"/>
    </sheetView>
  </sheetViews>
  <sheetFormatPr defaultRowHeight="12.75" x14ac:dyDescent="0.2"/>
  <cols>
    <col min="1" max="1" width="9.5703125" style="96" customWidth="1"/>
    <col min="2" max="2" width="15.5703125" style="18" customWidth="1"/>
    <col min="3" max="3" width="13.5703125" style="18" bestFit="1" customWidth="1"/>
    <col min="4" max="4" width="18.5703125" style="11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40" t="s">
        <v>0</v>
      </c>
      <c r="B1" s="340"/>
      <c r="C1" s="340"/>
      <c r="D1" s="340"/>
      <c r="E1" s="340"/>
      <c r="F1" s="340"/>
    </row>
    <row r="2" spans="1:10" x14ac:dyDescent="0.2">
      <c r="A2" s="5"/>
      <c r="E2" s="118"/>
    </row>
    <row r="3" spans="1:10" x14ac:dyDescent="0.2">
      <c r="A3" s="5" t="s">
        <v>1</v>
      </c>
      <c r="B3" s="77" t="s">
        <v>2</v>
      </c>
      <c r="C3" s="77"/>
      <c r="D3" s="116"/>
      <c r="E3" s="118"/>
      <c r="G3" s="285">
        <v>44470</v>
      </c>
      <c r="H3" s="286">
        <f ca="1">NOW()</f>
        <v>44909.753054050925</v>
      </c>
      <c r="I3" s="286"/>
      <c r="J3" s="93">
        <f ca="1">H3-G3</f>
        <v>439.75305405092513</v>
      </c>
    </row>
    <row r="4" spans="1:10" x14ac:dyDescent="0.2">
      <c r="A4" s="5" t="s">
        <v>3</v>
      </c>
      <c r="B4" s="79" t="s">
        <v>192</v>
      </c>
      <c r="C4" s="79"/>
      <c r="D4" s="113"/>
      <c r="E4" s="118"/>
    </row>
    <row r="5" spans="1:10" x14ac:dyDescent="0.2">
      <c r="A5" s="5" t="s">
        <v>4</v>
      </c>
      <c r="B5" s="24">
        <v>2021</v>
      </c>
      <c r="C5" s="24"/>
      <c r="D5" s="113"/>
      <c r="E5" s="118"/>
    </row>
    <row r="6" spans="1:10" x14ac:dyDescent="0.2">
      <c r="E6" s="339"/>
      <c r="F6" s="339"/>
    </row>
    <row r="7" spans="1:10" ht="51" x14ac:dyDescent="0.2">
      <c r="A7" s="108" t="s">
        <v>5</v>
      </c>
      <c r="B7" s="109" t="s">
        <v>86</v>
      </c>
      <c r="C7" s="109" t="s">
        <v>87</v>
      </c>
      <c r="D7" s="110" t="s">
        <v>88</v>
      </c>
      <c r="E7" s="111" t="s">
        <v>85</v>
      </c>
      <c r="F7" s="109" t="s">
        <v>6</v>
      </c>
      <c r="G7" s="109" t="s">
        <v>123</v>
      </c>
      <c r="H7" s="109" t="s">
        <v>125</v>
      </c>
      <c r="I7" s="109" t="s">
        <v>175</v>
      </c>
      <c r="J7" s="109" t="s">
        <v>160</v>
      </c>
    </row>
    <row r="8" spans="1:10" ht="15.75" customHeight="1" x14ac:dyDescent="0.2">
      <c r="A8" s="62">
        <v>1</v>
      </c>
      <c r="B8" s="98">
        <f>SUM('GENSET #1:GENSET #5'!D10)</f>
        <v>23451</v>
      </c>
      <c r="C8" s="98">
        <f>'Diesel consumption'!D5</f>
        <v>6480</v>
      </c>
      <c r="D8" s="117">
        <f>'SOLAR METER READING'!D9</f>
        <v>1933</v>
      </c>
      <c r="E8" s="114">
        <f>'Gas-2'!G6</f>
        <v>180</v>
      </c>
      <c r="F8" s="98">
        <f>WATER!V6</f>
        <v>340</v>
      </c>
      <c r="G8" s="302">
        <f>WATER!W6</f>
        <v>0</v>
      </c>
      <c r="H8" s="18" t="str">
        <f>'SOLAR METER READING'!E9</f>
        <v>rainin</v>
      </c>
      <c r="I8" s="77">
        <f>'SOLAR METER READING'!F9</f>
        <v>27</v>
      </c>
    </row>
    <row r="9" spans="1:10" ht="15.75" customHeight="1" x14ac:dyDescent="0.2">
      <c r="A9" s="62">
        <v>2</v>
      </c>
      <c r="B9" s="98">
        <f>SUM('GENSET #1:GENSET #5'!D11)</f>
        <v>21626</v>
      </c>
      <c r="C9" s="98">
        <f>'Diesel consumption'!D6</f>
        <v>5670</v>
      </c>
      <c r="D9" s="117">
        <f>'SOLAR METER READING'!D10</f>
        <v>3108</v>
      </c>
      <c r="E9" s="114">
        <f>'Gas-2'!G7</f>
        <v>225</v>
      </c>
      <c r="F9" s="98">
        <f>WATER!V7</f>
        <v>349</v>
      </c>
      <c r="G9" s="302">
        <f>WATER!W7</f>
        <v>5275</v>
      </c>
      <c r="H9" s="18" t="str">
        <f>'SOLAR METER READING'!E10</f>
        <v>sunny</v>
      </c>
      <c r="I9" s="77">
        <f>'SOLAR METER READING'!F10</f>
        <v>30</v>
      </c>
      <c r="J9" s="284">
        <f>B9-B8</f>
        <v>-1825</v>
      </c>
    </row>
    <row r="10" spans="1:10" ht="15.75" customHeight="1" x14ac:dyDescent="0.2">
      <c r="A10" s="62">
        <v>3</v>
      </c>
      <c r="B10" s="98">
        <f>SUM('GENSET #1:GENSET #5'!D12)</f>
        <v>23924</v>
      </c>
      <c r="C10" s="98">
        <f>'Diesel consumption'!D7</f>
        <v>6470</v>
      </c>
      <c r="D10" s="117">
        <f>'SOLAR METER READING'!D11</f>
        <v>3264</v>
      </c>
      <c r="E10" s="114">
        <f>'Gas-2'!G8</f>
        <v>225</v>
      </c>
      <c r="F10" s="98">
        <f>WATER!V8</f>
        <v>346</v>
      </c>
      <c r="G10" s="302">
        <f>WATER!W8</f>
        <v>3209</v>
      </c>
      <c r="H10" s="18" t="str">
        <f>'SOLAR METER READING'!E11</f>
        <v>sunny</v>
      </c>
      <c r="I10" s="77">
        <f>'SOLAR METER READING'!F11</f>
        <v>30</v>
      </c>
      <c r="J10" s="284">
        <f t="shared" ref="J10:J37" si="0">B10-B9</f>
        <v>2298</v>
      </c>
    </row>
    <row r="11" spans="1:10" ht="15.75" customHeight="1" x14ac:dyDescent="0.2">
      <c r="A11" s="62">
        <v>4</v>
      </c>
      <c r="B11" s="98">
        <f>SUM('GENSET #1:GENSET #5'!D13)</f>
        <v>23294</v>
      </c>
      <c r="C11" s="98">
        <f>'Diesel consumption'!D8</f>
        <v>6620</v>
      </c>
      <c r="D11" s="117">
        <f>'SOLAR METER READING'!D12</f>
        <v>2470</v>
      </c>
      <c r="E11" s="114">
        <f>'Gas-2'!G9</f>
        <v>225</v>
      </c>
      <c r="F11" s="98">
        <f>WATER!V9</f>
        <v>340</v>
      </c>
      <c r="G11" s="302">
        <f>WATER!W9</f>
        <v>7157</v>
      </c>
      <c r="H11" s="18" t="str">
        <f>'SOLAR METER READING'!E12</f>
        <v>cloudy</v>
      </c>
      <c r="I11" s="77">
        <f>'SOLAR METER READING'!F12</f>
        <v>28</v>
      </c>
      <c r="J11" s="284">
        <f t="shared" si="0"/>
        <v>-630</v>
      </c>
    </row>
    <row r="12" spans="1:10" ht="15.75" customHeight="1" x14ac:dyDescent="0.2">
      <c r="A12" s="62">
        <v>5</v>
      </c>
      <c r="B12" s="98">
        <f>SUM('GENSET #1:GENSET #5'!D14)</f>
        <v>22493</v>
      </c>
      <c r="C12" s="98">
        <f>'Diesel consumption'!D9</f>
        <v>6340</v>
      </c>
      <c r="D12" s="117">
        <f>'SOLAR METER READING'!D13</f>
        <v>2124</v>
      </c>
      <c r="E12" s="114">
        <f>'Gas-2'!G10</f>
        <v>225</v>
      </c>
      <c r="F12" s="98">
        <f>WATER!V10</f>
        <v>275</v>
      </c>
      <c r="G12" s="302">
        <f>WATER!W10</f>
        <v>2548</v>
      </c>
      <c r="H12" s="18" t="str">
        <f>'SOLAR METER READING'!E13</f>
        <v>cloudy</v>
      </c>
      <c r="I12" s="77">
        <f>'SOLAR METER READING'!F13</f>
        <v>28</v>
      </c>
      <c r="J12" s="284">
        <f t="shared" si="0"/>
        <v>-801</v>
      </c>
    </row>
    <row r="13" spans="1:10" ht="15.75" customHeight="1" x14ac:dyDescent="0.2">
      <c r="A13" s="62">
        <v>6</v>
      </c>
      <c r="B13" s="98">
        <f>SUM('GENSET #1:GENSET #5'!D15)</f>
        <v>23652</v>
      </c>
      <c r="C13" s="98">
        <f>'Diesel consumption'!D10</f>
        <v>6530</v>
      </c>
      <c r="D13" s="117">
        <f>'SOLAR METER READING'!D14</f>
        <v>2705</v>
      </c>
      <c r="E13" s="114">
        <f>'Gas-2'!G11</f>
        <v>225</v>
      </c>
      <c r="F13" s="98">
        <f>WATER!V11</f>
        <v>364</v>
      </c>
      <c r="G13" s="302">
        <f>WATER!W11</f>
        <v>6770</v>
      </c>
      <c r="H13" s="18" t="str">
        <f>'SOLAR METER READING'!E14</f>
        <v>cloudy</v>
      </c>
      <c r="I13" s="77">
        <f>'SOLAR METER READING'!F14</f>
        <v>28</v>
      </c>
      <c r="J13" s="284">
        <f t="shared" si="0"/>
        <v>1159</v>
      </c>
    </row>
    <row r="14" spans="1:10" ht="15.75" customHeight="1" x14ac:dyDescent="0.2">
      <c r="A14" s="62">
        <v>7</v>
      </c>
      <c r="B14" s="98">
        <f>SUM('GENSET #1:GENSET #5'!D16)</f>
        <v>24002</v>
      </c>
      <c r="C14" s="98">
        <f>'Diesel consumption'!D11</f>
        <v>6620</v>
      </c>
      <c r="D14" s="117">
        <f>'SOLAR METER READING'!D15</f>
        <v>2968</v>
      </c>
      <c r="E14" s="114">
        <f>'Gas-2'!G12</f>
        <v>270</v>
      </c>
      <c r="F14" s="98">
        <f>WATER!V12</f>
        <v>323</v>
      </c>
      <c r="G14" s="302">
        <f>WATER!W12</f>
        <v>2259</v>
      </c>
      <c r="H14" s="18" t="str">
        <f>'SOLAR METER READING'!E15</f>
        <v>cloudy</v>
      </c>
      <c r="I14" s="77">
        <f>'SOLAR METER READING'!F15</f>
        <v>28</v>
      </c>
      <c r="J14" s="284">
        <f t="shared" si="0"/>
        <v>350</v>
      </c>
    </row>
    <row r="15" spans="1:10" ht="15.75" customHeight="1" x14ac:dyDescent="0.2">
      <c r="A15" s="62">
        <v>8</v>
      </c>
      <c r="B15" s="98">
        <f>SUM('GENSET #1:GENSET #5'!D17)</f>
        <v>24528</v>
      </c>
      <c r="C15" s="98">
        <f>'Diesel consumption'!D12</f>
        <v>6900</v>
      </c>
      <c r="D15" s="117">
        <f>'SOLAR METER READING'!D16</f>
        <v>3156</v>
      </c>
      <c r="E15" s="114">
        <f>'Gas-2'!G13</f>
        <v>225</v>
      </c>
      <c r="F15" s="98">
        <f>WATER!V13</f>
        <v>337</v>
      </c>
      <c r="G15" s="302">
        <f>WATER!W13</f>
        <v>1552</v>
      </c>
      <c r="H15" s="18" t="str">
        <f>'SOLAR METER READING'!E16</f>
        <v>sunny</v>
      </c>
      <c r="I15" s="77">
        <f>'SOLAR METER READING'!F16</f>
        <v>31</v>
      </c>
      <c r="J15" s="284">
        <f t="shared" si="0"/>
        <v>526</v>
      </c>
    </row>
    <row r="16" spans="1:10" ht="15.75" customHeight="1" x14ac:dyDescent="0.2">
      <c r="A16" s="62">
        <v>9</v>
      </c>
      <c r="B16" s="98">
        <f>SUM('GENSET #1:GENSET #5'!D18)</f>
        <v>25400</v>
      </c>
      <c r="C16" s="98">
        <f>'Diesel consumption'!D13</f>
        <v>7130</v>
      </c>
      <c r="D16" s="117">
        <f>'SOLAR METER READING'!D17</f>
        <v>2859</v>
      </c>
      <c r="E16" s="114">
        <f>'Gas-2'!G14</f>
        <v>315</v>
      </c>
      <c r="F16" s="98">
        <f>WATER!V14</f>
        <v>347</v>
      </c>
      <c r="G16" s="302">
        <f>WATER!W14</f>
        <v>3348</v>
      </c>
      <c r="H16" s="18" t="str">
        <f>'SOLAR METER READING'!E17</f>
        <v>cloudy</v>
      </c>
      <c r="I16" s="77">
        <f>'SOLAR METER READING'!F17</f>
        <v>28</v>
      </c>
      <c r="J16" s="284">
        <f t="shared" si="0"/>
        <v>872</v>
      </c>
    </row>
    <row r="17" spans="1:10" ht="15.75" customHeight="1" x14ac:dyDescent="0.2">
      <c r="A17" s="62">
        <v>10</v>
      </c>
      <c r="B17" s="98">
        <f>SUM('GENSET #1:GENSET #5'!D19)</f>
        <v>25384</v>
      </c>
      <c r="C17" s="98">
        <f>'Diesel consumption'!D14</f>
        <v>6650</v>
      </c>
      <c r="D17" s="117">
        <f>'SOLAR METER READING'!D18</f>
        <v>2885</v>
      </c>
      <c r="E17" s="114">
        <f>'Gas-2'!G15</f>
        <v>270</v>
      </c>
      <c r="F17" s="98">
        <f>WATER!V15</f>
        <v>374</v>
      </c>
      <c r="G17" s="302">
        <f>WATER!W15</f>
        <v>5298</v>
      </c>
      <c r="H17" s="18" t="str">
        <f>'SOLAR METER READING'!E18</f>
        <v>cloudy</v>
      </c>
      <c r="I17" s="77">
        <f>'SOLAR METER READING'!F18</f>
        <v>29</v>
      </c>
      <c r="J17" s="284">
        <f t="shared" si="0"/>
        <v>-16</v>
      </c>
    </row>
    <row r="18" spans="1:10" ht="15.75" customHeight="1" x14ac:dyDescent="0.2">
      <c r="A18" s="62">
        <v>11</v>
      </c>
      <c r="B18" s="98">
        <f>SUM('GENSET #1:GENSET #5'!D20)</f>
        <v>26115</v>
      </c>
      <c r="C18" s="98">
        <f>'Diesel consumption'!D15</f>
        <v>7320</v>
      </c>
      <c r="D18" s="117">
        <f>'SOLAR METER READING'!D19</f>
        <v>2890</v>
      </c>
      <c r="E18" s="114">
        <f>'Gas-2'!G16</f>
        <v>180</v>
      </c>
      <c r="F18" s="98">
        <f>WATER!V16</f>
        <v>372</v>
      </c>
      <c r="G18" s="302">
        <f>WATER!W16</f>
        <v>422</v>
      </c>
      <c r="H18" s="18" t="str">
        <f>'SOLAR METER READING'!E19</f>
        <v>cloudy</v>
      </c>
      <c r="I18" s="77">
        <f>'SOLAR METER READING'!F19</f>
        <v>28</v>
      </c>
      <c r="J18" s="284">
        <f t="shared" si="0"/>
        <v>731</v>
      </c>
    </row>
    <row r="19" spans="1:10" ht="15.75" customHeight="1" x14ac:dyDescent="0.2">
      <c r="A19" s="62">
        <v>12</v>
      </c>
      <c r="B19" s="98">
        <f>SUM('GENSET #1:GENSET #5'!D21)</f>
        <v>25368</v>
      </c>
      <c r="C19" s="98">
        <f>'Diesel consumption'!D16</f>
        <v>7060</v>
      </c>
      <c r="D19" s="117">
        <f>'SOLAR METER READING'!D20</f>
        <v>3200</v>
      </c>
      <c r="E19" s="114">
        <f>'Gas-2'!G17</f>
        <v>180</v>
      </c>
      <c r="F19" s="98">
        <f>WATER!V17</f>
        <v>416</v>
      </c>
      <c r="G19" s="302">
        <f>WATER!W17</f>
        <v>0</v>
      </c>
      <c r="H19" s="18" t="str">
        <f>'SOLAR METER READING'!E20</f>
        <v>sunny</v>
      </c>
      <c r="I19" s="77">
        <f>'SOLAR METER READING'!F20</f>
        <v>29</v>
      </c>
      <c r="J19" s="284">
        <f t="shared" si="0"/>
        <v>-747</v>
      </c>
    </row>
    <row r="20" spans="1:10" ht="15.75" customHeight="1" x14ac:dyDescent="0.2">
      <c r="A20" s="62">
        <v>13</v>
      </c>
      <c r="B20" s="98">
        <f>SUM('GENSET #1:GENSET #5'!D22)</f>
        <v>26433</v>
      </c>
      <c r="C20" s="98">
        <f>'Diesel consumption'!D17</f>
        <v>7470</v>
      </c>
      <c r="D20" s="117">
        <f>'SOLAR METER READING'!D21</f>
        <v>3184</v>
      </c>
      <c r="E20" s="114">
        <f>'Gas-2'!G18</f>
        <v>270</v>
      </c>
      <c r="F20" s="98">
        <f>WATER!V18</f>
        <v>376</v>
      </c>
      <c r="G20" s="302">
        <f>WATER!W18</f>
        <v>4600</v>
      </c>
      <c r="H20" s="18" t="str">
        <f>'SOLAR METER READING'!E21</f>
        <v>sunny</v>
      </c>
      <c r="I20" s="77">
        <f>'SOLAR METER READING'!F21</f>
        <v>29</v>
      </c>
      <c r="J20" s="284">
        <f t="shared" si="0"/>
        <v>1065</v>
      </c>
    </row>
    <row r="21" spans="1:10" ht="15.75" customHeight="1" x14ac:dyDescent="0.2">
      <c r="A21" s="62">
        <v>14</v>
      </c>
      <c r="B21" s="98">
        <f>SUM('GENSET #1:GENSET #5'!D23)</f>
        <v>26616</v>
      </c>
      <c r="C21" s="98">
        <f>'Diesel consumption'!D18</f>
        <v>7370</v>
      </c>
      <c r="D21" s="117">
        <f>'SOLAR METER READING'!D22</f>
        <v>3087</v>
      </c>
      <c r="E21" s="114">
        <f>'Gas-2'!G19</f>
        <v>225</v>
      </c>
      <c r="F21" s="98">
        <f>WATER!V19</f>
        <v>376</v>
      </c>
      <c r="G21" s="302">
        <f>WATER!W19</f>
        <v>2029</v>
      </c>
      <c r="H21" s="18" t="str">
        <f>'SOLAR METER READING'!E22</f>
        <v>sunny</v>
      </c>
      <c r="I21" s="77">
        <f>'SOLAR METER READING'!F22</f>
        <v>29</v>
      </c>
      <c r="J21" s="284">
        <f t="shared" si="0"/>
        <v>183</v>
      </c>
    </row>
    <row r="22" spans="1:10" ht="15.75" customHeight="1" x14ac:dyDescent="0.2">
      <c r="A22" s="62">
        <v>15</v>
      </c>
      <c r="B22" s="98">
        <f>SUM('GENSET #1:GENSET #5'!D24)</f>
        <v>27382</v>
      </c>
      <c r="C22" s="98">
        <f>'Diesel consumption'!D19</f>
        <v>7530</v>
      </c>
      <c r="D22" s="117">
        <f>'SOLAR METER READING'!D23</f>
        <v>3173</v>
      </c>
      <c r="E22" s="114">
        <f>'Gas-2'!G20</f>
        <v>225</v>
      </c>
      <c r="F22" s="98">
        <f>WATER!V20</f>
        <v>406</v>
      </c>
      <c r="G22" s="302">
        <f>WATER!W20</f>
        <v>63</v>
      </c>
      <c r="H22" s="18" t="str">
        <f>'SOLAR METER READING'!E23</f>
        <v>sunny</v>
      </c>
      <c r="I22" s="77">
        <f>'SOLAR METER READING'!F23</f>
        <v>29</v>
      </c>
      <c r="J22" s="284">
        <f t="shared" si="0"/>
        <v>766</v>
      </c>
    </row>
    <row r="23" spans="1:10" ht="15.75" customHeight="1" x14ac:dyDescent="0.2">
      <c r="A23" s="62">
        <v>16</v>
      </c>
      <c r="B23" s="98">
        <f>SUM('GENSET #1:GENSET #5'!D25)</f>
        <v>27352</v>
      </c>
      <c r="C23" s="98">
        <f>'Diesel consumption'!D20</f>
        <v>7600</v>
      </c>
      <c r="D23" s="117">
        <f>'SOLAR METER READING'!D24</f>
        <v>2887</v>
      </c>
      <c r="E23" s="114">
        <f>'Gas-2'!G21</f>
        <v>315</v>
      </c>
      <c r="F23" s="98">
        <f>WATER!V21</f>
        <v>426</v>
      </c>
      <c r="G23" s="302">
        <f>WATER!W21</f>
        <v>0</v>
      </c>
      <c r="H23" s="18" t="str">
        <f>'SOLAR METER READING'!E24</f>
        <v>cloudy</v>
      </c>
      <c r="I23" s="77">
        <f>'SOLAR METER READING'!F24</f>
        <v>26</v>
      </c>
      <c r="J23" s="284">
        <f t="shared" si="0"/>
        <v>-30</v>
      </c>
    </row>
    <row r="24" spans="1:10" ht="15.75" customHeight="1" x14ac:dyDescent="0.2">
      <c r="A24" s="62">
        <v>17</v>
      </c>
      <c r="B24" s="98">
        <f>SUM('GENSET #1:GENSET #5'!D26)</f>
        <v>23637</v>
      </c>
      <c r="C24" s="98">
        <f>'Diesel consumption'!D21</f>
        <v>6720</v>
      </c>
      <c r="D24" s="117">
        <f>'SOLAR METER READING'!D25</f>
        <v>1560</v>
      </c>
      <c r="E24" s="114">
        <f>'Gas-2'!G22</f>
        <v>225</v>
      </c>
      <c r="F24" s="98">
        <f>WATER!V22</f>
        <v>421</v>
      </c>
      <c r="G24" s="302">
        <f>WATER!W22</f>
        <v>4203</v>
      </c>
      <c r="H24" s="18" t="str">
        <f>'SOLAR METER READING'!E25</f>
        <v>rainin</v>
      </c>
      <c r="I24" s="77">
        <f>'SOLAR METER READING'!F25</f>
        <v>26</v>
      </c>
      <c r="J24" s="284">
        <f t="shared" si="0"/>
        <v>-3715</v>
      </c>
    </row>
    <row r="25" spans="1:10" ht="15.75" customHeight="1" x14ac:dyDescent="0.2">
      <c r="A25" s="62">
        <v>18</v>
      </c>
      <c r="B25" s="98">
        <f>SUM('GENSET #1:GENSET #5'!D27)</f>
        <v>22431</v>
      </c>
      <c r="C25" s="98">
        <f>'Diesel consumption'!D22</f>
        <v>6240</v>
      </c>
      <c r="D25" s="117">
        <f>'SOLAR METER READING'!D26</f>
        <v>1851</v>
      </c>
      <c r="E25" s="114">
        <f>'Gas-2'!G23</f>
        <v>180</v>
      </c>
      <c r="F25" s="98">
        <f>WATER!V23</f>
        <v>303</v>
      </c>
      <c r="G25" s="302">
        <f>WATER!W23</f>
        <v>0</v>
      </c>
      <c r="H25" s="18" t="str">
        <f>'SOLAR METER READING'!E26</f>
        <v>rainin</v>
      </c>
      <c r="I25" s="77">
        <f>'SOLAR METER READING'!F26</f>
        <v>26</v>
      </c>
      <c r="J25" s="284">
        <f t="shared" si="0"/>
        <v>-1206</v>
      </c>
    </row>
    <row r="26" spans="1:10" ht="15.75" customHeight="1" x14ac:dyDescent="0.2">
      <c r="A26" s="62">
        <v>19</v>
      </c>
      <c r="B26" s="98">
        <f>SUM('GENSET #1:GENSET #5'!D28)</f>
        <v>23981</v>
      </c>
      <c r="C26" s="98">
        <f>'Diesel consumption'!D23</f>
        <v>6720</v>
      </c>
      <c r="D26" s="117">
        <f>'SOLAR METER READING'!D27</f>
        <v>3225</v>
      </c>
      <c r="E26" s="114">
        <f>'Gas-2'!G24</f>
        <v>180</v>
      </c>
      <c r="F26" s="98">
        <f>WATER!V24</f>
        <v>398</v>
      </c>
      <c r="G26" s="302">
        <f>WATER!W24</f>
        <v>5793</v>
      </c>
      <c r="H26" s="18" t="str">
        <f>'SOLAR METER READING'!E27</f>
        <v>sunny</v>
      </c>
      <c r="I26" s="77">
        <f>'SOLAR METER READING'!F27</f>
        <v>29</v>
      </c>
      <c r="J26" s="284">
        <f t="shared" si="0"/>
        <v>1550</v>
      </c>
    </row>
    <row r="27" spans="1:10" ht="15.75" customHeight="1" x14ac:dyDescent="0.2">
      <c r="A27" s="62">
        <v>20</v>
      </c>
      <c r="B27" s="98">
        <f>SUM('GENSET #1:GENSET #5'!D29)</f>
        <v>25152</v>
      </c>
      <c r="C27" s="98">
        <f>'Diesel consumption'!D24</f>
        <v>7100</v>
      </c>
      <c r="D27" s="117">
        <f>'SOLAR METER READING'!D28</f>
        <v>3282</v>
      </c>
      <c r="E27" s="114">
        <f>'Gas-2'!G25</f>
        <v>225</v>
      </c>
      <c r="F27" s="98">
        <f>WATER!V25</f>
        <v>404</v>
      </c>
      <c r="G27" s="302">
        <f>WATER!W25</f>
        <v>4959</v>
      </c>
      <c r="H27" s="18" t="str">
        <f>'SOLAR METER READING'!E28</f>
        <v>sunny</v>
      </c>
      <c r="I27" s="77">
        <f>'SOLAR METER READING'!F28</f>
        <v>29</v>
      </c>
      <c r="J27" s="284">
        <f t="shared" si="0"/>
        <v>1171</v>
      </c>
    </row>
    <row r="28" spans="1:10" ht="15.75" customHeight="1" x14ac:dyDescent="0.2">
      <c r="A28" s="62">
        <v>21</v>
      </c>
      <c r="B28" s="98">
        <f>SUM('GENSET #1:GENSET #5'!D30)</f>
        <v>26181</v>
      </c>
      <c r="C28" s="98">
        <f>'Diesel consumption'!D25</f>
        <v>7260</v>
      </c>
      <c r="D28" s="117">
        <f>'SOLAR METER READING'!D29</f>
        <v>3098</v>
      </c>
      <c r="E28" s="114">
        <f>'Gas-2'!G26</f>
        <v>270</v>
      </c>
      <c r="F28" s="98">
        <f>WATER!V26</f>
        <v>424</v>
      </c>
      <c r="G28" s="302">
        <f>WATER!W26</f>
        <v>3510</v>
      </c>
      <c r="H28" s="18" t="str">
        <f>'SOLAR METER READING'!E29</f>
        <v>sunny</v>
      </c>
      <c r="I28" s="77">
        <f>'SOLAR METER READING'!F29</f>
        <v>29</v>
      </c>
      <c r="J28" s="284">
        <f t="shared" si="0"/>
        <v>1029</v>
      </c>
    </row>
    <row r="29" spans="1:10" ht="15.75" customHeight="1" x14ac:dyDescent="0.2">
      <c r="A29" s="62">
        <v>22</v>
      </c>
      <c r="B29" s="98">
        <f>SUM('GENSET #1:GENSET #5'!D31)</f>
        <v>25334</v>
      </c>
      <c r="C29" s="98">
        <f>'Diesel consumption'!D26</f>
        <v>6980</v>
      </c>
      <c r="D29" s="117">
        <f>'SOLAR METER READING'!D30</f>
        <v>2395</v>
      </c>
      <c r="E29" s="114">
        <f>'Gas-2'!G27</f>
        <v>225</v>
      </c>
      <c r="F29" s="98">
        <f>WATER!V27</f>
        <v>420</v>
      </c>
      <c r="G29" s="302">
        <f>WATER!W27</f>
        <v>1223</v>
      </c>
      <c r="H29" s="18" t="str">
        <f>'SOLAR METER READING'!E30</f>
        <v>cloudy</v>
      </c>
      <c r="I29" s="77">
        <f>'SOLAR METER READING'!F30</f>
        <v>27</v>
      </c>
      <c r="J29" s="284">
        <f t="shared" si="0"/>
        <v>-847</v>
      </c>
    </row>
    <row r="30" spans="1:10" ht="15.75" customHeight="1" x14ac:dyDescent="0.2">
      <c r="A30" s="62">
        <v>23</v>
      </c>
      <c r="B30" s="98">
        <f>SUM('GENSET #1:GENSET #5'!D32)</f>
        <v>26063</v>
      </c>
      <c r="C30" s="98">
        <f>'Diesel consumption'!D27</f>
        <v>7260</v>
      </c>
      <c r="D30" s="117">
        <f>'SOLAR METER READING'!D31</f>
        <v>2839</v>
      </c>
      <c r="E30" s="114">
        <f>'Gas-2'!G28</f>
        <v>270</v>
      </c>
      <c r="F30" s="98">
        <f>WATER!V28</f>
        <v>332</v>
      </c>
      <c r="G30" s="302">
        <f>WATER!W28</f>
        <v>5746</v>
      </c>
      <c r="H30" s="18" t="str">
        <f>'SOLAR METER READING'!E31</f>
        <v>cloudy</v>
      </c>
      <c r="I30" s="77">
        <f>'SOLAR METER READING'!F31</f>
        <v>28</v>
      </c>
      <c r="J30" s="284">
        <f t="shared" si="0"/>
        <v>729</v>
      </c>
    </row>
    <row r="31" spans="1:10" ht="15.75" customHeight="1" x14ac:dyDescent="0.2">
      <c r="A31" s="62">
        <v>24</v>
      </c>
      <c r="B31" s="98">
        <f>SUM('GENSET #1:GENSET #5'!D33)</f>
        <v>26316</v>
      </c>
      <c r="C31" s="98">
        <f>'Diesel consumption'!D28</f>
        <v>7330</v>
      </c>
      <c r="D31" s="117">
        <f>'SOLAR METER READING'!D32</f>
        <v>3040</v>
      </c>
      <c r="E31" s="114">
        <f>'Gas-2'!G29</f>
        <v>225</v>
      </c>
      <c r="F31" s="98">
        <f>WATER!V29</f>
        <v>429</v>
      </c>
      <c r="G31" s="302">
        <f>WATER!W29</f>
        <v>2409</v>
      </c>
      <c r="H31" s="18" t="str">
        <f>'SOLAR METER READING'!E32</f>
        <v>sunny</v>
      </c>
      <c r="I31" s="77">
        <f>'SOLAR METER READING'!F32</f>
        <v>28</v>
      </c>
      <c r="J31" s="284">
        <f t="shared" si="0"/>
        <v>253</v>
      </c>
    </row>
    <row r="32" spans="1:10" ht="15.75" customHeight="1" x14ac:dyDescent="0.2">
      <c r="A32" s="62">
        <v>25</v>
      </c>
      <c r="B32" s="98">
        <f>SUM('GENSET #1:GENSET #5'!D34)</f>
        <v>26592</v>
      </c>
      <c r="C32" s="98">
        <f>'Diesel consumption'!D29</f>
        <v>7420</v>
      </c>
      <c r="D32" s="117">
        <f>'SOLAR METER READING'!D33</f>
        <v>2052</v>
      </c>
      <c r="E32" s="114">
        <f>'Gas-2'!G30</f>
        <v>225</v>
      </c>
      <c r="F32" s="98">
        <f>WATER!V30</f>
        <v>423</v>
      </c>
      <c r="G32" s="302">
        <f>WATER!W30</f>
        <v>0</v>
      </c>
      <c r="H32" s="18" t="str">
        <f>'SOLAR METER READING'!E33</f>
        <v>rainin</v>
      </c>
      <c r="I32" s="77">
        <f>'SOLAR METER READING'!F33</f>
        <v>28</v>
      </c>
      <c r="J32" s="284">
        <f t="shared" si="0"/>
        <v>276</v>
      </c>
    </row>
    <row r="33" spans="1:12" ht="15.75" customHeight="1" x14ac:dyDescent="0.2">
      <c r="A33" s="62">
        <v>26</v>
      </c>
      <c r="B33" s="120">
        <f>SUM('GENSET #1:GENSET #5'!D35)</f>
        <v>25965</v>
      </c>
      <c r="C33" s="98">
        <f>'Diesel consumption'!D30</f>
        <v>6940</v>
      </c>
      <c r="D33" s="117">
        <f>'SOLAR METER READING'!D34</f>
        <v>2807</v>
      </c>
      <c r="E33" s="114">
        <f>'Gas-2'!G31</f>
        <v>225</v>
      </c>
      <c r="F33" s="98">
        <f>WATER!V31</f>
        <v>436</v>
      </c>
      <c r="G33" s="302">
        <f>WATER!W31</f>
        <v>5863</v>
      </c>
      <c r="H33" s="18" t="str">
        <f>'SOLAR METER READING'!E34</f>
        <v>cloudy</v>
      </c>
      <c r="I33" s="77">
        <f>'SOLAR METER READING'!F34</f>
        <v>29</v>
      </c>
      <c r="J33" s="284">
        <f t="shared" si="0"/>
        <v>-627</v>
      </c>
    </row>
    <row r="34" spans="1:12" ht="15.75" customHeight="1" x14ac:dyDescent="0.2">
      <c r="A34" s="62">
        <v>27</v>
      </c>
      <c r="B34" s="98">
        <f>SUM('GENSET #1:GENSET #5'!D36)</f>
        <v>25871</v>
      </c>
      <c r="C34" s="98">
        <f>'Diesel consumption'!D31</f>
        <v>7250</v>
      </c>
      <c r="D34" s="117">
        <f>'SOLAR METER READING'!D35</f>
        <v>2813</v>
      </c>
      <c r="E34" s="114">
        <f>'Gas-2'!G32</f>
        <v>270</v>
      </c>
      <c r="F34" s="98">
        <f>WATER!V32</f>
        <v>412</v>
      </c>
      <c r="G34" s="302">
        <f>WATER!W32</f>
        <v>1006</v>
      </c>
      <c r="H34" s="18" t="str">
        <f>'SOLAR METER READING'!E35</f>
        <v>cloudy</v>
      </c>
      <c r="I34" s="77">
        <f>'SOLAR METER READING'!F35</f>
        <v>28</v>
      </c>
      <c r="J34" s="284">
        <f t="shared" si="0"/>
        <v>-94</v>
      </c>
    </row>
    <row r="35" spans="1:12" ht="15.75" customHeight="1" x14ac:dyDescent="0.2">
      <c r="A35" s="62">
        <v>28</v>
      </c>
      <c r="B35" s="98">
        <f>SUM('GENSET #1:GENSET #5'!D37)</f>
        <v>26453</v>
      </c>
      <c r="C35" s="98">
        <f>'Diesel consumption'!D32</f>
        <v>7380</v>
      </c>
      <c r="D35" s="117">
        <f>'SOLAR METER READING'!D36</f>
        <v>3050</v>
      </c>
      <c r="E35" s="114">
        <f>'Gas-2'!G33</f>
        <v>270</v>
      </c>
      <c r="F35" s="98">
        <f>WATER!V33</f>
        <v>420</v>
      </c>
      <c r="G35" s="302">
        <f>WATER!W33</f>
        <v>5474</v>
      </c>
      <c r="H35" s="18" t="str">
        <f>'SOLAR METER READING'!E36</f>
        <v>sunny</v>
      </c>
      <c r="I35" s="77">
        <f>'SOLAR METER READING'!F36</f>
        <v>30</v>
      </c>
      <c r="J35" s="284">
        <f t="shared" si="0"/>
        <v>582</v>
      </c>
    </row>
    <row r="36" spans="1:12" ht="15.75" customHeight="1" x14ac:dyDescent="0.2">
      <c r="A36" s="62">
        <v>29</v>
      </c>
      <c r="B36" s="98">
        <f>SUM('GENSET #1:GENSET #5'!D38)</f>
        <v>27036</v>
      </c>
      <c r="C36" s="98">
        <f>'Diesel consumption'!D33</f>
        <v>7510</v>
      </c>
      <c r="D36" s="117">
        <f>'SOLAR METER READING'!D37</f>
        <v>3030</v>
      </c>
      <c r="E36" s="114">
        <f>'Gas-2'!G34</f>
        <v>315</v>
      </c>
      <c r="F36" s="98">
        <f>WATER!V34</f>
        <v>460</v>
      </c>
      <c r="G36" s="302">
        <f>WATER!W34</f>
        <v>1831</v>
      </c>
      <c r="H36" s="18" t="str">
        <f>'SOLAR METER READING'!E37</f>
        <v>sunny</v>
      </c>
      <c r="I36" s="77">
        <f>'SOLAR METER READING'!F37</f>
        <v>31</v>
      </c>
      <c r="J36" s="284">
        <f t="shared" si="0"/>
        <v>583</v>
      </c>
    </row>
    <row r="37" spans="1:12" ht="15.75" customHeight="1" x14ac:dyDescent="0.2">
      <c r="A37" s="62">
        <v>30</v>
      </c>
      <c r="B37" s="98">
        <f>SUM('GENSET #1:GENSET #5'!D39)</f>
        <v>26752</v>
      </c>
      <c r="C37" s="98">
        <f>'Diesel consumption'!D34</f>
        <v>7430</v>
      </c>
      <c r="D37" s="117">
        <f>'SOLAR METER READING'!D38</f>
        <v>3045</v>
      </c>
      <c r="E37" s="114">
        <f>'Gas-2'!G35</f>
        <v>225</v>
      </c>
      <c r="F37" s="98">
        <f>WATER!V35</f>
        <v>424</v>
      </c>
      <c r="G37" s="302">
        <f>WATER!W35</f>
        <v>0</v>
      </c>
      <c r="H37" s="18" t="str">
        <f>'SOLAR METER READING'!E38</f>
        <v>sunny</v>
      </c>
      <c r="I37" s="77">
        <f>'SOLAR METER READING'!F38</f>
        <v>31</v>
      </c>
      <c r="J37" s="284">
        <f t="shared" si="0"/>
        <v>-284</v>
      </c>
    </row>
    <row r="38" spans="1:12" ht="15.75" customHeight="1" x14ac:dyDescent="0.2">
      <c r="A38" s="62">
        <v>31</v>
      </c>
      <c r="B38" s="98">
        <f>SUM('GENSET #1:GENSET #5'!D40)</f>
        <v>27036</v>
      </c>
      <c r="C38" s="98">
        <f>'Diesel consumption'!D35</f>
        <v>7410</v>
      </c>
      <c r="D38" s="117">
        <f>'SOLAR METER READING'!D39</f>
        <v>2686</v>
      </c>
      <c r="E38" s="114">
        <f>'Gas-2'!G36</f>
        <v>270</v>
      </c>
      <c r="F38" s="98">
        <f>WATER!V36</f>
        <v>442</v>
      </c>
      <c r="G38" s="302">
        <f>WATER!W36</f>
        <v>4461</v>
      </c>
      <c r="H38" s="18" t="str">
        <f>'SOLAR METER READING'!E39</f>
        <v>cloudy</v>
      </c>
      <c r="I38" s="77">
        <f>'SOLAR METER READING'!F39</f>
        <v>29</v>
      </c>
      <c r="J38" s="284">
        <f t="shared" ref="J38" si="1">B38-B37</f>
        <v>284</v>
      </c>
    </row>
    <row r="39" spans="1:12" ht="18.75" customHeight="1" thickBot="1" x14ac:dyDescent="0.25">
      <c r="A39" s="96" t="s">
        <v>7</v>
      </c>
      <c r="B39" s="112">
        <f>SUM(B8:B38)</f>
        <v>781820</v>
      </c>
      <c r="C39" s="112">
        <f>SUM(C8:C38)</f>
        <v>216710</v>
      </c>
      <c r="D39" s="112">
        <f>SUM(D8:D38)</f>
        <v>86666</v>
      </c>
      <c r="E39" s="119">
        <f>SUM(E8:E38)</f>
        <v>7380</v>
      </c>
      <c r="F39" s="9">
        <f>SUM(F8:F38)</f>
        <v>11915</v>
      </c>
      <c r="G39" s="302">
        <f>SUM(G8:G37)/30</f>
        <v>2884.9</v>
      </c>
      <c r="H39" s="18">
        <f>'SOLAR METER READING'!E40</f>
        <v>0</v>
      </c>
      <c r="I39" s="77">
        <f>'SOLAR METER READING'!F40</f>
        <v>0</v>
      </c>
      <c r="L39" s="95"/>
    </row>
    <row r="40" spans="1:12" ht="13.5" thickTop="1" x14ac:dyDescent="0.2">
      <c r="A40" s="96" t="s">
        <v>152</v>
      </c>
      <c r="B40" s="115">
        <f ca="1">B39/J3</f>
        <v>1777.8614447313473</v>
      </c>
      <c r="C40" s="115">
        <f ca="1">C39/J3</f>
        <v>492.79930634638441</v>
      </c>
      <c r="D40" s="115">
        <f ca="1">D39/J3</f>
        <v>197.07879047490081</v>
      </c>
      <c r="E40" s="67">
        <f ca="1">E39/J3</f>
        <v>16.782146097717305</v>
      </c>
      <c r="F40" s="2">
        <f ca="1">F39/J3</f>
        <v>27.094752134729227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7212-C01A-46FA-921A-815936DF415A}">
  <dimension ref="A1:C35"/>
  <sheetViews>
    <sheetView workbookViewId="0">
      <selection activeCell="C4" sqref="C4"/>
    </sheetView>
  </sheetViews>
  <sheetFormatPr defaultRowHeight="15" x14ac:dyDescent="0.25"/>
  <cols>
    <col min="1" max="1" width="14" style="177" customWidth="1"/>
    <col min="2" max="3" width="13" style="196" customWidth="1"/>
  </cols>
  <sheetData>
    <row r="1" spans="1:3" ht="24" thickBot="1" x14ac:dyDescent="0.45">
      <c r="A1" s="175"/>
      <c r="B1" s="191"/>
      <c r="C1" s="191"/>
    </row>
    <row r="2" spans="1:3" ht="18" thickBot="1" x14ac:dyDescent="0.25">
      <c r="A2" s="178" t="s">
        <v>89</v>
      </c>
      <c r="B2" s="194"/>
      <c r="C2" s="194"/>
    </row>
    <row r="3" spans="1:3" ht="30" x14ac:dyDescent="0.2">
      <c r="A3" s="179" t="s">
        <v>39</v>
      </c>
      <c r="B3" s="195" t="s">
        <v>99</v>
      </c>
      <c r="C3" s="195" t="s">
        <v>197</v>
      </c>
    </row>
    <row r="4" spans="1:3" x14ac:dyDescent="0.2">
      <c r="A4" s="183">
        <v>44469</v>
      </c>
      <c r="B4" s="188">
        <v>21</v>
      </c>
      <c r="C4" s="188">
        <v>222</v>
      </c>
    </row>
    <row r="5" spans="1:3" x14ac:dyDescent="0.2">
      <c r="A5" s="189">
        <f>A4+1</f>
        <v>44470</v>
      </c>
      <c r="B5" s="191">
        <v>12.6</v>
      </c>
      <c r="C5" s="191">
        <v>100</v>
      </c>
    </row>
    <row r="6" spans="1:3" x14ac:dyDescent="0.2">
      <c r="A6" s="189">
        <f t="shared" ref="A6:A34" si="0">A5+1</f>
        <v>44471</v>
      </c>
      <c r="B6" s="191">
        <v>9.6999999999999993</v>
      </c>
      <c r="C6" s="191">
        <v>88</v>
      </c>
    </row>
    <row r="7" spans="1:3" x14ac:dyDescent="0.2">
      <c r="A7" s="189">
        <f t="shared" si="0"/>
        <v>44472</v>
      </c>
      <c r="B7" s="191">
        <v>10.7</v>
      </c>
      <c r="C7" s="191">
        <v>76</v>
      </c>
    </row>
    <row r="8" spans="1:3" x14ac:dyDescent="0.2">
      <c r="A8" s="189">
        <f t="shared" si="0"/>
        <v>44473</v>
      </c>
      <c r="B8" s="191">
        <v>11.7</v>
      </c>
      <c r="C8" s="191">
        <v>71</v>
      </c>
    </row>
    <row r="9" spans="1:3" x14ac:dyDescent="0.2">
      <c r="A9" s="189">
        <f t="shared" si="0"/>
        <v>44474</v>
      </c>
      <c r="B9" s="191">
        <v>18.399999999999999</v>
      </c>
      <c r="C9" s="191">
        <v>92</v>
      </c>
    </row>
    <row r="10" spans="1:3" x14ac:dyDescent="0.2">
      <c r="A10" s="189">
        <f t="shared" si="0"/>
        <v>44475</v>
      </c>
      <c r="B10" s="191">
        <v>20.399999999999999</v>
      </c>
      <c r="C10" s="191">
        <v>129</v>
      </c>
    </row>
    <row r="11" spans="1:3" x14ac:dyDescent="0.2">
      <c r="A11" s="189">
        <f t="shared" si="0"/>
        <v>44476</v>
      </c>
      <c r="B11" s="191">
        <v>21.4</v>
      </c>
      <c r="C11" s="191">
        <v>137</v>
      </c>
    </row>
    <row r="12" spans="1:3" x14ac:dyDescent="0.2">
      <c r="A12" s="189">
        <f t="shared" si="0"/>
        <v>44477</v>
      </c>
      <c r="B12" s="191">
        <v>21.4</v>
      </c>
      <c r="C12" s="191">
        <v>129</v>
      </c>
    </row>
    <row r="13" spans="1:3" x14ac:dyDescent="0.2">
      <c r="A13" s="189">
        <f t="shared" si="0"/>
        <v>44478</v>
      </c>
      <c r="B13" s="191">
        <v>20.399999999999999</v>
      </c>
      <c r="C13" s="191">
        <v>119</v>
      </c>
    </row>
    <row r="14" spans="1:3" x14ac:dyDescent="0.2">
      <c r="A14" s="189">
        <f t="shared" si="0"/>
        <v>44479</v>
      </c>
      <c r="B14" s="191">
        <v>20.399999999999999</v>
      </c>
      <c r="C14" s="191">
        <v>144</v>
      </c>
    </row>
    <row r="15" spans="1:3" x14ac:dyDescent="0.2">
      <c r="A15" s="189">
        <f t="shared" si="0"/>
        <v>44480</v>
      </c>
      <c r="B15" s="191">
        <v>23.3</v>
      </c>
      <c r="C15" s="191">
        <v>158</v>
      </c>
    </row>
    <row r="16" spans="1:3" x14ac:dyDescent="0.2">
      <c r="A16" s="189">
        <f t="shared" si="0"/>
        <v>44481</v>
      </c>
      <c r="B16" s="191">
        <v>26.2</v>
      </c>
      <c r="C16" s="191">
        <v>192</v>
      </c>
    </row>
    <row r="17" spans="1:3" x14ac:dyDescent="0.2">
      <c r="A17" s="189">
        <f t="shared" si="0"/>
        <v>44482</v>
      </c>
      <c r="B17" s="191">
        <v>23.3</v>
      </c>
      <c r="C17" s="191">
        <v>184</v>
      </c>
    </row>
    <row r="18" spans="1:3" x14ac:dyDescent="0.2">
      <c r="A18" s="189">
        <f t="shared" si="0"/>
        <v>44483</v>
      </c>
      <c r="B18" s="191">
        <v>23.3</v>
      </c>
      <c r="C18" s="191">
        <v>170</v>
      </c>
    </row>
    <row r="19" spans="1:3" x14ac:dyDescent="0.2">
      <c r="A19" s="189">
        <f t="shared" si="0"/>
        <v>44484</v>
      </c>
      <c r="B19" s="191">
        <v>30.1</v>
      </c>
      <c r="C19" s="191">
        <v>244</v>
      </c>
    </row>
    <row r="20" spans="1:3" x14ac:dyDescent="0.2">
      <c r="A20" s="189">
        <f t="shared" si="0"/>
        <v>44485</v>
      </c>
      <c r="B20" s="191">
        <v>33</v>
      </c>
      <c r="C20" s="191">
        <v>270</v>
      </c>
    </row>
    <row r="21" spans="1:3" x14ac:dyDescent="0.2">
      <c r="A21" s="189">
        <f t="shared" si="0"/>
        <v>44486</v>
      </c>
      <c r="B21" s="191">
        <v>42.7</v>
      </c>
      <c r="C21" s="191">
        <v>341</v>
      </c>
    </row>
    <row r="22" spans="1:3" x14ac:dyDescent="0.2">
      <c r="A22" s="189">
        <f t="shared" si="0"/>
        <v>44487</v>
      </c>
      <c r="B22" s="191">
        <v>45.6</v>
      </c>
      <c r="C22" s="191">
        <v>364</v>
      </c>
    </row>
    <row r="23" spans="1:3" x14ac:dyDescent="0.2">
      <c r="A23" s="189">
        <f t="shared" si="0"/>
        <v>44488</v>
      </c>
      <c r="B23" s="191">
        <v>49.5</v>
      </c>
      <c r="C23" s="191">
        <v>408</v>
      </c>
    </row>
    <row r="24" spans="1:3" x14ac:dyDescent="0.2">
      <c r="A24" s="189">
        <f t="shared" si="0"/>
        <v>44489</v>
      </c>
      <c r="B24" s="191">
        <v>49.5</v>
      </c>
      <c r="C24" s="191">
        <v>408</v>
      </c>
    </row>
    <row r="25" spans="1:3" x14ac:dyDescent="0.2">
      <c r="A25" s="189">
        <f t="shared" si="0"/>
        <v>44490</v>
      </c>
      <c r="B25" s="191">
        <v>53.4</v>
      </c>
      <c r="C25" s="191">
        <v>447</v>
      </c>
    </row>
    <row r="26" spans="1:3" x14ac:dyDescent="0.2">
      <c r="A26" s="189">
        <f t="shared" si="0"/>
        <v>44491</v>
      </c>
      <c r="B26" s="191">
        <v>52.4</v>
      </c>
      <c r="C26" s="191">
        <v>438</v>
      </c>
    </row>
    <row r="27" spans="1:3" x14ac:dyDescent="0.2">
      <c r="A27" s="189">
        <f t="shared" si="0"/>
        <v>44492</v>
      </c>
      <c r="B27" s="191">
        <v>54.4</v>
      </c>
      <c r="C27" s="191">
        <v>478</v>
      </c>
    </row>
    <row r="28" spans="1:3" x14ac:dyDescent="0.2">
      <c r="A28" s="189">
        <f t="shared" si="0"/>
        <v>44493</v>
      </c>
      <c r="B28" s="191">
        <v>49.5</v>
      </c>
      <c r="C28" s="191">
        <v>408</v>
      </c>
    </row>
    <row r="29" spans="1:3" x14ac:dyDescent="0.2">
      <c r="A29" s="189">
        <f t="shared" si="0"/>
        <v>44494</v>
      </c>
      <c r="B29" s="191">
        <v>50.5</v>
      </c>
      <c r="C29" s="191">
        <v>414</v>
      </c>
    </row>
    <row r="30" spans="1:3" x14ac:dyDescent="0.2">
      <c r="A30" s="189">
        <f t="shared" si="0"/>
        <v>44495</v>
      </c>
      <c r="B30" s="191">
        <v>46.6</v>
      </c>
      <c r="C30" s="191">
        <v>409</v>
      </c>
    </row>
    <row r="31" spans="1:3" x14ac:dyDescent="0.2">
      <c r="A31" s="189">
        <f t="shared" si="0"/>
        <v>44496</v>
      </c>
      <c r="B31" s="191">
        <v>49.5</v>
      </c>
      <c r="C31" s="191">
        <v>477</v>
      </c>
    </row>
    <row r="32" spans="1:3" x14ac:dyDescent="0.2">
      <c r="A32" s="189">
        <f t="shared" si="0"/>
        <v>44497</v>
      </c>
      <c r="B32" s="191">
        <v>48.5</v>
      </c>
      <c r="C32" s="191">
        <v>461</v>
      </c>
    </row>
    <row r="33" spans="1:3" x14ac:dyDescent="0.2">
      <c r="A33" s="189">
        <f t="shared" si="0"/>
        <v>44498</v>
      </c>
      <c r="B33" s="191">
        <v>48.5</v>
      </c>
      <c r="C33" s="191">
        <v>408</v>
      </c>
    </row>
    <row r="34" spans="1:3" x14ac:dyDescent="0.2">
      <c r="A34" s="189">
        <f t="shared" si="0"/>
        <v>44499</v>
      </c>
      <c r="B34" s="191">
        <v>48</v>
      </c>
      <c r="C34" s="191">
        <v>409</v>
      </c>
    </row>
    <row r="35" spans="1:3" x14ac:dyDescent="0.2">
      <c r="A35" s="189">
        <f>A34+1</f>
        <v>44500</v>
      </c>
      <c r="B35" s="191">
        <v>46.6</v>
      </c>
      <c r="C35" s="191">
        <v>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4" zoomScaleNormal="100" workbookViewId="0">
      <selection activeCell="D10" sqref="D10:D40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1" t="s">
        <v>16</v>
      </c>
      <c r="D1" s="341"/>
    </row>
    <row r="2" spans="1:6" x14ac:dyDescent="0.2">
      <c r="C2" s="341"/>
      <c r="D2" s="34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44470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2" t="s">
        <v>18</v>
      </c>
      <c r="C8" s="343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17914005</v>
      </c>
      <c r="C10" s="72">
        <v>17925985</v>
      </c>
      <c r="D10" s="6">
        <f>MAX(0,C10-B10)</f>
        <v>11980</v>
      </c>
      <c r="E10" s="29"/>
      <c r="F10" s="29"/>
    </row>
    <row r="11" spans="1:6" ht="13.5" customHeight="1" x14ac:dyDescent="0.2">
      <c r="A11" s="30">
        <v>2</v>
      </c>
      <c r="B11" s="31">
        <f>C10</f>
        <v>17925985</v>
      </c>
      <c r="C11" s="72">
        <v>17926384</v>
      </c>
      <c r="D11" s="6">
        <f>MAX(0,C11-B11)</f>
        <v>399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17926384</v>
      </c>
      <c r="C12" s="72">
        <v>17930939</v>
      </c>
      <c r="D12" s="6">
        <f t="shared" ref="D12:D40" si="1">MAX(0,C12-B12)</f>
        <v>4555</v>
      </c>
      <c r="E12" s="34"/>
      <c r="F12" s="34"/>
    </row>
    <row r="13" spans="1:6" ht="13.5" customHeight="1" x14ac:dyDescent="0.2">
      <c r="A13" s="30">
        <v>4</v>
      </c>
      <c r="B13" s="31">
        <f t="shared" si="0"/>
        <v>17930939</v>
      </c>
      <c r="C13" s="72">
        <v>17938226</v>
      </c>
      <c r="D13" s="6">
        <f t="shared" si="1"/>
        <v>7287</v>
      </c>
      <c r="E13" s="34"/>
      <c r="F13" s="34"/>
    </row>
    <row r="14" spans="1:6" ht="13.5" customHeight="1" x14ac:dyDescent="0.2">
      <c r="A14" s="30">
        <v>5</v>
      </c>
      <c r="B14" s="31">
        <f t="shared" si="0"/>
        <v>17938226</v>
      </c>
      <c r="C14" s="72">
        <v>17942921</v>
      </c>
      <c r="D14" s="6">
        <f t="shared" si="1"/>
        <v>4695</v>
      </c>
      <c r="E14" s="34"/>
      <c r="F14" s="34"/>
    </row>
    <row r="15" spans="1:6" ht="13.5" customHeight="1" x14ac:dyDescent="0.2">
      <c r="A15" s="30">
        <v>6</v>
      </c>
      <c r="B15" s="31">
        <f t="shared" si="0"/>
        <v>17942921</v>
      </c>
      <c r="C15" s="72">
        <v>17948497</v>
      </c>
      <c r="D15" s="6">
        <f t="shared" si="1"/>
        <v>5576</v>
      </c>
      <c r="E15" s="34"/>
      <c r="F15" s="34"/>
    </row>
    <row r="16" spans="1:6" ht="13.5" customHeight="1" x14ac:dyDescent="0.2">
      <c r="A16" s="30">
        <v>7</v>
      </c>
      <c r="B16" s="31">
        <f t="shared" si="0"/>
        <v>17948497</v>
      </c>
      <c r="C16" s="72">
        <v>17953100</v>
      </c>
      <c r="D16" s="6">
        <f t="shared" si="1"/>
        <v>4603</v>
      </c>
      <c r="E16" s="34"/>
      <c r="F16" s="34"/>
    </row>
    <row r="17" spans="1:6" ht="13.5" customHeight="1" x14ac:dyDescent="0.2">
      <c r="A17" s="30">
        <v>8</v>
      </c>
      <c r="B17" s="31">
        <f t="shared" si="0"/>
        <v>17953100</v>
      </c>
      <c r="C17" s="72">
        <v>17959503</v>
      </c>
      <c r="D17" s="6">
        <f t="shared" si="1"/>
        <v>6403</v>
      </c>
      <c r="E17" s="34"/>
      <c r="F17" s="34"/>
    </row>
    <row r="18" spans="1:6" ht="13.5" customHeight="1" x14ac:dyDescent="0.2">
      <c r="A18" s="30">
        <v>9</v>
      </c>
      <c r="B18" s="31">
        <f t="shared" si="0"/>
        <v>17959503</v>
      </c>
      <c r="C18" s="72">
        <v>17965511</v>
      </c>
      <c r="D18" s="6">
        <f t="shared" si="1"/>
        <v>6008</v>
      </c>
      <c r="E18" s="34"/>
      <c r="F18" s="34"/>
    </row>
    <row r="19" spans="1:6" ht="13.5" customHeight="1" x14ac:dyDescent="0.2">
      <c r="A19" s="30">
        <v>10</v>
      </c>
      <c r="B19" s="31">
        <f t="shared" si="0"/>
        <v>17965511</v>
      </c>
      <c r="C19" s="72">
        <v>17967938</v>
      </c>
      <c r="D19" s="6">
        <f t="shared" si="1"/>
        <v>2427</v>
      </c>
      <c r="E19" s="34"/>
      <c r="F19" s="34"/>
    </row>
    <row r="20" spans="1:6" ht="13.5" customHeight="1" x14ac:dyDescent="0.2">
      <c r="A20" s="30">
        <v>11</v>
      </c>
      <c r="B20" s="31">
        <f t="shared" si="0"/>
        <v>17967938</v>
      </c>
      <c r="C20" s="72">
        <v>17976335</v>
      </c>
      <c r="D20" s="6">
        <f t="shared" si="1"/>
        <v>8397</v>
      </c>
      <c r="E20" s="34"/>
      <c r="F20" s="34"/>
    </row>
    <row r="21" spans="1:6" ht="13.5" customHeight="1" x14ac:dyDescent="0.2">
      <c r="A21" s="30">
        <v>12</v>
      </c>
      <c r="B21" s="31">
        <f t="shared" si="0"/>
        <v>17976335</v>
      </c>
      <c r="C21" s="72">
        <v>17984700</v>
      </c>
      <c r="D21" s="6">
        <f t="shared" si="1"/>
        <v>8365</v>
      </c>
      <c r="E21" s="34"/>
      <c r="F21" s="34"/>
    </row>
    <row r="22" spans="1:6" ht="13.5" customHeight="1" x14ac:dyDescent="0.2">
      <c r="A22" s="30">
        <v>13</v>
      </c>
      <c r="B22" s="31">
        <f t="shared" si="0"/>
        <v>17984700</v>
      </c>
      <c r="C22" s="72">
        <v>17990100</v>
      </c>
      <c r="D22" s="6">
        <f t="shared" si="1"/>
        <v>5400</v>
      </c>
      <c r="E22" s="34"/>
      <c r="F22" s="34"/>
    </row>
    <row r="23" spans="1:6" ht="13.5" customHeight="1" x14ac:dyDescent="0.2">
      <c r="A23" s="30">
        <v>14</v>
      </c>
      <c r="B23" s="31">
        <f t="shared" si="0"/>
        <v>17990100</v>
      </c>
      <c r="C23" s="72">
        <v>17998495</v>
      </c>
      <c r="D23" s="6">
        <f t="shared" si="1"/>
        <v>8395</v>
      </c>
      <c r="E23" s="34"/>
      <c r="F23" s="34"/>
    </row>
    <row r="24" spans="1:6" ht="13.5" customHeight="1" x14ac:dyDescent="0.2">
      <c r="A24" s="30">
        <v>15</v>
      </c>
      <c r="B24" s="31">
        <f t="shared" si="0"/>
        <v>17998495</v>
      </c>
      <c r="C24" s="72">
        <v>18006975</v>
      </c>
      <c r="D24" s="6">
        <f t="shared" si="1"/>
        <v>8480</v>
      </c>
      <c r="E24" s="34"/>
      <c r="F24" s="34"/>
    </row>
    <row r="25" spans="1:6" ht="13.5" customHeight="1" x14ac:dyDescent="0.2">
      <c r="A25" s="30">
        <v>16</v>
      </c>
      <c r="B25" s="31">
        <f t="shared" si="0"/>
        <v>18006975</v>
      </c>
      <c r="C25" s="72">
        <v>18015303</v>
      </c>
      <c r="D25" s="6">
        <f t="shared" si="1"/>
        <v>8328</v>
      </c>
      <c r="E25" s="34"/>
      <c r="F25" s="34"/>
    </row>
    <row r="26" spans="1:6" ht="13.5" customHeight="1" x14ac:dyDescent="0.2">
      <c r="A26" s="30">
        <v>17</v>
      </c>
      <c r="B26" s="31">
        <f t="shared" si="0"/>
        <v>18015303</v>
      </c>
      <c r="C26" s="72">
        <v>18023280</v>
      </c>
      <c r="D26" s="6">
        <f t="shared" si="1"/>
        <v>7977</v>
      </c>
      <c r="E26" s="34"/>
      <c r="F26" s="34"/>
    </row>
    <row r="27" spans="1:6" ht="13.5" customHeight="1" x14ac:dyDescent="0.2">
      <c r="A27" s="30">
        <v>18</v>
      </c>
      <c r="B27" s="31">
        <f t="shared" si="0"/>
        <v>18023280</v>
      </c>
      <c r="C27" s="72">
        <v>18031138</v>
      </c>
      <c r="D27" s="6">
        <f t="shared" si="1"/>
        <v>7858</v>
      </c>
      <c r="E27" s="34"/>
      <c r="F27" s="34"/>
    </row>
    <row r="28" spans="1:6" ht="13.5" customHeight="1" x14ac:dyDescent="0.2">
      <c r="A28" s="30">
        <v>19</v>
      </c>
      <c r="B28" s="31">
        <f t="shared" si="0"/>
        <v>18031138</v>
      </c>
      <c r="C28" s="72">
        <v>18031230</v>
      </c>
      <c r="D28" s="6">
        <f t="shared" si="1"/>
        <v>92</v>
      </c>
      <c r="E28" s="34"/>
      <c r="F28" s="34"/>
    </row>
    <row r="29" spans="1:6" ht="13.5" customHeight="1" x14ac:dyDescent="0.2">
      <c r="A29" s="30">
        <v>20</v>
      </c>
      <c r="B29" s="31">
        <f t="shared" si="0"/>
        <v>18031230</v>
      </c>
      <c r="C29" s="72">
        <v>18040984</v>
      </c>
      <c r="D29" s="6">
        <f t="shared" si="1"/>
        <v>9754</v>
      </c>
      <c r="E29" s="34"/>
      <c r="F29" s="34"/>
    </row>
    <row r="30" spans="1:6" ht="13.5" customHeight="1" x14ac:dyDescent="0.2">
      <c r="A30" s="30">
        <v>21</v>
      </c>
      <c r="B30" s="31">
        <f t="shared" si="0"/>
        <v>18040984</v>
      </c>
      <c r="C30" s="72">
        <v>18045149</v>
      </c>
      <c r="D30" s="6">
        <f t="shared" si="1"/>
        <v>4165</v>
      </c>
      <c r="E30" s="34"/>
      <c r="F30" s="34"/>
    </row>
    <row r="31" spans="1:6" ht="13.5" customHeight="1" x14ac:dyDescent="0.2">
      <c r="A31" s="30">
        <v>22</v>
      </c>
      <c r="B31" s="31">
        <f t="shared" si="0"/>
        <v>18045149</v>
      </c>
      <c r="C31" s="72">
        <v>18046448</v>
      </c>
      <c r="D31" s="6">
        <f t="shared" si="1"/>
        <v>1299</v>
      </c>
      <c r="E31" s="34"/>
      <c r="F31" s="34"/>
    </row>
    <row r="32" spans="1:6" ht="13.5" customHeight="1" x14ac:dyDescent="0.2">
      <c r="A32" s="30">
        <v>23</v>
      </c>
      <c r="B32" s="31">
        <f t="shared" si="0"/>
        <v>18046448</v>
      </c>
      <c r="C32" s="72">
        <v>18052859</v>
      </c>
      <c r="D32" s="6">
        <f t="shared" si="1"/>
        <v>6411</v>
      </c>
      <c r="E32" s="35"/>
      <c r="F32" s="34"/>
    </row>
    <row r="33" spans="1:10" ht="13.5" customHeight="1" x14ac:dyDescent="0.2">
      <c r="A33" s="30">
        <v>24</v>
      </c>
      <c r="B33" s="31">
        <f t="shared" si="0"/>
        <v>18052859</v>
      </c>
      <c r="C33" s="72">
        <v>18057848</v>
      </c>
      <c r="D33" s="6">
        <f t="shared" si="1"/>
        <v>4989</v>
      </c>
      <c r="E33" s="35"/>
      <c r="F33" s="34"/>
    </row>
    <row r="34" spans="1:10" ht="13.5" customHeight="1" x14ac:dyDescent="0.2">
      <c r="A34" s="30">
        <v>25</v>
      </c>
      <c r="B34" s="31">
        <f t="shared" si="0"/>
        <v>18057848</v>
      </c>
      <c r="C34" s="89">
        <v>18066163</v>
      </c>
      <c r="D34" s="6">
        <f t="shared" si="1"/>
        <v>8315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18066163</v>
      </c>
      <c r="C35" s="72">
        <v>18066304</v>
      </c>
      <c r="D35" s="6">
        <f t="shared" si="1"/>
        <v>141</v>
      </c>
      <c r="E35" s="35"/>
      <c r="F35" s="34"/>
    </row>
    <row r="36" spans="1:10" ht="13.5" customHeight="1" x14ac:dyDescent="0.2">
      <c r="A36" s="30">
        <v>27</v>
      </c>
      <c r="B36" s="31">
        <f t="shared" si="0"/>
        <v>18066304</v>
      </c>
      <c r="C36" s="72">
        <v>18072653</v>
      </c>
      <c r="D36" s="6">
        <f t="shared" si="1"/>
        <v>6349</v>
      </c>
      <c r="E36" s="35"/>
      <c r="F36" s="34"/>
    </row>
    <row r="37" spans="1:10" ht="13.5" customHeight="1" x14ac:dyDescent="0.2">
      <c r="A37" s="30">
        <v>28</v>
      </c>
      <c r="B37" s="31">
        <f t="shared" si="0"/>
        <v>18072653</v>
      </c>
      <c r="C37" s="72">
        <v>18077885</v>
      </c>
      <c r="D37" s="6">
        <f t="shared" si="1"/>
        <v>5232</v>
      </c>
      <c r="E37" s="35"/>
      <c r="F37" s="34"/>
    </row>
    <row r="38" spans="1:10" ht="13.5" customHeight="1" x14ac:dyDescent="0.2">
      <c r="A38" s="30">
        <v>29</v>
      </c>
      <c r="B38" s="31">
        <f t="shared" si="0"/>
        <v>18077885</v>
      </c>
      <c r="C38" s="72">
        <v>18087195</v>
      </c>
      <c r="D38" s="6">
        <f t="shared" si="1"/>
        <v>9310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18087195</v>
      </c>
      <c r="C39" s="72">
        <v>18094173</v>
      </c>
      <c r="D39" s="6">
        <f t="shared" si="1"/>
        <v>6978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18094173</v>
      </c>
      <c r="C40" s="72">
        <v>18095945</v>
      </c>
      <c r="D40" s="6">
        <f t="shared" si="1"/>
        <v>1772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181940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10" sqref="D10:D4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1" t="s">
        <v>23</v>
      </c>
      <c r="D1" s="341"/>
    </row>
    <row r="2" spans="1:7" x14ac:dyDescent="0.2">
      <c r="C2" s="341"/>
      <c r="D2" s="34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44470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2" t="s">
        <v>25</v>
      </c>
      <c r="C8" s="34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31037223</v>
      </c>
      <c r="C10" s="72">
        <v>31037223</v>
      </c>
      <c r="D10" s="6">
        <f>MAX(0,C10-B10)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31037223</v>
      </c>
      <c r="C11" s="72">
        <v>31042455</v>
      </c>
      <c r="D11" s="6">
        <f t="shared" ref="D11:D40" si="0">MAX(0,C11-B11)</f>
        <v>5232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31042455</v>
      </c>
      <c r="C12" s="72">
        <v>31047922</v>
      </c>
      <c r="D12" s="6">
        <f t="shared" si="0"/>
        <v>5467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31047922</v>
      </c>
      <c r="C13" s="72">
        <v>31053680</v>
      </c>
      <c r="D13" s="6">
        <f t="shared" si="0"/>
        <v>5758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31053680</v>
      </c>
      <c r="C14" s="72">
        <v>31064228</v>
      </c>
      <c r="D14" s="6">
        <f t="shared" si="0"/>
        <v>10548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31064228</v>
      </c>
      <c r="C15" s="72">
        <v>31074010</v>
      </c>
      <c r="D15" s="6">
        <f t="shared" si="0"/>
        <v>9782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31074010</v>
      </c>
      <c r="C16" s="72">
        <v>31081524</v>
      </c>
      <c r="D16" s="6">
        <f t="shared" si="0"/>
        <v>7514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31081524</v>
      </c>
      <c r="C17" s="72">
        <v>31090092</v>
      </c>
      <c r="D17" s="6">
        <f t="shared" si="0"/>
        <v>8568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31090092</v>
      </c>
      <c r="C18" s="72">
        <v>31098206</v>
      </c>
      <c r="D18" s="6">
        <f t="shared" si="0"/>
        <v>8114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31098206</v>
      </c>
      <c r="C19" s="72">
        <v>31108198</v>
      </c>
      <c r="D19" s="6">
        <f t="shared" si="0"/>
        <v>9992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31108198</v>
      </c>
      <c r="C20" s="72">
        <v>31113872</v>
      </c>
      <c r="D20" s="6">
        <f t="shared" si="0"/>
        <v>5674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31113872</v>
      </c>
      <c r="C21" s="72">
        <v>31119900</v>
      </c>
      <c r="D21" s="6">
        <f t="shared" si="0"/>
        <v>6028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31119900</v>
      </c>
      <c r="C22" s="72">
        <v>31129572</v>
      </c>
      <c r="D22" s="6">
        <f t="shared" si="0"/>
        <v>9672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31129572</v>
      </c>
      <c r="C23" s="72">
        <v>31135282</v>
      </c>
      <c r="D23" s="6">
        <f t="shared" si="0"/>
        <v>5710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31135282</v>
      </c>
      <c r="C24" s="72">
        <v>31141320</v>
      </c>
      <c r="D24" s="6">
        <f t="shared" si="0"/>
        <v>6038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31141320</v>
      </c>
      <c r="C25" s="72">
        <v>31147232</v>
      </c>
      <c r="D25" s="6">
        <f t="shared" si="0"/>
        <v>5912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31147232</v>
      </c>
      <c r="C26" s="72">
        <v>31152897</v>
      </c>
      <c r="D26" s="6">
        <f t="shared" si="0"/>
        <v>5665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31152897</v>
      </c>
      <c r="C27" s="72">
        <v>31158889</v>
      </c>
      <c r="D27" s="6">
        <f t="shared" si="0"/>
        <v>5992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31158889</v>
      </c>
      <c r="C28" s="72">
        <v>31172916</v>
      </c>
      <c r="D28" s="6">
        <f t="shared" si="0"/>
        <v>14027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31172916</v>
      </c>
      <c r="C29" s="72">
        <v>31176044</v>
      </c>
      <c r="D29" s="6">
        <f t="shared" si="0"/>
        <v>3128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31176044</v>
      </c>
      <c r="C30" s="72">
        <v>31189547</v>
      </c>
      <c r="D30" s="6">
        <f t="shared" si="0"/>
        <v>13503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31189547</v>
      </c>
      <c r="C31" s="72">
        <v>31204236</v>
      </c>
      <c r="D31" s="6">
        <f t="shared" si="0"/>
        <v>14689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31204236</v>
      </c>
      <c r="C32" s="72">
        <v>31212278</v>
      </c>
      <c r="D32" s="6">
        <f t="shared" si="0"/>
        <v>8042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31212278</v>
      </c>
      <c r="C33" s="72">
        <v>31222596</v>
      </c>
      <c r="D33" s="6">
        <f t="shared" si="0"/>
        <v>10318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31222596</v>
      </c>
      <c r="C34" s="72">
        <v>31227975</v>
      </c>
      <c r="D34" s="6">
        <f t="shared" si="0"/>
        <v>5379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31227975</v>
      </c>
      <c r="C35" s="72">
        <v>31240880</v>
      </c>
      <c r="D35" s="6">
        <f t="shared" si="0"/>
        <v>12905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31240880</v>
      </c>
      <c r="C36" s="72">
        <v>31247991</v>
      </c>
      <c r="D36" s="6">
        <f t="shared" si="0"/>
        <v>7111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31247991</v>
      </c>
      <c r="C37" s="72">
        <v>31258319</v>
      </c>
      <c r="D37" s="6">
        <f t="shared" si="0"/>
        <v>10328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31258319</v>
      </c>
      <c r="C38" s="72">
        <v>31262643</v>
      </c>
      <c r="D38" s="6">
        <f t="shared" si="0"/>
        <v>4324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31262643</v>
      </c>
      <c r="C39" s="72">
        <v>31271094</v>
      </c>
      <c r="D39" s="6">
        <f t="shared" si="0"/>
        <v>8451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31271094</v>
      </c>
      <c r="C40" s="72">
        <v>31279634</v>
      </c>
      <c r="D40" s="6">
        <f t="shared" si="0"/>
        <v>8540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242411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D10" sqref="D10:D4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44470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13858068</v>
      </c>
      <c r="C10" s="32">
        <v>13858068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13858068</v>
      </c>
      <c r="C11" s="32">
        <v>13863343</v>
      </c>
      <c r="D11" s="38">
        <f t="shared" ref="D11:D40" si="0">MAX(0,C11-B11)</f>
        <v>5275</v>
      </c>
    </row>
    <row r="12" spans="1:5" x14ac:dyDescent="0.2">
      <c r="A12" s="45">
        <v>3</v>
      </c>
      <c r="B12" s="33">
        <f t="shared" ref="B12:B40" si="1">C11</f>
        <v>13863343</v>
      </c>
      <c r="C12" s="32">
        <v>13866552</v>
      </c>
      <c r="D12" s="38">
        <f t="shared" si="0"/>
        <v>3209</v>
      </c>
      <c r="E12" s="55"/>
    </row>
    <row r="13" spans="1:5" x14ac:dyDescent="0.2">
      <c r="A13" s="45">
        <v>4</v>
      </c>
      <c r="B13" s="33">
        <f t="shared" si="1"/>
        <v>13866552</v>
      </c>
      <c r="C13" s="32">
        <v>13873709</v>
      </c>
      <c r="D13" s="38">
        <f t="shared" si="0"/>
        <v>7157</v>
      </c>
      <c r="E13" s="55"/>
    </row>
    <row r="14" spans="1:5" ht="13.5" customHeight="1" x14ac:dyDescent="0.2">
      <c r="A14" s="45">
        <v>5</v>
      </c>
      <c r="B14" s="33">
        <f t="shared" si="1"/>
        <v>13873709</v>
      </c>
      <c r="C14" s="32">
        <v>13876257</v>
      </c>
      <c r="D14" s="38">
        <f t="shared" si="0"/>
        <v>2548</v>
      </c>
      <c r="E14" s="55"/>
    </row>
    <row r="15" spans="1:5" ht="13.5" customHeight="1" x14ac:dyDescent="0.2">
      <c r="A15" s="45">
        <v>6</v>
      </c>
      <c r="B15" s="33">
        <f t="shared" si="1"/>
        <v>13876257</v>
      </c>
      <c r="C15" s="32">
        <v>13883027</v>
      </c>
      <c r="D15" s="38">
        <f t="shared" si="0"/>
        <v>6770</v>
      </c>
      <c r="E15" s="55"/>
    </row>
    <row r="16" spans="1:5" ht="13.5" customHeight="1" x14ac:dyDescent="0.2">
      <c r="A16" s="45">
        <v>7</v>
      </c>
      <c r="B16" s="33">
        <f t="shared" si="1"/>
        <v>13883027</v>
      </c>
      <c r="C16" s="32">
        <v>13885286</v>
      </c>
      <c r="D16" s="38">
        <f t="shared" si="0"/>
        <v>2259</v>
      </c>
      <c r="E16" s="55"/>
    </row>
    <row r="17" spans="1:5" ht="13.5" customHeight="1" x14ac:dyDescent="0.2">
      <c r="A17" s="45">
        <v>8</v>
      </c>
      <c r="B17" s="33">
        <f t="shared" si="1"/>
        <v>13885286</v>
      </c>
      <c r="C17" s="32">
        <v>13886838</v>
      </c>
      <c r="D17" s="38">
        <f t="shared" si="0"/>
        <v>1552</v>
      </c>
      <c r="E17" s="55"/>
    </row>
    <row r="18" spans="1:5" ht="13.5" customHeight="1" x14ac:dyDescent="0.2">
      <c r="A18" s="45">
        <v>9</v>
      </c>
      <c r="B18" s="33">
        <f t="shared" si="1"/>
        <v>13886838</v>
      </c>
      <c r="C18" s="32">
        <v>13890186</v>
      </c>
      <c r="D18" s="38">
        <f t="shared" si="0"/>
        <v>3348</v>
      </c>
      <c r="E18" s="55"/>
    </row>
    <row r="19" spans="1:5" ht="13.5" customHeight="1" x14ac:dyDescent="0.2">
      <c r="A19" s="45">
        <v>10</v>
      </c>
      <c r="B19" s="33">
        <f t="shared" si="1"/>
        <v>13890186</v>
      </c>
      <c r="C19" s="32">
        <v>13895484</v>
      </c>
      <c r="D19" s="38">
        <f t="shared" si="0"/>
        <v>5298</v>
      </c>
      <c r="E19" s="55"/>
    </row>
    <row r="20" spans="1:5" ht="13.5" customHeight="1" x14ac:dyDescent="0.2">
      <c r="A20" s="45">
        <v>11</v>
      </c>
      <c r="B20" s="33">
        <f t="shared" si="1"/>
        <v>13895484</v>
      </c>
      <c r="C20" s="32">
        <v>13895906</v>
      </c>
      <c r="D20" s="38">
        <f t="shared" si="0"/>
        <v>422</v>
      </c>
      <c r="E20" s="55"/>
    </row>
    <row r="21" spans="1:5" ht="13.5" customHeight="1" x14ac:dyDescent="0.2">
      <c r="A21" s="45">
        <v>12</v>
      </c>
      <c r="B21" s="33">
        <f t="shared" si="1"/>
        <v>13895906</v>
      </c>
      <c r="C21" s="32">
        <v>13895906</v>
      </c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13895906</v>
      </c>
      <c r="C22" s="32">
        <v>13900506</v>
      </c>
      <c r="D22" s="38">
        <f t="shared" si="0"/>
        <v>4600</v>
      </c>
      <c r="E22" s="55"/>
    </row>
    <row r="23" spans="1:5" ht="13.5" customHeight="1" x14ac:dyDescent="0.2">
      <c r="A23" s="45">
        <v>14</v>
      </c>
      <c r="B23" s="33">
        <f t="shared" si="1"/>
        <v>13900506</v>
      </c>
      <c r="C23" s="32">
        <v>13902535</v>
      </c>
      <c r="D23" s="38">
        <f t="shared" si="0"/>
        <v>2029</v>
      </c>
      <c r="E23" s="55"/>
    </row>
    <row r="24" spans="1:5" ht="13.5" customHeight="1" x14ac:dyDescent="0.2">
      <c r="A24" s="45">
        <v>15</v>
      </c>
      <c r="B24" s="33">
        <f t="shared" si="1"/>
        <v>13902535</v>
      </c>
      <c r="C24" s="32">
        <v>13902598</v>
      </c>
      <c r="D24" s="38">
        <f t="shared" si="0"/>
        <v>63</v>
      </c>
      <c r="E24" s="55"/>
    </row>
    <row r="25" spans="1:5" ht="13.5" customHeight="1" x14ac:dyDescent="0.2">
      <c r="A25" s="45">
        <v>16</v>
      </c>
      <c r="B25" s="33">
        <f t="shared" si="1"/>
        <v>13902598</v>
      </c>
      <c r="C25" s="32">
        <v>13902598</v>
      </c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13902598</v>
      </c>
      <c r="C26" s="32">
        <v>13906801</v>
      </c>
      <c r="D26" s="38">
        <f t="shared" si="0"/>
        <v>4203</v>
      </c>
      <c r="E26" s="55"/>
    </row>
    <row r="27" spans="1:5" ht="13.5" customHeight="1" x14ac:dyDescent="0.2">
      <c r="A27" s="45">
        <v>18</v>
      </c>
      <c r="B27" s="33">
        <f t="shared" si="1"/>
        <v>13906801</v>
      </c>
      <c r="C27" s="32">
        <v>13906801</v>
      </c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13906801</v>
      </c>
      <c r="C28" s="32">
        <v>13912594</v>
      </c>
      <c r="D28" s="38">
        <f t="shared" si="0"/>
        <v>5793</v>
      </c>
      <c r="E28" s="55"/>
    </row>
    <row r="29" spans="1:5" ht="13.5" customHeight="1" x14ac:dyDescent="0.2">
      <c r="A29" s="45">
        <v>20</v>
      </c>
      <c r="B29" s="33">
        <f t="shared" si="1"/>
        <v>13912594</v>
      </c>
      <c r="C29" s="32">
        <v>13917553</v>
      </c>
      <c r="D29" s="38">
        <f t="shared" si="0"/>
        <v>4959</v>
      </c>
      <c r="E29" s="55"/>
    </row>
    <row r="30" spans="1:5" ht="13.5" customHeight="1" x14ac:dyDescent="0.2">
      <c r="A30" s="45">
        <v>21</v>
      </c>
      <c r="B30" s="33">
        <f t="shared" si="1"/>
        <v>13917553</v>
      </c>
      <c r="C30" s="32">
        <v>13921063</v>
      </c>
      <c r="D30" s="38">
        <f t="shared" si="0"/>
        <v>3510</v>
      </c>
      <c r="E30" s="55"/>
    </row>
    <row r="31" spans="1:5" ht="13.5" customHeight="1" x14ac:dyDescent="0.2">
      <c r="A31" s="45">
        <v>22</v>
      </c>
      <c r="B31" s="33">
        <f t="shared" si="1"/>
        <v>13921063</v>
      </c>
      <c r="C31" s="32">
        <v>13922286</v>
      </c>
      <c r="D31" s="38">
        <f t="shared" si="0"/>
        <v>1223</v>
      </c>
      <c r="E31" s="55"/>
    </row>
    <row r="32" spans="1:5" ht="13.5" customHeight="1" x14ac:dyDescent="0.2">
      <c r="A32" s="45">
        <v>23</v>
      </c>
      <c r="B32" s="33">
        <f t="shared" si="1"/>
        <v>13922286</v>
      </c>
      <c r="C32" s="32">
        <v>13928032</v>
      </c>
      <c r="D32" s="38">
        <f t="shared" si="0"/>
        <v>5746</v>
      </c>
      <c r="E32" s="55"/>
    </row>
    <row r="33" spans="1:8" ht="13.5" customHeight="1" x14ac:dyDescent="0.2">
      <c r="A33" s="45">
        <v>24</v>
      </c>
      <c r="B33" s="33">
        <f t="shared" si="1"/>
        <v>13928032</v>
      </c>
      <c r="C33" s="32">
        <v>13930441</v>
      </c>
      <c r="D33" s="38">
        <f t="shared" si="0"/>
        <v>2409</v>
      </c>
      <c r="E33" s="55"/>
    </row>
    <row r="34" spans="1:8" ht="13.5" customHeight="1" x14ac:dyDescent="0.2">
      <c r="A34" s="45">
        <v>25</v>
      </c>
      <c r="B34" s="33">
        <f t="shared" si="1"/>
        <v>13930441</v>
      </c>
      <c r="C34" s="32">
        <v>13930441</v>
      </c>
      <c r="D34" s="38">
        <f t="shared" si="0"/>
        <v>0</v>
      </c>
      <c r="E34" s="85"/>
      <c r="H34" s="3"/>
    </row>
    <row r="35" spans="1:8" s="3" customFormat="1" ht="13.5" customHeight="1" x14ac:dyDescent="0.2">
      <c r="A35" s="45">
        <v>26</v>
      </c>
      <c r="B35" s="33">
        <f t="shared" si="1"/>
        <v>13930441</v>
      </c>
      <c r="C35" s="32">
        <v>13936304</v>
      </c>
      <c r="D35" s="38">
        <f t="shared" si="0"/>
        <v>5863</v>
      </c>
      <c r="E35" s="85"/>
    </row>
    <row r="36" spans="1:8" ht="13.5" customHeight="1" x14ac:dyDescent="0.2">
      <c r="A36" s="45">
        <v>27</v>
      </c>
      <c r="B36" s="33">
        <f t="shared" si="1"/>
        <v>13936304</v>
      </c>
      <c r="C36" s="32">
        <v>13937310</v>
      </c>
      <c r="D36" s="38">
        <f t="shared" si="0"/>
        <v>1006</v>
      </c>
      <c r="E36" s="85"/>
    </row>
    <row r="37" spans="1:8" ht="13.5" customHeight="1" x14ac:dyDescent="0.2">
      <c r="A37" s="45">
        <v>28</v>
      </c>
      <c r="B37" s="33">
        <f t="shared" si="1"/>
        <v>13937310</v>
      </c>
      <c r="C37" s="32">
        <v>13942784</v>
      </c>
      <c r="D37" s="38">
        <f t="shared" si="0"/>
        <v>5474</v>
      </c>
      <c r="E37" s="85"/>
    </row>
    <row r="38" spans="1:8" ht="13.5" customHeight="1" x14ac:dyDescent="0.2">
      <c r="A38" s="45">
        <v>29</v>
      </c>
      <c r="B38" s="33">
        <f t="shared" si="1"/>
        <v>13942784</v>
      </c>
      <c r="C38" s="32">
        <v>13944615</v>
      </c>
      <c r="D38" s="38">
        <f t="shared" si="0"/>
        <v>1831</v>
      </c>
      <c r="E38" s="345"/>
      <c r="F38" s="346"/>
    </row>
    <row r="39" spans="1:8" ht="13.5" customHeight="1" x14ac:dyDescent="0.2">
      <c r="A39" s="45">
        <v>30</v>
      </c>
      <c r="B39" s="33">
        <f t="shared" si="1"/>
        <v>13944615</v>
      </c>
      <c r="C39" s="32">
        <v>13944615</v>
      </c>
      <c r="D39" s="38">
        <f t="shared" si="0"/>
        <v>0</v>
      </c>
      <c r="E39" s="85"/>
    </row>
    <row r="40" spans="1:8" ht="13.5" customHeight="1" x14ac:dyDescent="0.2">
      <c r="A40" s="45">
        <v>31</v>
      </c>
      <c r="B40" s="33">
        <f t="shared" si="1"/>
        <v>13944615</v>
      </c>
      <c r="C40" s="32">
        <v>13949076</v>
      </c>
      <c r="D40" s="38">
        <f t="shared" si="0"/>
        <v>4461</v>
      </c>
      <c r="E40" s="85"/>
    </row>
    <row r="41" spans="1:8" ht="13.5" customHeight="1" thickBot="1" x14ac:dyDescent="0.25">
      <c r="A41" t="s">
        <v>7</v>
      </c>
      <c r="B41" s="18" t="e">
        <f>#REF!</f>
        <v>#REF!</v>
      </c>
      <c r="D41" s="49">
        <f>SUM(D10:D40)</f>
        <v>91008</v>
      </c>
      <c r="E41" s="85"/>
    </row>
    <row r="42" spans="1:8" ht="12" customHeight="1" thickTop="1" x14ac:dyDescent="0.2">
      <c r="E42" s="85"/>
    </row>
    <row r="43" spans="1:8" ht="14.25" customHeight="1" x14ac:dyDescent="0.2">
      <c r="E43" s="86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10" workbookViewId="0">
      <selection activeCell="D10" sqref="D10:D4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30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44470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2" t="s">
        <v>32</v>
      </c>
      <c r="C8" s="34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11898491</v>
      </c>
      <c r="C10" s="32">
        <v>11900288</v>
      </c>
      <c r="D10" s="38">
        <f>MAX(0,C10-B10)</f>
        <v>1797</v>
      </c>
      <c r="E10" s="29"/>
    </row>
    <row r="11" spans="1:5" ht="13.5" customHeight="1" x14ac:dyDescent="0.2">
      <c r="A11" s="45">
        <v>2</v>
      </c>
      <c r="B11" s="33">
        <f>C10</f>
        <v>11900288</v>
      </c>
      <c r="C11" s="32">
        <v>11903023</v>
      </c>
      <c r="D11" s="38">
        <f t="shared" ref="D11:D40" si="0">MAX(0,C11-B11)</f>
        <v>2735</v>
      </c>
      <c r="E11" s="34"/>
    </row>
    <row r="12" spans="1:5" ht="13.5" customHeight="1" x14ac:dyDescent="0.2">
      <c r="A12" s="45">
        <v>3</v>
      </c>
      <c r="B12" s="33">
        <f t="shared" ref="B12:B40" si="1">C11</f>
        <v>11903023</v>
      </c>
      <c r="C12" s="32">
        <v>11905647</v>
      </c>
      <c r="D12" s="38">
        <f t="shared" si="0"/>
        <v>2624</v>
      </c>
      <c r="E12" s="34"/>
    </row>
    <row r="13" spans="1:5" ht="13.5" customHeight="1" x14ac:dyDescent="0.2">
      <c r="A13" s="45">
        <v>4</v>
      </c>
      <c r="B13" s="33">
        <f t="shared" si="1"/>
        <v>11905647</v>
      </c>
      <c r="C13" s="32">
        <v>11907242</v>
      </c>
      <c r="D13" s="38">
        <f t="shared" si="0"/>
        <v>1595</v>
      </c>
      <c r="E13" s="34"/>
    </row>
    <row r="14" spans="1:5" ht="13.5" customHeight="1" x14ac:dyDescent="0.2">
      <c r="A14" s="45">
        <v>5</v>
      </c>
      <c r="B14" s="33">
        <f t="shared" si="1"/>
        <v>11907242</v>
      </c>
      <c r="C14" s="32">
        <v>11907269</v>
      </c>
      <c r="D14" s="38">
        <f t="shared" si="0"/>
        <v>27</v>
      </c>
      <c r="E14" s="34"/>
    </row>
    <row r="15" spans="1:5" ht="13.5" customHeight="1" x14ac:dyDescent="0.2">
      <c r="A15" s="45">
        <v>6</v>
      </c>
      <c r="B15" s="33">
        <f t="shared" si="1"/>
        <v>11907269</v>
      </c>
      <c r="C15" s="32">
        <v>11908793</v>
      </c>
      <c r="D15" s="38">
        <f t="shared" si="0"/>
        <v>1524</v>
      </c>
      <c r="E15" s="34"/>
    </row>
    <row r="16" spans="1:5" ht="13.5" customHeight="1" x14ac:dyDescent="0.2">
      <c r="A16" s="45">
        <v>7</v>
      </c>
      <c r="B16" s="33">
        <f t="shared" si="1"/>
        <v>11908793</v>
      </c>
      <c r="C16" s="32">
        <v>11911450</v>
      </c>
      <c r="D16" s="38">
        <f t="shared" si="0"/>
        <v>2657</v>
      </c>
      <c r="E16" s="34"/>
    </row>
    <row r="17" spans="1:5" ht="13.5" customHeight="1" x14ac:dyDescent="0.2">
      <c r="A17" s="45">
        <v>8</v>
      </c>
      <c r="B17" s="33">
        <f t="shared" si="1"/>
        <v>11911450</v>
      </c>
      <c r="C17" s="32">
        <v>11913107</v>
      </c>
      <c r="D17" s="38">
        <f t="shared" si="0"/>
        <v>1657</v>
      </c>
      <c r="E17" s="34"/>
    </row>
    <row r="18" spans="1:5" ht="13.5" customHeight="1" x14ac:dyDescent="0.2">
      <c r="A18" s="45">
        <v>9</v>
      </c>
      <c r="B18" s="33">
        <f t="shared" si="1"/>
        <v>11913107</v>
      </c>
      <c r="C18" s="32">
        <v>11915264</v>
      </c>
      <c r="D18" s="38">
        <f t="shared" si="0"/>
        <v>2157</v>
      </c>
      <c r="E18" s="34"/>
    </row>
    <row r="19" spans="1:5" ht="13.5" customHeight="1" x14ac:dyDescent="0.2">
      <c r="A19" s="45">
        <v>10</v>
      </c>
      <c r="B19" s="33">
        <f t="shared" si="1"/>
        <v>11915264</v>
      </c>
      <c r="C19" s="32">
        <v>11917230</v>
      </c>
      <c r="D19" s="38">
        <f t="shared" si="0"/>
        <v>1966</v>
      </c>
      <c r="E19" s="34"/>
    </row>
    <row r="20" spans="1:5" ht="13.5" customHeight="1" x14ac:dyDescent="0.2">
      <c r="A20" s="45">
        <v>11</v>
      </c>
      <c r="B20" s="33">
        <f t="shared" si="1"/>
        <v>11917230</v>
      </c>
      <c r="C20" s="32">
        <v>11920460</v>
      </c>
      <c r="D20" s="38">
        <f t="shared" si="0"/>
        <v>3230</v>
      </c>
      <c r="E20" s="34"/>
    </row>
    <row r="21" spans="1:5" ht="13.5" customHeight="1" x14ac:dyDescent="0.2">
      <c r="A21" s="45">
        <v>12</v>
      </c>
      <c r="B21" s="33">
        <f t="shared" si="1"/>
        <v>11920460</v>
      </c>
      <c r="C21" s="32">
        <v>11923071</v>
      </c>
      <c r="D21" s="38">
        <f t="shared" si="0"/>
        <v>2611</v>
      </c>
      <c r="E21" s="34"/>
    </row>
    <row r="22" spans="1:5" ht="13.5" customHeight="1" x14ac:dyDescent="0.2">
      <c r="A22" s="45">
        <v>13</v>
      </c>
      <c r="B22" s="33">
        <f t="shared" si="1"/>
        <v>11923071</v>
      </c>
      <c r="C22" s="32">
        <v>11927018</v>
      </c>
      <c r="D22" s="38">
        <f t="shared" si="0"/>
        <v>3947</v>
      </c>
      <c r="E22" s="34"/>
    </row>
    <row r="23" spans="1:5" ht="13.5" customHeight="1" x14ac:dyDescent="0.2">
      <c r="A23" s="45">
        <v>14</v>
      </c>
      <c r="B23" s="33">
        <f t="shared" si="1"/>
        <v>11927018</v>
      </c>
      <c r="C23" s="32">
        <v>11929191</v>
      </c>
      <c r="D23" s="38">
        <f t="shared" si="0"/>
        <v>2173</v>
      </c>
      <c r="E23" s="34"/>
    </row>
    <row r="24" spans="1:5" ht="13.5" customHeight="1" x14ac:dyDescent="0.2">
      <c r="A24" s="45">
        <v>15</v>
      </c>
      <c r="B24" s="33">
        <f t="shared" si="1"/>
        <v>11929191</v>
      </c>
      <c r="C24" s="32">
        <v>11933523</v>
      </c>
      <c r="D24" s="38">
        <f t="shared" si="0"/>
        <v>4332</v>
      </c>
      <c r="E24" s="34"/>
    </row>
    <row r="25" spans="1:5" ht="13.5" customHeight="1" x14ac:dyDescent="0.2">
      <c r="A25" s="45">
        <v>16</v>
      </c>
      <c r="B25" s="33">
        <f t="shared" si="1"/>
        <v>11933523</v>
      </c>
      <c r="C25" s="32">
        <v>11938323</v>
      </c>
      <c r="D25" s="38">
        <f t="shared" si="0"/>
        <v>4800</v>
      </c>
      <c r="E25" s="34"/>
    </row>
    <row r="26" spans="1:5" ht="13.5" customHeight="1" x14ac:dyDescent="0.2">
      <c r="A26" s="45">
        <v>17</v>
      </c>
      <c r="B26" s="33">
        <f t="shared" si="1"/>
        <v>11938323</v>
      </c>
      <c r="C26" s="32">
        <v>11940718</v>
      </c>
      <c r="D26" s="38">
        <f t="shared" si="0"/>
        <v>2395</v>
      </c>
      <c r="E26" s="34"/>
    </row>
    <row r="27" spans="1:5" ht="13.5" customHeight="1" x14ac:dyDescent="0.2">
      <c r="A27" s="45">
        <v>18</v>
      </c>
      <c r="B27" s="33">
        <f t="shared" si="1"/>
        <v>11940718</v>
      </c>
      <c r="C27" s="83">
        <v>11941461</v>
      </c>
      <c r="D27" s="38">
        <f t="shared" si="0"/>
        <v>743</v>
      </c>
      <c r="E27" s="84"/>
    </row>
    <row r="28" spans="1:5" ht="13.5" customHeight="1" x14ac:dyDescent="0.2">
      <c r="A28" s="45">
        <v>19</v>
      </c>
      <c r="B28" s="33">
        <f t="shared" si="1"/>
        <v>11941461</v>
      </c>
      <c r="C28" s="32">
        <v>11942200</v>
      </c>
      <c r="D28" s="38">
        <f t="shared" si="0"/>
        <v>739</v>
      </c>
      <c r="E28" s="34"/>
    </row>
    <row r="29" spans="1:5" ht="13.5" customHeight="1" x14ac:dyDescent="0.2">
      <c r="A29" s="45">
        <v>20</v>
      </c>
      <c r="B29" s="33">
        <f t="shared" si="1"/>
        <v>11942200</v>
      </c>
      <c r="C29" s="32">
        <v>11943389</v>
      </c>
      <c r="D29" s="38">
        <f t="shared" si="0"/>
        <v>1189</v>
      </c>
      <c r="E29" s="34"/>
    </row>
    <row r="30" spans="1:5" ht="13.5" customHeight="1" x14ac:dyDescent="0.2">
      <c r="A30" s="45">
        <v>21</v>
      </c>
      <c r="B30" s="33">
        <f t="shared" si="1"/>
        <v>11943389</v>
      </c>
      <c r="C30" s="32">
        <v>11945099</v>
      </c>
      <c r="D30" s="38">
        <f t="shared" si="0"/>
        <v>1710</v>
      </c>
      <c r="E30" s="34"/>
    </row>
    <row r="31" spans="1:5" ht="13.5" customHeight="1" x14ac:dyDescent="0.2">
      <c r="A31" s="45">
        <v>22</v>
      </c>
      <c r="B31" s="33">
        <f t="shared" si="1"/>
        <v>11945099</v>
      </c>
      <c r="C31" s="32">
        <v>11946151</v>
      </c>
      <c r="D31" s="38">
        <f t="shared" si="0"/>
        <v>1052</v>
      </c>
      <c r="E31" s="34"/>
    </row>
    <row r="32" spans="1:5" ht="13.5" customHeight="1" x14ac:dyDescent="0.2">
      <c r="A32" s="45">
        <v>23</v>
      </c>
      <c r="B32" s="33">
        <f t="shared" si="1"/>
        <v>11946151</v>
      </c>
      <c r="C32" s="32">
        <v>11947102</v>
      </c>
      <c r="D32" s="38">
        <f t="shared" si="0"/>
        <v>951</v>
      </c>
      <c r="E32" s="35"/>
    </row>
    <row r="33" spans="1:5" ht="13.5" customHeight="1" x14ac:dyDescent="0.2">
      <c r="A33" s="45">
        <v>24</v>
      </c>
      <c r="B33" s="33">
        <f t="shared" si="1"/>
        <v>11947102</v>
      </c>
      <c r="C33" s="32">
        <v>11950529</v>
      </c>
      <c r="D33" s="38">
        <f t="shared" si="0"/>
        <v>3427</v>
      </c>
      <c r="E33" s="35"/>
    </row>
    <row r="34" spans="1:5" ht="13.5" customHeight="1" x14ac:dyDescent="0.2">
      <c r="A34" s="45">
        <v>25</v>
      </c>
      <c r="B34" s="33">
        <f t="shared" si="1"/>
        <v>11950529</v>
      </c>
      <c r="C34" s="32">
        <v>11955098</v>
      </c>
      <c r="D34" s="38">
        <f t="shared" si="0"/>
        <v>4569</v>
      </c>
      <c r="E34" s="35"/>
    </row>
    <row r="35" spans="1:5" s="3" customFormat="1" ht="13.5" customHeight="1" x14ac:dyDescent="0.2">
      <c r="A35" s="45">
        <v>26</v>
      </c>
      <c r="B35" s="33">
        <f t="shared" si="1"/>
        <v>11955098</v>
      </c>
      <c r="C35" s="32">
        <v>11958496</v>
      </c>
      <c r="D35" s="38">
        <f t="shared" si="0"/>
        <v>3398</v>
      </c>
      <c r="E35" s="35"/>
    </row>
    <row r="36" spans="1:5" ht="13.5" customHeight="1" x14ac:dyDescent="0.2">
      <c r="A36" s="45">
        <v>27</v>
      </c>
      <c r="B36" s="33">
        <f t="shared" si="1"/>
        <v>11958496</v>
      </c>
      <c r="C36" s="32">
        <v>11962479</v>
      </c>
      <c r="D36" s="38">
        <f t="shared" si="0"/>
        <v>3983</v>
      </c>
      <c r="E36" s="48"/>
    </row>
    <row r="37" spans="1:5" ht="13.5" customHeight="1" x14ac:dyDescent="0.2">
      <c r="A37" s="45">
        <v>28</v>
      </c>
      <c r="B37" s="33">
        <f t="shared" si="1"/>
        <v>11962479</v>
      </c>
      <c r="C37" s="32">
        <v>11964636</v>
      </c>
      <c r="D37" s="38">
        <f t="shared" si="0"/>
        <v>2157</v>
      </c>
      <c r="E37" s="48"/>
    </row>
    <row r="38" spans="1:5" ht="13.5" customHeight="1" x14ac:dyDescent="0.2">
      <c r="A38" s="45">
        <v>29</v>
      </c>
      <c r="B38" s="33">
        <f t="shared" si="1"/>
        <v>11964636</v>
      </c>
      <c r="C38" s="32">
        <v>11968946</v>
      </c>
      <c r="D38" s="38">
        <f t="shared" si="0"/>
        <v>4310</v>
      </c>
      <c r="E38" s="48"/>
    </row>
    <row r="39" spans="1:5" ht="13.5" customHeight="1" x14ac:dyDescent="0.2">
      <c r="A39" s="45">
        <v>30</v>
      </c>
      <c r="B39" s="33">
        <f t="shared" si="1"/>
        <v>11968946</v>
      </c>
      <c r="C39" s="32">
        <v>11973342</v>
      </c>
      <c r="D39" s="38">
        <f t="shared" si="0"/>
        <v>4396</v>
      </c>
      <c r="E39" s="48"/>
    </row>
    <row r="40" spans="1:5" ht="13.5" customHeight="1" x14ac:dyDescent="0.2">
      <c r="A40" s="45">
        <v>31</v>
      </c>
      <c r="B40" s="33">
        <f t="shared" si="1"/>
        <v>11973342</v>
      </c>
      <c r="C40" s="32">
        <v>11974364</v>
      </c>
      <c r="D40" s="38">
        <f t="shared" si="0"/>
        <v>1022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75873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D10" sqref="D10:D4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16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51"/>
      <c r="B5" s="4"/>
      <c r="C5" s="24"/>
      <c r="D5" s="24"/>
      <c r="E5" s="24"/>
    </row>
    <row r="6" spans="1:5" x14ac:dyDescent="0.2">
      <c r="A6" s="74">
        <v>44470</v>
      </c>
    </row>
    <row r="7" spans="1:5" ht="13.5" thickBot="1" x14ac:dyDescent="0.25">
      <c r="A7" s="51"/>
    </row>
    <row r="8" spans="1:5" ht="15.75" customHeight="1" thickBot="1" x14ac:dyDescent="0.25">
      <c r="A8" s="58"/>
      <c r="B8" s="342" t="s">
        <v>34</v>
      </c>
      <c r="C8" s="34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18955772</v>
      </c>
      <c r="C10" s="32">
        <v>18965446</v>
      </c>
      <c r="D10" s="38">
        <f>MAX(0,C10-B10)</f>
        <v>9674</v>
      </c>
      <c r="E10" s="29"/>
    </row>
    <row r="11" spans="1:5" ht="13.5" customHeight="1" x14ac:dyDescent="0.2">
      <c r="A11" s="61">
        <v>2</v>
      </c>
      <c r="B11" s="33">
        <f>C10</f>
        <v>18965446</v>
      </c>
      <c r="C11" s="32">
        <v>18973431</v>
      </c>
      <c r="D11" s="38">
        <f t="shared" ref="D11:D40" si="0">MAX(0,C11-B11)</f>
        <v>7985</v>
      </c>
      <c r="E11" s="34"/>
    </row>
    <row r="12" spans="1:5" ht="13.5" customHeight="1" x14ac:dyDescent="0.2">
      <c r="A12" s="60">
        <v>3</v>
      </c>
      <c r="B12" s="33">
        <f t="shared" ref="B12:B40" si="1">C11</f>
        <v>18973431</v>
      </c>
      <c r="C12" s="32">
        <v>18981500</v>
      </c>
      <c r="D12" s="38">
        <f t="shared" si="0"/>
        <v>8069</v>
      </c>
      <c r="E12" s="34"/>
    </row>
    <row r="13" spans="1:5" ht="13.5" customHeight="1" x14ac:dyDescent="0.2">
      <c r="A13" s="61">
        <v>4</v>
      </c>
      <c r="B13" s="33">
        <f t="shared" si="1"/>
        <v>18981500</v>
      </c>
      <c r="C13" s="32">
        <v>18982997</v>
      </c>
      <c r="D13" s="38">
        <f t="shared" si="0"/>
        <v>1497</v>
      </c>
      <c r="E13" s="34"/>
    </row>
    <row r="14" spans="1:5" ht="13.5" customHeight="1" x14ac:dyDescent="0.2">
      <c r="A14" s="60">
        <v>5</v>
      </c>
      <c r="B14" s="33">
        <f t="shared" si="1"/>
        <v>18982997</v>
      </c>
      <c r="C14" s="32">
        <v>18987672</v>
      </c>
      <c r="D14" s="38">
        <f t="shared" si="0"/>
        <v>4675</v>
      </c>
      <c r="E14" s="34"/>
    </row>
    <row r="15" spans="1:5" ht="13.5" customHeight="1" x14ac:dyDescent="0.2">
      <c r="A15" s="61">
        <v>6</v>
      </c>
      <c r="B15" s="33">
        <f t="shared" si="1"/>
        <v>18987672</v>
      </c>
      <c r="C15" s="32">
        <v>18987672</v>
      </c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18987672</v>
      </c>
      <c r="C16" s="32">
        <v>18994641</v>
      </c>
      <c r="D16" s="38">
        <f t="shared" si="0"/>
        <v>6969</v>
      </c>
      <c r="E16" s="34"/>
    </row>
    <row r="17" spans="1:5" ht="13.5" customHeight="1" x14ac:dyDescent="0.2">
      <c r="A17" s="61">
        <v>8</v>
      </c>
      <c r="B17" s="33">
        <f t="shared" si="1"/>
        <v>18994641</v>
      </c>
      <c r="C17" s="32">
        <v>19000989</v>
      </c>
      <c r="D17" s="38">
        <f t="shared" si="0"/>
        <v>6348</v>
      </c>
      <c r="E17" s="34"/>
    </row>
    <row r="18" spans="1:5" ht="13.5" customHeight="1" x14ac:dyDescent="0.2">
      <c r="A18" s="60">
        <v>9</v>
      </c>
      <c r="B18" s="33">
        <f t="shared" si="1"/>
        <v>19000989</v>
      </c>
      <c r="C18" s="32">
        <v>19006762</v>
      </c>
      <c r="D18" s="38">
        <f t="shared" si="0"/>
        <v>5773</v>
      </c>
      <c r="E18" s="34"/>
    </row>
    <row r="19" spans="1:5" ht="13.5" customHeight="1" x14ac:dyDescent="0.2">
      <c r="A19" s="61">
        <v>10</v>
      </c>
      <c r="B19" s="33">
        <f t="shared" si="1"/>
        <v>19006762</v>
      </c>
      <c r="C19" s="32">
        <v>19012463</v>
      </c>
      <c r="D19" s="38">
        <f t="shared" si="0"/>
        <v>5701</v>
      </c>
      <c r="E19" s="34"/>
    </row>
    <row r="20" spans="1:5" ht="13.5" customHeight="1" x14ac:dyDescent="0.2">
      <c r="A20" s="60">
        <v>11</v>
      </c>
      <c r="B20" s="33">
        <f t="shared" si="1"/>
        <v>19012463</v>
      </c>
      <c r="C20" s="32">
        <v>19020855</v>
      </c>
      <c r="D20" s="38">
        <f t="shared" si="0"/>
        <v>8392</v>
      </c>
      <c r="E20" s="34"/>
    </row>
    <row r="21" spans="1:5" ht="13.5" customHeight="1" x14ac:dyDescent="0.2">
      <c r="A21" s="61">
        <v>12</v>
      </c>
      <c r="B21" s="33">
        <f t="shared" si="1"/>
        <v>19020855</v>
      </c>
      <c r="C21" s="32">
        <v>19029219</v>
      </c>
      <c r="D21" s="38">
        <f t="shared" si="0"/>
        <v>8364</v>
      </c>
      <c r="E21" s="34"/>
    </row>
    <row r="22" spans="1:5" ht="13.5" customHeight="1" x14ac:dyDescent="0.2">
      <c r="A22" s="60">
        <v>13</v>
      </c>
      <c r="B22" s="33">
        <f t="shared" si="1"/>
        <v>19029219</v>
      </c>
      <c r="C22" s="32">
        <v>19032033</v>
      </c>
      <c r="D22" s="38">
        <f t="shared" si="0"/>
        <v>2814</v>
      </c>
      <c r="E22" s="34"/>
    </row>
    <row r="23" spans="1:5" ht="13.5" customHeight="1" x14ac:dyDescent="0.2">
      <c r="A23" s="61">
        <v>14</v>
      </c>
      <c r="B23" s="33">
        <f t="shared" si="1"/>
        <v>19032033</v>
      </c>
      <c r="C23" s="32">
        <v>19040342</v>
      </c>
      <c r="D23" s="38">
        <f t="shared" si="0"/>
        <v>8309</v>
      </c>
      <c r="E23" s="34"/>
    </row>
    <row r="24" spans="1:5" ht="13.5" customHeight="1" x14ac:dyDescent="0.2">
      <c r="A24" s="60">
        <v>15</v>
      </c>
      <c r="B24" s="33">
        <f t="shared" si="1"/>
        <v>19040342</v>
      </c>
      <c r="C24" s="32">
        <v>19048811</v>
      </c>
      <c r="D24" s="38">
        <f t="shared" si="0"/>
        <v>8469</v>
      </c>
      <c r="E24" s="34"/>
    </row>
    <row r="25" spans="1:5" ht="13.5" customHeight="1" x14ac:dyDescent="0.2">
      <c r="A25" s="61">
        <v>16</v>
      </c>
      <c r="B25" s="33">
        <f t="shared" si="1"/>
        <v>19048811</v>
      </c>
      <c r="C25" s="32">
        <v>19057123</v>
      </c>
      <c r="D25" s="38">
        <f t="shared" si="0"/>
        <v>8312</v>
      </c>
      <c r="E25" s="34"/>
    </row>
    <row r="26" spans="1:5" ht="13.5" customHeight="1" x14ac:dyDescent="0.2">
      <c r="A26" s="60">
        <v>17</v>
      </c>
      <c r="B26" s="33">
        <f t="shared" si="1"/>
        <v>19057123</v>
      </c>
      <c r="C26" s="32">
        <v>19060520</v>
      </c>
      <c r="D26" s="38">
        <f t="shared" si="0"/>
        <v>3397</v>
      </c>
      <c r="E26" s="34"/>
    </row>
    <row r="27" spans="1:5" ht="13.5" customHeight="1" x14ac:dyDescent="0.2">
      <c r="A27" s="61">
        <v>18</v>
      </c>
      <c r="B27" s="33">
        <f t="shared" si="1"/>
        <v>19060520</v>
      </c>
      <c r="C27" s="32">
        <v>19068358</v>
      </c>
      <c r="D27" s="38">
        <f t="shared" si="0"/>
        <v>7838</v>
      </c>
      <c r="E27" s="34"/>
    </row>
    <row r="28" spans="1:5" ht="13.5" customHeight="1" x14ac:dyDescent="0.2">
      <c r="A28" s="60">
        <v>19</v>
      </c>
      <c r="B28" s="33">
        <f t="shared" si="1"/>
        <v>19068358</v>
      </c>
      <c r="C28" s="32">
        <v>19071688</v>
      </c>
      <c r="D28" s="38">
        <f t="shared" si="0"/>
        <v>3330</v>
      </c>
      <c r="E28" s="34"/>
    </row>
    <row r="29" spans="1:5" ht="13.5" customHeight="1" x14ac:dyDescent="0.2">
      <c r="A29" s="61">
        <v>20</v>
      </c>
      <c r="B29" s="33">
        <f t="shared" si="1"/>
        <v>19071688</v>
      </c>
      <c r="C29" s="32">
        <v>19077810</v>
      </c>
      <c r="D29" s="38">
        <f t="shared" si="0"/>
        <v>6122</v>
      </c>
      <c r="E29" s="34"/>
    </row>
    <row r="30" spans="1:5" ht="13.5" customHeight="1" x14ac:dyDescent="0.2">
      <c r="A30" s="60">
        <v>21</v>
      </c>
      <c r="B30" s="33">
        <f t="shared" si="1"/>
        <v>19077810</v>
      </c>
      <c r="C30" s="32">
        <v>19081103</v>
      </c>
      <c r="D30" s="38">
        <f t="shared" si="0"/>
        <v>3293</v>
      </c>
      <c r="E30" s="34"/>
    </row>
    <row r="31" spans="1:5" ht="13.5" customHeight="1" x14ac:dyDescent="0.2">
      <c r="A31" s="61">
        <v>22</v>
      </c>
      <c r="B31" s="33">
        <f t="shared" si="1"/>
        <v>19081103</v>
      </c>
      <c r="C31" s="32">
        <v>19088174</v>
      </c>
      <c r="D31" s="38">
        <f t="shared" si="0"/>
        <v>7071</v>
      </c>
      <c r="E31" s="34"/>
    </row>
    <row r="32" spans="1:5" ht="13.5" customHeight="1" x14ac:dyDescent="0.2">
      <c r="A32" s="60">
        <v>23</v>
      </c>
      <c r="B32" s="33">
        <f t="shared" si="1"/>
        <v>19088174</v>
      </c>
      <c r="C32" s="32">
        <v>19093087</v>
      </c>
      <c r="D32" s="38">
        <f t="shared" si="0"/>
        <v>4913</v>
      </c>
      <c r="E32" s="35"/>
    </row>
    <row r="33" spans="1:5" ht="13.5" customHeight="1" x14ac:dyDescent="0.2">
      <c r="A33" s="61">
        <v>24</v>
      </c>
      <c r="B33" s="33">
        <f t="shared" si="1"/>
        <v>19093087</v>
      </c>
      <c r="C33" s="32">
        <v>19098260</v>
      </c>
      <c r="D33" s="38">
        <f t="shared" si="0"/>
        <v>5173</v>
      </c>
      <c r="E33" s="35"/>
    </row>
    <row r="34" spans="1:5" ht="13.5" customHeight="1" x14ac:dyDescent="0.2">
      <c r="A34" s="60">
        <v>25</v>
      </c>
      <c r="B34" s="33">
        <f t="shared" si="1"/>
        <v>19098260</v>
      </c>
      <c r="C34" s="32">
        <v>19106589</v>
      </c>
      <c r="D34" s="38">
        <f t="shared" si="0"/>
        <v>8329</v>
      </c>
      <c r="E34" s="35"/>
    </row>
    <row r="35" spans="1:5" s="3" customFormat="1" ht="13.5" customHeight="1" x14ac:dyDescent="0.2">
      <c r="A35" s="199">
        <v>26</v>
      </c>
      <c r="B35" s="33">
        <f t="shared" si="1"/>
        <v>19106589</v>
      </c>
      <c r="C35" s="32">
        <v>19110247</v>
      </c>
      <c r="D35" s="38">
        <f t="shared" si="0"/>
        <v>3658</v>
      </c>
      <c r="E35" s="35"/>
    </row>
    <row r="36" spans="1:5" ht="13.5" customHeight="1" x14ac:dyDescent="0.2">
      <c r="A36" s="60">
        <v>27</v>
      </c>
      <c r="B36" s="33">
        <f t="shared" si="1"/>
        <v>19110247</v>
      </c>
      <c r="C36" s="32">
        <v>19117669</v>
      </c>
      <c r="D36" s="38">
        <f t="shared" si="0"/>
        <v>7422</v>
      </c>
      <c r="E36" s="48"/>
    </row>
    <row r="37" spans="1:5" ht="13.5" customHeight="1" x14ac:dyDescent="0.2">
      <c r="A37" s="61">
        <v>28</v>
      </c>
      <c r="B37" s="33">
        <f t="shared" si="1"/>
        <v>19117669</v>
      </c>
      <c r="C37" s="32">
        <v>19120931</v>
      </c>
      <c r="D37" s="38">
        <f t="shared" si="0"/>
        <v>3262</v>
      </c>
      <c r="E37" s="48"/>
    </row>
    <row r="38" spans="1:5" ht="13.5" customHeight="1" x14ac:dyDescent="0.2">
      <c r="A38" s="61">
        <v>29</v>
      </c>
      <c r="B38" s="33">
        <f t="shared" si="1"/>
        <v>19120931</v>
      </c>
      <c r="C38" s="32">
        <v>19128192</v>
      </c>
      <c r="D38" s="38">
        <f t="shared" si="0"/>
        <v>7261</v>
      </c>
      <c r="E38" s="48"/>
    </row>
    <row r="39" spans="1:5" ht="13.5" customHeight="1" x14ac:dyDescent="0.2">
      <c r="A39" s="61">
        <v>30</v>
      </c>
      <c r="B39" s="33">
        <f t="shared" si="1"/>
        <v>19128192</v>
      </c>
      <c r="C39" s="32">
        <v>19135119</v>
      </c>
      <c r="D39" s="38">
        <f t="shared" si="0"/>
        <v>6927</v>
      </c>
      <c r="E39" s="48"/>
    </row>
    <row r="40" spans="1:5" ht="13.5" customHeight="1" x14ac:dyDescent="0.2">
      <c r="A40" s="61">
        <v>31</v>
      </c>
      <c r="B40" s="33">
        <f t="shared" si="1"/>
        <v>19135119</v>
      </c>
      <c r="C40" s="32">
        <v>19146360</v>
      </c>
      <c r="D40" s="38">
        <f t="shared" si="0"/>
        <v>11241</v>
      </c>
      <c r="E40" s="48"/>
    </row>
    <row r="41" spans="1:5" ht="13.5" thickBot="1" x14ac:dyDescent="0.25">
      <c r="A41" s="57" t="s">
        <v>7</v>
      </c>
      <c r="D41" s="49">
        <f>SUM(D10:D40)</f>
        <v>190588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topLeftCell="A13" workbookViewId="0">
      <selection activeCell="G36" sqref="G36"/>
    </sheetView>
  </sheetViews>
  <sheetFormatPr defaultRowHeight="12.75" x14ac:dyDescent="0.2"/>
  <cols>
    <col min="1" max="1" width="10.140625" bestFit="1" customWidth="1"/>
    <col min="2" max="2" width="13.85546875" style="96" customWidth="1"/>
    <col min="3" max="3" width="10.7109375" style="96" customWidth="1"/>
    <col min="4" max="4" width="12.42578125" style="96" customWidth="1"/>
    <col min="5" max="5" width="5.85546875" customWidth="1"/>
    <col min="6" max="6" width="12.85546875" customWidth="1"/>
    <col min="7" max="7" width="12.85546875" style="96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9" t="s">
        <v>155</v>
      </c>
      <c r="B1" s="350"/>
      <c r="C1" s="350"/>
      <c r="D1" s="351"/>
      <c r="F1" s="355" t="s">
        <v>158</v>
      </c>
      <c r="G1" s="356"/>
      <c r="H1" s="357"/>
    </row>
    <row r="2" spans="1:13" x14ac:dyDescent="0.2">
      <c r="A2" s="256">
        <v>44409</v>
      </c>
      <c r="B2" s="264"/>
      <c r="C2" s="264"/>
      <c r="D2" s="257"/>
      <c r="F2" s="358"/>
      <c r="G2" s="359"/>
      <c r="H2" s="360"/>
    </row>
    <row r="3" spans="1:13" x14ac:dyDescent="0.2">
      <c r="A3" s="261"/>
      <c r="B3" s="262"/>
      <c r="C3" s="262"/>
      <c r="D3" s="263" t="s">
        <v>38</v>
      </c>
      <c r="E3" s="255"/>
      <c r="F3" s="352" t="s">
        <v>58</v>
      </c>
      <c r="G3" s="353"/>
      <c r="H3" s="354"/>
    </row>
    <row r="4" spans="1:13" s="18" customFormat="1" ht="34.5" customHeight="1" x14ac:dyDescent="0.2">
      <c r="A4" s="265" t="s">
        <v>39</v>
      </c>
      <c r="B4" s="265" t="s">
        <v>40</v>
      </c>
      <c r="C4" s="265" t="s">
        <v>41</v>
      </c>
      <c r="D4" s="266" t="s">
        <v>156</v>
      </c>
      <c r="E4" s="267"/>
      <c r="F4" s="268" t="s">
        <v>49</v>
      </c>
      <c r="G4" s="268" t="s">
        <v>50</v>
      </c>
      <c r="H4" s="269" t="s">
        <v>157</v>
      </c>
      <c r="J4" s="260" t="s">
        <v>63</v>
      </c>
      <c r="L4" s="347" t="s">
        <v>64</v>
      </c>
      <c r="M4" s="348"/>
    </row>
    <row r="5" spans="1:13" x14ac:dyDescent="0.2">
      <c r="A5" s="94">
        <v>1</v>
      </c>
      <c r="B5" s="62">
        <v>44984310</v>
      </c>
      <c r="C5" s="258">
        <v>44990790</v>
      </c>
      <c r="D5" s="258">
        <f>MAX(0,C5-B5)</f>
        <v>6480</v>
      </c>
      <c r="F5" s="22">
        <v>806820</v>
      </c>
      <c r="G5" s="22">
        <v>809290</v>
      </c>
      <c r="H5" s="22">
        <f>MAX(0,G5-F5)</f>
        <v>2470</v>
      </c>
      <c r="J5" s="93">
        <f>D5/200</f>
        <v>32.4</v>
      </c>
      <c r="L5" s="8">
        <f>2.68*D5</f>
        <v>17366.400000000001</v>
      </c>
      <c r="M5" s="8">
        <f>L5/1000</f>
        <v>17.366400000000002</v>
      </c>
    </row>
    <row r="6" spans="1:13" x14ac:dyDescent="0.2">
      <c r="A6" s="94">
        <v>2</v>
      </c>
      <c r="B6" s="62">
        <f>C5</f>
        <v>44990790</v>
      </c>
      <c r="C6" s="62">
        <v>44996460</v>
      </c>
      <c r="D6" s="258">
        <f t="shared" ref="D6:D35" si="0">MAX(0,C6-B6)</f>
        <v>5670</v>
      </c>
      <c r="F6" s="22">
        <f>G5</f>
        <v>809290</v>
      </c>
      <c r="G6" s="22">
        <v>810440</v>
      </c>
      <c r="H6" s="22">
        <f t="shared" ref="H6:H35" si="1">MAX(0,G6-F6)</f>
        <v>1150</v>
      </c>
      <c r="J6" s="93">
        <f t="shared" ref="J6:J34" si="2">D6/200</f>
        <v>28.35</v>
      </c>
      <c r="L6" s="8">
        <f t="shared" ref="L6:L36" si="3">2.68*D6</f>
        <v>15195.6</v>
      </c>
      <c r="M6" s="8">
        <f t="shared" ref="M6:M36" si="4">L6/1000</f>
        <v>15.195600000000001</v>
      </c>
    </row>
    <row r="7" spans="1:13" x14ac:dyDescent="0.2">
      <c r="A7" s="94">
        <v>3</v>
      </c>
      <c r="B7" s="62">
        <f t="shared" ref="B7:B35" si="5">C6</f>
        <v>44996460</v>
      </c>
      <c r="C7" s="62">
        <v>45002930</v>
      </c>
      <c r="D7" s="258">
        <f t="shared" si="0"/>
        <v>6470</v>
      </c>
      <c r="F7" s="22">
        <f t="shared" ref="F7:F35" si="6">G6</f>
        <v>810440</v>
      </c>
      <c r="G7" s="22">
        <v>810440</v>
      </c>
      <c r="H7" s="22">
        <f t="shared" si="1"/>
        <v>0</v>
      </c>
      <c r="J7" s="93">
        <f t="shared" si="2"/>
        <v>32.35</v>
      </c>
      <c r="L7" s="8">
        <f t="shared" si="3"/>
        <v>17339.600000000002</v>
      </c>
      <c r="M7" s="8">
        <f t="shared" si="4"/>
        <v>17.339600000000001</v>
      </c>
    </row>
    <row r="8" spans="1:13" x14ac:dyDescent="0.2">
      <c r="A8" s="94">
        <v>4</v>
      </c>
      <c r="B8" s="62">
        <f t="shared" si="5"/>
        <v>45002930</v>
      </c>
      <c r="C8" s="62">
        <v>45009550</v>
      </c>
      <c r="D8" s="258">
        <f t="shared" si="0"/>
        <v>6620</v>
      </c>
      <c r="F8" s="22">
        <f t="shared" si="6"/>
        <v>810440</v>
      </c>
      <c r="G8" s="22">
        <v>813730</v>
      </c>
      <c r="H8" s="22">
        <f t="shared" si="1"/>
        <v>3290</v>
      </c>
      <c r="J8" s="93">
        <f t="shared" si="2"/>
        <v>33.1</v>
      </c>
      <c r="L8" s="8">
        <f t="shared" si="3"/>
        <v>17741.600000000002</v>
      </c>
      <c r="M8" s="8">
        <f t="shared" si="4"/>
        <v>17.741600000000002</v>
      </c>
    </row>
    <row r="9" spans="1:13" x14ac:dyDescent="0.2">
      <c r="A9" s="94">
        <v>5</v>
      </c>
      <c r="B9" s="62">
        <f t="shared" si="5"/>
        <v>45009550</v>
      </c>
      <c r="C9" s="62">
        <v>45015890</v>
      </c>
      <c r="D9" s="258">
        <f t="shared" si="0"/>
        <v>6340</v>
      </c>
      <c r="F9" s="22">
        <f t="shared" si="6"/>
        <v>813730</v>
      </c>
      <c r="G9" s="22">
        <v>816030</v>
      </c>
      <c r="H9" s="22">
        <f t="shared" si="1"/>
        <v>2300</v>
      </c>
      <c r="J9" s="93">
        <f t="shared" si="2"/>
        <v>31.7</v>
      </c>
      <c r="L9" s="8">
        <f t="shared" si="3"/>
        <v>16991.2</v>
      </c>
      <c r="M9" s="8">
        <f t="shared" si="4"/>
        <v>16.991199999999999</v>
      </c>
    </row>
    <row r="10" spans="1:13" x14ac:dyDescent="0.2">
      <c r="A10" s="94">
        <v>6</v>
      </c>
      <c r="B10" s="62">
        <f t="shared" si="5"/>
        <v>45015890</v>
      </c>
      <c r="C10" s="62">
        <v>45022420</v>
      </c>
      <c r="D10" s="258">
        <f t="shared" si="0"/>
        <v>6530</v>
      </c>
      <c r="F10" s="22">
        <f t="shared" si="6"/>
        <v>816030</v>
      </c>
      <c r="G10" s="22">
        <v>816220</v>
      </c>
      <c r="H10" s="22">
        <f t="shared" si="1"/>
        <v>190</v>
      </c>
      <c r="J10" s="93">
        <f t="shared" si="2"/>
        <v>32.65</v>
      </c>
      <c r="L10" s="8">
        <f t="shared" si="3"/>
        <v>17500.400000000001</v>
      </c>
      <c r="M10" s="8">
        <f t="shared" si="4"/>
        <v>17.500400000000003</v>
      </c>
    </row>
    <row r="11" spans="1:13" x14ac:dyDescent="0.2">
      <c r="A11" s="94">
        <v>7</v>
      </c>
      <c r="B11" s="62">
        <f t="shared" si="5"/>
        <v>45022420</v>
      </c>
      <c r="C11" s="62">
        <v>45029040</v>
      </c>
      <c r="D11" s="258">
        <f t="shared" si="0"/>
        <v>6620</v>
      </c>
      <c r="F11" s="22">
        <f t="shared" si="6"/>
        <v>816220</v>
      </c>
      <c r="G11" s="22">
        <v>819250</v>
      </c>
      <c r="H11" s="22">
        <f t="shared" si="1"/>
        <v>3030</v>
      </c>
      <c r="J11" s="93">
        <f t="shared" si="2"/>
        <v>33.1</v>
      </c>
      <c r="L11" s="8">
        <f t="shared" si="3"/>
        <v>17741.600000000002</v>
      </c>
      <c r="M11" s="8">
        <f t="shared" si="4"/>
        <v>17.741600000000002</v>
      </c>
    </row>
    <row r="12" spans="1:13" x14ac:dyDescent="0.2">
      <c r="A12" s="94">
        <v>8</v>
      </c>
      <c r="B12" s="62">
        <f t="shared" si="5"/>
        <v>45029040</v>
      </c>
      <c r="C12" s="62">
        <v>45035940</v>
      </c>
      <c r="D12" s="258">
        <f t="shared" si="0"/>
        <v>6900</v>
      </c>
      <c r="F12" s="22">
        <f t="shared" si="6"/>
        <v>819250</v>
      </c>
      <c r="G12" s="22">
        <v>821080</v>
      </c>
      <c r="H12" s="22">
        <f t="shared" si="1"/>
        <v>1830</v>
      </c>
      <c r="J12" s="93">
        <f t="shared" si="2"/>
        <v>34.5</v>
      </c>
      <c r="L12" s="8">
        <f t="shared" si="3"/>
        <v>18492</v>
      </c>
      <c r="M12" s="8">
        <f t="shared" si="4"/>
        <v>18.492000000000001</v>
      </c>
    </row>
    <row r="13" spans="1:13" x14ac:dyDescent="0.2">
      <c r="A13" s="94">
        <v>9</v>
      </c>
      <c r="B13" s="62">
        <f t="shared" si="5"/>
        <v>45035940</v>
      </c>
      <c r="C13" s="62">
        <v>45043070</v>
      </c>
      <c r="D13" s="258">
        <f t="shared" si="0"/>
        <v>7130</v>
      </c>
      <c r="F13" s="22">
        <f t="shared" si="6"/>
        <v>821080</v>
      </c>
      <c r="G13" s="22">
        <v>821420</v>
      </c>
      <c r="H13" s="22">
        <f t="shared" si="1"/>
        <v>340</v>
      </c>
      <c r="J13" s="93">
        <f t="shared" si="2"/>
        <v>35.65</v>
      </c>
      <c r="L13" s="8">
        <f t="shared" si="3"/>
        <v>19108.400000000001</v>
      </c>
      <c r="M13" s="8">
        <f t="shared" si="4"/>
        <v>19.108400000000003</v>
      </c>
    </row>
    <row r="14" spans="1:13" x14ac:dyDescent="0.2">
      <c r="A14" s="94">
        <v>10</v>
      </c>
      <c r="B14" s="62">
        <f t="shared" si="5"/>
        <v>45043070</v>
      </c>
      <c r="C14" s="62">
        <v>45049720</v>
      </c>
      <c r="D14" s="258">
        <f t="shared" si="0"/>
        <v>6650</v>
      </c>
      <c r="F14" s="22">
        <f t="shared" si="6"/>
        <v>821420</v>
      </c>
      <c r="G14" s="22">
        <v>821421</v>
      </c>
      <c r="H14" s="22">
        <f t="shared" si="1"/>
        <v>1</v>
      </c>
      <c r="J14" s="93">
        <f t="shared" si="2"/>
        <v>33.25</v>
      </c>
      <c r="L14" s="8">
        <f t="shared" si="3"/>
        <v>17822</v>
      </c>
      <c r="M14" s="8">
        <f t="shared" si="4"/>
        <v>17.821999999999999</v>
      </c>
    </row>
    <row r="15" spans="1:13" x14ac:dyDescent="0.2">
      <c r="A15" s="94">
        <v>11</v>
      </c>
      <c r="B15" s="62">
        <f t="shared" si="5"/>
        <v>45049720</v>
      </c>
      <c r="C15" s="62">
        <v>45057040</v>
      </c>
      <c r="D15" s="258">
        <f t="shared" si="0"/>
        <v>7320</v>
      </c>
      <c r="F15" s="22">
        <f t="shared" si="6"/>
        <v>821421</v>
      </c>
      <c r="G15" s="22">
        <v>825440</v>
      </c>
      <c r="H15" s="22">
        <f t="shared" si="1"/>
        <v>4019</v>
      </c>
      <c r="J15" s="93">
        <f t="shared" si="2"/>
        <v>36.6</v>
      </c>
      <c r="L15" s="8">
        <f t="shared" si="3"/>
        <v>19617.600000000002</v>
      </c>
      <c r="M15" s="8">
        <f t="shared" si="4"/>
        <v>19.617600000000003</v>
      </c>
    </row>
    <row r="16" spans="1:13" x14ac:dyDescent="0.2">
      <c r="A16" s="94">
        <v>12</v>
      </c>
      <c r="B16" s="62">
        <f t="shared" si="5"/>
        <v>45057040</v>
      </c>
      <c r="C16" s="62">
        <v>45064100</v>
      </c>
      <c r="D16" s="258">
        <f t="shared" si="0"/>
        <v>7060</v>
      </c>
      <c r="F16" s="22">
        <f t="shared" si="6"/>
        <v>825440</v>
      </c>
      <c r="G16" s="22">
        <v>827150</v>
      </c>
      <c r="H16" s="22">
        <f t="shared" si="1"/>
        <v>1710</v>
      </c>
      <c r="J16" s="93">
        <f t="shared" si="2"/>
        <v>35.299999999999997</v>
      </c>
      <c r="L16" s="8">
        <f t="shared" si="3"/>
        <v>18920.800000000003</v>
      </c>
      <c r="M16" s="8">
        <f t="shared" si="4"/>
        <v>18.920800000000003</v>
      </c>
    </row>
    <row r="17" spans="1:13" x14ac:dyDescent="0.2">
      <c r="A17" s="94">
        <v>13</v>
      </c>
      <c r="B17" s="62">
        <f t="shared" si="5"/>
        <v>45064100</v>
      </c>
      <c r="C17" s="62">
        <v>45071570</v>
      </c>
      <c r="D17" s="258">
        <f t="shared" si="0"/>
        <v>7470</v>
      </c>
      <c r="F17" s="22">
        <f t="shared" si="6"/>
        <v>827150</v>
      </c>
      <c r="G17" s="22">
        <v>828260</v>
      </c>
      <c r="H17" s="22">
        <f t="shared" si="1"/>
        <v>1110</v>
      </c>
      <c r="J17" s="93">
        <f t="shared" si="2"/>
        <v>37.35</v>
      </c>
      <c r="L17" s="8">
        <f t="shared" si="3"/>
        <v>20019.600000000002</v>
      </c>
      <c r="M17" s="8">
        <f t="shared" si="4"/>
        <v>20.019600000000001</v>
      </c>
    </row>
    <row r="18" spans="1:13" x14ac:dyDescent="0.2">
      <c r="A18" s="94">
        <v>14</v>
      </c>
      <c r="B18" s="62">
        <f t="shared" si="5"/>
        <v>45071570</v>
      </c>
      <c r="C18" s="62">
        <v>45078940</v>
      </c>
      <c r="D18" s="258">
        <f t="shared" si="0"/>
        <v>7370</v>
      </c>
      <c r="F18" s="22">
        <f t="shared" si="6"/>
        <v>828260</v>
      </c>
      <c r="G18" s="22">
        <v>831780</v>
      </c>
      <c r="H18" s="22">
        <f t="shared" si="1"/>
        <v>3520</v>
      </c>
      <c r="J18" s="93">
        <f t="shared" si="2"/>
        <v>36.85</v>
      </c>
      <c r="L18" s="8">
        <f t="shared" si="3"/>
        <v>19751.600000000002</v>
      </c>
      <c r="M18" s="8">
        <f t="shared" si="4"/>
        <v>19.751600000000003</v>
      </c>
    </row>
    <row r="19" spans="1:13" x14ac:dyDescent="0.2">
      <c r="A19" s="94">
        <v>15</v>
      </c>
      <c r="B19" s="62">
        <f t="shared" si="5"/>
        <v>45078940</v>
      </c>
      <c r="C19" s="62">
        <v>45086470</v>
      </c>
      <c r="D19" s="258">
        <f t="shared" si="0"/>
        <v>7530</v>
      </c>
      <c r="F19" s="22">
        <f t="shared" si="6"/>
        <v>831780</v>
      </c>
      <c r="G19" s="22">
        <v>831780</v>
      </c>
      <c r="H19" s="22">
        <f t="shared" si="1"/>
        <v>0</v>
      </c>
      <c r="J19" s="93">
        <f t="shared" si="2"/>
        <v>37.65</v>
      </c>
      <c r="L19" s="8">
        <f t="shared" si="3"/>
        <v>20180.400000000001</v>
      </c>
      <c r="M19" s="8">
        <f t="shared" si="4"/>
        <v>20.180400000000002</v>
      </c>
    </row>
    <row r="20" spans="1:13" x14ac:dyDescent="0.2">
      <c r="A20" s="94">
        <v>16</v>
      </c>
      <c r="B20" s="62">
        <f t="shared" si="5"/>
        <v>45086470</v>
      </c>
      <c r="C20" s="62">
        <v>45094070</v>
      </c>
      <c r="D20" s="258">
        <f t="shared" si="0"/>
        <v>7600</v>
      </c>
      <c r="F20" s="22">
        <f t="shared" si="6"/>
        <v>831780</v>
      </c>
      <c r="G20" s="22">
        <v>831780</v>
      </c>
      <c r="H20" s="22">
        <f t="shared" si="1"/>
        <v>0</v>
      </c>
      <c r="J20" s="93">
        <f t="shared" si="2"/>
        <v>38</v>
      </c>
      <c r="L20" s="8">
        <f t="shared" si="3"/>
        <v>20368</v>
      </c>
      <c r="M20" s="8">
        <f t="shared" si="4"/>
        <v>20.367999999999999</v>
      </c>
    </row>
    <row r="21" spans="1:13" x14ac:dyDescent="0.2">
      <c r="A21" s="94">
        <v>17</v>
      </c>
      <c r="B21" s="62">
        <f t="shared" si="5"/>
        <v>45094070</v>
      </c>
      <c r="C21" s="62">
        <v>45100790</v>
      </c>
      <c r="D21" s="258">
        <f t="shared" si="0"/>
        <v>6720</v>
      </c>
      <c r="F21" s="22">
        <f t="shared" si="6"/>
        <v>831780</v>
      </c>
      <c r="G21" s="22">
        <v>831780</v>
      </c>
      <c r="H21" s="22">
        <f t="shared" si="1"/>
        <v>0</v>
      </c>
      <c r="J21" s="93">
        <f t="shared" si="2"/>
        <v>33.6</v>
      </c>
      <c r="L21" s="8">
        <f t="shared" si="3"/>
        <v>18009.600000000002</v>
      </c>
      <c r="M21" s="8">
        <f t="shared" si="4"/>
        <v>18.009600000000002</v>
      </c>
    </row>
    <row r="22" spans="1:13" x14ac:dyDescent="0.2">
      <c r="A22" s="94">
        <v>18</v>
      </c>
      <c r="B22" s="62">
        <f t="shared" si="5"/>
        <v>45100790</v>
      </c>
      <c r="C22" s="62">
        <v>45107030</v>
      </c>
      <c r="D22" s="258">
        <f t="shared" si="0"/>
        <v>6240</v>
      </c>
      <c r="F22" s="22">
        <f t="shared" si="6"/>
        <v>831780</v>
      </c>
      <c r="G22" s="22">
        <v>833770</v>
      </c>
      <c r="H22" s="22">
        <f t="shared" si="1"/>
        <v>1990</v>
      </c>
      <c r="J22" s="93">
        <f t="shared" si="2"/>
        <v>31.2</v>
      </c>
      <c r="L22" s="8">
        <f t="shared" si="3"/>
        <v>16723.2</v>
      </c>
      <c r="M22" s="8">
        <f t="shared" si="4"/>
        <v>16.723200000000002</v>
      </c>
    </row>
    <row r="23" spans="1:13" x14ac:dyDescent="0.2">
      <c r="A23" s="94">
        <v>19</v>
      </c>
      <c r="B23" s="62">
        <f t="shared" si="5"/>
        <v>45107030</v>
      </c>
      <c r="C23" s="62">
        <v>45113750</v>
      </c>
      <c r="D23" s="258">
        <f t="shared" si="0"/>
        <v>6720</v>
      </c>
      <c r="F23" s="22">
        <f t="shared" si="6"/>
        <v>833770</v>
      </c>
      <c r="G23" s="22">
        <v>835710</v>
      </c>
      <c r="H23" s="22">
        <f t="shared" si="1"/>
        <v>1940</v>
      </c>
      <c r="J23" s="93">
        <f t="shared" si="2"/>
        <v>33.6</v>
      </c>
      <c r="L23" s="8">
        <f t="shared" si="3"/>
        <v>18009.600000000002</v>
      </c>
      <c r="M23" s="8">
        <f t="shared" si="4"/>
        <v>18.009600000000002</v>
      </c>
    </row>
    <row r="24" spans="1:13" x14ac:dyDescent="0.2">
      <c r="A24" s="94">
        <v>20</v>
      </c>
      <c r="B24" s="62">
        <f t="shared" si="5"/>
        <v>45113750</v>
      </c>
      <c r="C24" s="62">
        <v>45120850</v>
      </c>
      <c r="D24" s="258">
        <f t="shared" si="0"/>
        <v>7100</v>
      </c>
      <c r="F24" s="22">
        <f t="shared" si="6"/>
        <v>835710</v>
      </c>
      <c r="G24" s="22">
        <v>836300</v>
      </c>
      <c r="H24" s="22">
        <f t="shared" si="1"/>
        <v>590</v>
      </c>
      <c r="J24" s="93">
        <f t="shared" si="2"/>
        <v>35.5</v>
      </c>
      <c r="L24" s="8">
        <f t="shared" si="3"/>
        <v>19028</v>
      </c>
      <c r="M24" s="8">
        <f t="shared" si="4"/>
        <v>19.027999999999999</v>
      </c>
    </row>
    <row r="25" spans="1:13" x14ac:dyDescent="0.2">
      <c r="A25" s="94">
        <v>21</v>
      </c>
      <c r="B25" s="62">
        <f t="shared" si="5"/>
        <v>45120850</v>
      </c>
      <c r="C25" s="62">
        <v>45128110</v>
      </c>
      <c r="D25" s="258">
        <f t="shared" si="0"/>
        <v>7260</v>
      </c>
      <c r="F25" s="22">
        <f t="shared" si="6"/>
        <v>836300</v>
      </c>
      <c r="G25" s="22">
        <v>839400</v>
      </c>
      <c r="H25" s="22">
        <f t="shared" si="1"/>
        <v>3100</v>
      </c>
      <c r="J25" s="93">
        <f t="shared" si="2"/>
        <v>36.299999999999997</v>
      </c>
      <c r="L25" s="8">
        <f t="shared" si="3"/>
        <v>19456.800000000003</v>
      </c>
      <c r="M25" s="8">
        <f t="shared" si="4"/>
        <v>19.456800000000001</v>
      </c>
    </row>
    <row r="26" spans="1:13" x14ac:dyDescent="0.2">
      <c r="A26" s="94">
        <v>22</v>
      </c>
      <c r="B26" s="62">
        <f t="shared" si="5"/>
        <v>45128110</v>
      </c>
      <c r="C26" s="62">
        <v>45135090</v>
      </c>
      <c r="D26" s="258">
        <f t="shared" si="0"/>
        <v>6980</v>
      </c>
      <c r="F26" s="22">
        <f t="shared" si="6"/>
        <v>839400</v>
      </c>
      <c r="G26" s="22">
        <v>841770</v>
      </c>
      <c r="H26" s="22">
        <f t="shared" si="1"/>
        <v>2370</v>
      </c>
      <c r="J26" s="93">
        <f t="shared" si="2"/>
        <v>34.9</v>
      </c>
      <c r="L26" s="8">
        <f t="shared" si="3"/>
        <v>18706.400000000001</v>
      </c>
      <c r="M26" s="8">
        <f t="shared" si="4"/>
        <v>18.706400000000002</v>
      </c>
    </row>
    <row r="27" spans="1:13" x14ac:dyDescent="0.2">
      <c r="A27" s="94">
        <v>23</v>
      </c>
      <c r="B27" s="62">
        <f t="shared" si="5"/>
        <v>45135090</v>
      </c>
      <c r="C27" s="62">
        <v>45142350</v>
      </c>
      <c r="D27" s="258">
        <f t="shared" si="0"/>
        <v>7260</v>
      </c>
      <c r="F27" s="22">
        <f t="shared" si="6"/>
        <v>841770</v>
      </c>
      <c r="G27" s="22">
        <v>842160</v>
      </c>
      <c r="H27" s="22">
        <f t="shared" si="1"/>
        <v>390</v>
      </c>
      <c r="J27" s="93">
        <f t="shared" si="2"/>
        <v>36.299999999999997</v>
      </c>
      <c r="L27" s="8">
        <f t="shared" si="3"/>
        <v>19456.800000000003</v>
      </c>
      <c r="M27" s="8">
        <f t="shared" si="4"/>
        <v>19.456800000000001</v>
      </c>
    </row>
    <row r="28" spans="1:13" x14ac:dyDescent="0.2">
      <c r="A28" s="94">
        <v>24</v>
      </c>
      <c r="B28" s="62">
        <f t="shared" si="5"/>
        <v>45142350</v>
      </c>
      <c r="C28" s="62">
        <v>45149680</v>
      </c>
      <c r="D28" s="258">
        <f t="shared" si="0"/>
        <v>7330</v>
      </c>
      <c r="F28" s="22">
        <f t="shared" si="6"/>
        <v>842160</v>
      </c>
      <c r="G28" s="22">
        <v>843040</v>
      </c>
      <c r="H28" s="22">
        <f t="shared" si="1"/>
        <v>880</v>
      </c>
      <c r="J28" s="93">
        <f t="shared" si="2"/>
        <v>36.65</v>
      </c>
      <c r="L28" s="8">
        <f t="shared" si="3"/>
        <v>19644.400000000001</v>
      </c>
      <c r="M28" s="8">
        <f>L28/1000</f>
        <v>19.644400000000001</v>
      </c>
    </row>
    <row r="29" spans="1:13" x14ac:dyDescent="0.2">
      <c r="A29" s="94">
        <v>25</v>
      </c>
      <c r="B29" s="62">
        <f t="shared" si="5"/>
        <v>45149680</v>
      </c>
      <c r="C29" s="62">
        <v>45157100</v>
      </c>
      <c r="D29" s="258">
        <f t="shared" si="0"/>
        <v>7420</v>
      </c>
      <c r="E29" s="3"/>
      <c r="F29" s="22">
        <f t="shared" si="6"/>
        <v>843040</v>
      </c>
      <c r="G29" s="22">
        <v>847780</v>
      </c>
      <c r="H29" s="22">
        <f t="shared" si="1"/>
        <v>4740</v>
      </c>
      <c r="J29" s="93">
        <f t="shared" si="2"/>
        <v>37.1</v>
      </c>
      <c r="L29" s="8">
        <f t="shared" si="3"/>
        <v>19885.600000000002</v>
      </c>
      <c r="M29" s="8">
        <f t="shared" si="4"/>
        <v>19.885600000000004</v>
      </c>
    </row>
    <row r="30" spans="1:13" x14ac:dyDescent="0.2">
      <c r="A30" s="94">
        <v>26</v>
      </c>
      <c r="B30" s="62">
        <f t="shared" si="5"/>
        <v>45157100</v>
      </c>
      <c r="C30" s="62">
        <v>45164040</v>
      </c>
      <c r="D30" s="258">
        <f t="shared" si="0"/>
        <v>6940</v>
      </c>
      <c r="F30" s="22">
        <f t="shared" si="6"/>
        <v>847780</v>
      </c>
      <c r="G30" s="22">
        <v>848760</v>
      </c>
      <c r="H30" s="22">
        <f t="shared" si="1"/>
        <v>980</v>
      </c>
      <c r="J30" s="93">
        <f t="shared" si="2"/>
        <v>34.700000000000003</v>
      </c>
      <c r="L30" s="8">
        <f t="shared" si="3"/>
        <v>18599.2</v>
      </c>
      <c r="M30" s="8">
        <f t="shared" si="4"/>
        <v>18.5992</v>
      </c>
    </row>
    <row r="31" spans="1:13" x14ac:dyDescent="0.2">
      <c r="A31" s="94">
        <v>27</v>
      </c>
      <c r="B31" s="62">
        <f t="shared" si="5"/>
        <v>45164040</v>
      </c>
      <c r="C31" s="62">
        <v>45171290</v>
      </c>
      <c r="D31" s="258">
        <f t="shared" si="0"/>
        <v>7250</v>
      </c>
      <c r="F31" s="22">
        <f t="shared" si="6"/>
        <v>848760</v>
      </c>
      <c r="G31" s="22">
        <v>852290</v>
      </c>
      <c r="H31" s="22">
        <f t="shared" si="1"/>
        <v>3530</v>
      </c>
      <c r="J31" s="93">
        <f t="shared" si="2"/>
        <v>36.25</v>
      </c>
      <c r="L31" s="8">
        <f t="shared" si="3"/>
        <v>19430</v>
      </c>
      <c r="M31" s="8">
        <f t="shared" si="4"/>
        <v>19.43</v>
      </c>
    </row>
    <row r="32" spans="1:13" x14ac:dyDescent="0.2">
      <c r="A32" s="94">
        <v>28</v>
      </c>
      <c r="B32" s="62">
        <f t="shared" si="5"/>
        <v>45171290</v>
      </c>
      <c r="C32" s="62">
        <v>45178670</v>
      </c>
      <c r="D32" s="258">
        <f t="shared" si="0"/>
        <v>7380</v>
      </c>
      <c r="F32" s="22">
        <f t="shared" si="6"/>
        <v>852290</v>
      </c>
      <c r="G32" s="22">
        <v>855620</v>
      </c>
      <c r="H32" s="22">
        <f t="shared" si="1"/>
        <v>3330</v>
      </c>
      <c r="J32" s="93">
        <f t="shared" si="2"/>
        <v>36.9</v>
      </c>
      <c r="L32" s="8">
        <f t="shared" si="3"/>
        <v>19778.400000000001</v>
      </c>
      <c r="M32" s="8">
        <f t="shared" si="4"/>
        <v>19.778400000000001</v>
      </c>
    </row>
    <row r="33" spans="1:13" x14ac:dyDescent="0.2">
      <c r="A33" s="94">
        <v>29</v>
      </c>
      <c r="B33" s="62">
        <f t="shared" si="5"/>
        <v>45178670</v>
      </c>
      <c r="C33" s="62">
        <v>45186180</v>
      </c>
      <c r="D33" s="258">
        <f t="shared" si="0"/>
        <v>7510</v>
      </c>
      <c r="F33" s="22">
        <f t="shared" si="6"/>
        <v>855620</v>
      </c>
      <c r="G33" s="22">
        <v>856050</v>
      </c>
      <c r="H33" s="22">
        <f t="shared" si="1"/>
        <v>430</v>
      </c>
      <c r="J33" s="93">
        <f t="shared" si="2"/>
        <v>37.549999999999997</v>
      </c>
      <c r="L33" s="8">
        <f t="shared" si="3"/>
        <v>20126.800000000003</v>
      </c>
      <c r="M33" s="8">
        <f t="shared" si="4"/>
        <v>20.126800000000003</v>
      </c>
    </row>
    <row r="34" spans="1:13" x14ac:dyDescent="0.2">
      <c r="A34" s="94">
        <v>30</v>
      </c>
      <c r="B34" s="62">
        <f t="shared" si="5"/>
        <v>45186180</v>
      </c>
      <c r="C34" s="62">
        <v>45193610</v>
      </c>
      <c r="D34" s="258">
        <f t="shared" si="0"/>
        <v>7430</v>
      </c>
      <c r="F34" s="22">
        <f t="shared" si="6"/>
        <v>856050</v>
      </c>
      <c r="G34" s="22">
        <v>856190</v>
      </c>
      <c r="H34" s="22">
        <f t="shared" si="1"/>
        <v>140</v>
      </c>
      <c r="J34" s="93">
        <f t="shared" si="2"/>
        <v>37.15</v>
      </c>
      <c r="L34" s="8">
        <f t="shared" si="3"/>
        <v>19912.400000000001</v>
      </c>
      <c r="M34" s="8">
        <f t="shared" si="4"/>
        <v>19.912400000000002</v>
      </c>
    </row>
    <row r="35" spans="1:13" x14ac:dyDescent="0.2">
      <c r="A35" s="94">
        <v>31</v>
      </c>
      <c r="B35" s="62">
        <f t="shared" si="5"/>
        <v>45193610</v>
      </c>
      <c r="C35" s="62">
        <v>45201020</v>
      </c>
      <c r="D35" s="258">
        <f t="shared" si="0"/>
        <v>7410</v>
      </c>
      <c r="F35" s="22">
        <f t="shared" si="6"/>
        <v>856190</v>
      </c>
      <c r="G35" s="22">
        <v>858550</v>
      </c>
      <c r="H35" s="22">
        <f t="shared" si="1"/>
        <v>2360</v>
      </c>
      <c r="J35" s="93"/>
      <c r="L35" s="8"/>
      <c r="M35" s="8"/>
    </row>
    <row r="36" spans="1:13" ht="13.5" thickBot="1" x14ac:dyDescent="0.25">
      <c r="D36" s="259">
        <f>SUM(D5:D35)</f>
        <v>216710</v>
      </c>
      <c r="F36" s="91"/>
      <c r="G36" s="275"/>
      <c r="H36" s="22"/>
      <c r="J36" s="93">
        <f>SUM(J5:J34)</f>
        <v>1046.5</v>
      </c>
      <c r="L36" s="8">
        <f t="shared" si="3"/>
        <v>580782.80000000005</v>
      </c>
      <c r="M36" s="8">
        <f t="shared" si="4"/>
        <v>580.78280000000007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22" zoomScaleNormal="100" workbookViewId="0">
      <selection activeCell="F40" sqref="F40"/>
    </sheetView>
  </sheetViews>
  <sheetFormatPr defaultRowHeight="12.75" x14ac:dyDescent="0.2"/>
  <cols>
    <col min="1" max="1" width="5.28515625" style="121" customWidth="1"/>
    <col min="2" max="2" width="12.7109375" customWidth="1"/>
    <col min="3" max="3" width="9.85546875" customWidth="1"/>
    <col min="4" max="4" width="16.140625" style="2" customWidth="1"/>
    <col min="5" max="5" width="16.28515625" style="96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41"/>
      <c r="D1" s="341"/>
    </row>
    <row r="2" spans="1:11" hidden="1" x14ac:dyDescent="0.2">
      <c r="B2" s="18"/>
      <c r="C2" s="341"/>
      <c r="D2" s="341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4"/>
      <c r="B5" s="74">
        <v>44409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271"/>
      <c r="B7" s="361" t="s">
        <v>189</v>
      </c>
      <c r="C7" s="362"/>
      <c r="D7" s="362"/>
      <c r="E7" s="362"/>
      <c r="F7" s="362"/>
    </row>
    <row r="8" spans="1:11" ht="38.25" x14ac:dyDescent="0.2">
      <c r="A8" s="271" t="s">
        <v>5</v>
      </c>
      <c r="B8" s="272" t="s">
        <v>19</v>
      </c>
      <c r="C8" s="273" t="s">
        <v>20</v>
      </c>
      <c r="D8" s="274" t="s">
        <v>29</v>
      </c>
      <c r="E8" s="272" t="s">
        <v>124</v>
      </c>
      <c r="F8" s="272" t="s">
        <v>188</v>
      </c>
    </row>
    <row r="9" spans="1:11" x14ac:dyDescent="0.2">
      <c r="A9" s="270">
        <v>1</v>
      </c>
      <c r="B9" s="33">
        <v>3021707</v>
      </c>
      <c r="C9" s="33">
        <v>3023640</v>
      </c>
      <c r="D9" s="68">
        <f>MAX(0,C9-B9)</f>
        <v>1933</v>
      </c>
      <c r="E9" s="312" t="s">
        <v>194</v>
      </c>
      <c r="F9" s="303">
        <v>27</v>
      </c>
    </row>
    <row r="10" spans="1:11" x14ac:dyDescent="0.2">
      <c r="A10" s="70">
        <v>2</v>
      </c>
      <c r="B10" s="33">
        <f>C9</f>
        <v>3023640</v>
      </c>
      <c r="C10" s="33">
        <v>3026748</v>
      </c>
      <c r="D10" s="68">
        <f t="shared" ref="D10:D39" si="0">MAX(0,C10-B10)</f>
        <v>3108</v>
      </c>
      <c r="E10" s="75" t="s">
        <v>195</v>
      </c>
      <c r="F10" s="303">
        <v>30</v>
      </c>
    </row>
    <row r="11" spans="1:11" x14ac:dyDescent="0.2">
      <c r="A11" s="121">
        <v>3</v>
      </c>
      <c r="B11" s="33">
        <f t="shared" ref="B11:B39" si="1">C10</f>
        <v>3026748</v>
      </c>
      <c r="C11" s="33">
        <v>3030012</v>
      </c>
      <c r="D11" s="68">
        <f t="shared" si="0"/>
        <v>3264</v>
      </c>
      <c r="E11" s="75" t="s">
        <v>195</v>
      </c>
      <c r="F11" s="303">
        <v>30</v>
      </c>
    </row>
    <row r="12" spans="1:11" x14ac:dyDescent="0.2">
      <c r="A12" s="70">
        <v>4</v>
      </c>
      <c r="B12" s="33">
        <f t="shared" si="1"/>
        <v>3030012</v>
      </c>
      <c r="C12" s="33">
        <v>3032482</v>
      </c>
      <c r="D12" s="68">
        <f t="shared" si="0"/>
        <v>2470</v>
      </c>
      <c r="E12" s="75" t="s">
        <v>196</v>
      </c>
      <c r="F12" s="303">
        <v>28</v>
      </c>
    </row>
    <row r="13" spans="1:11" x14ac:dyDescent="0.2">
      <c r="A13" s="121">
        <v>5</v>
      </c>
      <c r="B13" s="33">
        <f t="shared" si="1"/>
        <v>3032482</v>
      </c>
      <c r="C13" s="33">
        <v>3034606</v>
      </c>
      <c r="D13" s="68">
        <f t="shared" si="0"/>
        <v>2124</v>
      </c>
      <c r="E13" s="75" t="s">
        <v>196</v>
      </c>
      <c r="F13" s="303">
        <v>28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3034606</v>
      </c>
      <c r="C14" s="33">
        <v>3037311</v>
      </c>
      <c r="D14" s="68">
        <f t="shared" si="0"/>
        <v>2705</v>
      </c>
      <c r="E14" s="75" t="s">
        <v>196</v>
      </c>
      <c r="F14" s="303">
        <v>28</v>
      </c>
      <c r="J14" s="92" t="s">
        <v>61</v>
      </c>
      <c r="K14" t="s">
        <v>62</v>
      </c>
    </row>
    <row r="15" spans="1:11" x14ac:dyDescent="0.2">
      <c r="A15" s="121">
        <v>7</v>
      </c>
      <c r="B15" s="33">
        <f t="shared" si="1"/>
        <v>3037311</v>
      </c>
      <c r="C15" s="33">
        <v>3040279</v>
      </c>
      <c r="D15" s="68">
        <f t="shared" si="0"/>
        <v>2968</v>
      </c>
      <c r="E15" s="75" t="s">
        <v>196</v>
      </c>
      <c r="F15" s="303">
        <v>28</v>
      </c>
    </row>
    <row r="16" spans="1:11" x14ac:dyDescent="0.2">
      <c r="A16" s="70">
        <v>8</v>
      </c>
      <c r="B16" s="33">
        <f t="shared" si="1"/>
        <v>3040279</v>
      </c>
      <c r="C16" s="33">
        <v>3043435</v>
      </c>
      <c r="D16" s="68">
        <f t="shared" si="0"/>
        <v>3156</v>
      </c>
      <c r="E16" s="75" t="s">
        <v>195</v>
      </c>
      <c r="F16" s="303">
        <v>31</v>
      </c>
    </row>
    <row r="17" spans="1:10" x14ac:dyDescent="0.2">
      <c r="A17" s="121">
        <v>9</v>
      </c>
      <c r="B17" s="33">
        <f t="shared" si="1"/>
        <v>3043435</v>
      </c>
      <c r="C17" s="33">
        <v>3046294</v>
      </c>
      <c r="D17" s="68">
        <f t="shared" si="0"/>
        <v>2859</v>
      </c>
      <c r="E17" s="71" t="s">
        <v>196</v>
      </c>
      <c r="F17" s="303">
        <v>28</v>
      </c>
    </row>
    <row r="18" spans="1:10" x14ac:dyDescent="0.2">
      <c r="A18" s="70">
        <v>10</v>
      </c>
      <c r="B18" s="33">
        <f t="shared" si="1"/>
        <v>3046294</v>
      </c>
      <c r="C18" s="33">
        <v>3049179</v>
      </c>
      <c r="D18" s="68">
        <f t="shared" si="0"/>
        <v>2885</v>
      </c>
      <c r="E18" s="71" t="s">
        <v>196</v>
      </c>
      <c r="F18" s="303">
        <v>29</v>
      </c>
    </row>
    <row r="19" spans="1:10" x14ac:dyDescent="0.2">
      <c r="A19" s="121">
        <v>11</v>
      </c>
      <c r="B19" s="33">
        <f t="shared" si="1"/>
        <v>3049179</v>
      </c>
      <c r="C19" s="33">
        <v>3052069</v>
      </c>
      <c r="D19" s="68">
        <f t="shared" si="0"/>
        <v>2890</v>
      </c>
      <c r="E19" s="71" t="s">
        <v>196</v>
      </c>
      <c r="F19" s="303">
        <v>28</v>
      </c>
    </row>
    <row r="20" spans="1:10" x14ac:dyDescent="0.2">
      <c r="A20" s="70">
        <v>12</v>
      </c>
      <c r="B20" s="33">
        <f t="shared" si="1"/>
        <v>3052069</v>
      </c>
      <c r="C20" s="33">
        <v>3055269</v>
      </c>
      <c r="D20" s="68">
        <f t="shared" si="0"/>
        <v>3200</v>
      </c>
      <c r="E20" s="71" t="s">
        <v>195</v>
      </c>
      <c r="F20" s="303">
        <v>29</v>
      </c>
    </row>
    <row r="21" spans="1:10" x14ac:dyDescent="0.2">
      <c r="A21" s="121">
        <v>13</v>
      </c>
      <c r="B21" s="33">
        <f t="shared" si="1"/>
        <v>3055269</v>
      </c>
      <c r="C21" s="33">
        <v>3058453</v>
      </c>
      <c r="D21" s="68">
        <f t="shared" si="0"/>
        <v>3184</v>
      </c>
      <c r="E21" s="71" t="s">
        <v>195</v>
      </c>
      <c r="F21" s="303">
        <v>29</v>
      </c>
    </row>
    <row r="22" spans="1:10" x14ac:dyDescent="0.2">
      <c r="A22" s="70">
        <v>14</v>
      </c>
      <c r="B22" s="33">
        <f t="shared" si="1"/>
        <v>3058453</v>
      </c>
      <c r="C22" s="33">
        <v>3061540</v>
      </c>
      <c r="D22" s="68">
        <f t="shared" si="0"/>
        <v>3087</v>
      </c>
      <c r="E22" s="71" t="s">
        <v>195</v>
      </c>
      <c r="F22" s="303">
        <v>29</v>
      </c>
    </row>
    <row r="23" spans="1:10" x14ac:dyDescent="0.2">
      <c r="A23" s="121">
        <v>15</v>
      </c>
      <c r="B23" s="33">
        <f t="shared" si="1"/>
        <v>3061540</v>
      </c>
      <c r="C23" s="33">
        <v>3064713</v>
      </c>
      <c r="D23" s="68">
        <f t="shared" si="0"/>
        <v>3173</v>
      </c>
      <c r="E23" s="71" t="s">
        <v>195</v>
      </c>
      <c r="F23" s="303">
        <v>29</v>
      </c>
    </row>
    <row r="24" spans="1:10" x14ac:dyDescent="0.2">
      <c r="A24" s="70">
        <v>16</v>
      </c>
      <c r="B24" s="33">
        <f t="shared" si="1"/>
        <v>3064713</v>
      </c>
      <c r="C24" s="33">
        <v>3067600</v>
      </c>
      <c r="D24" s="68">
        <f t="shared" si="0"/>
        <v>2887</v>
      </c>
      <c r="E24" s="71" t="s">
        <v>196</v>
      </c>
      <c r="F24" s="303">
        <v>26</v>
      </c>
    </row>
    <row r="25" spans="1:10" x14ac:dyDescent="0.2">
      <c r="A25" s="121">
        <v>17</v>
      </c>
      <c r="B25" s="33">
        <f t="shared" si="1"/>
        <v>3067600</v>
      </c>
      <c r="C25" s="33">
        <v>3069160</v>
      </c>
      <c r="D25" s="68">
        <f t="shared" si="0"/>
        <v>1560</v>
      </c>
      <c r="E25" s="71" t="s">
        <v>194</v>
      </c>
      <c r="F25" s="303">
        <v>26</v>
      </c>
    </row>
    <row r="26" spans="1:10" x14ac:dyDescent="0.2">
      <c r="A26" s="70">
        <v>18</v>
      </c>
      <c r="B26" s="33">
        <f t="shared" si="1"/>
        <v>3069160</v>
      </c>
      <c r="C26" s="33">
        <v>3071011</v>
      </c>
      <c r="D26" s="68">
        <f t="shared" si="0"/>
        <v>1851</v>
      </c>
      <c r="E26" s="75" t="s">
        <v>194</v>
      </c>
      <c r="F26" s="303">
        <v>26</v>
      </c>
      <c r="J26" s="3" t="s">
        <v>163</v>
      </c>
    </row>
    <row r="27" spans="1:10" x14ac:dyDescent="0.2">
      <c r="A27" s="121">
        <v>19</v>
      </c>
      <c r="B27" s="33">
        <f t="shared" si="1"/>
        <v>3071011</v>
      </c>
      <c r="C27" s="33">
        <v>3074236</v>
      </c>
      <c r="D27" s="68">
        <f t="shared" si="0"/>
        <v>3225</v>
      </c>
      <c r="E27" s="75" t="s">
        <v>195</v>
      </c>
      <c r="F27" s="303">
        <v>29</v>
      </c>
    </row>
    <row r="28" spans="1:10" x14ac:dyDescent="0.2">
      <c r="A28" s="70">
        <v>20</v>
      </c>
      <c r="B28" s="33">
        <f t="shared" si="1"/>
        <v>3074236</v>
      </c>
      <c r="C28" s="33">
        <v>3077518</v>
      </c>
      <c r="D28" s="68">
        <f t="shared" si="0"/>
        <v>3282</v>
      </c>
      <c r="E28" s="75" t="s">
        <v>195</v>
      </c>
      <c r="F28" s="303">
        <v>29</v>
      </c>
    </row>
    <row r="29" spans="1:10" x14ac:dyDescent="0.2">
      <c r="A29" s="121">
        <v>21</v>
      </c>
      <c r="B29" s="33">
        <f t="shared" si="1"/>
        <v>3077518</v>
      </c>
      <c r="C29" s="33">
        <v>3080616</v>
      </c>
      <c r="D29" s="68">
        <f t="shared" si="0"/>
        <v>3098</v>
      </c>
      <c r="E29" s="62" t="s">
        <v>195</v>
      </c>
      <c r="F29" s="303">
        <v>29</v>
      </c>
    </row>
    <row r="30" spans="1:10" x14ac:dyDescent="0.2">
      <c r="A30" s="70">
        <v>22</v>
      </c>
      <c r="B30" s="33">
        <f t="shared" si="1"/>
        <v>3080616</v>
      </c>
      <c r="C30" s="33">
        <v>3083011</v>
      </c>
      <c r="D30" s="68">
        <f t="shared" si="0"/>
        <v>2395</v>
      </c>
      <c r="E30" s="75" t="s">
        <v>196</v>
      </c>
      <c r="F30" s="303">
        <v>27</v>
      </c>
    </row>
    <row r="31" spans="1:10" x14ac:dyDescent="0.2">
      <c r="A31" s="121">
        <v>23</v>
      </c>
      <c r="B31" s="33">
        <f t="shared" si="1"/>
        <v>3083011</v>
      </c>
      <c r="C31" s="33">
        <v>3085850</v>
      </c>
      <c r="D31" s="68">
        <f t="shared" si="0"/>
        <v>2839</v>
      </c>
      <c r="E31" s="75" t="s">
        <v>196</v>
      </c>
      <c r="F31" s="303">
        <v>28</v>
      </c>
    </row>
    <row r="32" spans="1:10" x14ac:dyDescent="0.2">
      <c r="A32" s="70">
        <v>24</v>
      </c>
      <c r="B32" s="33">
        <f t="shared" si="1"/>
        <v>3085850</v>
      </c>
      <c r="C32" s="90">
        <v>3088890</v>
      </c>
      <c r="D32" s="68">
        <f t="shared" si="0"/>
        <v>3040</v>
      </c>
      <c r="E32" s="71" t="s">
        <v>195</v>
      </c>
      <c r="F32" s="303">
        <v>28</v>
      </c>
    </row>
    <row r="33" spans="1:6" x14ac:dyDescent="0.2">
      <c r="A33" s="121">
        <v>25</v>
      </c>
      <c r="B33" s="33">
        <f t="shared" si="1"/>
        <v>3088890</v>
      </c>
      <c r="C33" s="33">
        <v>3090942</v>
      </c>
      <c r="D33" s="68">
        <f t="shared" si="0"/>
        <v>2052</v>
      </c>
      <c r="E33" s="71" t="s">
        <v>194</v>
      </c>
      <c r="F33" s="303">
        <v>28</v>
      </c>
    </row>
    <row r="34" spans="1:6" x14ac:dyDescent="0.2">
      <c r="A34" s="70">
        <v>26</v>
      </c>
      <c r="B34" s="33">
        <f t="shared" si="1"/>
        <v>3090942</v>
      </c>
      <c r="C34" s="33">
        <v>3093749</v>
      </c>
      <c r="D34" s="68">
        <f t="shared" si="0"/>
        <v>2807</v>
      </c>
      <c r="E34" s="71" t="s">
        <v>196</v>
      </c>
      <c r="F34" s="303">
        <v>29</v>
      </c>
    </row>
    <row r="35" spans="1:6" x14ac:dyDescent="0.2">
      <c r="A35" s="121">
        <v>27</v>
      </c>
      <c r="B35" s="33">
        <f t="shared" si="1"/>
        <v>3093749</v>
      </c>
      <c r="C35" s="33">
        <v>3096562</v>
      </c>
      <c r="D35" s="68">
        <f t="shared" si="0"/>
        <v>2813</v>
      </c>
      <c r="E35" s="71" t="s">
        <v>196</v>
      </c>
      <c r="F35" s="303">
        <v>28</v>
      </c>
    </row>
    <row r="36" spans="1:6" x14ac:dyDescent="0.2">
      <c r="A36" s="70">
        <v>28</v>
      </c>
      <c r="B36" s="33">
        <f t="shared" si="1"/>
        <v>3096562</v>
      </c>
      <c r="C36" s="33">
        <v>3099612</v>
      </c>
      <c r="D36" s="68">
        <f t="shared" si="0"/>
        <v>3050</v>
      </c>
      <c r="E36" s="71" t="s">
        <v>195</v>
      </c>
      <c r="F36" s="303">
        <v>30</v>
      </c>
    </row>
    <row r="37" spans="1:6" x14ac:dyDescent="0.2">
      <c r="A37" s="70">
        <v>29</v>
      </c>
      <c r="B37" s="33">
        <f t="shared" si="1"/>
        <v>3099612</v>
      </c>
      <c r="C37" s="33">
        <v>3102642</v>
      </c>
      <c r="D37" s="68">
        <f t="shared" si="0"/>
        <v>3030</v>
      </c>
      <c r="E37" s="71" t="s">
        <v>195</v>
      </c>
      <c r="F37" s="303">
        <v>31</v>
      </c>
    </row>
    <row r="38" spans="1:6" x14ac:dyDescent="0.2">
      <c r="A38" s="70">
        <v>30</v>
      </c>
      <c r="B38" s="33">
        <f t="shared" si="1"/>
        <v>3102642</v>
      </c>
      <c r="C38" s="33">
        <v>3105687</v>
      </c>
      <c r="D38" s="68">
        <f t="shared" si="0"/>
        <v>3045</v>
      </c>
      <c r="E38" s="71" t="s">
        <v>195</v>
      </c>
      <c r="F38" s="303">
        <v>31</v>
      </c>
    </row>
    <row r="39" spans="1:6" x14ac:dyDescent="0.2">
      <c r="A39" s="70">
        <v>31</v>
      </c>
      <c r="B39" s="33">
        <f t="shared" si="1"/>
        <v>3105687</v>
      </c>
      <c r="C39" s="33">
        <v>3108373</v>
      </c>
      <c r="D39" s="68">
        <f t="shared" si="0"/>
        <v>2686</v>
      </c>
      <c r="E39" s="200" t="s">
        <v>196</v>
      </c>
      <c r="F39" s="303">
        <v>29</v>
      </c>
    </row>
    <row r="40" spans="1:6" ht="13.5" thickBot="1" x14ac:dyDescent="0.25">
      <c r="A40" s="121" t="s">
        <v>7</v>
      </c>
      <c r="B40" s="18"/>
      <c r="C40" s="18"/>
      <c r="D40" s="69">
        <f>SUM(D9:D39)</f>
        <v>86666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R37"/>
  <sheetViews>
    <sheetView zoomScale="90" zoomScaleNormal="90" workbookViewId="0">
      <pane xSplit="2" ySplit="4" topLeftCell="EC5" activePane="bottomRight" state="frozen"/>
      <selection pane="topRight" activeCell="C1" sqref="C1"/>
      <selection pane="bottomLeft" activeCell="A5" sqref="A5"/>
      <selection pane="bottomRight" activeCell="EO5" sqref="EO5:EO35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63" max="163" width="2.28515625" style="288" customWidth="1"/>
    <col min="164" max="164" width="11.28515625" style="96" bestFit="1" customWidth="1"/>
    <col min="166" max="166" width="11.28515625" bestFit="1" customWidth="1"/>
    <col min="168" max="168" width="11.28515625" bestFit="1" customWidth="1"/>
    <col min="170" max="170" width="11.28515625" style="96" bestFit="1" customWidth="1"/>
    <col min="172" max="172" width="11.28515625" style="96" bestFit="1" customWidth="1"/>
    <col min="173" max="173" width="17.28515625" customWidth="1"/>
    <col min="174" max="174" width="14.28515625" customWidth="1"/>
    <col min="175" max="175" width="11" customWidth="1"/>
  </cols>
  <sheetData>
    <row r="1" spans="1:175" s="1" customFormat="1" ht="23.25" customHeight="1" x14ac:dyDescent="0.2">
      <c r="A1" s="368">
        <v>44440</v>
      </c>
      <c r="B1" s="368"/>
      <c r="C1" s="368"/>
      <c r="D1" s="367"/>
      <c r="E1" s="367"/>
      <c r="F1" s="367"/>
      <c r="G1" s="367"/>
      <c r="H1" s="367"/>
      <c r="I1" s="367"/>
      <c r="J1" s="24"/>
      <c r="K1" s="24"/>
      <c r="L1" s="24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24"/>
      <c r="BU1" s="24"/>
      <c r="BZ1" s="24"/>
      <c r="CE1" s="24"/>
      <c r="FG1" s="287"/>
      <c r="FH1" s="377" t="s">
        <v>167</v>
      </c>
      <c r="FI1" s="377"/>
      <c r="FJ1" s="377"/>
      <c r="FK1" s="377"/>
      <c r="FL1" s="377"/>
      <c r="FM1" s="377"/>
      <c r="FN1" s="377"/>
      <c r="FO1" s="377"/>
      <c r="FP1" s="377"/>
      <c r="FQ1" s="377"/>
      <c r="FR1" s="377"/>
      <c r="FS1" s="377"/>
    </row>
    <row r="2" spans="1:175" ht="23.25" customHeight="1" thickBot="1" x14ac:dyDescent="0.25">
      <c r="A2" s="231" t="s">
        <v>44</v>
      </c>
      <c r="B2" s="231"/>
      <c r="FH2" s="378"/>
      <c r="FI2" s="378"/>
      <c r="FJ2" s="378"/>
      <c r="FK2" s="378"/>
      <c r="FL2" s="378"/>
      <c r="FM2" s="378"/>
      <c r="FN2" s="378"/>
      <c r="FO2" s="378"/>
      <c r="FP2" s="378"/>
      <c r="FQ2" s="378"/>
      <c r="FR2" s="378"/>
      <c r="FS2" s="378"/>
    </row>
    <row r="3" spans="1:175" s="82" customFormat="1" ht="15.75" customHeight="1" thickBot="1" x14ac:dyDescent="0.25">
      <c r="A3" s="279"/>
      <c r="B3" s="279"/>
      <c r="C3" s="369" t="s">
        <v>176</v>
      </c>
      <c r="D3" s="369"/>
      <c r="E3" s="369"/>
      <c r="F3" s="369"/>
      <c r="G3" s="369"/>
      <c r="H3" s="370" t="s">
        <v>177</v>
      </c>
      <c r="I3" s="369"/>
      <c r="J3" s="369"/>
      <c r="K3" s="369"/>
      <c r="L3" s="371"/>
      <c r="M3" s="366" t="s">
        <v>185</v>
      </c>
      <c r="N3" s="366"/>
      <c r="O3" s="366"/>
      <c r="P3" s="366"/>
      <c r="Q3" s="366"/>
      <c r="R3" s="366" t="s">
        <v>45</v>
      </c>
      <c r="S3" s="366"/>
      <c r="T3" s="366"/>
      <c r="U3" s="366"/>
      <c r="V3" s="366"/>
      <c r="W3" s="366" t="s">
        <v>46</v>
      </c>
      <c r="X3" s="366"/>
      <c r="Y3" s="366"/>
      <c r="Z3" s="366"/>
      <c r="AA3" s="366"/>
      <c r="AB3" s="366" t="s">
        <v>47</v>
      </c>
      <c r="AC3" s="366"/>
      <c r="AD3" s="366"/>
      <c r="AE3" s="366"/>
      <c r="AF3" s="366"/>
      <c r="AG3" s="366" t="s">
        <v>48</v>
      </c>
      <c r="AH3" s="366"/>
      <c r="AI3" s="366"/>
      <c r="AJ3" s="366"/>
      <c r="AK3" s="366"/>
      <c r="AL3" s="366" t="s">
        <v>178</v>
      </c>
      <c r="AM3" s="366"/>
      <c r="AN3" s="366"/>
      <c r="AO3" s="366"/>
      <c r="AP3" s="366"/>
      <c r="AQ3" s="366" t="s">
        <v>179</v>
      </c>
      <c r="AR3" s="366"/>
      <c r="AS3" s="366"/>
      <c r="AT3" s="366"/>
      <c r="AU3" s="366"/>
      <c r="AV3" s="366" t="s">
        <v>71</v>
      </c>
      <c r="AW3" s="366"/>
      <c r="AX3" s="366"/>
      <c r="AY3" s="366"/>
      <c r="AZ3" s="366"/>
      <c r="BA3" s="366" t="s">
        <v>69</v>
      </c>
      <c r="BB3" s="366"/>
      <c r="BC3" s="366"/>
      <c r="BD3" s="366"/>
      <c r="BE3" s="366"/>
      <c r="BF3" s="366" t="s">
        <v>70</v>
      </c>
      <c r="BG3" s="366"/>
      <c r="BH3" s="366"/>
      <c r="BI3" s="366"/>
      <c r="BJ3" s="366"/>
      <c r="BK3" s="366" t="s">
        <v>180</v>
      </c>
      <c r="BL3" s="366"/>
      <c r="BM3" s="366"/>
      <c r="BN3" s="366"/>
      <c r="BO3" s="366"/>
      <c r="BP3" s="366" t="s">
        <v>181</v>
      </c>
      <c r="BQ3" s="366"/>
      <c r="BR3" s="366"/>
      <c r="BS3" s="366"/>
      <c r="BT3" s="366"/>
      <c r="BU3" s="366" t="s">
        <v>159</v>
      </c>
      <c r="BV3" s="366"/>
      <c r="BW3" s="366"/>
      <c r="BX3" s="366"/>
      <c r="BY3" s="366"/>
      <c r="BZ3" s="366" t="s">
        <v>182</v>
      </c>
      <c r="CA3" s="366"/>
      <c r="CB3" s="366"/>
      <c r="CC3" s="366"/>
      <c r="CD3" s="366"/>
      <c r="CE3" s="366" t="s">
        <v>183</v>
      </c>
      <c r="CF3" s="366"/>
      <c r="CG3" s="366"/>
      <c r="CH3" s="366"/>
      <c r="CI3" s="366"/>
      <c r="CJ3" s="363" t="s">
        <v>65</v>
      </c>
      <c r="CK3" s="364"/>
      <c r="CL3" s="364"/>
      <c r="CM3" s="364"/>
      <c r="CN3" s="365"/>
      <c r="CO3" s="363" t="s">
        <v>54</v>
      </c>
      <c r="CP3" s="364"/>
      <c r="CQ3" s="364"/>
      <c r="CR3" s="364"/>
      <c r="CS3" s="365"/>
      <c r="CT3" s="363" t="s">
        <v>55</v>
      </c>
      <c r="CU3" s="364"/>
      <c r="CV3" s="364"/>
      <c r="CW3" s="364"/>
      <c r="CX3" s="365"/>
      <c r="CY3" s="363" t="s">
        <v>56</v>
      </c>
      <c r="CZ3" s="364"/>
      <c r="DA3" s="364"/>
      <c r="DB3" s="364"/>
      <c r="DC3" s="365"/>
      <c r="DD3" s="363" t="s">
        <v>57</v>
      </c>
      <c r="DE3" s="364"/>
      <c r="DF3" s="364"/>
      <c r="DG3" s="364"/>
      <c r="DH3" s="365"/>
      <c r="DI3" s="363" t="s">
        <v>67</v>
      </c>
      <c r="DJ3" s="364"/>
      <c r="DK3" s="364"/>
      <c r="DL3" s="364"/>
      <c r="DM3" s="365"/>
      <c r="DN3" s="363" t="s">
        <v>79</v>
      </c>
      <c r="DO3" s="364"/>
      <c r="DP3" s="364"/>
      <c r="DQ3" s="364"/>
      <c r="DR3" s="365"/>
      <c r="DS3" s="363" t="s">
        <v>80</v>
      </c>
      <c r="DT3" s="364"/>
      <c r="DU3" s="364"/>
      <c r="DV3" s="364"/>
      <c r="DW3" s="365"/>
      <c r="DX3" s="363" t="s">
        <v>81</v>
      </c>
      <c r="DY3" s="364"/>
      <c r="DZ3" s="364"/>
      <c r="EA3" s="364"/>
      <c r="EB3" s="365"/>
      <c r="EC3" s="363" t="s">
        <v>82</v>
      </c>
      <c r="ED3" s="364"/>
      <c r="EE3" s="364"/>
      <c r="EF3" s="364"/>
      <c r="EG3" s="365"/>
      <c r="EH3" s="363" t="s">
        <v>83</v>
      </c>
      <c r="EI3" s="364"/>
      <c r="EJ3" s="364"/>
      <c r="EK3" s="364"/>
      <c r="EL3" s="365"/>
      <c r="EM3" s="363" t="s">
        <v>84</v>
      </c>
      <c r="EN3" s="364"/>
      <c r="EO3" s="364"/>
      <c r="EP3" s="364"/>
      <c r="EQ3" s="365"/>
      <c r="ER3" s="363" t="s">
        <v>184</v>
      </c>
      <c r="ES3" s="364"/>
      <c r="ET3" s="364"/>
      <c r="EU3" s="364"/>
      <c r="EV3" s="365"/>
      <c r="EW3" s="363" t="s">
        <v>161</v>
      </c>
      <c r="EX3" s="364"/>
      <c r="EY3" s="364"/>
      <c r="EZ3" s="364"/>
      <c r="FA3" s="365"/>
      <c r="FB3" s="363" t="s">
        <v>162</v>
      </c>
      <c r="FC3" s="364"/>
      <c r="FD3" s="364"/>
      <c r="FE3" s="364"/>
      <c r="FF3" s="365"/>
      <c r="FG3" s="372"/>
      <c r="FH3" s="373" t="s">
        <v>165</v>
      </c>
      <c r="FI3" s="374"/>
      <c r="FJ3" s="379" t="s">
        <v>169</v>
      </c>
      <c r="FK3" s="380"/>
      <c r="FL3" s="379" t="s">
        <v>186</v>
      </c>
      <c r="FM3" s="380"/>
      <c r="FN3" s="373" t="s">
        <v>166</v>
      </c>
      <c r="FO3" s="374"/>
      <c r="FP3" s="373" t="s">
        <v>187</v>
      </c>
      <c r="FQ3" s="374"/>
      <c r="FR3" s="375" t="s">
        <v>170</v>
      </c>
      <c r="FS3" s="376"/>
    </row>
    <row r="4" spans="1:175" s="82" customFormat="1" ht="26.25" customHeight="1" thickBot="1" x14ac:dyDescent="0.25">
      <c r="A4" s="281" t="s">
        <v>5</v>
      </c>
      <c r="B4" s="282" t="s">
        <v>123</v>
      </c>
      <c r="C4" s="276" t="s">
        <v>49</v>
      </c>
      <c r="D4" s="80" t="s">
        <v>50</v>
      </c>
      <c r="E4" s="81" t="s">
        <v>51</v>
      </c>
      <c r="F4" s="81" t="s">
        <v>150</v>
      </c>
      <c r="G4" s="228" t="s">
        <v>151</v>
      </c>
      <c r="H4" s="241" t="s">
        <v>49</v>
      </c>
      <c r="I4" s="80" t="s">
        <v>50</v>
      </c>
      <c r="J4" s="81" t="s">
        <v>51</v>
      </c>
      <c r="K4" s="81" t="s">
        <v>153</v>
      </c>
      <c r="L4" s="242" t="s">
        <v>151</v>
      </c>
      <c r="M4" s="252" t="s">
        <v>49</v>
      </c>
      <c r="N4" s="252" t="s">
        <v>50</v>
      </c>
      <c r="O4" s="253" t="s">
        <v>51</v>
      </c>
      <c r="P4" s="253" t="s">
        <v>154</v>
      </c>
      <c r="Q4" s="253" t="s">
        <v>151</v>
      </c>
      <c r="R4" s="252" t="s">
        <v>49</v>
      </c>
      <c r="S4" s="252" t="s">
        <v>50</v>
      </c>
      <c r="T4" s="253" t="s">
        <v>51</v>
      </c>
      <c r="U4" s="253" t="s">
        <v>153</v>
      </c>
      <c r="V4" s="253" t="s">
        <v>151</v>
      </c>
      <c r="W4" s="252" t="s">
        <v>49</v>
      </c>
      <c r="X4" s="252" t="s">
        <v>50</v>
      </c>
      <c r="Y4" s="253" t="s">
        <v>51</v>
      </c>
      <c r="Z4" s="253" t="s">
        <v>153</v>
      </c>
      <c r="AA4" s="253" t="s">
        <v>151</v>
      </c>
      <c r="AB4" s="252" t="s">
        <v>49</v>
      </c>
      <c r="AC4" s="252" t="s">
        <v>50</v>
      </c>
      <c r="AD4" s="253" t="s">
        <v>51</v>
      </c>
      <c r="AE4" s="253" t="s">
        <v>153</v>
      </c>
      <c r="AF4" s="253" t="s">
        <v>151</v>
      </c>
      <c r="AG4" s="252" t="s">
        <v>49</v>
      </c>
      <c r="AH4" s="252" t="s">
        <v>50</v>
      </c>
      <c r="AI4" s="253" t="s">
        <v>51</v>
      </c>
      <c r="AJ4" s="253" t="s">
        <v>153</v>
      </c>
      <c r="AK4" s="253" t="s">
        <v>151</v>
      </c>
      <c r="AL4" s="252" t="s">
        <v>49</v>
      </c>
      <c r="AM4" s="252" t="s">
        <v>50</v>
      </c>
      <c r="AN4" s="253" t="s">
        <v>51</v>
      </c>
      <c r="AO4" s="253" t="s">
        <v>153</v>
      </c>
      <c r="AP4" s="253" t="s">
        <v>151</v>
      </c>
      <c r="AQ4" s="252" t="s">
        <v>49</v>
      </c>
      <c r="AR4" s="252" t="s">
        <v>50</v>
      </c>
      <c r="AS4" s="253" t="s">
        <v>51</v>
      </c>
      <c r="AT4" s="253" t="s">
        <v>153</v>
      </c>
      <c r="AU4" s="253" t="s">
        <v>151</v>
      </c>
      <c r="AV4" s="252" t="s">
        <v>49</v>
      </c>
      <c r="AW4" s="252" t="s">
        <v>50</v>
      </c>
      <c r="AX4" s="253" t="s">
        <v>51</v>
      </c>
      <c r="AY4" s="253" t="s">
        <v>153</v>
      </c>
      <c r="AZ4" s="253" t="s">
        <v>151</v>
      </c>
      <c r="BA4" s="252" t="s">
        <v>49</v>
      </c>
      <c r="BB4" s="252" t="s">
        <v>50</v>
      </c>
      <c r="BC4" s="253" t="s">
        <v>51</v>
      </c>
      <c r="BD4" s="253" t="s">
        <v>153</v>
      </c>
      <c r="BE4" s="253" t="s">
        <v>151</v>
      </c>
      <c r="BF4" s="252" t="s">
        <v>49</v>
      </c>
      <c r="BG4" s="252" t="s">
        <v>50</v>
      </c>
      <c r="BH4" s="253" t="s">
        <v>51</v>
      </c>
      <c r="BI4" s="253" t="s">
        <v>153</v>
      </c>
      <c r="BJ4" s="253" t="s">
        <v>151</v>
      </c>
      <c r="BK4" s="252" t="s">
        <v>49</v>
      </c>
      <c r="BL4" s="252" t="s">
        <v>50</v>
      </c>
      <c r="BM4" s="253" t="s">
        <v>51</v>
      </c>
      <c r="BN4" s="253" t="s">
        <v>153</v>
      </c>
      <c r="BO4" s="253" t="s">
        <v>151</v>
      </c>
      <c r="BP4" s="252" t="s">
        <v>49</v>
      </c>
      <c r="BQ4" s="252" t="s">
        <v>50</v>
      </c>
      <c r="BR4" s="253" t="s">
        <v>51</v>
      </c>
      <c r="BS4" s="253" t="s">
        <v>153</v>
      </c>
      <c r="BT4" s="253" t="s">
        <v>151</v>
      </c>
      <c r="BU4" s="252" t="s">
        <v>49</v>
      </c>
      <c r="BV4" s="252" t="s">
        <v>50</v>
      </c>
      <c r="BW4" s="253" t="s">
        <v>51</v>
      </c>
      <c r="BX4" s="253" t="s">
        <v>153</v>
      </c>
      <c r="BY4" s="253" t="s">
        <v>151</v>
      </c>
      <c r="BZ4" s="252" t="s">
        <v>49</v>
      </c>
      <c r="CA4" s="252" t="s">
        <v>50</v>
      </c>
      <c r="CB4" s="253" t="s">
        <v>51</v>
      </c>
      <c r="CC4" s="253" t="s">
        <v>153</v>
      </c>
      <c r="CD4" s="253" t="s">
        <v>151</v>
      </c>
      <c r="CE4" s="252" t="s">
        <v>49</v>
      </c>
      <c r="CF4" s="252" t="s">
        <v>50</v>
      </c>
      <c r="CG4" s="253" t="s">
        <v>51</v>
      </c>
      <c r="CH4" s="253" t="s">
        <v>153</v>
      </c>
      <c r="CI4" s="253" t="s">
        <v>151</v>
      </c>
      <c r="CJ4" s="87" t="s">
        <v>49</v>
      </c>
      <c r="CK4" s="87" t="s">
        <v>50</v>
      </c>
      <c r="CL4" s="254" t="s">
        <v>66</v>
      </c>
      <c r="CM4" s="254" t="s">
        <v>153</v>
      </c>
      <c r="CN4" s="254" t="s">
        <v>151</v>
      </c>
      <c r="CO4" s="87" t="s">
        <v>49</v>
      </c>
      <c r="CP4" s="87" t="s">
        <v>50</v>
      </c>
      <c r="CQ4" s="254" t="s">
        <v>51</v>
      </c>
      <c r="CR4" s="254" t="s">
        <v>153</v>
      </c>
      <c r="CS4" s="254" t="s">
        <v>151</v>
      </c>
      <c r="CT4" s="87" t="s">
        <v>49</v>
      </c>
      <c r="CU4" s="87" t="s">
        <v>50</v>
      </c>
      <c r="CV4" s="254" t="s">
        <v>51</v>
      </c>
      <c r="CW4" s="254" t="s">
        <v>153</v>
      </c>
      <c r="CX4" s="254" t="s">
        <v>151</v>
      </c>
      <c r="CY4" s="87" t="s">
        <v>49</v>
      </c>
      <c r="CZ4" s="87" t="s">
        <v>50</v>
      </c>
      <c r="DA4" s="254" t="s">
        <v>51</v>
      </c>
      <c r="DB4" s="254" t="s">
        <v>153</v>
      </c>
      <c r="DC4" s="254" t="s">
        <v>151</v>
      </c>
      <c r="DD4" s="87" t="s">
        <v>49</v>
      </c>
      <c r="DE4" s="87" t="s">
        <v>50</v>
      </c>
      <c r="DF4" s="254" t="s">
        <v>51</v>
      </c>
      <c r="DG4" s="254" t="s">
        <v>153</v>
      </c>
      <c r="DH4" s="254" t="s">
        <v>151</v>
      </c>
      <c r="DI4" s="87" t="s">
        <v>49</v>
      </c>
      <c r="DJ4" s="87" t="s">
        <v>50</v>
      </c>
      <c r="DK4" s="254" t="s">
        <v>51</v>
      </c>
      <c r="DL4" s="254" t="s">
        <v>153</v>
      </c>
      <c r="DM4" s="254" t="s">
        <v>151</v>
      </c>
      <c r="DN4" s="87" t="s">
        <v>49</v>
      </c>
      <c r="DO4" s="87" t="s">
        <v>50</v>
      </c>
      <c r="DP4" s="254" t="s">
        <v>51</v>
      </c>
      <c r="DQ4" s="254" t="s">
        <v>153</v>
      </c>
      <c r="DR4" s="254" t="s">
        <v>151</v>
      </c>
      <c r="DS4" s="87" t="s">
        <v>49</v>
      </c>
      <c r="DT4" s="87" t="s">
        <v>50</v>
      </c>
      <c r="DU4" s="254" t="s">
        <v>51</v>
      </c>
      <c r="DV4" s="254" t="s">
        <v>153</v>
      </c>
      <c r="DW4" s="254" t="s">
        <v>151</v>
      </c>
      <c r="DX4" s="87" t="s">
        <v>49</v>
      </c>
      <c r="DY4" s="87" t="s">
        <v>50</v>
      </c>
      <c r="DZ4" s="254" t="s">
        <v>51</v>
      </c>
      <c r="EA4" s="254" t="s">
        <v>153</v>
      </c>
      <c r="EB4" s="254" t="s">
        <v>151</v>
      </c>
      <c r="EC4" s="87" t="s">
        <v>49</v>
      </c>
      <c r="ED4" s="87" t="s">
        <v>50</v>
      </c>
      <c r="EE4" s="254" t="s">
        <v>51</v>
      </c>
      <c r="EF4" s="254" t="s">
        <v>153</v>
      </c>
      <c r="EG4" s="254" t="s">
        <v>151</v>
      </c>
      <c r="EH4" s="87" t="s">
        <v>49</v>
      </c>
      <c r="EI4" s="87" t="s">
        <v>50</v>
      </c>
      <c r="EJ4" s="254" t="s">
        <v>51</v>
      </c>
      <c r="EK4" s="254" t="s">
        <v>153</v>
      </c>
      <c r="EL4" s="254" t="s">
        <v>151</v>
      </c>
      <c r="EM4" s="87" t="s">
        <v>49</v>
      </c>
      <c r="EN4" s="87" t="s">
        <v>50</v>
      </c>
      <c r="EO4" s="254" t="s">
        <v>51</v>
      </c>
      <c r="EP4" s="254" t="s">
        <v>153</v>
      </c>
      <c r="EQ4" s="254" t="s">
        <v>151</v>
      </c>
      <c r="ER4" s="87" t="s">
        <v>49</v>
      </c>
      <c r="ES4" s="87" t="s">
        <v>50</v>
      </c>
      <c r="ET4" s="254" t="s">
        <v>51</v>
      </c>
      <c r="EU4" s="254" t="s">
        <v>153</v>
      </c>
      <c r="EV4" s="254" t="s">
        <v>151</v>
      </c>
      <c r="EW4" s="87" t="s">
        <v>49</v>
      </c>
      <c r="EX4" s="87" t="s">
        <v>50</v>
      </c>
      <c r="EY4" s="254" t="s">
        <v>51</v>
      </c>
      <c r="EZ4" s="254" t="s">
        <v>153</v>
      </c>
      <c r="FA4" s="254" t="s">
        <v>151</v>
      </c>
      <c r="FB4" s="87" t="s">
        <v>49</v>
      </c>
      <c r="FC4" s="87" t="s">
        <v>50</v>
      </c>
      <c r="FD4" s="254" t="s">
        <v>51</v>
      </c>
      <c r="FE4" s="254" t="s">
        <v>153</v>
      </c>
      <c r="FF4" s="254" t="s">
        <v>151</v>
      </c>
      <c r="FG4" s="372"/>
      <c r="FH4" s="290" t="s">
        <v>168</v>
      </c>
      <c r="FI4" s="291" t="s">
        <v>152</v>
      </c>
      <c r="FJ4" s="290" t="s">
        <v>168</v>
      </c>
      <c r="FK4" s="291" t="s">
        <v>152</v>
      </c>
      <c r="FL4" s="290" t="s">
        <v>168</v>
      </c>
      <c r="FM4" s="291" t="s">
        <v>152</v>
      </c>
      <c r="FN4" s="290" t="s">
        <v>168</v>
      </c>
      <c r="FO4" s="291" t="s">
        <v>152</v>
      </c>
      <c r="FP4" s="290" t="s">
        <v>168</v>
      </c>
      <c r="FQ4" s="291" t="s">
        <v>152</v>
      </c>
      <c r="FR4" s="299" t="s">
        <v>168</v>
      </c>
      <c r="FS4" s="300" t="s">
        <v>152</v>
      </c>
    </row>
    <row r="5" spans="1:175" s="3" customFormat="1" x14ac:dyDescent="0.2">
      <c r="A5" s="280">
        <v>1</v>
      </c>
      <c r="B5" s="283">
        <f>'Finance Only'!G8</f>
        <v>0</v>
      </c>
      <c r="C5" s="277">
        <v>25937582</v>
      </c>
      <c r="D5" s="216">
        <v>25939604</v>
      </c>
      <c r="E5" s="217">
        <f>MAX(0,D5-C5)</f>
        <v>2022</v>
      </c>
      <c r="F5" s="232"/>
      <c r="G5" s="233"/>
      <c r="H5" s="249">
        <v>23276144</v>
      </c>
      <c r="I5" s="243">
        <v>23279504</v>
      </c>
      <c r="J5" s="216">
        <f>MAX(0,I5-H5)</f>
        <v>3360</v>
      </c>
      <c r="K5" s="244"/>
      <c r="L5" s="245"/>
      <c r="M5" s="224">
        <v>87550509</v>
      </c>
      <c r="N5" s="220">
        <v>87563970</v>
      </c>
      <c r="O5" s="240">
        <f>MAX(0,N5-M5)</f>
        <v>13461</v>
      </c>
      <c r="P5" s="250"/>
      <c r="Q5" s="251"/>
      <c r="R5" s="224">
        <v>2271700</v>
      </c>
      <c r="S5" s="220">
        <v>2273200</v>
      </c>
      <c r="T5" s="219">
        <f>MAX(0,S5-R5)</f>
        <v>1500</v>
      </c>
      <c r="U5" s="236"/>
      <c r="V5" s="237"/>
      <c r="W5" s="224">
        <v>3079246</v>
      </c>
      <c r="X5" s="218">
        <v>3081861</v>
      </c>
      <c r="Y5" s="219">
        <f>MAX(0,X5-W5)</f>
        <v>2615</v>
      </c>
      <c r="Z5" s="236"/>
      <c r="AA5" s="237"/>
      <c r="AB5" s="225">
        <v>1892600</v>
      </c>
      <c r="AC5" s="220">
        <v>1894100</v>
      </c>
      <c r="AD5" s="219">
        <f>MAX(0,AC5-AB5)</f>
        <v>1500</v>
      </c>
      <c r="AE5" s="236"/>
      <c r="AF5" s="237"/>
      <c r="AG5" s="224">
        <v>834593</v>
      </c>
      <c r="AH5" s="220">
        <v>835389</v>
      </c>
      <c r="AI5" s="219">
        <f>MAX(0,AH5-AG5)</f>
        <v>796</v>
      </c>
      <c r="AJ5" s="236"/>
      <c r="AK5" s="237"/>
      <c r="AL5" s="224">
        <v>857130</v>
      </c>
      <c r="AM5" s="220">
        <v>857710</v>
      </c>
      <c r="AN5" s="219">
        <f>MAX(0,AM5-AL5)</f>
        <v>580</v>
      </c>
      <c r="AO5" s="236"/>
      <c r="AP5" s="237"/>
      <c r="AQ5" s="224">
        <v>1921700</v>
      </c>
      <c r="AR5" s="220">
        <v>1923100</v>
      </c>
      <c r="AS5" s="219">
        <v>785</v>
      </c>
      <c r="AT5" s="236"/>
      <c r="AU5" s="237"/>
      <c r="AV5" s="224">
        <v>556967</v>
      </c>
      <c r="AW5" s="220">
        <v>557439</v>
      </c>
      <c r="AX5" s="219">
        <v>443</v>
      </c>
      <c r="AY5" s="236"/>
      <c r="AZ5" s="237"/>
      <c r="BA5" s="224">
        <v>768780</v>
      </c>
      <c r="BB5" s="220">
        <v>769720</v>
      </c>
      <c r="BC5" s="219">
        <v>871</v>
      </c>
      <c r="BD5" s="236"/>
      <c r="BE5" s="237"/>
      <c r="BF5" s="224">
        <v>863610</v>
      </c>
      <c r="BG5" s="220">
        <v>864540</v>
      </c>
      <c r="BH5" s="219">
        <v>865</v>
      </c>
      <c r="BI5" s="236"/>
      <c r="BJ5" s="237"/>
      <c r="BK5" s="224">
        <v>1349600</v>
      </c>
      <c r="BL5" s="220">
        <v>1351100</v>
      </c>
      <c r="BM5" s="219">
        <v>1205</v>
      </c>
      <c r="BN5" s="236"/>
      <c r="BO5" s="237"/>
      <c r="BP5" s="224">
        <v>82172</v>
      </c>
      <c r="BQ5" s="220">
        <v>82317</v>
      </c>
      <c r="BR5" s="219">
        <v>944</v>
      </c>
      <c r="BS5" s="236"/>
      <c r="BT5" s="237"/>
      <c r="BU5" s="224">
        <v>418560</v>
      </c>
      <c r="BV5" s="220">
        <v>419020</v>
      </c>
      <c r="BW5" s="219">
        <v>355</v>
      </c>
      <c r="BX5" s="236"/>
      <c r="BY5" s="237"/>
      <c r="BZ5" s="224">
        <v>644480</v>
      </c>
      <c r="CA5" s="220">
        <v>645710</v>
      </c>
      <c r="CB5" s="219">
        <v>1250</v>
      </c>
      <c r="CC5" s="236"/>
      <c r="CD5" s="237"/>
      <c r="CE5" s="224">
        <v>194940</v>
      </c>
      <c r="CF5" s="220">
        <v>195310</v>
      </c>
      <c r="CG5" s="219">
        <v>380</v>
      </c>
      <c r="CH5" s="236"/>
      <c r="CI5" s="237"/>
      <c r="CJ5" s="225">
        <v>444540</v>
      </c>
      <c r="CK5" s="219">
        <v>444110</v>
      </c>
      <c r="CL5" s="219">
        <f>MAX(0,CK5-CJ5)</f>
        <v>0</v>
      </c>
      <c r="CM5" s="236"/>
      <c r="CN5" s="237"/>
      <c r="CO5" s="224">
        <v>358450</v>
      </c>
      <c r="CP5" s="220">
        <v>359150</v>
      </c>
      <c r="CQ5" s="221">
        <f>MAX(0,CP5-CO5)</f>
        <v>700</v>
      </c>
      <c r="CR5" s="236"/>
      <c r="CS5" s="237"/>
      <c r="CT5" s="224">
        <v>305960</v>
      </c>
      <c r="CU5" s="220">
        <v>306370</v>
      </c>
      <c r="CV5" s="219">
        <f>MAX(0,CU5-CT5)</f>
        <v>410</v>
      </c>
      <c r="CW5" s="236"/>
      <c r="CX5" s="237"/>
      <c r="CY5" s="224">
        <v>522470</v>
      </c>
      <c r="CZ5" s="220">
        <v>523380</v>
      </c>
      <c r="DA5" s="219">
        <f>MAX(0,CZ5-CY5)</f>
        <v>910</v>
      </c>
      <c r="DB5" s="236"/>
      <c r="DC5" s="237"/>
      <c r="DD5" s="224">
        <v>393090</v>
      </c>
      <c r="DE5" s="220">
        <v>393800</v>
      </c>
      <c r="DF5" s="219">
        <f>MAX(0,DE5-DD5)</f>
        <v>710</v>
      </c>
      <c r="DG5" s="236"/>
      <c r="DH5" s="237"/>
      <c r="DI5" s="224">
        <v>362150</v>
      </c>
      <c r="DJ5" s="220">
        <v>362640</v>
      </c>
      <c r="DK5" s="219">
        <f>MAX(0,DJ5-DI5)</f>
        <v>490</v>
      </c>
      <c r="DL5" s="236"/>
      <c r="DM5" s="237"/>
      <c r="DN5" s="224">
        <v>228130</v>
      </c>
      <c r="DO5" s="220">
        <v>228300</v>
      </c>
      <c r="DP5" s="219">
        <f>MAX(0,DO5-DN5)</f>
        <v>170</v>
      </c>
      <c r="DQ5" s="236"/>
      <c r="DR5" s="237"/>
      <c r="DS5" s="224">
        <v>62822</v>
      </c>
      <c r="DT5" s="220">
        <v>62965</v>
      </c>
      <c r="DU5" s="219">
        <f>MAX(0,DT5-DS5)</f>
        <v>143</v>
      </c>
      <c r="DV5" s="236"/>
      <c r="DW5" s="237"/>
      <c r="DX5" s="224">
        <v>423200</v>
      </c>
      <c r="DY5" s="220">
        <v>423830</v>
      </c>
      <c r="DZ5" s="219">
        <f>MAX(0,DY5-DX5)</f>
        <v>630</v>
      </c>
      <c r="EA5" s="236"/>
      <c r="EB5" s="237"/>
      <c r="EC5" s="224">
        <v>133540</v>
      </c>
      <c r="ED5" s="220">
        <v>133740</v>
      </c>
      <c r="EE5" s="219">
        <f>MAX(0,ED5-EC5)</f>
        <v>200</v>
      </c>
      <c r="EF5" s="236"/>
      <c r="EG5" s="237"/>
      <c r="EH5" s="224">
        <v>128690</v>
      </c>
      <c r="EI5" s="220">
        <v>128910</v>
      </c>
      <c r="EJ5" s="219">
        <f>MAX(0,EI5-EH5)</f>
        <v>220</v>
      </c>
      <c r="EK5" s="236"/>
      <c r="EL5" s="237"/>
      <c r="EM5" s="224">
        <v>243620</v>
      </c>
      <c r="EN5" s="220">
        <v>244110</v>
      </c>
      <c r="EO5" s="219">
        <f>MAX(0,EN5-EM5)</f>
        <v>490</v>
      </c>
      <c r="EP5" s="236"/>
      <c r="EQ5" s="237"/>
      <c r="ER5" s="224">
        <v>69098</v>
      </c>
      <c r="ES5" s="220"/>
      <c r="ET5" s="219">
        <f>MAX(0,ES5-ER5)</f>
        <v>0</v>
      </c>
      <c r="EU5" s="236"/>
      <c r="EV5" s="237"/>
      <c r="EW5" s="224">
        <v>142250</v>
      </c>
      <c r="EX5" s="220">
        <v>144590</v>
      </c>
      <c r="EY5" s="219">
        <f>MAX(0,EX5-EW5)</f>
        <v>2340</v>
      </c>
      <c r="EZ5" s="236"/>
      <c r="FA5" s="237"/>
      <c r="FB5" s="224">
        <v>47467</v>
      </c>
      <c r="FC5" s="220">
        <v>47799</v>
      </c>
      <c r="FD5" s="219">
        <f>MAX(0,FC5-FB5)</f>
        <v>332</v>
      </c>
      <c r="FE5" s="236"/>
      <c r="FF5" s="237"/>
      <c r="FG5" s="289"/>
      <c r="FH5" s="295">
        <f>SUM(E5+J5)</f>
        <v>5382</v>
      </c>
      <c r="FI5" s="292"/>
      <c r="FJ5" s="295">
        <f>SUM(T5+Y5+DZ5+EE5+EJ5+EO5)</f>
        <v>5655</v>
      </c>
      <c r="FK5" s="292"/>
      <c r="FL5" s="295">
        <f>SUM(AN5+AS5)</f>
        <v>1365</v>
      </c>
      <c r="FM5" s="292"/>
      <c r="FN5" s="295">
        <f>SUM(AX5+BC5+BH5)</f>
        <v>2179</v>
      </c>
      <c r="FO5" s="292"/>
      <c r="FP5" s="295">
        <f>SUM(BM5+BR5+ET5)</f>
        <v>2149</v>
      </c>
      <c r="FQ5" s="292"/>
      <c r="FR5" s="295">
        <f>SUM(EY5+FD5)</f>
        <v>2672</v>
      </c>
      <c r="FS5" s="292"/>
    </row>
    <row r="6" spans="1:175" s="3" customFormat="1" ht="13.5" customHeight="1" x14ac:dyDescent="0.2">
      <c r="A6" s="280">
        <v>2</v>
      </c>
      <c r="B6" s="283">
        <f>'Finance Only'!G9</f>
        <v>5275</v>
      </c>
      <c r="C6" s="278">
        <f>D5</f>
        <v>25939604</v>
      </c>
      <c r="D6" s="222">
        <v>25941590</v>
      </c>
      <c r="E6" s="223">
        <f>MAX(0,D6-C6)</f>
        <v>1986</v>
      </c>
      <c r="F6" s="234">
        <f>E6-E5</f>
        <v>-36</v>
      </c>
      <c r="G6" s="235">
        <f>(E6/'Finance Only'!B9)*100</f>
        <v>9.1833903634513998</v>
      </c>
      <c r="H6" s="246">
        <f>I5</f>
        <v>23279504</v>
      </c>
      <c r="I6" s="222">
        <v>23282815</v>
      </c>
      <c r="J6" s="222">
        <f>MAX(0,I6-H6)</f>
        <v>3311</v>
      </c>
      <c r="K6" s="247">
        <f>J6-J5</f>
        <v>-49</v>
      </c>
      <c r="L6" s="248">
        <f>(J6/'Finance Only'!B9)*100</f>
        <v>15.310274669379451</v>
      </c>
      <c r="M6" s="230">
        <f>N5</f>
        <v>87563970</v>
      </c>
      <c r="N6" s="224">
        <v>87575760</v>
      </c>
      <c r="O6" s="225">
        <f>MAX(0,N6-M6)</f>
        <v>11790</v>
      </c>
      <c r="P6" s="238">
        <f>O6-O5</f>
        <v>-1671</v>
      </c>
      <c r="Q6" s="239">
        <f>(O6/'Finance Only'!B9)*100</f>
        <v>54.517710163691859</v>
      </c>
      <c r="R6" s="229">
        <f>S5</f>
        <v>2273200</v>
      </c>
      <c r="S6" s="224">
        <v>2274700</v>
      </c>
      <c r="T6" s="225">
        <f>MAX(0,S6-R6)</f>
        <v>1500</v>
      </c>
      <c r="U6" s="238">
        <f>T6-T5</f>
        <v>0</v>
      </c>
      <c r="V6" s="239">
        <f>(T6/'Finance Only'!B9)*100</f>
        <v>6.936095440673264</v>
      </c>
      <c r="W6" s="224">
        <f>X5</f>
        <v>3081861</v>
      </c>
      <c r="X6" s="224">
        <v>3084402</v>
      </c>
      <c r="Y6" s="225">
        <f>MAX(0,X6-W6)</f>
        <v>2541</v>
      </c>
      <c r="Z6" s="238">
        <f>Y6-Y5</f>
        <v>-74</v>
      </c>
      <c r="AA6" s="239">
        <f>(Y6/'Finance Only'!B9)*100</f>
        <v>11.749745676500508</v>
      </c>
      <c r="AB6" s="224">
        <f>AC5</f>
        <v>1894100</v>
      </c>
      <c r="AC6" s="224">
        <v>1895600</v>
      </c>
      <c r="AD6" s="225">
        <f>MAX(0,AC6-AB6)</f>
        <v>1500</v>
      </c>
      <c r="AE6" s="238">
        <f>AD6-AD5</f>
        <v>0</v>
      </c>
      <c r="AF6" s="239">
        <f>(AD6/'Finance Only'!B9)*100</f>
        <v>6.936095440673264</v>
      </c>
      <c r="AG6" s="224">
        <f>AH5</f>
        <v>835389</v>
      </c>
      <c r="AH6" s="224">
        <v>836090</v>
      </c>
      <c r="AI6" s="225">
        <f>MAX(0,AH6-AG6)</f>
        <v>701</v>
      </c>
      <c r="AJ6" s="238">
        <f>AI6-AI5</f>
        <v>-95</v>
      </c>
      <c r="AK6" s="239">
        <f>(AI6/'Finance Only'!B9)*100</f>
        <v>3.2414686026079718</v>
      </c>
      <c r="AL6" s="224">
        <f>AM5</f>
        <v>857710</v>
      </c>
      <c r="AM6" s="224">
        <v>858280</v>
      </c>
      <c r="AN6" s="225">
        <f>MAX(0,AM6-AL6)</f>
        <v>570</v>
      </c>
      <c r="AO6" s="238">
        <f>AN6-AN5</f>
        <v>-10</v>
      </c>
      <c r="AP6" s="239">
        <f>(AN6/'Finance Only'!B9)*100</f>
        <v>2.6357162674558401</v>
      </c>
      <c r="AQ6" s="224">
        <f>AR5</f>
        <v>1923100</v>
      </c>
      <c r="AR6" s="224">
        <v>1923700</v>
      </c>
      <c r="AS6" s="225">
        <f>MAX(0,AR6-AQ6)</f>
        <v>600</v>
      </c>
      <c r="AT6" s="238">
        <f>AS6-AS5</f>
        <v>-185</v>
      </c>
      <c r="AU6" s="239">
        <f>(AS6/'Finance Only'!B9)*100</f>
        <v>2.7744381762693053</v>
      </c>
      <c r="AV6" s="224">
        <f>AW5</f>
        <v>557439</v>
      </c>
      <c r="AW6" s="224">
        <v>557809</v>
      </c>
      <c r="AX6" s="225">
        <f>MAX(0,AW6-AV6)</f>
        <v>370</v>
      </c>
      <c r="AY6" s="238">
        <f>AX6-AX5</f>
        <v>-73</v>
      </c>
      <c r="AZ6" s="239">
        <f>(AX6/'Finance Only'!B9)*100</f>
        <v>1.7109035420327383</v>
      </c>
      <c r="BA6" s="224">
        <f>BB5</f>
        <v>769720</v>
      </c>
      <c r="BB6" s="224">
        <v>770480</v>
      </c>
      <c r="BC6" s="225">
        <f>MAX(0,BB6-BA6)</f>
        <v>760</v>
      </c>
      <c r="BD6" s="238">
        <f>BC6-BC5</f>
        <v>-111</v>
      </c>
      <c r="BE6" s="239">
        <f>(BC6/'Finance Only'!B9)*100</f>
        <v>3.5142883566077874</v>
      </c>
      <c r="BF6" s="224">
        <f>BG5</f>
        <v>864540</v>
      </c>
      <c r="BG6" s="224">
        <v>865200</v>
      </c>
      <c r="BH6" s="225">
        <f>MAX(0,BG6-BF6)</f>
        <v>660</v>
      </c>
      <c r="BI6" s="238">
        <f>BH6-BH5</f>
        <v>-205</v>
      </c>
      <c r="BJ6" s="239">
        <f>(BH6/'Finance Only'!B9)*100</f>
        <v>3.0518819938962363</v>
      </c>
      <c r="BK6" s="224">
        <f>BL5</f>
        <v>1351100</v>
      </c>
      <c r="BL6" s="224">
        <v>1352100</v>
      </c>
      <c r="BM6" s="225">
        <f>MAX(0,BL6-BK6)</f>
        <v>1000</v>
      </c>
      <c r="BN6" s="238">
        <f>BM6-BM5</f>
        <v>-205</v>
      </c>
      <c r="BO6" s="239">
        <f>(BM6/'Finance Only'!B9)*100</f>
        <v>4.6240636271155093</v>
      </c>
      <c r="BP6" s="224">
        <f>BQ5</f>
        <v>82317</v>
      </c>
      <c r="BQ6" s="224">
        <v>82452</v>
      </c>
      <c r="BR6" s="225">
        <f>MAX(0,BQ6-BP6)</f>
        <v>135</v>
      </c>
      <c r="BS6" s="238">
        <f>BR6-BR5</f>
        <v>-809</v>
      </c>
      <c r="BT6" s="239">
        <f>(BR6/'Finance Only'!B9)*100</f>
        <v>0.62424858966059371</v>
      </c>
      <c r="BU6" s="224">
        <f>BV5</f>
        <v>419020</v>
      </c>
      <c r="BV6" s="224">
        <v>419380</v>
      </c>
      <c r="BW6" s="225">
        <f>MAX(0,BV6-BU6)</f>
        <v>360</v>
      </c>
      <c r="BX6" s="238">
        <f>BW6-BW5</f>
        <v>5</v>
      </c>
      <c r="BY6" s="239">
        <f>(BW6/'Finance Only'!B9)*100</f>
        <v>1.6646629057615832</v>
      </c>
      <c r="BZ6" s="224">
        <f>CA5</f>
        <v>645710</v>
      </c>
      <c r="CA6" s="224">
        <v>646890</v>
      </c>
      <c r="CB6" s="225">
        <f>MAX(0,CA6-BZ6)</f>
        <v>1180</v>
      </c>
      <c r="CC6" s="238">
        <f>CB6-CB5</f>
        <v>-70</v>
      </c>
      <c r="CD6" s="239">
        <f>(CB6/'Finance Only'!B9)*100</f>
        <v>5.4563950799963008</v>
      </c>
      <c r="CE6" s="224">
        <f>CF5</f>
        <v>195310</v>
      </c>
      <c r="CF6" s="224">
        <v>195660</v>
      </c>
      <c r="CG6" s="225">
        <f>MAX(0,CF6-CE6)</f>
        <v>350</v>
      </c>
      <c r="CH6" s="238">
        <f>CG6-CG5</f>
        <v>-30</v>
      </c>
      <c r="CI6" s="239">
        <f>(CG6/'Finance Only'!B9)*100</f>
        <v>1.6184222694904282</v>
      </c>
      <c r="CJ6" s="225">
        <f>CK5</f>
        <v>444110</v>
      </c>
      <c r="CK6" s="225">
        <v>445880</v>
      </c>
      <c r="CL6" s="225">
        <f>MAX(0,CK6-CJ6)</f>
        <v>1770</v>
      </c>
      <c r="CM6" s="238">
        <f>CL6-CL5</f>
        <v>1770</v>
      </c>
      <c r="CN6" s="239">
        <f>(CL6/'Finance Only'!B9)*100</f>
        <v>8.1845926199944508</v>
      </c>
      <c r="CO6" s="224">
        <f>CP5</f>
        <v>359150</v>
      </c>
      <c r="CP6" s="224">
        <v>359850</v>
      </c>
      <c r="CQ6" s="226">
        <f>MAX(0,CP6-CO6)</f>
        <v>700</v>
      </c>
      <c r="CR6" s="238">
        <f>CQ6-CQ5</f>
        <v>0</v>
      </c>
      <c r="CS6" s="239">
        <f>(CQ6/'Finance Only'!B9)*100</f>
        <v>3.2368445389808564</v>
      </c>
      <c r="CT6" s="224">
        <f>CU5</f>
        <v>306370</v>
      </c>
      <c r="CU6" s="224">
        <v>306820</v>
      </c>
      <c r="CV6" s="225">
        <f>MAX(0,CU6-CT6)</f>
        <v>450</v>
      </c>
      <c r="CW6" s="238">
        <f>CV6-CV5</f>
        <v>40</v>
      </c>
      <c r="CX6" s="239">
        <f>(CV6/'Finance Only'!B9)*100</f>
        <v>2.0808286322019791</v>
      </c>
      <c r="CY6" s="224">
        <f>CZ5</f>
        <v>523380</v>
      </c>
      <c r="CZ6" s="224">
        <v>524290</v>
      </c>
      <c r="DA6" s="225">
        <f>MAX(0,CZ6-CY6)</f>
        <v>910</v>
      </c>
      <c r="DB6" s="238">
        <f>DA6-DA5</f>
        <v>0</v>
      </c>
      <c r="DC6" s="239">
        <f>(DA6/'Finance Only'!B9)*100</f>
        <v>4.2078979006751132</v>
      </c>
      <c r="DD6" s="224">
        <f>DE5</f>
        <v>393800</v>
      </c>
      <c r="DE6" s="224">
        <v>394680</v>
      </c>
      <c r="DF6" s="225">
        <f>MAX(0,DE6-DD6)</f>
        <v>880</v>
      </c>
      <c r="DG6" s="238">
        <f>DF6-DF5</f>
        <v>170</v>
      </c>
      <c r="DH6" s="239">
        <f>(DF6/'Finance Only'!B9)*100</f>
        <v>4.0691759918616484</v>
      </c>
      <c r="DI6" s="224">
        <f>DJ5</f>
        <v>362640</v>
      </c>
      <c r="DJ6" s="224">
        <v>363080</v>
      </c>
      <c r="DK6" s="225">
        <f>MAX(0,DJ6-DI6)</f>
        <v>440</v>
      </c>
      <c r="DL6" s="238">
        <f>DK6-DK5</f>
        <v>-50</v>
      </c>
      <c r="DM6" s="239">
        <f>(DK6/'Finance Only'!B9)*100</f>
        <v>2.0345879959308242</v>
      </c>
      <c r="DN6" s="224">
        <f>DO5</f>
        <v>228300</v>
      </c>
      <c r="DO6" s="224">
        <v>228470</v>
      </c>
      <c r="DP6" s="225">
        <f>MAX(0,DO6-DN6)</f>
        <v>170</v>
      </c>
      <c r="DQ6" s="238">
        <f>DP6-DP5</f>
        <v>0</v>
      </c>
      <c r="DR6" s="239">
        <f>(DP6/'Finance Only'!B9)*100</f>
        <v>0.78609081660963653</v>
      </c>
      <c r="DS6" s="224">
        <f>DT5</f>
        <v>62965</v>
      </c>
      <c r="DT6" s="224">
        <v>63074</v>
      </c>
      <c r="DU6" s="225">
        <f>MAX(0,DT6-DS6)</f>
        <v>109</v>
      </c>
      <c r="DV6" s="238">
        <f>DU6-DU5</f>
        <v>-34</v>
      </c>
      <c r="DW6" s="239">
        <f>(DU6/'Finance Only'!B9)*100</f>
        <v>0.50402293535559051</v>
      </c>
      <c r="DX6" s="224">
        <f>DY5</f>
        <v>423830</v>
      </c>
      <c r="DY6" s="224">
        <v>424450</v>
      </c>
      <c r="DZ6" s="225">
        <f>MAX(0,DY6-DX6)</f>
        <v>620</v>
      </c>
      <c r="EA6" s="238">
        <f>DZ6-DZ5</f>
        <v>-10</v>
      </c>
      <c r="EB6" s="239">
        <f>(DZ6/'Finance Only'!B9)*100</f>
        <v>2.8669194488116156</v>
      </c>
      <c r="EC6" s="224">
        <f>ED5</f>
        <v>133740</v>
      </c>
      <c r="ED6" s="224">
        <v>133960</v>
      </c>
      <c r="EE6" s="225">
        <f>MAX(0,ED6-EC6)</f>
        <v>220</v>
      </c>
      <c r="EF6" s="238">
        <f>EE6-EE5</f>
        <v>20</v>
      </c>
      <c r="EG6" s="239">
        <f>(EE6/'Finance Only'!B9)*100</f>
        <v>1.0172939979654121</v>
      </c>
      <c r="EH6" s="224">
        <f>EI5</f>
        <v>128910</v>
      </c>
      <c r="EI6" s="224">
        <v>129220</v>
      </c>
      <c r="EJ6" s="225">
        <f>MAX(0,EI6-EH6)</f>
        <v>310</v>
      </c>
      <c r="EK6" s="238">
        <f>EJ6-EJ5</f>
        <v>90</v>
      </c>
      <c r="EL6" s="239">
        <f>(EJ6/'Finance Only'!B9)*100</f>
        <v>1.4334597244058078</v>
      </c>
      <c r="EM6" s="224">
        <f>EN5</f>
        <v>244110</v>
      </c>
      <c r="EN6" s="224">
        <v>244600</v>
      </c>
      <c r="EO6" s="225">
        <f>MAX(0,EN6-EM6)</f>
        <v>490</v>
      </c>
      <c r="EP6" s="238">
        <f>EO6-EO5</f>
        <v>0</v>
      </c>
      <c r="EQ6" s="239">
        <f>(EO6/'Finance Only'!B9)*100</f>
        <v>2.2657911772865997</v>
      </c>
      <c r="ER6" s="224">
        <f>ES5</f>
        <v>0</v>
      </c>
      <c r="ES6" s="224"/>
      <c r="ET6" s="225">
        <f>MAX(0,ES6-ER6)</f>
        <v>0</v>
      </c>
      <c r="EU6" s="238">
        <f>ET6-ET5</f>
        <v>0</v>
      </c>
      <c r="EV6" s="239">
        <f>(ET6/'Finance Only'!B9)*100</f>
        <v>0</v>
      </c>
      <c r="EW6" s="224">
        <f>EX5</f>
        <v>144590</v>
      </c>
      <c r="EX6" s="224">
        <v>150860</v>
      </c>
      <c r="EY6" s="225">
        <f>MAX(0,EX6-EW6)</f>
        <v>6270</v>
      </c>
      <c r="EZ6" s="238">
        <f>EY6-EY5</f>
        <v>3930</v>
      </c>
      <c r="FA6" s="239">
        <f>(EY6/'Finance Only'!G9)*100</f>
        <v>118.86255924170617</v>
      </c>
      <c r="FB6" s="224">
        <f>FC5</f>
        <v>47799</v>
      </c>
      <c r="FC6" s="224">
        <v>48162</v>
      </c>
      <c r="FD6" s="225">
        <f>MAX(0,FC6-FB6)</f>
        <v>363</v>
      </c>
      <c r="FE6" s="238">
        <f>FD6-FD5</f>
        <v>31</v>
      </c>
      <c r="FF6" s="239" t="e">
        <f>(FD6/'Finance Only'!M9)*100</f>
        <v>#DIV/0!</v>
      </c>
      <c r="FG6" s="289"/>
      <c r="FH6" s="295">
        <f t="shared" ref="FH6:FH35" si="0">SUM(E6+J6)</f>
        <v>5297</v>
      </c>
      <c r="FI6" s="292"/>
      <c r="FJ6" s="295">
        <f t="shared" ref="FJ6:FJ35" si="1">SUM(T6+Y6+DZ6+EE6+EJ6+EO6)</f>
        <v>5681</v>
      </c>
      <c r="FK6" s="292"/>
      <c r="FL6" s="295">
        <f t="shared" ref="FL6:FL35" si="2">SUM(AN6+AS6)</f>
        <v>1170</v>
      </c>
      <c r="FM6" s="292"/>
      <c r="FN6" s="295">
        <f t="shared" ref="FN6:FN35" si="3">SUM(AX6+BC6+BH6)</f>
        <v>1790</v>
      </c>
      <c r="FO6" s="292"/>
      <c r="FP6" s="295">
        <f t="shared" ref="FP6:FP35" si="4">SUM(BM6+BR6+ET6)</f>
        <v>1135</v>
      </c>
      <c r="FQ6" s="292"/>
      <c r="FR6" s="295">
        <f t="shared" ref="FR6:FR35" si="5">SUM(EY6+FD6)</f>
        <v>6633</v>
      </c>
      <c r="FS6" s="292"/>
    </row>
    <row r="7" spans="1:175" s="3" customFormat="1" ht="13.5" customHeight="1" x14ac:dyDescent="0.2">
      <c r="A7" s="280">
        <v>3</v>
      </c>
      <c r="B7" s="283">
        <f>'Finance Only'!G10</f>
        <v>3209</v>
      </c>
      <c r="C7" s="278">
        <f t="shared" ref="C7:C35" si="6">D6</f>
        <v>25941590</v>
      </c>
      <c r="D7" s="222">
        <v>25943824</v>
      </c>
      <c r="E7" s="223">
        <f t="shared" ref="E7:E35" si="7">MAX(0,D7-C7)</f>
        <v>2234</v>
      </c>
      <c r="F7" s="234">
        <f t="shared" ref="F7:F34" si="8">E7-E6</f>
        <v>248</v>
      </c>
      <c r="G7" s="235">
        <f>(E7/'Finance Only'!B10)*100</f>
        <v>9.3379033606420325</v>
      </c>
      <c r="H7" s="246">
        <f t="shared" ref="H7:H35" si="9">I6</f>
        <v>23282815</v>
      </c>
      <c r="I7" s="222">
        <v>23286680</v>
      </c>
      <c r="J7" s="222">
        <f t="shared" ref="J7:J35" si="10">MAX(0,I7-H7)</f>
        <v>3865</v>
      </c>
      <c r="K7" s="247">
        <f t="shared" ref="K7:K34" si="11">J7-J6</f>
        <v>554</v>
      </c>
      <c r="L7" s="248">
        <f>(J7/'Finance Only'!B10)*100</f>
        <v>16.155325196455443</v>
      </c>
      <c r="M7" s="230">
        <f t="shared" ref="M7:M35" si="12">N6</f>
        <v>87575760</v>
      </c>
      <c r="N7" s="224">
        <v>87588658</v>
      </c>
      <c r="O7" s="225">
        <f t="shared" ref="O7:O35" si="13">MAX(0,N7-M7)</f>
        <v>12898</v>
      </c>
      <c r="P7" s="238">
        <f t="shared" ref="P7:P34" si="14">O7-O6</f>
        <v>1108</v>
      </c>
      <c r="Q7" s="239">
        <f>(O7/'Finance Only'!B10)*100</f>
        <v>53.912389232569801</v>
      </c>
      <c r="R7" s="229">
        <f t="shared" ref="R7:R35" si="15">S6</f>
        <v>2274700</v>
      </c>
      <c r="S7" s="224">
        <v>2276200</v>
      </c>
      <c r="T7" s="225">
        <f t="shared" ref="T7:T35" si="16">MAX(0,S7-R7)</f>
        <v>1500</v>
      </c>
      <c r="U7" s="238">
        <f t="shared" ref="U7:U34" si="17">T7-T6</f>
        <v>0</v>
      </c>
      <c r="V7" s="239">
        <f>(T7/'Finance Only'!B10)*100</f>
        <v>6.2698545393746858</v>
      </c>
      <c r="W7" s="224">
        <f t="shared" ref="W7:W35" si="18">X6</f>
        <v>3084402</v>
      </c>
      <c r="X7" s="224">
        <v>3087155</v>
      </c>
      <c r="Y7" s="225">
        <f t="shared" ref="Y7:Y35" si="19">MAX(0,X7-W7)</f>
        <v>2753</v>
      </c>
      <c r="Z7" s="238">
        <f t="shared" ref="Z7:Z34" si="20">Y7-Y6</f>
        <v>212</v>
      </c>
      <c r="AA7" s="239">
        <f>(Y7/'Finance Only'!B10)*100</f>
        <v>11.507273031265674</v>
      </c>
      <c r="AB7" s="224">
        <f t="shared" ref="AB7:AB35" si="21">AC6</f>
        <v>1895600</v>
      </c>
      <c r="AC7" s="224">
        <v>1897100</v>
      </c>
      <c r="AD7" s="225">
        <f t="shared" ref="AD7:AD35" si="22">MAX(0,AC7-AB7)</f>
        <v>1500</v>
      </c>
      <c r="AE7" s="238">
        <f t="shared" ref="AE7:AE34" si="23">AD7-AD6</f>
        <v>0</v>
      </c>
      <c r="AF7" s="239">
        <f>(AD7/'Finance Only'!B10)*100</f>
        <v>6.2698545393746858</v>
      </c>
      <c r="AG7" s="224">
        <f t="shared" ref="AG7:AG35" si="24">AH6</f>
        <v>836090</v>
      </c>
      <c r="AH7" s="224">
        <v>836846</v>
      </c>
      <c r="AI7" s="225">
        <f t="shared" ref="AI7:AI35" si="25">MAX(0,AH7-AG7)</f>
        <v>756</v>
      </c>
      <c r="AJ7" s="238">
        <f t="shared" ref="AJ7:AJ34" si="26">AI7-AI6</f>
        <v>55</v>
      </c>
      <c r="AK7" s="239">
        <f>(AI7/'Finance Only'!B10)*100</f>
        <v>3.1600066878448421</v>
      </c>
      <c r="AL7" s="224">
        <f t="shared" ref="AL7:AL35" si="27">AM6</f>
        <v>858280</v>
      </c>
      <c r="AM7" s="224">
        <v>858860</v>
      </c>
      <c r="AN7" s="225">
        <f t="shared" ref="AN7:AN35" si="28">MAX(0,AM7-AL7)</f>
        <v>580</v>
      </c>
      <c r="AO7" s="238">
        <f t="shared" ref="AO7:AO34" si="29">AN7-AN6</f>
        <v>10</v>
      </c>
      <c r="AP7" s="239">
        <f>(AN7/'Finance Only'!B10)*100</f>
        <v>2.424343755224879</v>
      </c>
      <c r="AQ7" s="224">
        <f t="shared" ref="AQ7:AQ35" si="30">AR6</f>
        <v>1923700</v>
      </c>
      <c r="AR7" s="224">
        <v>1924900</v>
      </c>
      <c r="AS7" s="225">
        <f t="shared" ref="AS7:AS35" si="31">MAX(0,AR7-AQ7)</f>
        <v>1200</v>
      </c>
      <c r="AT7" s="238">
        <f t="shared" ref="AT7:AT34" si="32">AS7-AS6</f>
        <v>600</v>
      </c>
      <c r="AU7" s="239">
        <f>(AS7/'Finance Only'!B10)*100</f>
        <v>5.015883631499749</v>
      </c>
      <c r="AV7" s="224">
        <f t="shared" ref="AV7:AV35" si="33">AW6</f>
        <v>557809</v>
      </c>
      <c r="AW7" s="224">
        <v>558219</v>
      </c>
      <c r="AX7" s="225">
        <f t="shared" ref="AX7:AX35" si="34">MAX(0,AW7-AV7)</f>
        <v>410</v>
      </c>
      <c r="AY7" s="238">
        <f t="shared" ref="AY7:AY34" si="35">AX7-AX6</f>
        <v>40</v>
      </c>
      <c r="AZ7" s="239">
        <f>(AX7/'Finance Only'!B10)*100</f>
        <v>1.7137602407624144</v>
      </c>
      <c r="BA7" s="224">
        <f t="shared" ref="BA7:BA35" si="36">BB6</f>
        <v>770480</v>
      </c>
      <c r="BB7" s="224">
        <v>771390</v>
      </c>
      <c r="BC7" s="225">
        <f t="shared" ref="BC7:BC35" si="37">MAX(0,BB7-BA7)</f>
        <v>910</v>
      </c>
      <c r="BD7" s="238">
        <f t="shared" ref="BD7:BD34" si="38">BC7-BC6</f>
        <v>150</v>
      </c>
      <c r="BE7" s="239">
        <f>(BC7/'Finance Only'!B10)*100</f>
        <v>3.8037117538873102</v>
      </c>
      <c r="BF7" s="224">
        <f t="shared" ref="BF7:BF35" si="39">BG6</f>
        <v>865200</v>
      </c>
      <c r="BG7" s="224">
        <v>865930</v>
      </c>
      <c r="BH7" s="225">
        <f t="shared" ref="BH7:BH35" si="40">MAX(0,BG7-BF7)</f>
        <v>730</v>
      </c>
      <c r="BI7" s="238">
        <f t="shared" ref="BI7:BI34" si="41">BH7-BH6</f>
        <v>70</v>
      </c>
      <c r="BJ7" s="239">
        <f>(BH7/'Finance Only'!B10)*100</f>
        <v>3.0513292091623474</v>
      </c>
      <c r="BK7" s="224">
        <f t="shared" ref="BK7:BK35" si="42">BL6</f>
        <v>1352100</v>
      </c>
      <c r="BL7" s="224">
        <v>1353500</v>
      </c>
      <c r="BM7" s="225">
        <f t="shared" ref="BM7:BM35" si="43">MAX(0,BL7-BK7)</f>
        <v>1400</v>
      </c>
      <c r="BN7" s="238">
        <f t="shared" ref="BN7:BN34" si="44">BM7-BM6</f>
        <v>400</v>
      </c>
      <c r="BO7" s="239">
        <f>(BM7/'Finance Only'!B10)*100</f>
        <v>5.8518642367497078</v>
      </c>
      <c r="BP7" s="224">
        <f t="shared" ref="BP7:BP35" si="45">BQ6</f>
        <v>82452</v>
      </c>
      <c r="BQ7" s="224">
        <v>82631</v>
      </c>
      <c r="BR7" s="225">
        <f t="shared" ref="BR7:BR35" si="46">MAX(0,BQ7-BP7)</f>
        <v>179</v>
      </c>
      <c r="BS7" s="238">
        <f t="shared" ref="BS7:BS34" si="47">BR7-BR6</f>
        <v>44</v>
      </c>
      <c r="BT7" s="239">
        <f>(BR7/'Finance Only'!B10)*100</f>
        <v>0.74820264169871253</v>
      </c>
      <c r="BU7" s="224">
        <f t="shared" ref="BU7:BU35" si="48">BV6</f>
        <v>419380</v>
      </c>
      <c r="BV7" s="224">
        <v>419780</v>
      </c>
      <c r="BW7" s="225">
        <f t="shared" ref="BW7:BW35" si="49">MAX(0,BV7-BU7)</f>
        <v>400</v>
      </c>
      <c r="BX7" s="238">
        <f t="shared" ref="BX7:BX34" si="50">BW7-BW6</f>
        <v>40</v>
      </c>
      <c r="BY7" s="239">
        <f>(BW7/'Finance Only'!B10)*100</f>
        <v>1.6719612104999164</v>
      </c>
      <c r="BZ7" s="224">
        <f t="shared" ref="BZ7:BZ35" si="51">CA6</f>
        <v>646890</v>
      </c>
      <c r="CA7" s="224">
        <v>648130</v>
      </c>
      <c r="CB7" s="225">
        <f t="shared" ref="CB7:CB35" si="52">MAX(0,CA7-BZ7)</f>
        <v>1240</v>
      </c>
      <c r="CC7" s="238">
        <f t="shared" ref="CC7:CC34" si="53">CB7-CB6</f>
        <v>60</v>
      </c>
      <c r="CD7" s="239">
        <f>(CB7/'Finance Only'!B10)*100</f>
        <v>5.183079752549741</v>
      </c>
      <c r="CE7" s="224">
        <f t="shared" ref="CE7:CE35" si="54">CF6</f>
        <v>195660</v>
      </c>
      <c r="CF7" s="224">
        <v>196070</v>
      </c>
      <c r="CG7" s="225">
        <f t="shared" ref="CG7:CG35" si="55">MAX(0,CF7-CE7)</f>
        <v>410</v>
      </c>
      <c r="CH7" s="238">
        <f t="shared" ref="CH7:CH34" si="56">CG7-CG6</f>
        <v>60</v>
      </c>
      <c r="CI7" s="239">
        <f>(CG7/'Finance Only'!B10)*100</f>
        <v>1.7137602407624144</v>
      </c>
      <c r="CJ7" s="225">
        <f t="shared" ref="CJ7:CJ35" si="57">CK6</f>
        <v>445880</v>
      </c>
      <c r="CK7" s="225">
        <v>446700</v>
      </c>
      <c r="CL7" s="225">
        <f t="shared" ref="CL7:CL35" si="58">MAX(0,CK7-CJ7)</f>
        <v>820</v>
      </c>
      <c r="CM7" s="238">
        <f t="shared" ref="CM7:CM34" si="59">CL7-CL6</f>
        <v>-950</v>
      </c>
      <c r="CN7" s="239">
        <f>(CL7/'Finance Only'!B10)*100</f>
        <v>3.4275204815248288</v>
      </c>
      <c r="CO7" s="224">
        <f t="shared" ref="CO7:CO35" si="60">CP6</f>
        <v>359850</v>
      </c>
      <c r="CP7" s="224">
        <v>360610</v>
      </c>
      <c r="CQ7" s="226">
        <f t="shared" ref="CQ7:CQ35" si="61">MAX(0,CP7-CO7)</f>
        <v>760</v>
      </c>
      <c r="CR7" s="238">
        <f t="shared" ref="CR7:CR34" si="62">CQ7-CQ6</f>
        <v>60</v>
      </c>
      <c r="CS7" s="239">
        <f>(CQ7/'Finance Only'!B10)*100</f>
        <v>3.1767262999498413</v>
      </c>
      <c r="CT7" s="224">
        <f t="shared" ref="CT7:CT35" si="63">CU6</f>
        <v>306820</v>
      </c>
      <c r="CU7" s="224">
        <v>307340</v>
      </c>
      <c r="CV7" s="225">
        <f t="shared" ref="CV7:CV35" si="64">MAX(0,CU7-CT7)</f>
        <v>520</v>
      </c>
      <c r="CW7" s="238">
        <f t="shared" ref="CW7:CW34" si="65">CV7-CV6</f>
        <v>70</v>
      </c>
      <c r="CX7" s="239">
        <f>(CV7/'Finance Only'!B10)*100</f>
        <v>2.1735495736498915</v>
      </c>
      <c r="CY7" s="224">
        <f t="shared" ref="CY7:CY35" si="66">CZ6</f>
        <v>524290</v>
      </c>
      <c r="CZ7" s="224">
        <v>525370</v>
      </c>
      <c r="DA7" s="225">
        <f t="shared" ref="DA7:DA35" si="67">MAX(0,CZ7-CY7)</f>
        <v>1080</v>
      </c>
      <c r="DB7" s="238">
        <f t="shared" ref="DB7:DB34" si="68">DA7-DA6</f>
        <v>170</v>
      </c>
      <c r="DC7" s="239">
        <f>(DA7/'Finance Only'!B10)*100</f>
        <v>4.5142952683497741</v>
      </c>
      <c r="DD7" s="224">
        <f t="shared" ref="DD7:DD35" si="69">DE6</f>
        <v>394680</v>
      </c>
      <c r="DE7" s="224">
        <v>395550</v>
      </c>
      <c r="DF7" s="225">
        <f t="shared" ref="DF7:DF35" si="70">MAX(0,DE7-DD7)</f>
        <v>870</v>
      </c>
      <c r="DG7" s="238">
        <f t="shared" ref="DG7:DG34" si="71">DF7-DF6</f>
        <v>-10</v>
      </c>
      <c r="DH7" s="239">
        <f>(DF7/'Finance Only'!B10)*100</f>
        <v>3.6365156328373178</v>
      </c>
      <c r="DI7" s="224">
        <f t="shared" ref="DI7:DI35" si="72">DJ6</f>
        <v>363080</v>
      </c>
      <c r="DJ7" s="224">
        <f>363080+445</f>
        <v>363525</v>
      </c>
      <c r="DK7" s="225">
        <f t="shared" ref="DK7:DK35" si="73">MAX(0,DJ7-DI7)</f>
        <v>445</v>
      </c>
      <c r="DL7" s="238">
        <f t="shared" ref="DL7:DL34" si="74">DK7-DK6</f>
        <v>5</v>
      </c>
      <c r="DM7" s="239">
        <f>(DK7/'Finance Only'!B10)*100</f>
        <v>1.8600568466811569</v>
      </c>
      <c r="DN7" s="224">
        <f t="shared" ref="DN7:DN35" si="75">DO6</f>
        <v>228470</v>
      </c>
      <c r="DO7" s="224">
        <v>228660</v>
      </c>
      <c r="DP7" s="225">
        <f t="shared" ref="DP7:DP35" si="76">MAX(0,DO7-DN7)</f>
        <v>190</v>
      </c>
      <c r="DQ7" s="238">
        <f t="shared" ref="DQ7:DQ34" si="77">DP7-DP6</f>
        <v>20</v>
      </c>
      <c r="DR7" s="239">
        <f>(DP7/'Finance Only'!B10)*100</f>
        <v>0.79418157498746034</v>
      </c>
      <c r="DS7" s="224">
        <f t="shared" ref="DS7:DS35" si="78">DT6</f>
        <v>63074</v>
      </c>
      <c r="DT7" s="224">
        <v>63194</v>
      </c>
      <c r="DU7" s="225">
        <f t="shared" ref="DU7:DU35" si="79">MAX(0,DT7-DS7)</f>
        <v>120</v>
      </c>
      <c r="DV7" s="238">
        <f t="shared" ref="DV7:DV34" si="80">DU7-DU6</f>
        <v>11</v>
      </c>
      <c r="DW7" s="239">
        <f>(DU7/'Finance Only'!B10)*100</f>
        <v>0.5015883631499749</v>
      </c>
      <c r="DX7" s="224">
        <f t="shared" ref="DX7:DX35" si="81">DY6</f>
        <v>424450</v>
      </c>
      <c r="DY7" s="224">
        <v>425090</v>
      </c>
      <c r="DZ7" s="225">
        <f t="shared" ref="DZ7:DZ35" si="82">MAX(0,DY7-DX7)</f>
        <v>640</v>
      </c>
      <c r="EA7" s="238">
        <f t="shared" ref="EA7:EA34" si="83">DZ7-DZ6</f>
        <v>20</v>
      </c>
      <c r="EB7" s="239">
        <f>(DZ7/'Finance Only'!B10)*100</f>
        <v>2.675137936799866</v>
      </c>
      <c r="EC7" s="224">
        <f t="shared" ref="EC7:EC35" si="84">ED6</f>
        <v>133960</v>
      </c>
      <c r="ED7" s="224">
        <v>134180</v>
      </c>
      <c r="EE7" s="225">
        <f t="shared" ref="EE7:EE35" si="85">MAX(0,ED7-EC7)</f>
        <v>220</v>
      </c>
      <c r="EF7" s="238">
        <f t="shared" ref="EF7:EF34" si="86">EE7-EE6</f>
        <v>0</v>
      </c>
      <c r="EG7" s="239">
        <f>(EE7/'Finance Only'!B10)*100</f>
        <v>0.91957866577495395</v>
      </c>
      <c r="EH7" s="224">
        <f t="shared" ref="EH7:EH35" si="87">EI6</f>
        <v>129220</v>
      </c>
      <c r="EI7" s="224">
        <v>129510</v>
      </c>
      <c r="EJ7" s="225">
        <f t="shared" ref="EJ7:EJ35" si="88">MAX(0,EI7-EH7)</f>
        <v>290</v>
      </c>
      <c r="EK7" s="238">
        <f t="shared" ref="EK7:EK34" si="89">EJ7-EJ6</f>
        <v>-20</v>
      </c>
      <c r="EL7" s="239">
        <f>(EJ7/'Finance Only'!B10)*100</f>
        <v>1.2121718776124395</v>
      </c>
      <c r="EM7" s="224">
        <f t="shared" ref="EM7:EM35" si="90">EN6</f>
        <v>244600</v>
      </c>
      <c r="EN7" s="224">
        <v>244950</v>
      </c>
      <c r="EO7" s="225">
        <f t="shared" ref="EO7:EO35" si="91">MAX(0,EN7-EM7)</f>
        <v>350</v>
      </c>
      <c r="EP7" s="238">
        <f t="shared" ref="EP7:EP34" si="92">EO7-EO6</f>
        <v>-140</v>
      </c>
      <c r="EQ7" s="239">
        <f>(EO7/'Finance Only'!B10)*100</f>
        <v>1.4629660591874269</v>
      </c>
      <c r="ER7" s="224">
        <f t="shared" ref="ER7:ER35" si="93">ES6</f>
        <v>0</v>
      </c>
      <c r="ES7" s="224"/>
      <c r="ET7" s="225">
        <f t="shared" ref="ET7:ET35" si="94">MAX(0,ES7-ER7)</f>
        <v>0</v>
      </c>
      <c r="EU7" s="238">
        <f t="shared" ref="EU7:EU34" si="95">ET7-ET6</f>
        <v>0</v>
      </c>
      <c r="EV7" s="239">
        <f>(ET7/'Finance Only'!B10)*100</f>
        <v>0</v>
      </c>
      <c r="EW7" s="224">
        <f t="shared" ref="EW7:EW35" si="96">EX6</f>
        <v>150860</v>
      </c>
      <c r="EX7" s="224">
        <v>161160</v>
      </c>
      <c r="EY7" s="225">
        <f t="shared" ref="EY7:EY35" si="97">MAX(0,EX7-EW7)</f>
        <v>10300</v>
      </c>
      <c r="EZ7" s="238">
        <f t="shared" ref="EZ7:EZ35" si="98">EY7-EY6</f>
        <v>4030</v>
      </c>
      <c r="FA7" s="239">
        <f>(EY7/'Finance Only'!G10)*100</f>
        <v>320.97226550327207</v>
      </c>
      <c r="FB7" s="224">
        <f t="shared" ref="FB7:FB35" si="99">FC6</f>
        <v>48162</v>
      </c>
      <c r="FC7" s="224">
        <v>48506</v>
      </c>
      <c r="FD7" s="225">
        <f t="shared" ref="FD7:FD35" si="100">MAX(0,FC7-FB7)</f>
        <v>344</v>
      </c>
      <c r="FE7" s="238">
        <f t="shared" ref="FE7:FE35" si="101">FD7-FD6</f>
        <v>-19</v>
      </c>
      <c r="FF7" s="239" t="e">
        <f>(FD7/'Finance Only'!M10)*100</f>
        <v>#DIV/0!</v>
      </c>
      <c r="FG7" s="289"/>
      <c r="FH7" s="295">
        <f t="shared" si="0"/>
        <v>6099</v>
      </c>
      <c r="FI7" s="292"/>
      <c r="FJ7" s="295">
        <f t="shared" si="1"/>
        <v>5753</v>
      </c>
      <c r="FK7" s="292"/>
      <c r="FL7" s="295">
        <f t="shared" si="2"/>
        <v>1780</v>
      </c>
      <c r="FM7" s="292"/>
      <c r="FN7" s="295">
        <f t="shared" si="3"/>
        <v>2050</v>
      </c>
      <c r="FO7" s="292"/>
      <c r="FP7" s="295">
        <f t="shared" si="4"/>
        <v>1579</v>
      </c>
      <c r="FQ7" s="292"/>
      <c r="FR7" s="295">
        <f t="shared" si="5"/>
        <v>10644</v>
      </c>
      <c r="FS7" s="292"/>
    </row>
    <row r="8" spans="1:175" s="3" customFormat="1" ht="13.5" customHeight="1" x14ac:dyDescent="0.2">
      <c r="A8" s="280">
        <v>4</v>
      </c>
      <c r="B8" s="283">
        <f>'Finance Only'!G11</f>
        <v>7157</v>
      </c>
      <c r="C8" s="278">
        <f t="shared" si="6"/>
        <v>25943824</v>
      </c>
      <c r="D8" s="222">
        <v>25946032</v>
      </c>
      <c r="E8" s="223">
        <f t="shared" si="7"/>
        <v>2208</v>
      </c>
      <c r="F8" s="234">
        <f t="shared" si="8"/>
        <v>-26</v>
      </c>
      <c r="G8" s="235">
        <f>(E8/'Finance Only'!B11)*100</f>
        <v>9.4788357516957156</v>
      </c>
      <c r="H8" s="246">
        <f t="shared" si="9"/>
        <v>23286680</v>
      </c>
      <c r="I8" s="222">
        <v>23290538</v>
      </c>
      <c r="J8" s="222">
        <f t="shared" si="10"/>
        <v>3858</v>
      </c>
      <c r="K8" s="247">
        <f t="shared" si="11"/>
        <v>-7</v>
      </c>
      <c r="L8" s="248">
        <f>(J8/'Finance Only'!B11)*100</f>
        <v>16.562204859620504</v>
      </c>
      <c r="M8" s="230">
        <f t="shared" si="12"/>
        <v>87588658</v>
      </c>
      <c r="N8" s="224">
        <v>87601889</v>
      </c>
      <c r="O8" s="225">
        <f t="shared" si="13"/>
        <v>13231</v>
      </c>
      <c r="P8" s="238">
        <f t="shared" si="14"/>
        <v>333</v>
      </c>
      <c r="Q8" s="239">
        <f>(O8/'Finance Only'!B11)*100</f>
        <v>56.800034343607798</v>
      </c>
      <c r="R8" s="229">
        <f>S7</f>
        <v>2276200</v>
      </c>
      <c r="S8" s="224">
        <v>2277700</v>
      </c>
      <c r="T8" s="225">
        <f t="shared" si="16"/>
        <v>1500</v>
      </c>
      <c r="U8" s="238">
        <f t="shared" si="17"/>
        <v>0</v>
      </c>
      <c r="V8" s="239">
        <f>(T8/'Finance Only'!B11)*100</f>
        <v>6.4394264617498074</v>
      </c>
      <c r="W8" s="224">
        <f t="shared" si="18"/>
        <v>3087155</v>
      </c>
      <c r="X8" s="224">
        <v>3089705</v>
      </c>
      <c r="Y8" s="225">
        <f t="shared" si="19"/>
        <v>2550</v>
      </c>
      <c r="Z8" s="238">
        <f t="shared" si="20"/>
        <v>-203</v>
      </c>
      <c r="AA8" s="239">
        <f>(Y8/'Finance Only'!B11)*100</f>
        <v>10.947024984974671</v>
      </c>
      <c r="AB8" s="224">
        <f t="shared" si="21"/>
        <v>1897100</v>
      </c>
      <c r="AC8" s="224">
        <v>1898600</v>
      </c>
      <c r="AD8" s="225">
        <f t="shared" si="22"/>
        <v>1500</v>
      </c>
      <c r="AE8" s="238">
        <f t="shared" si="23"/>
        <v>0</v>
      </c>
      <c r="AF8" s="239">
        <f>(AD8/'Finance Only'!B11)*100</f>
        <v>6.4394264617498074</v>
      </c>
      <c r="AG8" s="224">
        <f t="shared" si="24"/>
        <v>836846</v>
      </c>
      <c r="AH8" s="224">
        <v>837599</v>
      </c>
      <c r="AI8" s="225">
        <f t="shared" si="25"/>
        <v>753</v>
      </c>
      <c r="AJ8" s="238">
        <f t="shared" si="26"/>
        <v>-3</v>
      </c>
      <c r="AK8" s="239">
        <f>(AI8/'Finance Only'!B11)*100</f>
        <v>3.2325920837984032</v>
      </c>
      <c r="AL8" s="224">
        <f t="shared" si="27"/>
        <v>858860</v>
      </c>
      <c r="AM8" s="224">
        <v>859400</v>
      </c>
      <c r="AN8" s="225">
        <f t="shared" si="28"/>
        <v>540</v>
      </c>
      <c r="AO8" s="238">
        <f t="shared" si="29"/>
        <v>-40</v>
      </c>
      <c r="AP8" s="239">
        <f>(AN8/'Finance Only'!B11)*100</f>
        <v>2.3181935262299302</v>
      </c>
      <c r="AQ8" s="224">
        <f t="shared" si="30"/>
        <v>1924900</v>
      </c>
      <c r="AR8" s="224">
        <v>1925600</v>
      </c>
      <c r="AS8" s="225">
        <f t="shared" si="31"/>
        <v>700</v>
      </c>
      <c r="AT8" s="238">
        <f t="shared" si="32"/>
        <v>-500</v>
      </c>
      <c r="AU8" s="239">
        <f>(AS8/'Finance Only'!B11)*100</f>
        <v>3.00506568214991</v>
      </c>
      <c r="AV8" s="224">
        <f t="shared" si="33"/>
        <v>558219</v>
      </c>
      <c r="AW8" s="224">
        <v>558626</v>
      </c>
      <c r="AX8" s="225">
        <f t="shared" si="34"/>
        <v>407</v>
      </c>
      <c r="AY8" s="238">
        <f t="shared" si="35"/>
        <v>-3</v>
      </c>
      <c r="AZ8" s="239">
        <f>(AX8/'Finance Only'!B11)*100</f>
        <v>1.7472310466214473</v>
      </c>
      <c r="BA8" s="224">
        <f t="shared" si="36"/>
        <v>771390</v>
      </c>
      <c r="BB8" s="224">
        <v>772370</v>
      </c>
      <c r="BC8" s="225">
        <f t="shared" si="37"/>
        <v>980</v>
      </c>
      <c r="BD8" s="238">
        <f t="shared" si="38"/>
        <v>70</v>
      </c>
      <c r="BE8" s="239">
        <f>(BC8/'Finance Only'!B11)*100</f>
        <v>4.207091955009874</v>
      </c>
      <c r="BF8" s="224">
        <f t="shared" si="39"/>
        <v>865930</v>
      </c>
      <c r="BG8" s="224">
        <v>866690</v>
      </c>
      <c r="BH8" s="225">
        <f t="shared" si="40"/>
        <v>760</v>
      </c>
      <c r="BI8" s="238">
        <f t="shared" si="41"/>
        <v>30</v>
      </c>
      <c r="BJ8" s="239">
        <f>(BH8/'Finance Only'!B11)*100</f>
        <v>3.2626427406199019</v>
      </c>
      <c r="BK8" s="224">
        <f t="shared" si="42"/>
        <v>1353500</v>
      </c>
      <c r="BL8" s="224">
        <v>1354800</v>
      </c>
      <c r="BM8" s="225">
        <f t="shared" si="43"/>
        <v>1300</v>
      </c>
      <c r="BN8" s="238">
        <f t="shared" si="44"/>
        <v>-100</v>
      </c>
      <c r="BO8" s="239">
        <f>(BM8/'Finance Only'!B11)*100</f>
        <v>5.5808362668498326</v>
      </c>
      <c r="BP8" s="224">
        <f t="shared" si="45"/>
        <v>82631</v>
      </c>
      <c r="BQ8" s="224">
        <v>82782</v>
      </c>
      <c r="BR8" s="225">
        <f t="shared" si="46"/>
        <v>151</v>
      </c>
      <c r="BS8" s="238">
        <f t="shared" si="47"/>
        <v>-28</v>
      </c>
      <c r="BT8" s="239">
        <f>(BR8/'Finance Only'!B11)*100</f>
        <v>0.64823559714948054</v>
      </c>
      <c r="BU8" s="224">
        <f t="shared" si="48"/>
        <v>419780</v>
      </c>
      <c r="BV8" s="224">
        <v>420210</v>
      </c>
      <c r="BW8" s="225">
        <f t="shared" si="49"/>
        <v>430</v>
      </c>
      <c r="BX8" s="238">
        <f t="shared" si="50"/>
        <v>30</v>
      </c>
      <c r="BY8" s="239">
        <f>(BW8/'Finance Only'!B11)*100</f>
        <v>1.8459689190349446</v>
      </c>
      <c r="BZ8" s="224">
        <f t="shared" si="51"/>
        <v>648130</v>
      </c>
      <c r="CA8" s="224">
        <v>649310</v>
      </c>
      <c r="CB8" s="225">
        <f t="shared" si="52"/>
        <v>1180</v>
      </c>
      <c r="CC8" s="238">
        <f t="shared" si="53"/>
        <v>-60</v>
      </c>
      <c r="CD8" s="239">
        <f>(CB8/'Finance Only'!B11)*100</f>
        <v>5.0656821499098479</v>
      </c>
      <c r="CE8" s="224">
        <f t="shared" si="54"/>
        <v>196070</v>
      </c>
      <c r="CF8" s="224">
        <v>196480</v>
      </c>
      <c r="CG8" s="225">
        <f t="shared" si="55"/>
        <v>410</v>
      </c>
      <c r="CH8" s="238">
        <f t="shared" si="56"/>
        <v>0</v>
      </c>
      <c r="CI8" s="239">
        <f>(CG8/'Finance Only'!B11)*100</f>
        <v>1.7601098995449471</v>
      </c>
      <c r="CJ8" s="225">
        <f t="shared" si="57"/>
        <v>446700</v>
      </c>
      <c r="CK8" s="225">
        <v>447460</v>
      </c>
      <c r="CL8" s="225">
        <f t="shared" si="58"/>
        <v>760</v>
      </c>
      <c r="CM8" s="238">
        <f t="shared" si="59"/>
        <v>-60</v>
      </c>
      <c r="CN8" s="239">
        <f>(CL8/'Finance Only'!B11)*100</f>
        <v>3.2626427406199019</v>
      </c>
      <c r="CO8" s="224">
        <f t="shared" si="60"/>
        <v>360610</v>
      </c>
      <c r="CP8" s="224">
        <v>361380</v>
      </c>
      <c r="CQ8" s="226">
        <f t="shared" si="61"/>
        <v>770</v>
      </c>
      <c r="CR8" s="238">
        <f t="shared" si="62"/>
        <v>10</v>
      </c>
      <c r="CS8" s="239">
        <f>(CQ8/'Finance Only'!B11)*100</f>
        <v>3.3055722503649005</v>
      </c>
      <c r="CT8" s="224">
        <f t="shared" si="63"/>
        <v>307340</v>
      </c>
      <c r="CU8" s="224">
        <v>307780</v>
      </c>
      <c r="CV8" s="225">
        <f t="shared" si="64"/>
        <v>440</v>
      </c>
      <c r="CW8" s="238">
        <f t="shared" si="65"/>
        <v>-80</v>
      </c>
      <c r="CX8" s="239">
        <f>(CV8/'Finance Only'!B11)*100</f>
        <v>1.8888984287799435</v>
      </c>
      <c r="CY8" s="224">
        <f t="shared" si="66"/>
        <v>525370</v>
      </c>
      <c r="CZ8" s="224">
        <v>526450</v>
      </c>
      <c r="DA8" s="225">
        <f t="shared" si="67"/>
        <v>1080</v>
      </c>
      <c r="DB8" s="238">
        <f t="shared" si="68"/>
        <v>0</v>
      </c>
      <c r="DC8" s="239">
        <f>(DA8/'Finance Only'!B11)*100</f>
        <v>4.6363870524598605</v>
      </c>
      <c r="DD8" s="224">
        <f t="shared" si="69"/>
        <v>395550</v>
      </c>
      <c r="DE8" s="224">
        <v>396430</v>
      </c>
      <c r="DF8" s="225">
        <f t="shared" si="70"/>
        <v>880</v>
      </c>
      <c r="DG8" s="238">
        <f t="shared" si="71"/>
        <v>10</v>
      </c>
      <c r="DH8" s="239">
        <f>(DF8/'Finance Only'!B11)*100</f>
        <v>3.777796857559887</v>
      </c>
      <c r="DI8" s="224">
        <f t="shared" si="72"/>
        <v>363525</v>
      </c>
      <c r="DJ8" s="224">
        <v>364320</v>
      </c>
      <c r="DK8" s="225">
        <f t="shared" si="73"/>
        <v>795</v>
      </c>
      <c r="DL8" s="238">
        <f t="shared" si="74"/>
        <v>350</v>
      </c>
      <c r="DM8" s="239">
        <f>(DK8/'Finance Only'!B11)*100</f>
        <v>3.4128960247273978</v>
      </c>
      <c r="DN8" s="224">
        <f t="shared" si="75"/>
        <v>228660</v>
      </c>
      <c r="DO8" s="224">
        <v>228840</v>
      </c>
      <c r="DP8" s="225">
        <f t="shared" si="76"/>
        <v>180</v>
      </c>
      <c r="DQ8" s="238">
        <f t="shared" si="77"/>
        <v>-10</v>
      </c>
      <c r="DR8" s="239">
        <f>(DP8/'Finance Only'!B11)*100</f>
        <v>0.77273117540997682</v>
      </c>
      <c r="DS8" s="224">
        <f t="shared" si="78"/>
        <v>63194</v>
      </c>
      <c r="DT8" s="224">
        <v>63316</v>
      </c>
      <c r="DU8" s="225">
        <f t="shared" si="79"/>
        <v>122</v>
      </c>
      <c r="DV8" s="238">
        <f t="shared" si="80"/>
        <v>2</v>
      </c>
      <c r="DW8" s="239">
        <f>(DU8/'Finance Only'!B11)*100</f>
        <v>0.52374001888898425</v>
      </c>
      <c r="DX8" s="224">
        <f t="shared" si="81"/>
        <v>425090</v>
      </c>
      <c r="DY8" s="224">
        <v>425700</v>
      </c>
      <c r="DZ8" s="225">
        <f t="shared" si="82"/>
        <v>610</v>
      </c>
      <c r="EA8" s="238">
        <f t="shared" si="83"/>
        <v>-30</v>
      </c>
      <c r="EB8" s="239">
        <f>(DZ8/'Finance Only'!B11)*100</f>
        <v>2.6187000944449217</v>
      </c>
      <c r="EC8" s="224">
        <f t="shared" si="84"/>
        <v>134180</v>
      </c>
      <c r="ED8" s="224">
        <v>134390</v>
      </c>
      <c r="EE8" s="225">
        <f t="shared" si="85"/>
        <v>210</v>
      </c>
      <c r="EF8" s="238">
        <f t="shared" si="86"/>
        <v>-10</v>
      </c>
      <c r="EG8" s="239">
        <f>(EE8/'Finance Only'!B11)*100</f>
        <v>0.901519704644973</v>
      </c>
      <c r="EH8" s="224">
        <f t="shared" si="87"/>
        <v>129510</v>
      </c>
      <c r="EI8" s="224">
        <v>129910</v>
      </c>
      <c r="EJ8" s="225">
        <f t="shared" si="88"/>
        <v>400</v>
      </c>
      <c r="EK8" s="238">
        <f t="shared" si="89"/>
        <v>110</v>
      </c>
      <c r="EL8" s="239">
        <f>(EJ8/'Finance Only'!B11)*100</f>
        <v>1.7171803897999482</v>
      </c>
      <c r="EM8" s="224">
        <f t="shared" si="90"/>
        <v>244950</v>
      </c>
      <c r="EN8" s="224">
        <v>245600</v>
      </c>
      <c r="EO8" s="225">
        <f t="shared" si="91"/>
        <v>650</v>
      </c>
      <c r="EP8" s="238">
        <f t="shared" si="92"/>
        <v>300</v>
      </c>
      <c r="EQ8" s="239">
        <f>(EO8/'Finance Only'!B11)*100</f>
        <v>2.7904181334249163</v>
      </c>
      <c r="ER8" s="224">
        <f t="shared" si="93"/>
        <v>0</v>
      </c>
      <c r="ES8" s="224"/>
      <c r="ET8" s="225">
        <f t="shared" si="94"/>
        <v>0</v>
      </c>
      <c r="EU8" s="238">
        <f t="shared" si="95"/>
        <v>0</v>
      </c>
      <c r="EV8" s="239">
        <f>(ET8/'Finance Only'!B11)*100</f>
        <v>0</v>
      </c>
      <c r="EW8" s="224">
        <f t="shared" si="96"/>
        <v>161160</v>
      </c>
      <c r="EX8" s="224">
        <v>168070</v>
      </c>
      <c r="EY8" s="225">
        <f t="shared" si="97"/>
        <v>6910</v>
      </c>
      <c r="EZ8" s="238">
        <f t="shared" si="98"/>
        <v>-3390</v>
      </c>
      <c r="FA8" s="239">
        <f>(EY8/'Finance Only'!G11)*100</f>
        <v>96.548833310046106</v>
      </c>
      <c r="FB8" s="224">
        <f t="shared" si="99"/>
        <v>48506</v>
      </c>
      <c r="FC8" s="224">
        <v>48793</v>
      </c>
      <c r="FD8" s="225">
        <f t="shared" si="100"/>
        <v>287</v>
      </c>
      <c r="FE8" s="238">
        <f t="shared" si="101"/>
        <v>-57</v>
      </c>
      <c r="FF8" s="239" t="e">
        <f>(FD8/'Finance Only'!M11)*100</f>
        <v>#DIV/0!</v>
      </c>
      <c r="FG8" s="289"/>
      <c r="FH8" s="295">
        <f t="shared" si="0"/>
        <v>6066</v>
      </c>
      <c r="FI8" s="292"/>
      <c r="FJ8" s="295">
        <f t="shared" si="1"/>
        <v>5920</v>
      </c>
      <c r="FK8" s="292"/>
      <c r="FL8" s="295">
        <f t="shared" si="2"/>
        <v>1240</v>
      </c>
      <c r="FM8" s="292"/>
      <c r="FN8" s="295">
        <f t="shared" si="3"/>
        <v>2147</v>
      </c>
      <c r="FO8" s="292"/>
      <c r="FP8" s="295">
        <f t="shared" si="4"/>
        <v>1451</v>
      </c>
      <c r="FQ8" s="292"/>
      <c r="FR8" s="295">
        <f t="shared" si="5"/>
        <v>7197</v>
      </c>
      <c r="FS8" s="292"/>
    </row>
    <row r="9" spans="1:175" s="3" customFormat="1" ht="13.5" customHeight="1" x14ac:dyDescent="0.2">
      <c r="A9" s="280">
        <v>5</v>
      </c>
      <c r="B9" s="283">
        <f>'Finance Only'!G12</f>
        <v>2548</v>
      </c>
      <c r="C9" s="278">
        <f t="shared" si="6"/>
        <v>25946032</v>
      </c>
      <c r="D9" s="222">
        <v>25948115</v>
      </c>
      <c r="E9" s="223">
        <f t="shared" si="7"/>
        <v>2083</v>
      </c>
      <c r="F9" s="234">
        <f t="shared" si="8"/>
        <v>-125</v>
      </c>
      <c r="G9" s="235">
        <f>(E9/'Finance Only'!B12)*100</f>
        <v>9.2606588716489586</v>
      </c>
      <c r="H9" s="246">
        <f t="shared" si="9"/>
        <v>23290538</v>
      </c>
      <c r="I9" s="222">
        <v>23293867</v>
      </c>
      <c r="J9" s="222">
        <f t="shared" si="10"/>
        <v>3329</v>
      </c>
      <c r="K9" s="247">
        <f t="shared" si="11"/>
        <v>-529</v>
      </c>
      <c r="L9" s="248">
        <f>(J9/'Finance Only'!B12)*100</f>
        <v>14.800160049793268</v>
      </c>
      <c r="M9" s="230">
        <f t="shared" si="12"/>
        <v>87601889</v>
      </c>
      <c r="N9" s="224">
        <v>87614422</v>
      </c>
      <c r="O9" s="225">
        <f t="shared" si="13"/>
        <v>12533</v>
      </c>
      <c r="P9" s="238">
        <f t="shared" si="14"/>
        <v>-698</v>
      </c>
      <c r="Q9" s="239">
        <f>(O9/'Finance Only'!B12)*100</f>
        <v>55.719557195571959</v>
      </c>
      <c r="R9" s="229">
        <f t="shared" si="15"/>
        <v>2277700</v>
      </c>
      <c r="S9" s="224">
        <v>2279300</v>
      </c>
      <c r="T9" s="225">
        <f t="shared" si="16"/>
        <v>1600</v>
      </c>
      <c r="U9" s="238">
        <f t="shared" si="17"/>
        <v>100</v>
      </c>
      <c r="V9" s="239">
        <f>(T9/'Finance Only'!B12)*100</f>
        <v>7.1133241452896456</v>
      </c>
      <c r="W9" s="224">
        <f t="shared" si="18"/>
        <v>3089705</v>
      </c>
      <c r="X9" s="224">
        <v>3092314</v>
      </c>
      <c r="Y9" s="225">
        <f t="shared" si="19"/>
        <v>2609</v>
      </c>
      <c r="Z9" s="238">
        <f t="shared" si="20"/>
        <v>59</v>
      </c>
      <c r="AA9" s="239">
        <f>(Y9/'Finance Only'!B12)*100</f>
        <v>11.599164184412929</v>
      </c>
      <c r="AB9" s="224">
        <f t="shared" si="21"/>
        <v>1898600</v>
      </c>
      <c r="AC9" s="224">
        <v>1900000</v>
      </c>
      <c r="AD9" s="225">
        <f t="shared" si="22"/>
        <v>1400</v>
      </c>
      <c r="AE9" s="238">
        <f t="shared" si="23"/>
        <v>-100</v>
      </c>
      <c r="AF9" s="239">
        <f>(AD9/'Finance Only'!B12)*100</f>
        <v>6.2241586271284399</v>
      </c>
      <c r="AG9" s="224">
        <f t="shared" si="24"/>
        <v>837599</v>
      </c>
      <c r="AH9" s="224">
        <v>838402</v>
      </c>
      <c r="AI9" s="225">
        <f t="shared" si="25"/>
        <v>803</v>
      </c>
      <c r="AJ9" s="238">
        <f t="shared" si="26"/>
        <v>50</v>
      </c>
      <c r="AK9" s="239">
        <f>(AI9/'Finance Only'!B12)*100</f>
        <v>3.5699995554172408</v>
      </c>
      <c r="AL9" s="224">
        <f t="shared" si="27"/>
        <v>859400</v>
      </c>
      <c r="AM9" s="224">
        <v>859930</v>
      </c>
      <c r="AN9" s="225">
        <f t="shared" si="28"/>
        <v>530</v>
      </c>
      <c r="AO9" s="238">
        <f t="shared" si="29"/>
        <v>-10</v>
      </c>
      <c r="AP9" s="239">
        <f>(AN9/'Finance Only'!B12)*100</f>
        <v>2.3562886231271953</v>
      </c>
      <c r="AQ9" s="224">
        <f t="shared" si="30"/>
        <v>1925600</v>
      </c>
      <c r="AR9" s="224">
        <v>1926900</v>
      </c>
      <c r="AS9" s="225">
        <f t="shared" si="31"/>
        <v>1300</v>
      </c>
      <c r="AT9" s="238">
        <f t="shared" si="32"/>
        <v>600</v>
      </c>
      <c r="AU9" s="239">
        <f>(AS9/'Finance Only'!B12)*100</f>
        <v>5.7795758680478375</v>
      </c>
      <c r="AV9" s="224">
        <f t="shared" si="33"/>
        <v>558626</v>
      </c>
      <c r="AW9" s="224">
        <v>559002</v>
      </c>
      <c r="AX9" s="225">
        <f t="shared" si="34"/>
        <v>376</v>
      </c>
      <c r="AY9" s="238">
        <f t="shared" si="35"/>
        <v>-31</v>
      </c>
      <c r="AZ9" s="239">
        <f>(AX9/'Finance Only'!B12)*100</f>
        <v>1.6716311741430667</v>
      </c>
      <c r="BA9" s="224">
        <f t="shared" si="36"/>
        <v>772370</v>
      </c>
      <c r="BB9" s="224">
        <v>773330</v>
      </c>
      <c r="BC9" s="225">
        <f t="shared" si="37"/>
        <v>960</v>
      </c>
      <c r="BD9" s="238">
        <f t="shared" si="38"/>
        <v>-20</v>
      </c>
      <c r="BE9" s="239">
        <f>(BC9/'Finance Only'!B12)*100</f>
        <v>4.2679944871737874</v>
      </c>
      <c r="BF9" s="224">
        <f t="shared" si="39"/>
        <v>866690</v>
      </c>
      <c r="BG9" s="224">
        <v>867360</v>
      </c>
      <c r="BH9" s="225">
        <f t="shared" si="40"/>
        <v>670</v>
      </c>
      <c r="BI9" s="238">
        <f t="shared" si="41"/>
        <v>-90</v>
      </c>
      <c r="BJ9" s="239">
        <f>(BH9/'Finance Only'!B12)*100</f>
        <v>2.9787044858400389</v>
      </c>
      <c r="BK9" s="224">
        <f t="shared" si="42"/>
        <v>1354800</v>
      </c>
      <c r="BL9" s="224">
        <v>1356200</v>
      </c>
      <c r="BM9" s="225">
        <f t="shared" si="43"/>
        <v>1400</v>
      </c>
      <c r="BN9" s="238">
        <f t="shared" si="44"/>
        <v>100</v>
      </c>
      <c r="BO9" s="239">
        <f>(BM9/'Finance Only'!B12)*100</f>
        <v>6.2241586271284399</v>
      </c>
      <c r="BP9" s="224">
        <f t="shared" si="45"/>
        <v>82782</v>
      </c>
      <c r="BQ9" s="224">
        <v>82912</v>
      </c>
      <c r="BR9" s="225">
        <f t="shared" si="46"/>
        <v>130</v>
      </c>
      <c r="BS9" s="238">
        <f t="shared" si="47"/>
        <v>-21</v>
      </c>
      <c r="BT9" s="239">
        <f>(BR9/'Finance Only'!B12)*100</f>
        <v>0.57795758680478371</v>
      </c>
      <c r="BU9" s="224">
        <f t="shared" si="48"/>
        <v>420210</v>
      </c>
      <c r="BV9" s="224">
        <v>420630</v>
      </c>
      <c r="BW9" s="225">
        <f t="shared" si="49"/>
        <v>420</v>
      </c>
      <c r="BX9" s="238">
        <f t="shared" si="50"/>
        <v>-10</v>
      </c>
      <c r="BY9" s="239">
        <f>(BW9/'Finance Only'!B12)*100</f>
        <v>1.867247588138532</v>
      </c>
      <c r="BZ9" s="224">
        <f t="shared" si="51"/>
        <v>649310</v>
      </c>
      <c r="CA9" s="224">
        <v>650460</v>
      </c>
      <c r="CB9" s="225">
        <f t="shared" si="52"/>
        <v>1150</v>
      </c>
      <c r="CC9" s="238">
        <f t="shared" si="53"/>
        <v>-30</v>
      </c>
      <c r="CD9" s="239">
        <f>(CB9/'Finance Only'!B12)*100</f>
        <v>5.1127017294269326</v>
      </c>
      <c r="CE9" s="224">
        <f t="shared" si="54"/>
        <v>196480</v>
      </c>
      <c r="CF9" s="224">
        <v>196830</v>
      </c>
      <c r="CG9" s="225">
        <f t="shared" si="55"/>
        <v>350</v>
      </c>
      <c r="CH9" s="238">
        <f t="shared" si="56"/>
        <v>-60</v>
      </c>
      <c r="CI9" s="239">
        <f>(CG9/'Finance Only'!B12)*100</f>
        <v>1.55603965678211</v>
      </c>
      <c r="CJ9" s="225">
        <f t="shared" si="57"/>
        <v>447460</v>
      </c>
      <c r="CK9" s="225">
        <v>448070</v>
      </c>
      <c r="CL9" s="225">
        <f t="shared" si="58"/>
        <v>610</v>
      </c>
      <c r="CM9" s="238">
        <f t="shared" si="59"/>
        <v>-150</v>
      </c>
      <c r="CN9" s="239">
        <f>(CL9/'Finance Only'!B12)*100</f>
        <v>2.7119548303916776</v>
      </c>
      <c r="CO9" s="224">
        <f t="shared" si="60"/>
        <v>361380</v>
      </c>
      <c r="CP9" s="224">
        <v>362060</v>
      </c>
      <c r="CQ9" s="226">
        <f t="shared" si="61"/>
        <v>680</v>
      </c>
      <c r="CR9" s="238">
        <f t="shared" si="62"/>
        <v>-90</v>
      </c>
      <c r="CS9" s="239">
        <f>(CQ9/'Finance Only'!B12)*100</f>
        <v>3.0231627617480994</v>
      </c>
      <c r="CT9" s="224">
        <f t="shared" si="63"/>
        <v>307780</v>
      </c>
      <c r="CU9" s="224">
        <v>308170</v>
      </c>
      <c r="CV9" s="225">
        <f t="shared" si="64"/>
        <v>390</v>
      </c>
      <c r="CW9" s="238">
        <f t="shared" si="65"/>
        <v>-50</v>
      </c>
      <c r="CX9" s="239">
        <f>(CV9/'Finance Only'!B12)*100</f>
        <v>1.7338727604143511</v>
      </c>
      <c r="CY9" s="224">
        <f t="shared" si="66"/>
        <v>526450</v>
      </c>
      <c r="CZ9" s="224">
        <v>527450</v>
      </c>
      <c r="DA9" s="225">
        <f t="shared" si="67"/>
        <v>1000</v>
      </c>
      <c r="DB9" s="238">
        <f t="shared" si="68"/>
        <v>-80</v>
      </c>
      <c r="DC9" s="239">
        <f>(DA9/'Finance Only'!B12)*100</f>
        <v>4.4458275908060285</v>
      </c>
      <c r="DD9" s="224">
        <f t="shared" si="69"/>
        <v>396430</v>
      </c>
      <c r="DE9" s="224">
        <v>397180</v>
      </c>
      <c r="DF9" s="225">
        <f t="shared" si="70"/>
        <v>750</v>
      </c>
      <c r="DG9" s="238">
        <f t="shared" si="71"/>
        <v>-130</v>
      </c>
      <c r="DH9" s="239">
        <f>(DF9/'Finance Only'!B12)*100</f>
        <v>3.3343706931045212</v>
      </c>
      <c r="DI9" s="224">
        <f t="shared" si="72"/>
        <v>364320</v>
      </c>
      <c r="DJ9" s="224">
        <v>364830</v>
      </c>
      <c r="DK9" s="225">
        <f t="shared" si="73"/>
        <v>510</v>
      </c>
      <c r="DL9" s="238">
        <f t="shared" si="74"/>
        <v>-285</v>
      </c>
      <c r="DM9" s="239">
        <f>(DK9/'Finance Only'!B12)*100</f>
        <v>2.2673720713110743</v>
      </c>
      <c r="DN9" s="224">
        <f t="shared" si="75"/>
        <v>228840</v>
      </c>
      <c r="DO9" s="224">
        <v>229010</v>
      </c>
      <c r="DP9" s="225">
        <f t="shared" si="76"/>
        <v>170</v>
      </c>
      <c r="DQ9" s="238">
        <f t="shared" si="77"/>
        <v>-10</v>
      </c>
      <c r="DR9" s="239">
        <f>(DP9/'Finance Only'!B12)*100</f>
        <v>0.75579069043702485</v>
      </c>
      <c r="DS9" s="224">
        <f t="shared" si="78"/>
        <v>63316</v>
      </c>
      <c r="DT9" s="224">
        <v>63454</v>
      </c>
      <c r="DU9" s="225">
        <f t="shared" si="79"/>
        <v>138</v>
      </c>
      <c r="DV9" s="238">
        <f t="shared" si="80"/>
        <v>16</v>
      </c>
      <c r="DW9" s="239">
        <f>(DU9/'Finance Only'!B12)*100</f>
        <v>0.61352420753123194</v>
      </c>
      <c r="DX9" s="224">
        <f t="shared" si="81"/>
        <v>425700</v>
      </c>
      <c r="DY9" s="224">
        <v>426290</v>
      </c>
      <c r="DZ9" s="225">
        <f t="shared" si="82"/>
        <v>590</v>
      </c>
      <c r="EA9" s="238">
        <f t="shared" si="83"/>
        <v>-20</v>
      </c>
      <c r="EB9" s="239">
        <f>(DZ9/'Finance Only'!B12)*100</f>
        <v>2.6230382785755566</v>
      </c>
      <c r="EC9" s="224">
        <f t="shared" si="84"/>
        <v>134390</v>
      </c>
      <c r="ED9" s="224">
        <v>134600</v>
      </c>
      <c r="EE9" s="225">
        <f t="shared" si="85"/>
        <v>210</v>
      </c>
      <c r="EF9" s="238">
        <f t="shared" si="86"/>
        <v>0</v>
      </c>
      <c r="EG9" s="239">
        <f>(EE9/'Finance Only'!B12)*100</f>
        <v>0.93362379406926599</v>
      </c>
      <c r="EH9" s="224">
        <f t="shared" si="87"/>
        <v>129910</v>
      </c>
      <c r="EI9" s="224">
        <v>130230</v>
      </c>
      <c r="EJ9" s="225">
        <f t="shared" si="88"/>
        <v>320</v>
      </c>
      <c r="EK9" s="238">
        <f t="shared" si="89"/>
        <v>-80</v>
      </c>
      <c r="EL9" s="239">
        <f>(EJ9/'Finance Only'!B12)*100</f>
        <v>1.4226648290579291</v>
      </c>
      <c r="EM9" s="224">
        <f t="shared" si="90"/>
        <v>245600</v>
      </c>
      <c r="EN9" s="224">
        <v>246130</v>
      </c>
      <c r="EO9" s="225">
        <f t="shared" si="91"/>
        <v>530</v>
      </c>
      <c r="EP9" s="238">
        <f t="shared" si="92"/>
        <v>-120</v>
      </c>
      <c r="EQ9" s="239">
        <f>(EO9/'Finance Only'!B12)*100</f>
        <v>2.3562886231271953</v>
      </c>
      <c r="ER9" s="224">
        <f t="shared" si="93"/>
        <v>0</v>
      </c>
      <c r="ES9" s="224"/>
      <c r="ET9" s="225">
        <f t="shared" si="94"/>
        <v>0</v>
      </c>
      <c r="EU9" s="238">
        <f t="shared" si="95"/>
        <v>0</v>
      </c>
      <c r="EV9" s="239">
        <f>(ET9/'Finance Only'!B12)*100</f>
        <v>0</v>
      </c>
      <c r="EW9" s="224">
        <f t="shared" si="96"/>
        <v>168070</v>
      </c>
      <c r="EX9" s="224">
        <v>176660</v>
      </c>
      <c r="EY9" s="225">
        <f t="shared" si="97"/>
        <v>8590</v>
      </c>
      <c r="EZ9" s="238">
        <f t="shared" si="98"/>
        <v>1680</v>
      </c>
      <c r="FA9" s="239">
        <f>(EY9/'Finance Only'!G12)*100</f>
        <v>337.12715855572998</v>
      </c>
      <c r="FB9" s="224">
        <f t="shared" si="99"/>
        <v>48793</v>
      </c>
      <c r="FC9" s="224">
        <v>49159</v>
      </c>
      <c r="FD9" s="225">
        <f t="shared" si="100"/>
        <v>366</v>
      </c>
      <c r="FE9" s="238">
        <f t="shared" si="101"/>
        <v>79</v>
      </c>
      <c r="FF9" s="239" t="e">
        <f>(FD9/'Finance Only'!M12)*100</f>
        <v>#DIV/0!</v>
      </c>
      <c r="FG9" s="289"/>
      <c r="FH9" s="295">
        <f t="shared" si="0"/>
        <v>5412</v>
      </c>
      <c r="FI9" s="292"/>
      <c r="FJ9" s="295">
        <f t="shared" si="1"/>
        <v>5859</v>
      </c>
      <c r="FK9" s="292"/>
      <c r="FL9" s="295">
        <f t="shared" si="2"/>
        <v>1830</v>
      </c>
      <c r="FM9" s="292"/>
      <c r="FN9" s="295">
        <f t="shared" si="3"/>
        <v>2006</v>
      </c>
      <c r="FO9" s="292"/>
      <c r="FP9" s="295">
        <f t="shared" si="4"/>
        <v>1530</v>
      </c>
      <c r="FQ9" s="292"/>
      <c r="FR9" s="295">
        <f t="shared" si="5"/>
        <v>8956</v>
      </c>
      <c r="FS9" s="292"/>
    </row>
    <row r="10" spans="1:175" s="3" customFormat="1" ht="13.5" customHeight="1" x14ac:dyDescent="0.2">
      <c r="A10" s="280">
        <v>6</v>
      </c>
      <c r="B10" s="283">
        <f>'Finance Only'!G13</f>
        <v>6770</v>
      </c>
      <c r="C10" s="278">
        <f t="shared" si="6"/>
        <v>25948115</v>
      </c>
      <c r="D10" s="222">
        <v>25950456</v>
      </c>
      <c r="E10" s="223">
        <f t="shared" si="7"/>
        <v>2341</v>
      </c>
      <c r="F10" s="234">
        <f t="shared" si="8"/>
        <v>258</v>
      </c>
      <c r="G10" s="235">
        <f>(E10/'Finance Only'!B13)*100</f>
        <v>9.8976830711990527</v>
      </c>
      <c r="H10" s="246">
        <f t="shared" si="9"/>
        <v>23293867</v>
      </c>
      <c r="I10" s="222">
        <v>23297898</v>
      </c>
      <c r="J10" s="222">
        <f t="shared" si="10"/>
        <v>4031</v>
      </c>
      <c r="K10" s="247">
        <f t="shared" si="11"/>
        <v>702</v>
      </c>
      <c r="L10" s="248">
        <f>(J10/'Finance Only'!B13)*100</f>
        <v>17.042956198207339</v>
      </c>
      <c r="M10" s="230">
        <f t="shared" si="12"/>
        <v>87614422</v>
      </c>
      <c r="N10" s="224">
        <v>87627366</v>
      </c>
      <c r="O10" s="225">
        <f t="shared" si="13"/>
        <v>12944</v>
      </c>
      <c r="P10" s="238">
        <f t="shared" si="14"/>
        <v>411</v>
      </c>
      <c r="Q10" s="239">
        <f>(O10/'Finance Only'!B13)*100</f>
        <v>54.726872991713172</v>
      </c>
      <c r="R10" s="229">
        <f t="shared" si="15"/>
        <v>2279300</v>
      </c>
      <c r="S10" s="224">
        <v>2280900</v>
      </c>
      <c r="T10" s="225">
        <f t="shared" si="16"/>
        <v>1600</v>
      </c>
      <c r="U10" s="238">
        <f t="shared" si="17"/>
        <v>0</v>
      </c>
      <c r="V10" s="239">
        <f>(T10/'Finance Only'!B13)*100</f>
        <v>6.7647556232031114</v>
      </c>
      <c r="W10" s="224">
        <f t="shared" si="18"/>
        <v>3092314</v>
      </c>
      <c r="X10" s="224">
        <v>3095060</v>
      </c>
      <c r="Y10" s="225">
        <f t="shared" si="19"/>
        <v>2746</v>
      </c>
      <c r="Z10" s="238">
        <f t="shared" si="20"/>
        <v>137</v>
      </c>
      <c r="AA10" s="239">
        <f>(Y10/'Finance Only'!B13)*100</f>
        <v>11.61001183832234</v>
      </c>
      <c r="AB10" s="224">
        <f t="shared" si="21"/>
        <v>1900000</v>
      </c>
      <c r="AC10" s="224">
        <v>1901500</v>
      </c>
      <c r="AD10" s="225">
        <f t="shared" si="22"/>
        <v>1500</v>
      </c>
      <c r="AE10" s="238">
        <f t="shared" si="23"/>
        <v>100</v>
      </c>
      <c r="AF10" s="239">
        <f>(AD10/'Finance Only'!B13)*100</f>
        <v>6.3419583967529167</v>
      </c>
      <c r="AG10" s="224">
        <f t="shared" si="24"/>
        <v>838402</v>
      </c>
      <c r="AH10" s="224">
        <v>839211</v>
      </c>
      <c r="AI10" s="225">
        <f t="shared" si="25"/>
        <v>809</v>
      </c>
      <c r="AJ10" s="238">
        <f t="shared" si="26"/>
        <v>6</v>
      </c>
      <c r="AK10" s="239">
        <f>(AI10/'Finance Only'!B13)*100</f>
        <v>3.4204295619820733</v>
      </c>
      <c r="AL10" s="224">
        <f t="shared" si="27"/>
        <v>859930</v>
      </c>
      <c r="AM10" s="224">
        <v>860530</v>
      </c>
      <c r="AN10" s="225">
        <f t="shared" si="28"/>
        <v>600</v>
      </c>
      <c r="AO10" s="238">
        <f t="shared" si="29"/>
        <v>70</v>
      </c>
      <c r="AP10" s="239">
        <f>(AN10/'Finance Only'!B13)*100</f>
        <v>2.5367833587011668</v>
      </c>
      <c r="AQ10" s="224">
        <f t="shared" si="30"/>
        <v>1926900</v>
      </c>
      <c r="AR10" s="224">
        <v>1927600</v>
      </c>
      <c r="AS10" s="225">
        <f t="shared" si="31"/>
        <v>700</v>
      </c>
      <c r="AT10" s="238">
        <f t="shared" si="32"/>
        <v>-600</v>
      </c>
      <c r="AU10" s="239">
        <f>(AS10/'Finance Only'!B13)*100</f>
        <v>2.959580585151361</v>
      </c>
      <c r="AV10" s="224">
        <f t="shared" si="33"/>
        <v>559002</v>
      </c>
      <c r="AW10" s="224">
        <v>559381</v>
      </c>
      <c r="AX10" s="225">
        <f t="shared" si="34"/>
        <v>379</v>
      </c>
      <c r="AY10" s="238">
        <f t="shared" si="35"/>
        <v>3</v>
      </c>
      <c r="AZ10" s="239">
        <f>(AX10/'Finance Only'!B13)*100</f>
        <v>1.602401488246237</v>
      </c>
      <c r="BA10" s="224">
        <f t="shared" si="36"/>
        <v>773330</v>
      </c>
      <c r="BB10" s="224">
        <v>774290</v>
      </c>
      <c r="BC10" s="225">
        <f t="shared" si="37"/>
        <v>960</v>
      </c>
      <c r="BD10" s="238">
        <f t="shared" si="38"/>
        <v>0</v>
      </c>
      <c r="BE10" s="239">
        <f>(BC10/'Finance Only'!B13)*100</f>
        <v>4.0588533739218668</v>
      </c>
      <c r="BF10" s="224">
        <f t="shared" si="39"/>
        <v>867360</v>
      </c>
      <c r="BG10" s="224">
        <v>868090</v>
      </c>
      <c r="BH10" s="225">
        <f t="shared" si="40"/>
        <v>730</v>
      </c>
      <c r="BI10" s="238">
        <f t="shared" si="41"/>
        <v>60</v>
      </c>
      <c r="BJ10" s="239">
        <f>(BH10/'Finance Only'!B13)*100</f>
        <v>3.0864197530864197</v>
      </c>
      <c r="BK10" s="224">
        <f t="shared" si="42"/>
        <v>1356200</v>
      </c>
      <c r="BL10" s="224">
        <v>1357500</v>
      </c>
      <c r="BM10" s="225">
        <f t="shared" si="43"/>
        <v>1300</v>
      </c>
      <c r="BN10" s="238">
        <f t="shared" si="44"/>
        <v>-100</v>
      </c>
      <c r="BO10" s="239">
        <f>(BM10/'Finance Only'!B13)*100</f>
        <v>5.4963639438525282</v>
      </c>
      <c r="BP10" s="224">
        <f t="shared" si="45"/>
        <v>82912</v>
      </c>
      <c r="BQ10" s="224">
        <v>83067</v>
      </c>
      <c r="BR10" s="225">
        <f t="shared" si="46"/>
        <v>155</v>
      </c>
      <c r="BS10" s="238">
        <f t="shared" si="47"/>
        <v>25</v>
      </c>
      <c r="BT10" s="239">
        <f>(BR10/'Finance Only'!B13)*100</f>
        <v>0.65533570099780136</v>
      </c>
      <c r="BU10" s="224">
        <f t="shared" si="48"/>
        <v>420630</v>
      </c>
      <c r="BV10" s="224">
        <v>421060</v>
      </c>
      <c r="BW10" s="225">
        <f t="shared" si="49"/>
        <v>430</v>
      </c>
      <c r="BX10" s="238">
        <f t="shared" si="50"/>
        <v>10</v>
      </c>
      <c r="BY10" s="239">
        <f>(BW10/'Finance Only'!B13)*100</f>
        <v>1.8180280737358361</v>
      </c>
      <c r="BZ10" s="224">
        <f t="shared" si="51"/>
        <v>650460</v>
      </c>
      <c r="CA10" s="224">
        <v>651660</v>
      </c>
      <c r="CB10" s="225">
        <f t="shared" si="52"/>
        <v>1200</v>
      </c>
      <c r="CC10" s="238">
        <f t="shared" si="53"/>
        <v>50</v>
      </c>
      <c r="CD10" s="239">
        <f>(CB10/'Finance Only'!B13)*100</f>
        <v>5.0735667174023336</v>
      </c>
      <c r="CE10" s="224">
        <f t="shared" si="54"/>
        <v>196830</v>
      </c>
      <c r="CF10" s="224">
        <v>197210</v>
      </c>
      <c r="CG10" s="225">
        <f t="shared" si="55"/>
        <v>380</v>
      </c>
      <c r="CH10" s="238">
        <f t="shared" si="56"/>
        <v>30</v>
      </c>
      <c r="CI10" s="239">
        <f>(CG10/'Finance Only'!B13)*100</f>
        <v>1.606629460510739</v>
      </c>
      <c r="CJ10" s="225">
        <f t="shared" si="57"/>
        <v>448070</v>
      </c>
      <c r="CK10" s="225">
        <v>448820</v>
      </c>
      <c r="CL10" s="225">
        <f t="shared" si="58"/>
        <v>750</v>
      </c>
      <c r="CM10" s="238">
        <f t="shared" si="59"/>
        <v>140</v>
      </c>
      <c r="CN10" s="239">
        <f>(CL10/'Finance Only'!B13)*100</f>
        <v>3.1709791983764584</v>
      </c>
      <c r="CO10" s="224">
        <f t="shared" si="60"/>
        <v>362060</v>
      </c>
      <c r="CP10" s="224">
        <v>362810</v>
      </c>
      <c r="CQ10" s="226">
        <f t="shared" si="61"/>
        <v>750</v>
      </c>
      <c r="CR10" s="238">
        <f t="shared" si="62"/>
        <v>70</v>
      </c>
      <c r="CS10" s="239">
        <f>(CQ10/'Finance Only'!B13)*100</f>
        <v>3.1709791983764584</v>
      </c>
      <c r="CT10" s="224">
        <f t="shared" si="63"/>
        <v>308170</v>
      </c>
      <c r="CU10" s="224">
        <v>308650</v>
      </c>
      <c r="CV10" s="225">
        <f t="shared" si="64"/>
        <v>480</v>
      </c>
      <c r="CW10" s="238">
        <f t="shared" si="65"/>
        <v>90</v>
      </c>
      <c r="CX10" s="239">
        <f>(CV10/'Finance Only'!B13)*100</f>
        <v>2.0294266869609334</v>
      </c>
      <c r="CY10" s="224">
        <f t="shared" si="66"/>
        <v>527450</v>
      </c>
      <c r="CZ10" s="224">
        <v>528730</v>
      </c>
      <c r="DA10" s="225">
        <f t="shared" si="67"/>
        <v>1280</v>
      </c>
      <c r="DB10" s="238">
        <f t="shared" si="68"/>
        <v>280</v>
      </c>
      <c r="DC10" s="239">
        <f>(DA10/'Finance Only'!B13)*100</f>
        <v>5.4118044985624891</v>
      </c>
      <c r="DD10" s="224">
        <f t="shared" si="69"/>
        <v>397180</v>
      </c>
      <c r="DE10" s="224">
        <v>398040</v>
      </c>
      <c r="DF10" s="225">
        <f t="shared" si="70"/>
        <v>860</v>
      </c>
      <c r="DG10" s="238">
        <f t="shared" si="71"/>
        <v>110</v>
      </c>
      <c r="DH10" s="239">
        <f>(DF10/'Finance Only'!B13)*100</f>
        <v>3.6360561474716722</v>
      </c>
      <c r="DI10" s="224">
        <f t="shared" si="72"/>
        <v>364830</v>
      </c>
      <c r="DJ10" s="224">
        <v>365480</v>
      </c>
      <c r="DK10" s="225">
        <f t="shared" si="73"/>
        <v>650</v>
      </c>
      <c r="DL10" s="238">
        <f t="shared" si="74"/>
        <v>140</v>
      </c>
      <c r="DM10" s="239">
        <f>(DK10/'Finance Only'!B13)*100</f>
        <v>2.7481819719262641</v>
      </c>
      <c r="DN10" s="224">
        <f t="shared" si="75"/>
        <v>229010</v>
      </c>
      <c r="DO10" s="224">
        <v>229200</v>
      </c>
      <c r="DP10" s="225">
        <f t="shared" si="76"/>
        <v>190</v>
      </c>
      <c r="DQ10" s="238">
        <f t="shared" si="77"/>
        <v>20</v>
      </c>
      <c r="DR10" s="239">
        <f>(DP10/'Finance Only'!B13)*100</f>
        <v>0.80331473025536948</v>
      </c>
      <c r="DS10" s="224">
        <f t="shared" si="78"/>
        <v>63454</v>
      </c>
      <c r="DT10" s="224">
        <v>63592</v>
      </c>
      <c r="DU10" s="225">
        <f t="shared" si="79"/>
        <v>138</v>
      </c>
      <c r="DV10" s="238">
        <f t="shared" si="80"/>
        <v>0</v>
      </c>
      <c r="DW10" s="239">
        <f>(DU10/'Finance Only'!B13)*100</f>
        <v>0.58346017250126836</v>
      </c>
      <c r="DX10" s="224">
        <f t="shared" si="81"/>
        <v>426290</v>
      </c>
      <c r="DY10" s="224">
        <v>426900</v>
      </c>
      <c r="DZ10" s="225">
        <f t="shared" si="82"/>
        <v>610</v>
      </c>
      <c r="EA10" s="238">
        <f t="shared" si="83"/>
        <v>20</v>
      </c>
      <c r="EB10" s="239">
        <f>(DZ10/'Finance Only'!B13)*100</f>
        <v>2.5790630813461863</v>
      </c>
      <c r="EC10" s="224">
        <f t="shared" si="84"/>
        <v>134600</v>
      </c>
      <c r="ED10" s="224">
        <v>134830</v>
      </c>
      <c r="EE10" s="225">
        <f t="shared" si="85"/>
        <v>230</v>
      </c>
      <c r="EF10" s="238">
        <f t="shared" si="86"/>
        <v>20</v>
      </c>
      <c r="EG10" s="239">
        <f>(EE10/'Finance Only'!B13)*100</f>
        <v>0.97243362083544727</v>
      </c>
      <c r="EH10" s="224">
        <f t="shared" si="87"/>
        <v>130230</v>
      </c>
      <c r="EI10" s="224">
        <v>130530</v>
      </c>
      <c r="EJ10" s="225">
        <f t="shared" si="88"/>
        <v>300</v>
      </c>
      <c r="EK10" s="238">
        <f t="shared" si="89"/>
        <v>-20</v>
      </c>
      <c r="EL10" s="239">
        <f>(EJ10/'Finance Only'!B13)*100</f>
        <v>1.2683916793505834</v>
      </c>
      <c r="EM10" s="224">
        <f t="shared" si="90"/>
        <v>246130</v>
      </c>
      <c r="EN10" s="224">
        <v>246610</v>
      </c>
      <c r="EO10" s="225">
        <f t="shared" si="91"/>
        <v>480</v>
      </c>
      <c r="EP10" s="238">
        <f t="shared" si="92"/>
        <v>-50</v>
      </c>
      <c r="EQ10" s="239">
        <f>(EO10/'Finance Only'!B13)*100</f>
        <v>2.0294266869609334</v>
      </c>
      <c r="ER10" s="224">
        <f t="shared" si="93"/>
        <v>0</v>
      </c>
      <c r="ES10" s="224"/>
      <c r="ET10" s="225">
        <f t="shared" si="94"/>
        <v>0</v>
      </c>
      <c r="EU10" s="238">
        <f t="shared" si="95"/>
        <v>0</v>
      </c>
      <c r="EV10" s="239">
        <f>(ET10/'Finance Only'!B13)*100</f>
        <v>0</v>
      </c>
      <c r="EW10" s="224">
        <f t="shared" si="96"/>
        <v>176660</v>
      </c>
      <c r="EX10" s="224">
        <v>184250</v>
      </c>
      <c r="EY10" s="225">
        <f t="shared" si="97"/>
        <v>7590</v>
      </c>
      <c r="EZ10" s="238">
        <f t="shared" si="98"/>
        <v>-1000</v>
      </c>
      <c r="FA10" s="239">
        <f>(EY10/'Finance Only'!G13)*100</f>
        <v>112.1122599704579</v>
      </c>
      <c r="FB10" s="224">
        <f t="shared" si="99"/>
        <v>49159</v>
      </c>
      <c r="FC10" s="224">
        <v>49519</v>
      </c>
      <c r="FD10" s="225">
        <f t="shared" si="100"/>
        <v>360</v>
      </c>
      <c r="FE10" s="238">
        <f t="shared" si="101"/>
        <v>-6</v>
      </c>
      <c r="FF10" s="239" t="e">
        <f>(FD10/'Finance Only'!M13)*100</f>
        <v>#DIV/0!</v>
      </c>
      <c r="FG10" s="289"/>
      <c r="FH10" s="295">
        <f t="shared" si="0"/>
        <v>6372</v>
      </c>
      <c r="FI10" s="292"/>
      <c r="FJ10" s="295">
        <f t="shared" si="1"/>
        <v>5966</v>
      </c>
      <c r="FK10" s="292"/>
      <c r="FL10" s="295">
        <f t="shared" si="2"/>
        <v>1300</v>
      </c>
      <c r="FM10" s="292"/>
      <c r="FN10" s="295">
        <f t="shared" si="3"/>
        <v>2069</v>
      </c>
      <c r="FO10" s="292"/>
      <c r="FP10" s="295">
        <f t="shared" si="4"/>
        <v>1455</v>
      </c>
      <c r="FQ10" s="292"/>
      <c r="FR10" s="295">
        <f t="shared" si="5"/>
        <v>7950</v>
      </c>
      <c r="FS10" s="292"/>
    </row>
    <row r="11" spans="1:175" s="3" customFormat="1" ht="13.5" customHeight="1" x14ac:dyDescent="0.2">
      <c r="A11" s="280">
        <v>7</v>
      </c>
      <c r="B11" s="283">
        <f>'Finance Only'!G14</f>
        <v>2259</v>
      </c>
      <c r="C11" s="278">
        <f t="shared" si="6"/>
        <v>25950456</v>
      </c>
      <c r="D11" s="222">
        <v>25952811</v>
      </c>
      <c r="E11" s="223">
        <f t="shared" si="7"/>
        <v>2355</v>
      </c>
      <c r="F11" s="234">
        <f t="shared" si="8"/>
        <v>14</v>
      </c>
      <c r="G11" s="235">
        <f>(E11/'Finance Only'!B14)*100</f>
        <v>9.8116823598033509</v>
      </c>
      <c r="H11" s="246">
        <f t="shared" si="9"/>
        <v>23297898</v>
      </c>
      <c r="I11" s="222">
        <v>23301942</v>
      </c>
      <c r="J11" s="222">
        <f t="shared" si="10"/>
        <v>4044</v>
      </c>
      <c r="K11" s="247">
        <f t="shared" si="11"/>
        <v>13</v>
      </c>
      <c r="L11" s="248">
        <f>(J11/'Finance Only'!B14)*100</f>
        <v>16.848595950337472</v>
      </c>
      <c r="M11" s="230">
        <f t="shared" si="12"/>
        <v>87627366</v>
      </c>
      <c r="N11" s="224">
        <v>87640072</v>
      </c>
      <c r="O11" s="225">
        <f t="shared" si="13"/>
        <v>12706</v>
      </c>
      <c r="P11" s="238">
        <f t="shared" si="14"/>
        <v>-238</v>
      </c>
      <c r="Q11" s="239">
        <f>(O11/'Finance Only'!B14)*100</f>
        <v>52.93725522873094</v>
      </c>
      <c r="R11" s="229">
        <f t="shared" si="15"/>
        <v>2280900</v>
      </c>
      <c r="S11" s="224">
        <v>2282500</v>
      </c>
      <c r="T11" s="225">
        <f t="shared" si="16"/>
        <v>1600</v>
      </c>
      <c r="U11" s="238">
        <f t="shared" si="17"/>
        <v>0</v>
      </c>
      <c r="V11" s="239">
        <f>(T11/'Finance Only'!B14)*100</f>
        <v>6.6661111574035496</v>
      </c>
      <c r="W11" s="224">
        <f t="shared" si="18"/>
        <v>3095060</v>
      </c>
      <c r="X11" s="224">
        <v>3097771</v>
      </c>
      <c r="Y11" s="225">
        <f t="shared" si="19"/>
        <v>2711</v>
      </c>
      <c r="Z11" s="238">
        <f t="shared" si="20"/>
        <v>-35</v>
      </c>
      <c r="AA11" s="239">
        <f>(Y11/'Finance Only'!B14)*100</f>
        <v>11.29489209232564</v>
      </c>
      <c r="AB11" s="224">
        <f t="shared" si="21"/>
        <v>1901500</v>
      </c>
      <c r="AC11" s="224">
        <v>1903000</v>
      </c>
      <c r="AD11" s="225">
        <f t="shared" si="22"/>
        <v>1500</v>
      </c>
      <c r="AE11" s="238">
        <f t="shared" si="23"/>
        <v>0</v>
      </c>
      <c r="AF11" s="239">
        <f>(AD11/'Finance Only'!B14)*100</f>
        <v>6.2494792100658278</v>
      </c>
      <c r="AG11" s="224">
        <f t="shared" si="24"/>
        <v>839211</v>
      </c>
      <c r="AH11" s="224">
        <v>839898</v>
      </c>
      <c r="AI11" s="225">
        <f t="shared" si="25"/>
        <v>687</v>
      </c>
      <c r="AJ11" s="238">
        <f t="shared" si="26"/>
        <v>-122</v>
      </c>
      <c r="AK11" s="239">
        <f>(AI11/'Finance Only'!B14)*100</f>
        <v>2.8622614782101494</v>
      </c>
      <c r="AL11" s="224">
        <f t="shared" si="27"/>
        <v>860530</v>
      </c>
      <c r="AM11" s="224">
        <v>861090</v>
      </c>
      <c r="AN11" s="225">
        <f t="shared" si="28"/>
        <v>560</v>
      </c>
      <c r="AO11" s="238">
        <f t="shared" si="29"/>
        <v>-40</v>
      </c>
      <c r="AP11" s="239">
        <f>(AN11/'Finance Only'!B14)*100</f>
        <v>2.3331389050912423</v>
      </c>
      <c r="AQ11" s="224">
        <f t="shared" si="30"/>
        <v>1927600</v>
      </c>
      <c r="AR11" s="224">
        <v>1929100</v>
      </c>
      <c r="AS11" s="225">
        <f t="shared" si="31"/>
        <v>1500</v>
      </c>
      <c r="AT11" s="238">
        <f t="shared" si="32"/>
        <v>800</v>
      </c>
      <c r="AU11" s="239">
        <f>(AS11/'Finance Only'!B14)*100</f>
        <v>6.2494792100658278</v>
      </c>
      <c r="AV11" s="224">
        <f t="shared" si="33"/>
        <v>559381</v>
      </c>
      <c r="AW11" s="224">
        <v>559774</v>
      </c>
      <c r="AX11" s="225">
        <f t="shared" si="34"/>
        <v>393</v>
      </c>
      <c r="AY11" s="238">
        <f t="shared" si="35"/>
        <v>14</v>
      </c>
      <c r="AZ11" s="239">
        <f>(AX11/'Finance Only'!B14)*100</f>
        <v>1.637363553037247</v>
      </c>
      <c r="BA11" s="224">
        <f t="shared" si="36"/>
        <v>774290</v>
      </c>
      <c r="BB11" s="224">
        <v>775210</v>
      </c>
      <c r="BC11" s="225">
        <f t="shared" si="37"/>
        <v>920</v>
      </c>
      <c r="BD11" s="238">
        <f t="shared" si="38"/>
        <v>-40</v>
      </c>
      <c r="BE11" s="239">
        <f>(BC11/'Finance Only'!B14)*100</f>
        <v>3.8330139155070415</v>
      </c>
      <c r="BF11" s="224">
        <f t="shared" si="39"/>
        <v>868090</v>
      </c>
      <c r="BG11" s="224">
        <v>868860</v>
      </c>
      <c r="BH11" s="225">
        <f t="shared" si="40"/>
        <v>770</v>
      </c>
      <c r="BI11" s="238">
        <f t="shared" si="41"/>
        <v>40</v>
      </c>
      <c r="BJ11" s="239">
        <f>(BH11/'Finance Only'!B14)*100</f>
        <v>3.2080659945004584</v>
      </c>
      <c r="BK11" s="224">
        <f t="shared" si="42"/>
        <v>1357500</v>
      </c>
      <c r="BL11" s="224">
        <v>1358700</v>
      </c>
      <c r="BM11" s="225">
        <f t="shared" si="43"/>
        <v>1200</v>
      </c>
      <c r="BN11" s="238">
        <f t="shared" si="44"/>
        <v>-100</v>
      </c>
      <c r="BO11" s="239">
        <f>(BM11/'Finance Only'!B14)*100</f>
        <v>4.9995833680526625</v>
      </c>
      <c r="BP11" s="224">
        <f t="shared" si="45"/>
        <v>83067</v>
      </c>
      <c r="BQ11" s="224">
        <v>83187</v>
      </c>
      <c r="BR11" s="225">
        <f t="shared" si="46"/>
        <v>120</v>
      </c>
      <c r="BS11" s="238">
        <f t="shared" si="47"/>
        <v>-35</v>
      </c>
      <c r="BT11" s="239">
        <f>(BR11/'Finance Only'!B14)*100</f>
        <v>0.49995833680526625</v>
      </c>
      <c r="BU11" s="224">
        <f t="shared" si="48"/>
        <v>421060</v>
      </c>
      <c r="BV11" s="224">
        <v>421520</v>
      </c>
      <c r="BW11" s="225">
        <f t="shared" si="49"/>
        <v>460</v>
      </c>
      <c r="BX11" s="238">
        <f t="shared" si="50"/>
        <v>30</v>
      </c>
      <c r="BY11" s="239">
        <f>(BW11/'Finance Only'!B14)*100</f>
        <v>1.9165069577535208</v>
      </c>
      <c r="BZ11" s="224">
        <f t="shared" si="51"/>
        <v>651660</v>
      </c>
      <c r="CA11" s="224">
        <v>652870</v>
      </c>
      <c r="CB11" s="225">
        <f t="shared" si="52"/>
        <v>1210</v>
      </c>
      <c r="CC11" s="238">
        <f t="shared" si="53"/>
        <v>10</v>
      </c>
      <c r="CD11" s="239">
        <f>(CB11/'Finance Only'!B14)*100</f>
        <v>5.0412465627864345</v>
      </c>
      <c r="CE11" s="224">
        <f t="shared" si="54"/>
        <v>197210</v>
      </c>
      <c r="CF11" s="224">
        <v>197590</v>
      </c>
      <c r="CG11" s="225">
        <f t="shared" si="55"/>
        <v>380</v>
      </c>
      <c r="CH11" s="238">
        <f t="shared" si="56"/>
        <v>0</v>
      </c>
      <c r="CI11" s="239">
        <f>(CG11/'Finance Only'!B14)*100</f>
        <v>1.5832013998833432</v>
      </c>
      <c r="CJ11" s="225">
        <f t="shared" si="57"/>
        <v>448820</v>
      </c>
      <c r="CK11" s="225">
        <v>449570</v>
      </c>
      <c r="CL11" s="225">
        <f t="shared" si="58"/>
        <v>750</v>
      </c>
      <c r="CM11" s="238">
        <f t="shared" si="59"/>
        <v>0</v>
      </c>
      <c r="CN11" s="239">
        <f>(CL11/'Finance Only'!B14)*100</f>
        <v>3.1247396050329139</v>
      </c>
      <c r="CO11" s="224">
        <f t="shared" si="60"/>
        <v>362810</v>
      </c>
      <c r="CP11" s="224">
        <v>363620</v>
      </c>
      <c r="CQ11" s="226">
        <f t="shared" si="61"/>
        <v>810</v>
      </c>
      <c r="CR11" s="238">
        <f t="shared" si="62"/>
        <v>60</v>
      </c>
      <c r="CS11" s="239">
        <f>(CQ11/'Finance Only'!B14)*100</f>
        <v>3.3747187734355468</v>
      </c>
      <c r="CT11" s="224">
        <f t="shared" si="63"/>
        <v>308650</v>
      </c>
      <c r="CU11" s="224">
        <v>309150</v>
      </c>
      <c r="CV11" s="225">
        <f t="shared" si="64"/>
        <v>500</v>
      </c>
      <c r="CW11" s="238">
        <f t="shared" si="65"/>
        <v>20</v>
      </c>
      <c r="CX11" s="239">
        <f>(CV11/'Finance Only'!B14)*100</f>
        <v>2.083159736688609</v>
      </c>
      <c r="CY11" s="224">
        <f t="shared" si="66"/>
        <v>528730</v>
      </c>
      <c r="CZ11" s="224">
        <v>530020</v>
      </c>
      <c r="DA11" s="225">
        <f t="shared" si="67"/>
        <v>1290</v>
      </c>
      <c r="DB11" s="238">
        <f t="shared" si="68"/>
        <v>10</v>
      </c>
      <c r="DC11" s="239">
        <f>(DA11/'Finance Only'!B14)*100</f>
        <v>5.3745521206566123</v>
      </c>
      <c r="DD11" s="224">
        <f t="shared" si="69"/>
        <v>398040</v>
      </c>
      <c r="DE11" s="224">
        <v>398920</v>
      </c>
      <c r="DF11" s="225">
        <f t="shared" si="70"/>
        <v>880</v>
      </c>
      <c r="DG11" s="238">
        <f t="shared" si="71"/>
        <v>20</v>
      </c>
      <c r="DH11" s="239">
        <f>(DF11/'Finance Only'!B14)*100</f>
        <v>3.6663611365719522</v>
      </c>
      <c r="DI11" s="224">
        <f t="shared" si="72"/>
        <v>365480</v>
      </c>
      <c r="DJ11" s="224">
        <v>366130</v>
      </c>
      <c r="DK11" s="225">
        <f t="shared" si="73"/>
        <v>650</v>
      </c>
      <c r="DL11" s="238">
        <f t="shared" si="74"/>
        <v>0</v>
      </c>
      <c r="DM11" s="239">
        <f>(DK11/'Finance Only'!B14)*100</f>
        <v>2.7081076576951921</v>
      </c>
      <c r="DN11" s="224">
        <f t="shared" si="75"/>
        <v>229200</v>
      </c>
      <c r="DO11" s="224">
        <v>229380</v>
      </c>
      <c r="DP11" s="225">
        <f t="shared" si="76"/>
        <v>180</v>
      </c>
      <c r="DQ11" s="238">
        <f t="shared" si="77"/>
        <v>-10</v>
      </c>
      <c r="DR11" s="239">
        <f>(DP11/'Finance Only'!B14)*100</f>
        <v>0.74993750520789926</v>
      </c>
      <c r="DS11" s="224">
        <f t="shared" si="78"/>
        <v>63592</v>
      </c>
      <c r="DT11" s="224">
        <v>63721</v>
      </c>
      <c r="DU11" s="225">
        <f t="shared" si="79"/>
        <v>129</v>
      </c>
      <c r="DV11" s="238">
        <f t="shared" si="80"/>
        <v>-9</v>
      </c>
      <c r="DW11" s="239">
        <f>(DU11/'Finance Only'!B14)*100</f>
        <v>0.53745521206566116</v>
      </c>
      <c r="DX11" s="224">
        <f t="shared" si="81"/>
        <v>426900</v>
      </c>
      <c r="DY11" s="224">
        <v>427540</v>
      </c>
      <c r="DZ11" s="225">
        <f t="shared" si="82"/>
        <v>640</v>
      </c>
      <c r="EA11" s="238">
        <f t="shared" si="83"/>
        <v>30</v>
      </c>
      <c r="EB11" s="239">
        <f>(DZ11/'Finance Only'!B14)*100</f>
        <v>2.6664444629614201</v>
      </c>
      <c r="EC11" s="224">
        <f t="shared" si="84"/>
        <v>134830</v>
      </c>
      <c r="ED11" s="224">
        <v>135030</v>
      </c>
      <c r="EE11" s="225">
        <f t="shared" si="85"/>
        <v>200</v>
      </c>
      <c r="EF11" s="238">
        <f t="shared" si="86"/>
        <v>-30</v>
      </c>
      <c r="EG11" s="239">
        <f>(EE11/'Finance Only'!B14)*100</f>
        <v>0.83326389467544371</v>
      </c>
      <c r="EH11" s="224">
        <f t="shared" si="87"/>
        <v>130530</v>
      </c>
      <c r="EI11" s="224">
        <v>130880</v>
      </c>
      <c r="EJ11" s="225">
        <f t="shared" si="88"/>
        <v>350</v>
      </c>
      <c r="EK11" s="238">
        <f t="shared" si="89"/>
        <v>50</v>
      </c>
      <c r="EL11" s="239">
        <f>(EJ11/'Finance Only'!B14)*100</f>
        <v>1.4582118156820265</v>
      </c>
      <c r="EM11" s="224">
        <f t="shared" si="90"/>
        <v>246610</v>
      </c>
      <c r="EN11" s="224">
        <v>247130</v>
      </c>
      <c r="EO11" s="225">
        <f t="shared" si="91"/>
        <v>520</v>
      </c>
      <c r="EP11" s="238">
        <f t="shared" si="92"/>
        <v>40</v>
      </c>
      <c r="EQ11" s="239">
        <f>(EO11/'Finance Only'!B14)*100</f>
        <v>2.1664861261561539</v>
      </c>
      <c r="ER11" s="224">
        <f t="shared" si="93"/>
        <v>0</v>
      </c>
      <c r="ES11" s="224"/>
      <c r="ET11" s="225">
        <f t="shared" si="94"/>
        <v>0</v>
      </c>
      <c r="EU11" s="238">
        <f t="shared" si="95"/>
        <v>0</v>
      </c>
      <c r="EV11" s="239">
        <f>(ET11/'Finance Only'!B14)*100</f>
        <v>0</v>
      </c>
      <c r="EW11" s="224">
        <f t="shared" si="96"/>
        <v>184250</v>
      </c>
      <c r="EX11" s="224">
        <v>191560</v>
      </c>
      <c r="EY11" s="225">
        <f t="shared" si="97"/>
        <v>7310</v>
      </c>
      <c r="EZ11" s="238">
        <f t="shared" si="98"/>
        <v>-280</v>
      </c>
      <c r="FA11" s="239">
        <f>(EY11/'Finance Only'!G14)*100</f>
        <v>323.59451084550687</v>
      </c>
      <c r="FB11" s="224">
        <f t="shared" si="99"/>
        <v>49519</v>
      </c>
      <c r="FC11" s="224">
        <v>49848</v>
      </c>
      <c r="FD11" s="225">
        <f t="shared" si="100"/>
        <v>329</v>
      </c>
      <c r="FE11" s="238">
        <f t="shared" si="101"/>
        <v>-31</v>
      </c>
      <c r="FF11" s="239" t="e">
        <f>(FD11/'Finance Only'!M14)*100</f>
        <v>#DIV/0!</v>
      </c>
      <c r="FG11" s="289"/>
      <c r="FH11" s="295">
        <f t="shared" si="0"/>
        <v>6399</v>
      </c>
      <c r="FI11" s="292"/>
      <c r="FJ11" s="295">
        <f t="shared" si="1"/>
        <v>6021</v>
      </c>
      <c r="FK11" s="292"/>
      <c r="FL11" s="295">
        <f t="shared" si="2"/>
        <v>2060</v>
      </c>
      <c r="FM11" s="292"/>
      <c r="FN11" s="295">
        <f t="shared" si="3"/>
        <v>2083</v>
      </c>
      <c r="FO11" s="292"/>
      <c r="FP11" s="295">
        <f t="shared" si="4"/>
        <v>1320</v>
      </c>
      <c r="FQ11" s="292"/>
      <c r="FR11" s="295">
        <f t="shared" si="5"/>
        <v>7639</v>
      </c>
      <c r="FS11" s="292"/>
    </row>
    <row r="12" spans="1:175" s="3" customFormat="1" ht="13.5" customHeight="1" x14ac:dyDescent="0.2">
      <c r="A12" s="280">
        <v>8</v>
      </c>
      <c r="B12" s="283">
        <f>'Finance Only'!G15</f>
        <v>1552</v>
      </c>
      <c r="C12" s="278">
        <f t="shared" si="6"/>
        <v>25952811</v>
      </c>
      <c r="D12" s="222">
        <v>25955283</v>
      </c>
      <c r="E12" s="223">
        <f t="shared" si="7"/>
        <v>2472</v>
      </c>
      <c r="F12" s="234">
        <f t="shared" si="8"/>
        <v>117</v>
      </c>
      <c r="G12" s="235">
        <f>(E12/'Finance Only'!B15)*100</f>
        <v>10.078277886497064</v>
      </c>
      <c r="H12" s="246">
        <f t="shared" si="9"/>
        <v>23301942</v>
      </c>
      <c r="I12" s="222">
        <v>23306432</v>
      </c>
      <c r="J12" s="222">
        <f t="shared" si="10"/>
        <v>4490</v>
      </c>
      <c r="K12" s="247">
        <f t="shared" si="11"/>
        <v>446</v>
      </c>
      <c r="L12" s="248">
        <f>(J12/'Finance Only'!B15)*100</f>
        <v>18.305609915198957</v>
      </c>
      <c r="M12" s="230">
        <f t="shared" si="12"/>
        <v>87640072</v>
      </c>
      <c r="N12" s="224">
        <v>87653086</v>
      </c>
      <c r="O12" s="225">
        <f t="shared" si="13"/>
        <v>13014</v>
      </c>
      <c r="P12" s="238">
        <f t="shared" si="14"/>
        <v>308</v>
      </c>
      <c r="Q12" s="239">
        <f>(O12/'Finance Only'!B15)*100</f>
        <v>53.057729941291583</v>
      </c>
      <c r="R12" s="229">
        <f t="shared" si="15"/>
        <v>2282500</v>
      </c>
      <c r="S12" s="224">
        <v>2284200</v>
      </c>
      <c r="T12" s="225">
        <f t="shared" si="16"/>
        <v>1700</v>
      </c>
      <c r="U12" s="238">
        <f t="shared" si="17"/>
        <v>100</v>
      </c>
      <c r="V12" s="239">
        <f>(T12/'Finance Only'!B15)*100</f>
        <v>6.9308545335942595</v>
      </c>
      <c r="W12" s="224">
        <f t="shared" si="18"/>
        <v>3097771</v>
      </c>
      <c r="X12" s="224">
        <v>3100586</v>
      </c>
      <c r="Y12" s="225">
        <f t="shared" si="19"/>
        <v>2815</v>
      </c>
      <c r="Z12" s="238">
        <f t="shared" si="20"/>
        <v>104</v>
      </c>
      <c r="AA12" s="239">
        <f>(Y12/'Finance Only'!B15)*100</f>
        <v>11.476679712981083</v>
      </c>
      <c r="AB12" s="224">
        <f t="shared" si="21"/>
        <v>1903000</v>
      </c>
      <c r="AC12" s="224">
        <v>1904400</v>
      </c>
      <c r="AD12" s="225">
        <f t="shared" si="22"/>
        <v>1400</v>
      </c>
      <c r="AE12" s="238">
        <f t="shared" si="23"/>
        <v>-100</v>
      </c>
      <c r="AF12" s="239">
        <f>(AD12/'Finance Only'!B15)*100</f>
        <v>5.7077625570776256</v>
      </c>
      <c r="AG12" s="224">
        <f t="shared" si="24"/>
        <v>839898</v>
      </c>
      <c r="AH12" s="224">
        <v>840632</v>
      </c>
      <c r="AI12" s="225">
        <f t="shared" si="25"/>
        <v>734</v>
      </c>
      <c r="AJ12" s="238">
        <f t="shared" si="26"/>
        <v>47</v>
      </c>
      <c r="AK12" s="239">
        <f>(AI12/'Finance Only'!B15)*100</f>
        <v>2.9924983692106979</v>
      </c>
      <c r="AL12" s="224">
        <f t="shared" si="27"/>
        <v>861090</v>
      </c>
      <c r="AM12" s="224">
        <v>861670</v>
      </c>
      <c r="AN12" s="225">
        <f t="shared" si="28"/>
        <v>580</v>
      </c>
      <c r="AO12" s="238">
        <f t="shared" si="29"/>
        <v>20</v>
      </c>
      <c r="AP12" s="239">
        <f>(AN12/'Finance Only'!B15)*100</f>
        <v>2.3646444879321589</v>
      </c>
      <c r="AQ12" s="224">
        <f t="shared" si="30"/>
        <v>1929100</v>
      </c>
      <c r="AR12" s="224">
        <v>1929900</v>
      </c>
      <c r="AS12" s="225">
        <f t="shared" si="31"/>
        <v>800</v>
      </c>
      <c r="AT12" s="238">
        <f t="shared" si="32"/>
        <v>-700</v>
      </c>
      <c r="AU12" s="239">
        <f>(AS12/'Finance Only'!B15)*100</f>
        <v>3.2615786040443573</v>
      </c>
      <c r="AV12" s="224">
        <f t="shared" si="33"/>
        <v>559774</v>
      </c>
      <c r="AW12" s="224">
        <v>560173</v>
      </c>
      <c r="AX12" s="225">
        <f t="shared" si="34"/>
        <v>399</v>
      </c>
      <c r="AY12" s="238">
        <f t="shared" si="35"/>
        <v>6</v>
      </c>
      <c r="AZ12" s="239">
        <f>(AX12/'Finance Only'!B15)*100</f>
        <v>1.6267123287671232</v>
      </c>
      <c r="BA12" s="224">
        <f t="shared" si="36"/>
        <v>775210</v>
      </c>
      <c r="BB12" s="224">
        <v>776200</v>
      </c>
      <c r="BC12" s="225">
        <f t="shared" si="37"/>
        <v>990</v>
      </c>
      <c r="BD12" s="238">
        <f t="shared" si="38"/>
        <v>70</v>
      </c>
      <c r="BE12" s="239">
        <f>(BC12/'Finance Only'!B15)*100</f>
        <v>4.0362035225048922</v>
      </c>
      <c r="BF12" s="224">
        <f t="shared" si="39"/>
        <v>868860</v>
      </c>
      <c r="BG12" s="224">
        <v>869690</v>
      </c>
      <c r="BH12" s="225">
        <f t="shared" si="40"/>
        <v>830</v>
      </c>
      <c r="BI12" s="238">
        <f t="shared" si="41"/>
        <v>60</v>
      </c>
      <c r="BJ12" s="239">
        <f>(BH12/'Finance Only'!B15)*100</f>
        <v>3.3838878016960208</v>
      </c>
      <c r="BK12" s="224">
        <f t="shared" si="42"/>
        <v>1358700</v>
      </c>
      <c r="BL12" s="224">
        <v>1360000</v>
      </c>
      <c r="BM12" s="225">
        <f t="shared" si="43"/>
        <v>1300</v>
      </c>
      <c r="BN12" s="238">
        <f t="shared" si="44"/>
        <v>100</v>
      </c>
      <c r="BO12" s="239">
        <f>(BM12/'Finance Only'!B15)*100</f>
        <v>5.3000652315720806</v>
      </c>
      <c r="BP12" s="224">
        <f t="shared" si="45"/>
        <v>83187</v>
      </c>
      <c r="BQ12" s="224">
        <v>83350</v>
      </c>
      <c r="BR12" s="225">
        <f t="shared" si="46"/>
        <v>163</v>
      </c>
      <c r="BS12" s="238">
        <f t="shared" si="47"/>
        <v>43</v>
      </c>
      <c r="BT12" s="239">
        <f>(BR12/'Finance Only'!B15)*100</f>
        <v>0.66454664057403778</v>
      </c>
      <c r="BU12" s="224">
        <f t="shared" si="48"/>
        <v>421520</v>
      </c>
      <c r="BV12" s="224">
        <v>421930</v>
      </c>
      <c r="BW12" s="225">
        <f t="shared" si="49"/>
        <v>410</v>
      </c>
      <c r="BX12" s="238">
        <f t="shared" si="50"/>
        <v>-50</v>
      </c>
      <c r="BY12" s="239">
        <f>(BW12/'Finance Only'!B15)*100</f>
        <v>1.6715590345727331</v>
      </c>
      <c r="BZ12" s="224">
        <f t="shared" si="51"/>
        <v>652870</v>
      </c>
      <c r="CA12" s="224">
        <v>654080</v>
      </c>
      <c r="CB12" s="225">
        <f t="shared" si="52"/>
        <v>1210</v>
      </c>
      <c r="CC12" s="238">
        <f t="shared" si="53"/>
        <v>0</v>
      </c>
      <c r="CD12" s="239">
        <f>(CB12/'Finance Only'!B15)*100</f>
        <v>4.9331376386170902</v>
      </c>
      <c r="CE12" s="224">
        <f t="shared" si="54"/>
        <v>197590</v>
      </c>
      <c r="CF12" s="224">
        <v>198060</v>
      </c>
      <c r="CG12" s="225">
        <f t="shared" si="55"/>
        <v>470</v>
      </c>
      <c r="CH12" s="238">
        <f t="shared" si="56"/>
        <v>90</v>
      </c>
      <c r="CI12" s="239">
        <f>(CG12/'Finance Only'!B15)*100</f>
        <v>1.9161774298760599</v>
      </c>
      <c r="CJ12" s="225">
        <f t="shared" si="57"/>
        <v>449570</v>
      </c>
      <c r="CK12" s="225">
        <v>450420</v>
      </c>
      <c r="CL12" s="225">
        <f t="shared" si="58"/>
        <v>850</v>
      </c>
      <c r="CM12" s="238">
        <f t="shared" si="59"/>
        <v>100</v>
      </c>
      <c r="CN12" s="239">
        <f>(CL12/'Finance Only'!B15)*100</f>
        <v>3.4654272667971298</v>
      </c>
      <c r="CO12" s="224">
        <f t="shared" si="60"/>
        <v>363620</v>
      </c>
      <c r="CP12" s="224">
        <v>364460</v>
      </c>
      <c r="CQ12" s="226">
        <f t="shared" si="61"/>
        <v>840</v>
      </c>
      <c r="CR12" s="238">
        <f t="shared" si="62"/>
        <v>30</v>
      </c>
      <c r="CS12" s="239">
        <f>(CQ12/'Finance Only'!B15)*100</f>
        <v>3.4246575342465753</v>
      </c>
      <c r="CT12" s="224">
        <f t="shared" si="63"/>
        <v>309150</v>
      </c>
      <c r="CU12" s="224">
        <v>309700</v>
      </c>
      <c r="CV12" s="225">
        <f t="shared" si="64"/>
        <v>550</v>
      </c>
      <c r="CW12" s="238">
        <f t="shared" si="65"/>
        <v>50</v>
      </c>
      <c r="CX12" s="239">
        <f>(CV12/'Finance Only'!B15)*100</f>
        <v>2.2423352902804958</v>
      </c>
      <c r="CY12" s="224">
        <f t="shared" si="66"/>
        <v>530020</v>
      </c>
      <c r="CZ12" s="224">
        <v>531300</v>
      </c>
      <c r="DA12" s="225">
        <f t="shared" si="67"/>
        <v>1280</v>
      </c>
      <c r="DB12" s="238">
        <f t="shared" si="68"/>
        <v>-10</v>
      </c>
      <c r="DC12" s="239">
        <f>(DA12/'Finance Only'!B15)*100</f>
        <v>5.2185257664709717</v>
      </c>
      <c r="DD12" s="224">
        <f t="shared" si="69"/>
        <v>398920</v>
      </c>
      <c r="DE12" s="224">
        <v>400050</v>
      </c>
      <c r="DF12" s="225">
        <f t="shared" si="70"/>
        <v>1130</v>
      </c>
      <c r="DG12" s="238">
        <f t="shared" si="71"/>
        <v>250</v>
      </c>
      <c r="DH12" s="239">
        <f>(DF12/'Finance Only'!B15)*100</f>
        <v>4.6069797782126543</v>
      </c>
      <c r="DI12" s="224">
        <f t="shared" si="72"/>
        <v>366130</v>
      </c>
      <c r="DJ12" s="224">
        <v>366810</v>
      </c>
      <c r="DK12" s="225">
        <f t="shared" si="73"/>
        <v>680</v>
      </c>
      <c r="DL12" s="238">
        <f t="shared" si="74"/>
        <v>30</v>
      </c>
      <c r="DM12" s="239">
        <f>(DK12/'Finance Only'!B15)*100</f>
        <v>2.7723418134377038</v>
      </c>
      <c r="DN12" s="224">
        <f t="shared" si="75"/>
        <v>229380</v>
      </c>
      <c r="DO12" s="224">
        <v>229630</v>
      </c>
      <c r="DP12" s="225">
        <f t="shared" si="76"/>
        <v>250</v>
      </c>
      <c r="DQ12" s="238">
        <f t="shared" si="77"/>
        <v>70</v>
      </c>
      <c r="DR12" s="239">
        <f>(DP12/'Finance Only'!B15)*100</f>
        <v>1.0192433137638617</v>
      </c>
      <c r="DS12" s="224">
        <f t="shared" si="78"/>
        <v>63721</v>
      </c>
      <c r="DT12" s="224">
        <v>63853</v>
      </c>
      <c r="DU12" s="225">
        <f t="shared" si="79"/>
        <v>132</v>
      </c>
      <c r="DV12" s="238">
        <f t="shared" si="80"/>
        <v>3</v>
      </c>
      <c r="DW12" s="239">
        <f>(DU12/'Finance Only'!B15)*100</f>
        <v>0.53816046966731901</v>
      </c>
      <c r="DX12" s="224">
        <f t="shared" si="81"/>
        <v>427540</v>
      </c>
      <c r="DY12" s="224">
        <v>428190</v>
      </c>
      <c r="DZ12" s="225">
        <f t="shared" si="82"/>
        <v>650</v>
      </c>
      <c r="EA12" s="238">
        <f t="shared" si="83"/>
        <v>10</v>
      </c>
      <c r="EB12" s="239">
        <f>(DZ12/'Finance Only'!B15)*100</f>
        <v>2.6500326157860403</v>
      </c>
      <c r="EC12" s="224">
        <f t="shared" si="84"/>
        <v>135030</v>
      </c>
      <c r="ED12" s="224">
        <v>135290</v>
      </c>
      <c r="EE12" s="225">
        <f t="shared" si="85"/>
        <v>260</v>
      </c>
      <c r="EF12" s="238">
        <f t="shared" si="86"/>
        <v>60</v>
      </c>
      <c r="EG12" s="239">
        <f>(EE12/'Finance Only'!B15)*100</f>
        <v>1.0600130463144162</v>
      </c>
      <c r="EH12" s="224">
        <f t="shared" si="87"/>
        <v>130880</v>
      </c>
      <c r="EI12" s="224">
        <v>131190</v>
      </c>
      <c r="EJ12" s="225">
        <f t="shared" si="88"/>
        <v>310</v>
      </c>
      <c r="EK12" s="238">
        <f t="shared" si="89"/>
        <v>-40</v>
      </c>
      <c r="EL12" s="239">
        <f>(EJ12/'Finance Only'!B15)*100</f>
        <v>1.2638617090671884</v>
      </c>
      <c r="EM12" s="224">
        <f t="shared" si="90"/>
        <v>247130</v>
      </c>
      <c r="EN12" s="224">
        <v>247630</v>
      </c>
      <c r="EO12" s="225">
        <f t="shared" si="91"/>
        <v>500</v>
      </c>
      <c r="EP12" s="238">
        <f t="shared" si="92"/>
        <v>-20</v>
      </c>
      <c r="EQ12" s="239">
        <f>(EO12/'Finance Only'!B15)*100</f>
        <v>2.0384866275277234</v>
      </c>
      <c r="ER12" s="224">
        <f t="shared" si="93"/>
        <v>0</v>
      </c>
      <c r="ES12" s="224"/>
      <c r="ET12" s="225">
        <f t="shared" si="94"/>
        <v>0</v>
      </c>
      <c r="EU12" s="238">
        <f t="shared" si="95"/>
        <v>0</v>
      </c>
      <c r="EV12" s="239">
        <f>(ET12/'Finance Only'!B15)*100</f>
        <v>0</v>
      </c>
      <c r="EW12" s="224">
        <f t="shared" si="96"/>
        <v>191560</v>
      </c>
      <c r="EX12" s="224">
        <v>194420</v>
      </c>
      <c r="EY12" s="225">
        <f t="shared" si="97"/>
        <v>2860</v>
      </c>
      <c r="EZ12" s="238">
        <f t="shared" si="98"/>
        <v>-4450</v>
      </c>
      <c r="FA12" s="239">
        <f>(EY12/'Finance Only'!G15)*100</f>
        <v>184.2783505154639</v>
      </c>
      <c r="FB12" s="224">
        <f t="shared" si="99"/>
        <v>49848</v>
      </c>
      <c r="FC12" s="224">
        <v>50390</v>
      </c>
      <c r="FD12" s="225">
        <f t="shared" si="100"/>
        <v>542</v>
      </c>
      <c r="FE12" s="238">
        <f t="shared" si="101"/>
        <v>213</v>
      </c>
      <c r="FF12" s="239" t="e">
        <f>(FD12/'Finance Only'!M15)*100</f>
        <v>#DIV/0!</v>
      </c>
      <c r="FG12" s="289"/>
      <c r="FH12" s="295">
        <f t="shared" si="0"/>
        <v>6962</v>
      </c>
      <c r="FI12" s="292"/>
      <c r="FJ12" s="295">
        <f t="shared" si="1"/>
        <v>6235</v>
      </c>
      <c r="FK12" s="292"/>
      <c r="FL12" s="295">
        <f t="shared" si="2"/>
        <v>1380</v>
      </c>
      <c r="FM12" s="292"/>
      <c r="FN12" s="295">
        <f t="shared" si="3"/>
        <v>2219</v>
      </c>
      <c r="FO12" s="292"/>
      <c r="FP12" s="295">
        <f>SUM(BM12+BR12+ET12)</f>
        <v>1463</v>
      </c>
      <c r="FQ12" s="292"/>
      <c r="FR12" s="295">
        <f>SUM(EY12+FD12)</f>
        <v>3402</v>
      </c>
      <c r="FS12" s="292"/>
    </row>
    <row r="13" spans="1:175" s="3" customFormat="1" ht="13.5" customHeight="1" x14ac:dyDescent="0.2">
      <c r="A13" s="280">
        <v>9</v>
      </c>
      <c r="B13" s="283">
        <f>'Finance Only'!G16</f>
        <v>3348</v>
      </c>
      <c r="C13" s="278">
        <f t="shared" si="6"/>
        <v>25955283</v>
      </c>
      <c r="D13" s="222">
        <v>25957809</v>
      </c>
      <c r="E13" s="223">
        <f t="shared" si="7"/>
        <v>2526</v>
      </c>
      <c r="F13" s="234">
        <f t="shared" si="8"/>
        <v>54</v>
      </c>
      <c r="G13" s="235">
        <f>(E13/'Finance Only'!B16)*100</f>
        <v>9.9448818897637796</v>
      </c>
      <c r="H13" s="246">
        <f t="shared" si="9"/>
        <v>23306432</v>
      </c>
      <c r="I13" s="222">
        <v>23310571</v>
      </c>
      <c r="J13" s="222">
        <f t="shared" si="10"/>
        <v>4139</v>
      </c>
      <c r="K13" s="247">
        <f t="shared" si="11"/>
        <v>-351</v>
      </c>
      <c r="L13" s="248">
        <f>(J13/'Finance Only'!B16)*100</f>
        <v>16.295275590551181</v>
      </c>
      <c r="M13" s="230">
        <f t="shared" si="12"/>
        <v>87653086</v>
      </c>
      <c r="N13" s="224">
        <v>87666478</v>
      </c>
      <c r="O13" s="225">
        <f t="shared" si="13"/>
        <v>13392</v>
      </c>
      <c r="P13" s="238">
        <f t="shared" si="14"/>
        <v>378</v>
      </c>
      <c r="Q13" s="239">
        <f>(O13/'Finance Only'!B16)*100</f>
        <v>52.724409448818896</v>
      </c>
      <c r="R13" s="229">
        <f t="shared" si="15"/>
        <v>2284200</v>
      </c>
      <c r="S13" s="224">
        <v>2285800</v>
      </c>
      <c r="T13" s="225">
        <f t="shared" si="16"/>
        <v>1600</v>
      </c>
      <c r="U13" s="238">
        <f t="shared" si="17"/>
        <v>-100</v>
      </c>
      <c r="V13" s="239">
        <f>(T13/'Finance Only'!B16)*100</f>
        <v>6.2992125984251963</v>
      </c>
      <c r="W13" s="224">
        <f t="shared" si="18"/>
        <v>3100586</v>
      </c>
      <c r="X13" s="224">
        <v>3103380</v>
      </c>
      <c r="Y13" s="225">
        <f t="shared" si="19"/>
        <v>2794</v>
      </c>
      <c r="Z13" s="238">
        <f t="shared" si="20"/>
        <v>-21</v>
      </c>
      <c r="AA13" s="239">
        <f>(Y13/'Finance Only'!B16)*100</f>
        <v>11</v>
      </c>
      <c r="AB13" s="224">
        <f t="shared" si="21"/>
        <v>1904400</v>
      </c>
      <c r="AC13" s="224">
        <v>1906200</v>
      </c>
      <c r="AD13" s="225">
        <f t="shared" si="22"/>
        <v>1800</v>
      </c>
      <c r="AE13" s="238">
        <f t="shared" si="23"/>
        <v>400</v>
      </c>
      <c r="AF13" s="239">
        <f>(AD13/'Finance Only'!B16)*100</f>
        <v>7.0866141732283463</v>
      </c>
      <c r="AG13" s="224">
        <f t="shared" si="24"/>
        <v>840632</v>
      </c>
      <c r="AH13" s="224">
        <v>841439</v>
      </c>
      <c r="AI13" s="225">
        <f t="shared" si="25"/>
        <v>807</v>
      </c>
      <c r="AJ13" s="238">
        <f t="shared" si="26"/>
        <v>73</v>
      </c>
      <c r="AK13" s="239">
        <f>(AI13/'Finance Only'!B16)*100</f>
        <v>3.1771653543307083</v>
      </c>
      <c r="AL13" s="224">
        <f t="shared" si="27"/>
        <v>861670</v>
      </c>
      <c r="AM13" s="224">
        <v>862240</v>
      </c>
      <c r="AN13" s="225">
        <f t="shared" si="28"/>
        <v>570</v>
      </c>
      <c r="AO13" s="238">
        <f t="shared" si="29"/>
        <v>-10</v>
      </c>
      <c r="AP13" s="239">
        <f>(AN13/'Finance Only'!B16)*100</f>
        <v>2.2440944881889764</v>
      </c>
      <c r="AQ13" s="224">
        <f t="shared" si="30"/>
        <v>1929900</v>
      </c>
      <c r="AR13" s="224">
        <v>1931200</v>
      </c>
      <c r="AS13" s="225">
        <f t="shared" si="31"/>
        <v>1300</v>
      </c>
      <c r="AT13" s="238">
        <f t="shared" si="32"/>
        <v>500</v>
      </c>
      <c r="AU13" s="239">
        <f>(AS13/'Finance Only'!B16)*100</f>
        <v>5.1181102362204722</v>
      </c>
      <c r="AV13" s="224">
        <f t="shared" si="33"/>
        <v>560173</v>
      </c>
      <c r="AW13" s="224">
        <v>560593</v>
      </c>
      <c r="AX13" s="225">
        <f t="shared" si="34"/>
        <v>420</v>
      </c>
      <c r="AY13" s="238">
        <f t="shared" si="35"/>
        <v>21</v>
      </c>
      <c r="AZ13" s="239">
        <f>(AX13/'Finance Only'!B16)*100</f>
        <v>1.6535433070866141</v>
      </c>
      <c r="BA13" s="224">
        <f t="shared" si="36"/>
        <v>776200</v>
      </c>
      <c r="BB13" s="224">
        <v>777170</v>
      </c>
      <c r="BC13" s="225">
        <f t="shared" si="37"/>
        <v>970</v>
      </c>
      <c r="BD13" s="238">
        <f t="shared" si="38"/>
        <v>-20</v>
      </c>
      <c r="BE13" s="239">
        <f>(BC13/'Finance Only'!B16)*100</f>
        <v>3.8188976377952759</v>
      </c>
      <c r="BF13" s="224">
        <f t="shared" si="39"/>
        <v>869690</v>
      </c>
      <c r="BG13" s="224">
        <v>870550</v>
      </c>
      <c r="BH13" s="225">
        <f t="shared" si="40"/>
        <v>860</v>
      </c>
      <c r="BI13" s="238">
        <f t="shared" si="41"/>
        <v>30</v>
      </c>
      <c r="BJ13" s="239">
        <f>(BH13/'Finance Only'!B16)*100</f>
        <v>3.3858267716535431</v>
      </c>
      <c r="BK13" s="224">
        <f t="shared" si="42"/>
        <v>1360000</v>
      </c>
      <c r="BL13" s="224">
        <v>1361200</v>
      </c>
      <c r="BM13" s="225">
        <f t="shared" si="43"/>
        <v>1200</v>
      </c>
      <c r="BN13" s="238">
        <f t="shared" si="44"/>
        <v>-100</v>
      </c>
      <c r="BO13" s="239">
        <f>(BM13/'Finance Only'!B16)*100</f>
        <v>4.7244094488188972</v>
      </c>
      <c r="BP13" s="224">
        <f t="shared" si="45"/>
        <v>83350</v>
      </c>
      <c r="BQ13" s="224">
        <v>83519</v>
      </c>
      <c r="BR13" s="225">
        <f t="shared" si="46"/>
        <v>169</v>
      </c>
      <c r="BS13" s="238">
        <f t="shared" si="47"/>
        <v>6</v>
      </c>
      <c r="BT13" s="239">
        <f>(BR13/'Finance Only'!B16)*100</f>
        <v>0.66535433070866146</v>
      </c>
      <c r="BU13" s="224">
        <f t="shared" si="48"/>
        <v>421930</v>
      </c>
      <c r="BV13" s="224">
        <v>422340</v>
      </c>
      <c r="BW13" s="225">
        <f t="shared" si="49"/>
        <v>410</v>
      </c>
      <c r="BX13" s="238">
        <f t="shared" si="50"/>
        <v>0</v>
      </c>
      <c r="BY13" s="239">
        <f>(BW13/'Finance Only'!B16)*100</f>
        <v>1.6141732283464567</v>
      </c>
      <c r="BZ13" s="224">
        <f t="shared" si="51"/>
        <v>654080</v>
      </c>
      <c r="CA13" s="224">
        <v>655290</v>
      </c>
      <c r="CB13" s="225">
        <f t="shared" si="52"/>
        <v>1210</v>
      </c>
      <c r="CC13" s="238">
        <f t="shared" si="53"/>
        <v>0</v>
      </c>
      <c r="CD13" s="239">
        <f>(CB13/'Finance Only'!B16)*100</f>
        <v>4.7637795275590555</v>
      </c>
      <c r="CE13" s="224">
        <f t="shared" si="54"/>
        <v>198060</v>
      </c>
      <c r="CF13" s="224">
        <v>198450</v>
      </c>
      <c r="CG13" s="225">
        <f t="shared" si="55"/>
        <v>390</v>
      </c>
      <c r="CH13" s="238">
        <f t="shared" si="56"/>
        <v>-80</v>
      </c>
      <c r="CI13" s="239">
        <f>(CG13/'Finance Only'!B16)*100</f>
        <v>1.5354330708661417</v>
      </c>
      <c r="CJ13" s="225">
        <f t="shared" si="57"/>
        <v>450420</v>
      </c>
      <c r="CK13" s="225">
        <v>451250</v>
      </c>
      <c r="CL13" s="225">
        <f t="shared" si="58"/>
        <v>830</v>
      </c>
      <c r="CM13" s="238">
        <f t="shared" si="59"/>
        <v>-20</v>
      </c>
      <c r="CN13" s="239">
        <f>(CL13/'Finance Only'!B16)*100</f>
        <v>3.2677165354330713</v>
      </c>
      <c r="CO13" s="224">
        <f t="shared" si="60"/>
        <v>364460</v>
      </c>
      <c r="CP13" s="224">
        <v>365260</v>
      </c>
      <c r="CQ13" s="226">
        <f t="shared" si="61"/>
        <v>800</v>
      </c>
      <c r="CR13" s="238">
        <f t="shared" si="62"/>
        <v>-40</v>
      </c>
      <c r="CS13" s="239">
        <f>(CQ13/'Finance Only'!B16)*100</f>
        <v>3.1496062992125982</v>
      </c>
      <c r="CT13" s="224">
        <f t="shared" si="63"/>
        <v>309700</v>
      </c>
      <c r="CU13" s="224">
        <v>310190</v>
      </c>
      <c r="CV13" s="225">
        <f t="shared" si="64"/>
        <v>490</v>
      </c>
      <c r="CW13" s="238">
        <f t="shared" si="65"/>
        <v>-60</v>
      </c>
      <c r="CX13" s="239">
        <f>(CV13/'Finance Only'!B16)*100</f>
        <v>1.9291338582677164</v>
      </c>
      <c r="CY13" s="224">
        <f t="shared" si="66"/>
        <v>531300</v>
      </c>
      <c r="CZ13" s="224">
        <v>532690</v>
      </c>
      <c r="DA13" s="225">
        <f t="shared" si="67"/>
        <v>1390</v>
      </c>
      <c r="DB13" s="238">
        <f t="shared" si="68"/>
        <v>110</v>
      </c>
      <c r="DC13" s="239">
        <f>(DA13/'Finance Only'!B16)*100</f>
        <v>5.4724409448818898</v>
      </c>
      <c r="DD13" s="224">
        <f t="shared" si="69"/>
        <v>400050</v>
      </c>
      <c r="DE13" s="224">
        <v>401090</v>
      </c>
      <c r="DF13" s="225">
        <f t="shared" si="70"/>
        <v>1040</v>
      </c>
      <c r="DG13" s="238">
        <f t="shared" si="71"/>
        <v>-90</v>
      </c>
      <c r="DH13" s="239">
        <f>(DF13/'Finance Only'!B16)*100</f>
        <v>4.0944881889763778</v>
      </c>
      <c r="DI13" s="224">
        <f t="shared" si="72"/>
        <v>366810</v>
      </c>
      <c r="DJ13" s="224">
        <v>367460</v>
      </c>
      <c r="DK13" s="225">
        <f t="shared" si="73"/>
        <v>650</v>
      </c>
      <c r="DL13" s="238">
        <f t="shared" si="74"/>
        <v>-30</v>
      </c>
      <c r="DM13" s="239">
        <f>(DK13/'Finance Only'!B16)*100</f>
        <v>2.5590551181102361</v>
      </c>
      <c r="DN13" s="224">
        <f t="shared" si="75"/>
        <v>229630</v>
      </c>
      <c r="DO13" s="224">
        <v>229840</v>
      </c>
      <c r="DP13" s="225">
        <f t="shared" si="76"/>
        <v>210</v>
      </c>
      <c r="DQ13" s="238">
        <f t="shared" si="77"/>
        <v>-40</v>
      </c>
      <c r="DR13" s="239">
        <f>(DP13/'Finance Only'!B16)*100</f>
        <v>0.82677165354330706</v>
      </c>
      <c r="DS13" s="224">
        <f t="shared" si="78"/>
        <v>63853</v>
      </c>
      <c r="DT13" s="224">
        <v>63992</v>
      </c>
      <c r="DU13" s="225">
        <f t="shared" si="79"/>
        <v>139</v>
      </c>
      <c r="DV13" s="238">
        <f t="shared" si="80"/>
        <v>7</v>
      </c>
      <c r="DW13" s="239">
        <f>(DU13/'Finance Only'!B16)*100</f>
        <v>0.547244094488189</v>
      </c>
      <c r="DX13" s="224">
        <f t="shared" si="81"/>
        <v>428190</v>
      </c>
      <c r="DY13" s="224">
        <v>428880</v>
      </c>
      <c r="DZ13" s="225">
        <f t="shared" si="82"/>
        <v>690</v>
      </c>
      <c r="EA13" s="238">
        <f t="shared" si="83"/>
        <v>40</v>
      </c>
      <c r="EB13" s="239">
        <f>(DZ13/'Finance Only'!B16)*100</f>
        <v>2.7165354330708662</v>
      </c>
      <c r="EC13" s="224">
        <f t="shared" si="84"/>
        <v>135290</v>
      </c>
      <c r="ED13" s="224">
        <v>135520</v>
      </c>
      <c r="EE13" s="225">
        <f t="shared" si="85"/>
        <v>230</v>
      </c>
      <c r="EF13" s="238">
        <f t="shared" si="86"/>
        <v>-30</v>
      </c>
      <c r="EG13" s="239">
        <f>(EE13/'Finance Only'!B16)*100</f>
        <v>0.90551181102362199</v>
      </c>
      <c r="EH13" s="224">
        <f t="shared" si="87"/>
        <v>131190</v>
      </c>
      <c r="EI13" s="224">
        <v>131440</v>
      </c>
      <c r="EJ13" s="225">
        <f t="shared" si="88"/>
        <v>250</v>
      </c>
      <c r="EK13" s="238">
        <f t="shared" si="89"/>
        <v>-60</v>
      </c>
      <c r="EL13" s="239">
        <f>(EJ13/'Finance Only'!B16)*100</f>
        <v>0.98425196850393704</v>
      </c>
      <c r="EM13" s="224">
        <f t="shared" si="90"/>
        <v>247630</v>
      </c>
      <c r="EN13" s="224">
        <v>248090</v>
      </c>
      <c r="EO13" s="225">
        <f t="shared" si="91"/>
        <v>460</v>
      </c>
      <c r="EP13" s="238">
        <f t="shared" si="92"/>
        <v>-40</v>
      </c>
      <c r="EQ13" s="239">
        <f>(EO13/'Finance Only'!B16)*100</f>
        <v>1.811023622047244</v>
      </c>
      <c r="ER13" s="224">
        <f t="shared" si="93"/>
        <v>0</v>
      </c>
      <c r="ES13" s="224"/>
      <c r="ET13" s="225">
        <f t="shared" si="94"/>
        <v>0</v>
      </c>
      <c r="EU13" s="238">
        <f t="shared" si="95"/>
        <v>0</v>
      </c>
      <c r="EV13" s="239">
        <f>(ET13/'Finance Only'!B16)*100</f>
        <v>0</v>
      </c>
      <c r="EW13" s="224">
        <f t="shared" si="96"/>
        <v>194420</v>
      </c>
      <c r="EX13" s="224">
        <v>201310</v>
      </c>
      <c r="EY13" s="225">
        <f t="shared" si="97"/>
        <v>6890</v>
      </c>
      <c r="EZ13" s="238">
        <f t="shared" si="98"/>
        <v>4030</v>
      </c>
      <c r="FA13" s="239">
        <f>(EY13/'Finance Only'!G16)*100</f>
        <v>205.79450418160096</v>
      </c>
      <c r="FB13" s="224">
        <f t="shared" si="99"/>
        <v>50390</v>
      </c>
      <c r="FC13" s="224">
        <v>51212</v>
      </c>
      <c r="FD13" s="225">
        <f t="shared" si="100"/>
        <v>822</v>
      </c>
      <c r="FE13" s="238">
        <f t="shared" si="101"/>
        <v>280</v>
      </c>
      <c r="FF13" s="239" t="e">
        <f>(FD13/'Finance Only'!M16)*100</f>
        <v>#DIV/0!</v>
      </c>
      <c r="FG13" s="289"/>
      <c r="FH13" s="295">
        <f t="shared" si="0"/>
        <v>6665</v>
      </c>
      <c r="FI13" s="292"/>
      <c r="FJ13" s="295">
        <f t="shared" si="1"/>
        <v>6024</v>
      </c>
      <c r="FK13" s="292"/>
      <c r="FL13" s="295">
        <f t="shared" si="2"/>
        <v>1870</v>
      </c>
      <c r="FM13" s="292"/>
      <c r="FN13" s="295">
        <f t="shared" si="3"/>
        <v>2250</v>
      </c>
      <c r="FO13" s="292"/>
      <c r="FP13" s="295">
        <f t="shared" si="4"/>
        <v>1369</v>
      </c>
      <c r="FQ13" s="292"/>
      <c r="FR13" s="295">
        <f t="shared" si="5"/>
        <v>7712</v>
      </c>
      <c r="FS13" s="292"/>
    </row>
    <row r="14" spans="1:175" s="3" customFormat="1" ht="13.5" customHeight="1" x14ac:dyDescent="0.2">
      <c r="A14" s="280">
        <v>10</v>
      </c>
      <c r="B14" s="283">
        <f>'Finance Only'!G17</f>
        <v>5298</v>
      </c>
      <c r="C14" s="278">
        <f t="shared" si="6"/>
        <v>25957809</v>
      </c>
      <c r="D14" s="222">
        <v>25960389</v>
      </c>
      <c r="E14" s="223">
        <f t="shared" si="7"/>
        <v>2580</v>
      </c>
      <c r="F14" s="234">
        <f t="shared" si="8"/>
        <v>54</v>
      </c>
      <c r="G14" s="235">
        <f>(E14/'Finance Only'!B17)*100</f>
        <v>10.163882760794202</v>
      </c>
      <c r="H14" s="246">
        <f t="shared" si="9"/>
        <v>23310571</v>
      </c>
      <c r="I14" s="222">
        <v>23314989</v>
      </c>
      <c r="J14" s="222">
        <f t="shared" si="10"/>
        <v>4418</v>
      </c>
      <c r="K14" s="247">
        <f t="shared" si="11"/>
        <v>279</v>
      </c>
      <c r="L14" s="248">
        <f>(J14/'Finance Only'!B17)*100</f>
        <v>17.404664355499527</v>
      </c>
      <c r="M14" s="230">
        <f t="shared" si="12"/>
        <v>87666478</v>
      </c>
      <c r="N14" s="224">
        <v>87680386</v>
      </c>
      <c r="O14" s="225">
        <f t="shared" si="13"/>
        <v>13908</v>
      </c>
      <c r="P14" s="238">
        <f t="shared" si="14"/>
        <v>516</v>
      </c>
      <c r="Q14" s="239">
        <f>(O14/'Finance Only'!B17)*100</f>
        <v>54.790419161676652</v>
      </c>
      <c r="R14" s="229">
        <f t="shared" si="15"/>
        <v>2285800</v>
      </c>
      <c r="S14" s="224">
        <v>2287400</v>
      </c>
      <c r="T14" s="225">
        <f t="shared" si="16"/>
        <v>1600</v>
      </c>
      <c r="U14" s="238">
        <f t="shared" si="17"/>
        <v>0</v>
      </c>
      <c r="V14" s="239">
        <f>(T14/'Finance Only'!B17)*100</f>
        <v>6.3031831074692724</v>
      </c>
      <c r="W14" s="224">
        <f t="shared" si="18"/>
        <v>3103380</v>
      </c>
      <c r="X14" s="224">
        <v>3106230</v>
      </c>
      <c r="Y14" s="225">
        <f t="shared" si="19"/>
        <v>2850</v>
      </c>
      <c r="Z14" s="238">
        <f t="shared" si="20"/>
        <v>56</v>
      </c>
      <c r="AA14" s="239">
        <f>(Y14/'Finance Only'!B17)*100</f>
        <v>11.22754491017964</v>
      </c>
      <c r="AB14" s="224">
        <f t="shared" si="21"/>
        <v>1906200</v>
      </c>
      <c r="AC14" s="224">
        <v>1908000</v>
      </c>
      <c r="AD14" s="225">
        <f t="shared" si="22"/>
        <v>1800</v>
      </c>
      <c r="AE14" s="238">
        <f t="shared" si="23"/>
        <v>0</v>
      </c>
      <c r="AF14" s="239">
        <f>(AD14/'Finance Only'!B17)*100</f>
        <v>7.0910809959029306</v>
      </c>
      <c r="AG14" s="224">
        <f t="shared" si="24"/>
        <v>841439</v>
      </c>
      <c r="AH14" s="224">
        <v>842271</v>
      </c>
      <c r="AI14" s="225">
        <f t="shared" si="25"/>
        <v>832</v>
      </c>
      <c r="AJ14" s="238">
        <f t="shared" si="26"/>
        <v>25</v>
      </c>
      <c r="AK14" s="239">
        <f>(AI14/'Finance Only'!B17)*100</f>
        <v>3.2776552158840211</v>
      </c>
      <c r="AL14" s="224">
        <f t="shared" si="27"/>
        <v>862240</v>
      </c>
      <c r="AM14" s="224">
        <v>862830</v>
      </c>
      <c r="AN14" s="225">
        <f t="shared" si="28"/>
        <v>590</v>
      </c>
      <c r="AO14" s="238">
        <f t="shared" si="29"/>
        <v>20</v>
      </c>
      <c r="AP14" s="239">
        <f>(AN14/'Finance Only'!B17)*100</f>
        <v>2.3242987708792939</v>
      </c>
      <c r="AQ14" s="224">
        <f t="shared" si="30"/>
        <v>1931200</v>
      </c>
      <c r="AR14" s="224">
        <v>1932000</v>
      </c>
      <c r="AS14" s="225">
        <f t="shared" si="31"/>
        <v>800</v>
      </c>
      <c r="AT14" s="238">
        <f t="shared" si="32"/>
        <v>-500</v>
      </c>
      <c r="AU14" s="239">
        <f>(AS14/'Finance Only'!B17)*100</f>
        <v>3.1515915537346362</v>
      </c>
      <c r="AV14" s="224">
        <f t="shared" si="33"/>
        <v>560593</v>
      </c>
      <c r="AW14" s="224">
        <v>561040</v>
      </c>
      <c r="AX14" s="225">
        <f t="shared" si="34"/>
        <v>447</v>
      </c>
      <c r="AY14" s="238">
        <f t="shared" si="35"/>
        <v>27</v>
      </c>
      <c r="AZ14" s="239">
        <f>(AX14/'Finance Only'!B17)*100</f>
        <v>1.7609517806492276</v>
      </c>
      <c r="BA14" s="224">
        <f t="shared" si="36"/>
        <v>777170</v>
      </c>
      <c r="BB14" s="224">
        <v>778180</v>
      </c>
      <c r="BC14" s="225">
        <f t="shared" si="37"/>
        <v>1010</v>
      </c>
      <c r="BD14" s="238">
        <f t="shared" si="38"/>
        <v>40</v>
      </c>
      <c r="BE14" s="239">
        <f>(BC14/'Finance Only'!B17)*100</f>
        <v>3.978884336589978</v>
      </c>
      <c r="BF14" s="224">
        <f t="shared" si="39"/>
        <v>870550</v>
      </c>
      <c r="BG14" s="224">
        <v>871440</v>
      </c>
      <c r="BH14" s="225">
        <f t="shared" si="40"/>
        <v>890</v>
      </c>
      <c r="BI14" s="238">
        <f t="shared" si="41"/>
        <v>30</v>
      </c>
      <c r="BJ14" s="239">
        <f>(BH14/'Finance Only'!B17)*100</f>
        <v>3.5061456035297827</v>
      </c>
      <c r="BK14" s="224">
        <f t="shared" si="42"/>
        <v>1361200</v>
      </c>
      <c r="BL14" s="224">
        <v>1362600</v>
      </c>
      <c r="BM14" s="225">
        <f t="shared" si="43"/>
        <v>1400</v>
      </c>
      <c r="BN14" s="238">
        <f t="shared" si="44"/>
        <v>200</v>
      </c>
      <c r="BO14" s="239">
        <f>(BM14/'Finance Only'!B17)*100</f>
        <v>5.5152852190356132</v>
      </c>
      <c r="BP14" s="224">
        <f t="shared" si="45"/>
        <v>83519</v>
      </c>
      <c r="BQ14" s="224">
        <v>83675</v>
      </c>
      <c r="BR14" s="225">
        <f t="shared" si="46"/>
        <v>156</v>
      </c>
      <c r="BS14" s="238">
        <f t="shared" si="47"/>
        <v>-13</v>
      </c>
      <c r="BT14" s="239">
        <f>(BR14/'Finance Only'!B17)*100</f>
        <v>0.61456035297825407</v>
      </c>
      <c r="BU14" s="224">
        <f t="shared" si="48"/>
        <v>422340</v>
      </c>
      <c r="BV14" s="224">
        <v>422760</v>
      </c>
      <c r="BW14" s="225">
        <f t="shared" si="49"/>
        <v>420</v>
      </c>
      <c r="BX14" s="238">
        <f t="shared" si="50"/>
        <v>10</v>
      </c>
      <c r="BY14" s="239">
        <f>(BW14/'Finance Only'!B17)*100</f>
        <v>1.654585565710684</v>
      </c>
      <c r="BZ14" s="224">
        <f t="shared" si="51"/>
        <v>655290</v>
      </c>
      <c r="CA14" s="224">
        <v>656480</v>
      </c>
      <c r="CB14" s="225">
        <f t="shared" si="52"/>
        <v>1190</v>
      </c>
      <c r="CC14" s="238">
        <f t="shared" si="53"/>
        <v>-20</v>
      </c>
      <c r="CD14" s="239">
        <f>(CB14/'Finance Only'!B17)*100</f>
        <v>4.6879924361802709</v>
      </c>
      <c r="CE14" s="224">
        <f t="shared" si="54"/>
        <v>198450</v>
      </c>
      <c r="CF14" s="224">
        <v>198880</v>
      </c>
      <c r="CG14" s="225">
        <f t="shared" si="55"/>
        <v>430</v>
      </c>
      <c r="CH14" s="238">
        <f t="shared" si="56"/>
        <v>40</v>
      </c>
      <c r="CI14" s="239">
        <f>(CG14/'Finance Only'!B17)*100</f>
        <v>1.6939804601323667</v>
      </c>
      <c r="CJ14" s="225">
        <f t="shared" si="57"/>
        <v>451250</v>
      </c>
      <c r="CK14" s="225">
        <v>452240</v>
      </c>
      <c r="CL14" s="225">
        <f t="shared" si="58"/>
        <v>990</v>
      </c>
      <c r="CM14" s="238">
        <f>CL14-CL13</f>
        <v>160</v>
      </c>
      <c r="CN14" s="239">
        <f>(CL14/'Finance Only'!B17)*100</f>
        <v>3.9000945477466118</v>
      </c>
      <c r="CO14" s="224">
        <f t="shared" si="60"/>
        <v>365260</v>
      </c>
      <c r="CP14" s="224">
        <v>365980</v>
      </c>
      <c r="CQ14" s="226">
        <f t="shared" si="61"/>
        <v>720</v>
      </c>
      <c r="CR14" s="238">
        <f t="shared" si="62"/>
        <v>-80</v>
      </c>
      <c r="CS14" s="239">
        <f>(CQ14/'Finance Only'!B17)*100</f>
        <v>2.8364323983611723</v>
      </c>
      <c r="CT14" s="224">
        <f t="shared" si="63"/>
        <v>310190</v>
      </c>
      <c r="CU14" s="224">
        <v>310650</v>
      </c>
      <c r="CV14" s="225">
        <f t="shared" si="64"/>
        <v>460</v>
      </c>
      <c r="CW14" s="238">
        <f t="shared" si="65"/>
        <v>-30</v>
      </c>
      <c r="CX14" s="239">
        <f>(CV14/'Finance Only'!B17)*100</f>
        <v>1.8121651433974157</v>
      </c>
      <c r="CY14" s="224">
        <f t="shared" si="66"/>
        <v>532690</v>
      </c>
      <c r="CZ14" s="224">
        <v>534120</v>
      </c>
      <c r="DA14" s="225">
        <f t="shared" si="67"/>
        <v>1430</v>
      </c>
      <c r="DB14" s="238">
        <f t="shared" si="68"/>
        <v>40</v>
      </c>
      <c r="DC14" s="239">
        <f>(DA14/'Finance Only'!B17)*100</f>
        <v>5.6334699023006616</v>
      </c>
      <c r="DD14" s="224">
        <f t="shared" si="69"/>
        <v>401090</v>
      </c>
      <c r="DE14" s="224">
        <v>402040</v>
      </c>
      <c r="DF14" s="225">
        <f t="shared" si="70"/>
        <v>950</v>
      </c>
      <c r="DG14" s="238">
        <f t="shared" si="71"/>
        <v>-90</v>
      </c>
      <c r="DH14" s="239">
        <f>(DF14/'Finance Only'!B17)*100</f>
        <v>3.7425149700598799</v>
      </c>
      <c r="DI14" s="224">
        <f t="shared" si="72"/>
        <v>367460</v>
      </c>
      <c r="DJ14" s="224">
        <v>368170</v>
      </c>
      <c r="DK14" s="225">
        <f t="shared" si="73"/>
        <v>710</v>
      </c>
      <c r="DL14" s="238">
        <f t="shared" si="74"/>
        <v>60</v>
      </c>
      <c r="DM14" s="239">
        <f>(DK14/'Finance Only'!B17)*100</f>
        <v>2.7970375039394897</v>
      </c>
      <c r="DN14" s="224">
        <f t="shared" si="75"/>
        <v>229840</v>
      </c>
      <c r="DO14" s="224">
        <v>229990</v>
      </c>
      <c r="DP14" s="225">
        <f t="shared" si="76"/>
        <v>150</v>
      </c>
      <c r="DQ14" s="238">
        <f t="shared" si="77"/>
        <v>-60</v>
      </c>
      <c r="DR14" s="239">
        <f>(DP14/'Finance Only'!B17)*100</f>
        <v>0.59092341632524426</v>
      </c>
      <c r="DS14" s="224">
        <f t="shared" si="78"/>
        <v>63992</v>
      </c>
      <c r="DT14" s="224">
        <v>64128</v>
      </c>
      <c r="DU14" s="225">
        <f t="shared" si="79"/>
        <v>136</v>
      </c>
      <c r="DV14" s="238">
        <f t="shared" si="80"/>
        <v>-3</v>
      </c>
      <c r="DW14" s="239">
        <f>(DU14/'Finance Only'!B17)*100</f>
        <v>0.53577056413488811</v>
      </c>
      <c r="DX14" s="224">
        <f t="shared" si="81"/>
        <v>428880</v>
      </c>
      <c r="DY14" s="224">
        <v>429570</v>
      </c>
      <c r="DZ14" s="225">
        <f t="shared" si="82"/>
        <v>690</v>
      </c>
      <c r="EA14" s="238">
        <f t="shared" si="83"/>
        <v>0</v>
      </c>
      <c r="EB14" s="239">
        <f>(DZ14/'Finance Only'!B17)*100</f>
        <v>2.7182477150961235</v>
      </c>
      <c r="EC14" s="224">
        <f t="shared" si="84"/>
        <v>135520</v>
      </c>
      <c r="ED14" s="224">
        <v>135740</v>
      </c>
      <c r="EE14" s="225">
        <f t="shared" si="85"/>
        <v>220</v>
      </c>
      <c r="EF14" s="238">
        <f t="shared" si="86"/>
        <v>-10</v>
      </c>
      <c r="EG14" s="239">
        <f>(EE14/'Finance Only'!B17)*100</f>
        <v>0.86668767727702489</v>
      </c>
      <c r="EH14" s="224">
        <f t="shared" si="87"/>
        <v>131440</v>
      </c>
      <c r="EI14" s="224">
        <v>131770</v>
      </c>
      <c r="EJ14" s="225">
        <f t="shared" si="88"/>
        <v>330</v>
      </c>
      <c r="EK14" s="238">
        <f t="shared" si="89"/>
        <v>80</v>
      </c>
      <c r="EL14" s="239">
        <f>(EJ14/'Finance Only'!B17)*100</f>
        <v>1.3000315159155373</v>
      </c>
      <c r="EM14" s="224">
        <f t="shared" si="90"/>
        <v>248090</v>
      </c>
      <c r="EN14" s="224">
        <v>248570</v>
      </c>
      <c r="EO14" s="225">
        <f t="shared" si="91"/>
        <v>480</v>
      </c>
      <c r="EP14" s="238">
        <f t="shared" si="92"/>
        <v>20</v>
      </c>
      <c r="EQ14" s="239">
        <f>(EO14/'Finance Only'!B17)*100</f>
        <v>1.8909549322407817</v>
      </c>
      <c r="ER14" s="224">
        <f t="shared" si="93"/>
        <v>0</v>
      </c>
      <c r="ES14" s="224"/>
      <c r="ET14" s="225">
        <f t="shared" si="94"/>
        <v>0</v>
      </c>
      <c r="EU14" s="238">
        <f t="shared" si="95"/>
        <v>0</v>
      </c>
      <c r="EV14" s="239">
        <f>(ET14/'Finance Only'!B17)*100</f>
        <v>0</v>
      </c>
      <c r="EW14" s="224">
        <f t="shared" si="96"/>
        <v>201310</v>
      </c>
      <c r="EX14" s="224">
        <v>207130</v>
      </c>
      <c r="EY14" s="225">
        <f t="shared" si="97"/>
        <v>5820</v>
      </c>
      <c r="EZ14" s="238">
        <f t="shared" si="98"/>
        <v>-1070</v>
      </c>
      <c r="FA14" s="239">
        <f>(EY14/'Finance Only'!G17)*100</f>
        <v>109.85277463193658</v>
      </c>
      <c r="FB14" s="224">
        <f t="shared" si="99"/>
        <v>51212</v>
      </c>
      <c r="FC14" s="224">
        <v>51989</v>
      </c>
      <c r="FD14" s="225">
        <f t="shared" si="100"/>
        <v>777</v>
      </c>
      <c r="FE14" s="238">
        <f t="shared" si="101"/>
        <v>-45</v>
      </c>
      <c r="FF14" s="239" t="e">
        <f>(FD14/'Finance Only'!M17)*100</f>
        <v>#DIV/0!</v>
      </c>
      <c r="FG14" s="289"/>
      <c r="FH14" s="295">
        <f t="shared" si="0"/>
        <v>6998</v>
      </c>
      <c r="FI14" s="292"/>
      <c r="FJ14" s="295">
        <f t="shared" si="1"/>
        <v>6170</v>
      </c>
      <c r="FK14" s="292"/>
      <c r="FL14" s="295">
        <f t="shared" si="2"/>
        <v>1390</v>
      </c>
      <c r="FM14" s="292"/>
      <c r="FN14" s="295">
        <f t="shared" si="3"/>
        <v>2347</v>
      </c>
      <c r="FO14" s="292"/>
      <c r="FP14" s="295">
        <f t="shared" si="4"/>
        <v>1556</v>
      </c>
      <c r="FQ14" s="292"/>
      <c r="FR14" s="295">
        <f t="shared" si="5"/>
        <v>6597</v>
      </c>
      <c r="FS14" s="292"/>
    </row>
    <row r="15" spans="1:175" s="3" customFormat="1" ht="13.5" customHeight="1" x14ac:dyDescent="0.2">
      <c r="A15" s="280">
        <v>11</v>
      </c>
      <c r="B15" s="283">
        <f>'Finance Only'!G18</f>
        <v>422</v>
      </c>
      <c r="C15" s="278">
        <f t="shared" si="6"/>
        <v>25960389</v>
      </c>
      <c r="D15" s="222">
        <v>25962789</v>
      </c>
      <c r="E15" s="223">
        <f t="shared" si="7"/>
        <v>2400</v>
      </c>
      <c r="F15" s="234">
        <f t="shared" si="8"/>
        <v>-180</v>
      </c>
      <c r="G15" s="235">
        <f>(E15/'Finance Only'!B18)*100</f>
        <v>9.1901206203331416</v>
      </c>
      <c r="H15" s="246">
        <f t="shared" si="9"/>
        <v>23314989</v>
      </c>
      <c r="I15" s="222">
        <v>23319475</v>
      </c>
      <c r="J15" s="222">
        <f t="shared" si="10"/>
        <v>4486</v>
      </c>
      <c r="K15" s="247">
        <f t="shared" si="11"/>
        <v>68</v>
      </c>
      <c r="L15" s="248">
        <f>(J15/'Finance Only'!B18)*100</f>
        <v>17.177867126172696</v>
      </c>
      <c r="M15" s="230">
        <f t="shared" si="12"/>
        <v>87680386</v>
      </c>
      <c r="N15" s="224">
        <v>87694274</v>
      </c>
      <c r="O15" s="225">
        <f t="shared" si="13"/>
        <v>13888</v>
      </c>
      <c r="P15" s="238">
        <f t="shared" si="14"/>
        <v>-20</v>
      </c>
      <c r="Q15" s="239">
        <f>(O15/'Finance Only'!B18)*100</f>
        <v>53.180164656327776</v>
      </c>
      <c r="R15" s="229">
        <f t="shared" si="15"/>
        <v>2287400</v>
      </c>
      <c r="S15" s="224">
        <v>2288900</v>
      </c>
      <c r="T15" s="225">
        <f t="shared" si="16"/>
        <v>1500</v>
      </c>
      <c r="U15" s="238">
        <f t="shared" si="17"/>
        <v>-100</v>
      </c>
      <c r="V15" s="239">
        <f>(T15/'Finance Only'!B18)*100</f>
        <v>5.7438253877082142</v>
      </c>
      <c r="W15" s="224">
        <f t="shared" si="18"/>
        <v>3106230</v>
      </c>
      <c r="X15" s="224">
        <v>3109027</v>
      </c>
      <c r="Y15" s="225">
        <f t="shared" si="19"/>
        <v>2797</v>
      </c>
      <c r="Z15" s="238">
        <f t="shared" si="20"/>
        <v>-53</v>
      </c>
      <c r="AA15" s="239">
        <f>(Y15/'Finance Only'!B18)*100</f>
        <v>10.710319739613249</v>
      </c>
      <c r="AB15" s="224">
        <f t="shared" si="21"/>
        <v>1908000</v>
      </c>
      <c r="AC15" s="224">
        <v>1909700</v>
      </c>
      <c r="AD15" s="225">
        <f t="shared" si="22"/>
        <v>1700</v>
      </c>
      <c r="AE15" s="238">
        <f t="shared" si="23"/>
        <v>-100</v>
      </c>
      <c r="AF15" s="239">
        <f>(AD15/'Finance Only'!B18)*100</f>
        <v>6.5096687727359752</v>
      </c>
      <c r="AG15" s="224">
        <f t="shared" si="24"/>
        <v>842271</v>
      </c>
      <c r="AH15" s="224">
        <v>843071</v>
      </c>
      <c r="AI15" s="225">
        <f t="shared" si="25"/>
        <v>800</v>
      </c>
      <c r="AJ15" s="238">
        <f t="shared" si="26"/>
        <v>-32</v>
      </c>
      <c r="AK15" s="239">
        <f>(AI15/'Finance Only'!B18)*100</f>
        <v>3.0633735401110473</v>
      </c>
      <c r="AL15" s="224">
        <f t="shared" si="27"/>
        <v>862830</v>
      </c>
      <c r="AM15" s="224">
        <v>863450</v>
      </c>
      <c r="AN15" s="225">
        <f t="shared" si="28"/>
        <v>620</v>
      </c>
      <c r="AO15" s="238">
        <f t="shared" si="29"/>
        <v>30</v>
      </c>
      <c r="AP15" s="239">
        <f>(AN15/'Finance Only'!B18)*100</f>
        <v>2.3741144935860619</v>
      </c>
      <c r="AQ15" s="224">
        <f t="shared" si="30"/>
        <v>1932000</v>
      </c>
      <c r="AR15" s="224">
        <v>1933300</v>
      </c>
      <c r="AS15" s="225">
        <f t="shared" si="31"/>
        <v>1300</v>
      </c>
      <c r="AT15" s="238">
        <f t="shared" si="32"/>
        <v>500</v>
      </c>
      <c r="AU15" s="239">
        <f>(AS15/'Finance Only'!B18)*100</f>
        <v>4.9779820026804522</v>
      </c>
      <c r="AV15" s="224">
        <f t="shared" si="33"/>
        <v>561040</v>
      </c>
      <c r="AW15" s="224">
        <v>561468</v>
      </c>
      <c r="AX15" s="225">
        <f t="shared" si="34"/>
        <v>428</v>
      </c>
      <c r="AY15" s="238">
        <f t="shared" si="35"/>
        <v>-19</v>
      </c>
      <c r="AZ15" s="239">
        <f>(AX15/'Finance Only'!B18)*100</f>
        <v>1.6389048439594105</v>
      </c>
      <c r="BA15" s="224">
        <f t="shared" si="36"/>
        <v>778180</v>
      </c>
      <c r="BB15" s="224">
        <v>779180</v>
      </c>
      <c r="BC15" s="225">
        <f t="shared" si="37"/>
        <v>1000</v>
      </c>
      <c r="BD15" s="238">
        <f t="shared" si="38"/>
        <v>-10</v>
      </c>
      <c r="BE15" s="239">
        <f>(BC15/'Finance Only'!B18)*100</f>
        <v>3.8292169251388093</v>
      </c>
      <c r="BF15" s="224">
        <f t="shared" si="39"/>
        <v>871440</v>
      </c>
      <c r="BG15" s="224">
        <v>872320</v>
      </c>
      <c r="BH15" s="225">
        <f t="shared" si="40"/>
        <v>880</v>
      </c>
      <c r="BI15" s="238">
        <f t="shared" si="41"/>
        <v>-10</v>
      </c>
      <c r="BJ15" s="239">
        <f>(BH15/'Finance Only'!B18)*100</f>
        <v>3.3697108941221519</v>
      </c>
      <c r="BK15" s="224">
        <f t="shared" si="42"/>
        <v>1362600</v>
      </c>
      <c r="BL15" s="224">
        <v>1364000</v>
      </c>
      <c r="BM15" s="225">
        <f t="shared" si="43"/>
        <v>1400</v>
      </c>
      <c r="BN15" s="238">
        <f t="shared" si="44"/>
        <v>0</v>
      </c>
      <c r="BO15" s="239">
        <f>(BM15/'Finance Only'!B18)*100</f>
        <v>5.3609036951943327</v>
      </c>
      <c r="BP15" s="224">
        <f t="shared" si="45"/>
        <v>83675</v>
      </c>
      <c r="BQ15" s="224">
        <v>83832</v>
      </c>
      <c r="BR15" s="225">
        <f t="shared" si="46"/>
        <v>157</v>
      </c>
      <c r="BS15" s="238">
        <f t="shared" si="47"/>
        <v>1</v>
      </c>
      <c r="BT15" s="239">
        <f>(BR15/'Finance Only'!B18)*100</f>
        <v>0.60118705724679311</v>
      </c>
      <c r="BU15" s="224">
        <f t="shared" si="48"/>
        <v>422760</v>
      </c>
      <c r="BV15" s="224">
        <v>423220</v>
      </c>
      <c r="BW15" s="225">
        <f t="shared" si="49"/>
        <v>460</v>
      </c>
      <c r="BX15" s="238">
        <f t="shared" si="50"/>
        <v>40</v>
      </c>
      <c r="BY15" s="239">
        <f>(BW15/'Finance Only'!B18)*100</f>
        <v>1.7614397855638522</v>
      </c>
      <c r="BZ15" s="224">
        <f t="shared" si="51"/>
        <v>656480</v>
      </c>
      <c r="CA15" s="224">
        <v>657680</v>
      </c>
      <c r="CB15" s="225">
        <f t="shared" si="52"/>
        <v>1200</v>
      </c>
      <c r="CC15" s="238">
        <f t="shared" si="53"/>
        <v>10</v>
      </c>
      <c r="CD15" s="239">
        <f>(CB15/'Finance Only'!B18)*100</f>
        <v>4.5950603101665708</v>
      </c>
      <c r="CE15" s="224">
        <f t="shared" si="54"/>
        <v>198880</v>
      </c>
      <c r="CF15" s="224">
        <v>199280</v>
      </c>
      <c r="CG15" s="225">
        <f t="shared" si="55"/>
        <v>400</v>
      </c>
      <c r="CH15" s="238">
        <f t="shared" si="56"/>
        <v>-30</v>
      </c>
      <c r="CI15" s="239">
        <f>(CG15/'Finance Only'!B18)*100</f>
        <v>1.5316867700555237</v>
      </c>
      <c r="CJ15" s="225">
        <f t="shared" si="57"/>
        <v>452240</v>
      </c>
      <c r="CK15" s="225">
        <v>453130</v>
      </c>
      <c r="CL15" s="225">
        <f t="shared" si="58"/>
        <v>890</v>
      </c>
      <c r="CM15" s="238">
        <f>CL15-CL14</f>
        <v>-100</v>
      </c>
      <c r="CN15" s="239">
        <f>(CL15/'Finance Only'!B18)*100</f>
        <v>3.4080030633735401</v>
      </c>
      <c r="CO15" s="224">
        <f t="shared" si="60"/>
        <v>365980</v>
      </c>
      <c r="CP15" s="224">
        <v>366700</v>
      </c>
      <c r="CQ15" s="226">
        <f t="shared" si="61"/>
        <v>720</v>
      </c>
      <c r="CR15" s="238">
        <f t="shared" si="62"/>
        <v>0</v>
      </c>
      <c r="CS15" s="239">
        <f>(CQ15/'Finance Only'!B18)*100</f>
        <v>2.7570361860999428</v>
      </c>
      <c r="CT15" s="224">
        <f t="shared" si="63"/>
        <v>310650</v>
      </c>
      <c r="CU15" s="224">
        <v>311160</v>
      </c>
      <c r="CV15" s="225">
        <f t="shared" si="64"/>
        <v>510</v>
      </c>
      <c r="CW15" s="238">
        <f t="shared" si="65"/>
        <v>50</v>
      </c>
      <c r="CX15" s="239">
        <f>(CV15/'Finance Only'!B18)*100</f>
        <v>1.9529006318207927</v>
      </c>
      <c r="CY15" s="224">
        <f t="shared" si="66"/>
        <v>534120</v>
      </c>
      <c r="CZ15" s="224">
        <v>535550</v>
      </c>
      <c r="DA15" s="225">
        <f t="shared" si="67"/>
        <v>1430</v>
      </c>
      <c r="DB15" s="238">
        <f t="shared" si="68"/>
        <v>0</v>
      </c>
      <c r="DC15" s="239">
        <f>(DA15/'Finance Only'!B18)*100</f>
        <v>5.4757802029484974</v>
      </c>
      <c r="DD15" s="224">
        <f t="shared" si="69"/>
        <v>402040</v>
      </c>
      <c r="DE15" s="224">
        <v>402990</v>
      </c>
      <c r="DF15" s="225">
        <f t="shared" si="70"/>
        <v>950</v>
      </c>
      <c r="DG15" s="238">
        <f t="shared" si="71"/>
        <v>0</v>
      </c>
      <c r="DH15" s="239">
        <f>(DF15/'Finance Only'!B18)*100</f>
        <v>3.6377560788818686</v>
      </c>
      <c r="DI15" s="224">
        <f t="shared" si="72"/>
        <v>368170</v>
      </c>
      <c r="DJ15" s="224">
        <v>368950</v>
      </c>
      <c r="DK15" s="225">
        <f t="shared" si="73"/>
        <v>780</v>
      </c>
      <c r="DL15" s="238">
        <f t="shared" si="74"/>
        <v>70</v>
      </c>
      <c r="DM15" s="239">
        <f>(DK15/'Finance Only'!B18)*100</f>
        <v>2.9867892016082713</v>
      </c>
      <c r="DN15" s="224">
        <f t="shared" si="75"/>
        <v>229990</v>
      </c>
      <c r="DO15" s="224">
        <v>230240</v>
      </c>
      <c r="DP15" s="225">
        <f t="shared" si="76"/>
        <v>250</v>
      </c>
      <c r="DQ15" s="238">
        <f t="shared" si="77"/>
        <v>100</v>
      </c>
      <c r="DR15" s="239">
        <f>(DP15/'Finance Only'!B18)*100</f>
        <v>0.95730423128470232</v>
      </c>
      <c r="DS15" s="224">
        <f t="shared" si="78"/>
        <v>64128</v>
      </c>
      <c r="DT15" s="224">
        <v>64260</v>
      </c>
      <c r="DU15" s="225">
        <f t="shared" si="79"/>
        <v>132</v>
      </c>
      <c r="DV15" s="238">
        <f t="shared" si="80"/>
        <v>-4</v>
      </c>
      <c r="DW15" s="239">
        <f>(DU15/'Finance Only'!B18)*100</f>
        <v>0.50545663411832287</v>
      </c>
      <c r="DX15" s="224">
        <f t="shared" si="81"/>
        <v>429570</v>
      </c>
      <c r="DY15" s="224">
        <v>430210</v>
      </c>
      <c r="DZ15" s="225">
        <f t="shared" si="82"/>
        <v>640</v>
      </c>
      <c r="EA15" s="238">
        <f t="shared" si="83"/>
        <v>-50</v>
      </c>
      <c r="EB15" s="239">
        <f>(DZ15/'Finance Only'!B18)*100</f>
        <v>2.4506988320888379</v>
      </c>
      <c r="EC15" s="224">
        <f t="shared" si="84"/>
        <v>135740</v>
      </c>
      <c r="ED15" s="224">
        <v>135980</v>
      </c>
      <c r="EE15" s="225">
        <f t="shared" si="85"/>
        <v>240</v>
      </c>
      <c r="EF15" s="238">
        <f t="shared" si="86"/>
        <v>20</v>
      </c>
      <c r="EG15" s="239">
        <f>(EE15/'Finance Only'!B18)*100</f>
        <v>0.9190120620333142</v>
      </c>
      <c r="EH15" s="224">
        <f t="shared" si="87"/>
        <v>131770</v>
      </c>
      <c r="EI15" s="224">
        <v>132100</v>
      </c>
      <c r="EJ15" s="225">
        <f t="shared" si="88"/>
        <v>330</v>
      </c>
      <c r="EK15" s="238">
        <f t="shared" si="89"/>
        <v>0</v>
      </c>
      <c r="EL15" s="239">
        <f>(EJ15/'Finance Only'!B18)*100</f>
        <v>1.2636415852958069</v>
      </c>
      <c r="EM15" s="224">
        <f t="shared" si="90"/>
        <v>248570</v>
      </c>
      <c r="EN15" s="224">
        <v>249100</v>
      </c>
      <c r="EO15" s="225">
        <f t="shared" si="91"/>
        <v>530</v>
      </c>
      <c r="EP15" s="238">
        <f t="shared" si="92"/>
        <v>50</v>
      </c>
      <c r="EQ15" s="239">
        <f>(EO15/'Finance Only'!B18)*100</f>
        <v>2.0294849703235687</v>
      </c>
      <c r="ER15" s="224">
        <f t="shared" si="93"/>
        <v>0</v>
      </c>
      <c r="ES15" s="224"/>
      <c r="ET15" s="225">
        <f t="shared" si="94"/>
        <v>0</v>
      </c>
      <c r="EU15" s="238">
        <f t="shared" si="95"/>
        <v>0</v>
      </c>
      <c r="EV15" s="239">
        <f>(ET15/'Finance Only'!B18)*100</f>
        <v>0</v>
      </c>
      <c r="EW15" s="224">
        <f t="shared" si="96"/>
        <v>207130</v>
      </c>
      <c r="EX15" s="224">
        <v>210140</v>
      </c>
      <c r="EY15" s="225">
        <f t="shared" si="97"/>
        <v>3010</v>
      </c>
      <c r="EZ15" s="238">
        <f t="shared" si="98"/>
        <v>-2810</v>
      </c>
      <c r="FA15" s="239">
        <f>(EY15/'Finance Only'!G18)*100</f>
        <v>713.27014218009481</v>
      </c>
      <c r="FB15" s="224">
        <f t="shared" si="99"/>
        <v>51989</v>
      </c>
      <c r="FC15" s="224">
        <v>52317</v>
      </c>
      <c r="FD15" s="225">
        <f t="shared" si="100"/>
        <v>328</v>
      </c>
      <c r="FE15" s="238">
        <f t="shared" si="101"/>
        <v>-449</v>
      </c>
      <c r="FF15" s="239" t="e">
        <f>(FD15/'Finance Only'!M18)*100</f>
        <v>#DIV/0!</v>
      </c>
      <c r="FG15" s="289"/>
      <c r="FH15" s="295">
        <f t="shared" si="0"/>
        <v>6886</v>
      </c>
      <c r="FI15" s="292"/>
      <c r="FJ15" s="295">
        <f t="shared" si="1"/>
        <v>6037</v>
      </c>
      <c r="FK15" s="292"/>
      <c r="FL15" s="295">
        <f t="shared" si="2"/>
        <v>1920</v>
      </c>
      <c r="FM15" s="292"/>
      <c r="FN15" s="295">
        <f t="shared" si="3"/>
        <v>2308</v>
      </c>
      <c r="FO15" s="292"/>
      <c r="FP15" s="295">
        <f t="shared" si="4"/>
        <v>1557</v>
      </c>
      <c r="FQ15" s="292"/>
      <c r="FR15" s="295">
        <f t="shared" si="5"/>
        <v>3338</v>
      </c>
      <c r="FS15" s="292"/>
    </row>
    <row r="16" spans="1:175" s="3" customFormat="1" ht="13.5" customHeight="1" x14ac:dyDescent="0.2">
      <c r="A16" s="280">
        <v>12</v>
      </c>
      <c r="B16" s="283">
        <f>'Finance Only'!G19</f>
        <v>0</v>
      </c>
      <c r="C16" s="278">
        <f t="shared" si="6"/>
        <v>25962789</v>
      </c>
      <c r="D16" s="222">
        <v>25965368</v>
      </c>
      <c r="E16" s="223">
        <f t="shared" si="7"/>
        <v>2579</v>
      </c>
      <c r="F16" s="234">
        <f t="shared" si="8"/>
        <v>179</v>
      </c>
      <c r="G16" s="235">
        <f>(E16/'Finance Only'!B19)*100</f>
        <v>10.166351308735415</v>
      </c>
      <c r="H16" s="246">
        <f t="shared" si="9"/>
        <v>23319475</v>
      </c>
      <c r="I16" s="222">
        <v>23324108</v>
      </c>
      <c r="J16" s="222">
        <f t="shared" si="10"/>
        <v>4633</v>
      </c>
      <c r="K16" s="247">
        <f t="shared" si="11"/>
        <v>147</v>
      </c>
      <c r="L16" s="248">
        <f>(J16/'Finance Only'!B19)*100</f>
        <v>18.263166193629772</v>
      </c>
      <c r="M16" s="230">
        <f t="shared" si="12"/>
        <v>87694274</v>
      </c>
      <c r="N16" s="224">
        <v>87707699</v>
      </c>
      <c r="O16" s="225">
        <f t="shared" si="13"/>
        <v>13425</v>
      </c>
      <c r="P16" s="238">
        <f t="shared" si="14"/>
        <v>-463</v>
      </c>
      <c r="Q16" s="239">
        <f>(O16/'Finance Only'!B19)*100</f>
        <v>52.921002838221376</v>
      </c>
      <c r="R16" s="229">
        <f t="shared" si="15"/>
        <v>2288900</v>
      </c>
      <c r="S16" s="224">
        <v>2290500</v>
      </c>
      <c r="T16" s="225">
        <f t="shared" si="16"/>
        <v>1600</v>
      </c>
      <c r="U16" s="238">
        <f t="shared" si="17"/>
        <v>100</v>
      </c>
      <c r="V16" s="239">
        <f>(T16/'Finance Only'!B19)*100</f>
        <v>6.3071586250394205</v>
      </c>
      <c r="W16" s="224">
        <f t="shared" si="18"/>
        <v>3109027</v>
      </c>
      <c r="X16" s="224">
        <v>3111785</v>
      </c>
      <c r="Y16" s="225">
        <f t="shared" si="19"/>
        <v>2758</v>
      </c>
      <c r="Z16" s="238">
        <f t="shared" si="20"/>
        <v>-39</v>
      </c>
      <c r="AA16" s="239">
        <f>(Y16/'Finance Only'!B19)*100</f>
        <v>10.8719646799117</v>
      </c>
      <c r="AB16" s="224">
        <f t="shared" si="21"/>
        <v>1909700</v>
      </c>
      <c r="AC16" s="224">
        <v>1911300</v>
      </c>
      <c r="AD16" s="225">
        <f t="shared" si="22"/>
        <v>1600</v>
      </c>
      <c r="AE16" s="238">
        <f t="shared" si="23"/>
        <v>-100</v>
      </c>
      <c r="AF16" s="239">
        <f>(AD16/'Finance Only'!B19)*100</f>
        <v>6.3071586250394205</v>
      </c>
      <c r="AG16" s="224">
        <f t="shared" si="24"/>
        <v>843071</v>
      </c>
      <c r="AH16" s="224">
        <v>843883</v>
      </c>
      <c r="AI16" s="225">
        <f t="shared" si="25"/>
        <v>812</v>
      </c>
      <c r="AJ16" s="238">
        <f t="shared" si="26"/>
        <v>12</v>
      </c>
      <c r="AK16" s="239">
        <f>(AI16/'Finance Only'!B19)*100</f>
        <v>3.2008830022075054</v>
      </c>
      <c r="AL16" s="224">
        <f t="shared" si="27"/>
        <v>863450</v>
      </c>
      <c r="AM16" s="224">
        <v>864030</v>
      </c>
      <c r="AN16" s="225">
        <f t="shared" si="28"/>
        <v>580</v>
      </c>
      <c r="AO16" s="238">
        <f t="shared" si="29"/>
        <v>-40</v>
      </c>
      <c r="AP16" s="239">
        <f>(AN16/'Finance Only'!B19)*100</f>
        <v>2.2863450015767897</v>
      </c>
      <c r="AQ16" s="224">
        <f t="shared" si="30"/>
        <v>1933300</v>
      </c>
      <c r="AR16" s="224">
        <v>1934100</v>
      </c>
      <c r="AS16" s="225">
        <f t="shared" si="31"/>
        <v>800</v>
      </c>
      <c r="AT16" s="238">
        <f t="shared" si="32"/>
        <v>-500</v>
      </c>
      <c r="AU16" s="239">
        <f>(AS16/'Finance Only'!B19)*100</f>
        <v>3.1535793125197102</v>
      </c>
      <c r="AV16" s="224">
        <f t="shared" si="33"/>
        <v>561468</v>
      </c>
      <c r="AW16" s="224">
        <v>561900</v>
      </c>
      <c r="AX16" s="225">
        <f t="shared" si="34"/>
        <v>432</v>
      </c>
      <c r="AY16" s="238">
        <f t="shared" si="35"/>
        <v>4</v>
      </c>
      <c r="AZ16" s="239">
        <f>(AX16/'Finance Only'!B19)*100</f>
        <v>1.7029328287606436</v>
      </c>
      <c r="BA16" s="224">
        <f t="shared" si="36"/>
        <v>779180</v>
      </c>
      <c r="BB16" s="224">
        <v>780170</v>
      </c>
      <c r="BC16" s="225">
        <f t="shared" si="37"/>
        <v>990</v>
      </c>
      <c r="BD16" s="238">
        <f t="shared" si="38"/>
        <v>-10</v>
      </c>
      <c r="BE16" s="239">
        <f>(BC16/'Finance Only'!B19)*100</f>
        <v>3.9025543992431411</v>
      </c>
      <c r="BF16" s="224">
        <f t="shared" si="39"/>
        <v>872320</v>
      </c>
      <c r="BG16" s="224">
        <v>873160</v>
      </c>
      <c r="BH16" s="225">
        <f t="shared" si="40"/>
        <v>840</v>
      </c>
      <c r="BI16" s="238">
        <f t="shared" si="41"/>
        <v>-40</v>
      </c>
      <c r="BJ16" s="239">
        <f>(BH16/'Finance Only'!B19)*100</f>
        <v>3.3112582781456954</v>
      </c>
      <c r="BK16" s="224">
        <f t="shared" si="42"/>
        <v>1364000</v>
      </c>
      <c r="BL16" s="224">
        <v>1365200</v>
      </c>
      <c r="BM16" s="225">
        <f t="shared" si="43"/>
        <v>1200</v>
      </c>
      <c r="BN16" s="238">
        <f t="shared" si="44"/>
        <v>-200</v>
      </c>
      <c r="BO16" s="239">
        <f>(BM16/'Finance Only'!B19)*100</f>
        <v>4.7303689687795654</v>
      </c>
      <c r="BP16" s="224">
        <f t="shared" si="45"/>
        <v>83832</v>
      </c>
      <c r="BQ16" s="224">
        <v>83983</v>
      </c>
      <c r="BR16" s="225">
        <f t="shared" si="46"/>
        <v>151</v>
      </c>
      <c r="BS16" s="238">
        <f t="shared" si="47"/>
        <v>-6</v>
      </c>
      <c r="BT16" s="239">
        <f>(BR16/'Finance Only'!B19)*100</f>
        <v>0.59523809523809523</v>
      </c>
      <c r="BU16" s="224">
        <f t="shared" si="48"/>
        <v>423220</v>
      </c>
      <c r="BV16" s="224">
        <v>423640</v>
      </c>
      <c r="BW16" s="225">
        <f t="shared" si="49"/>
        <v>420</v>
      </c>
      <c r="BX16" s="238">
        <f t="shared" si="50"/>
        <v>-40</v>
      </c>
      <c r="BY16" s="239">
        <f>(BW16/'Finance Only'!B19)*100</f>
        <v>1.6556291390728477</v>
      </c>
      <c r="BZ16" s="224">
        <f t="shared" si="51"/>
        <v>657680</v>
      </c>
      <c r="CA16" s="224">
        <v>658930</v>
      </c>
      <c r="CB16" s="225">
        <f t="shared" si="52"/>
        <v>1250</v>
      </c>
      <c r="CC16" s="238">
        <f t="shared" si="53"/>
        <v>50</v>
      </c>
      <c r="CD16" s="239">
        <f>(CB16/'Finance Only'!B19)*100</f>
        <v>4.9274676758120464</v>
      </c>
      <c r="CE16" s="224">
        <f t="shared" si="54"/>
        <v>199280</v>
      </c>
      <c r="CF16" s="224">
        <v>199690</v>
      </c>
      <c r="CG16" s="225">
        <f t="shared" si="55"/>
        <v>410</v>
      </c>
      <c r="CH16" s="238">
        <f t="shared" si="56"/>
        <v>10</v>
      </c>
      <c r="CI16" s="239">
        <f>(CG16/'Finance Only'!B19)*100</f>
        <v>1.6162093976663512</v>
      </c>
      <c r="CJ16" s="225">
        <f t="shared" si="57"/>
        <v>453130</v>
      </c>
      <c r="CK16" s="225">
        <v>453990</v>
      </c>
      <c r="CL16" s="225">
        <f t="shared" si="58"/>
        <v>860</v>
      </c>
      <c r="CM16" s="238">
        <f t="shared" si="59"/>
        <v>-30</v>
      </c>
      <c r="CN16" s="239">
        <f>(CL16/'Finance Only'!B19)*100</f>
        <v>3.390097760958688</v>
      </c>
      <c r="CO16" s="224">
        <f t="shared" si="60"/>
        <v>366700</v>
      </c>
      <c r="CP16" s="224">
        <v>367450</v>
      </c>
      <c r="CQ16" s="226">
        <f t="shared" si="61"/>
        <v>750</v>
      </c>
      <c r="CR16" s="238">
        <f t="shared" si="62"/>
        <v>30</v>
      </c>
      <c r="CS16" s="239">
        <f>(CQ16/'Finance Only'!B19)*100</f>
        <v>2.9564806054872279</v>
      </c>
      <c r="CT16" s="224">
        <f t="shared" si="63"/>
        <v>311160</v>
      </c>
      <c r="CU16" s="224">
        <v>311790</v>
      </c>
      <c r="CV16" s="225">
        <f t="shared" si="64"/>
        <v>630</v>
      </c>
      <c r="CW16" s="238">
        <f t="shared" si="65"/>
        <v>120</v>
      </c>
      <c r="CX16" s="239">
        <f>(CV16/'Finance Only'!B19)*100</f>
        <v>2.4834437086092715</v>
      </c>
      <c r="CY16" s="224">
        <f t="shared" si="66"/>
        <v>535550</v>
      </c>
      <c r="CZ16" s="224">
        <v>536990</v>
      </c>
      <c r="DA16" s="225">
        <f t="shared" si="67"/>
        <v>1440</v>
      </c>
      <c r="DB16" s="238">
        <f t="shared" si="68"/>
        <v>10</v>
      </c>
      <c r="DC16" s="239">
        <f>(DA16/'Finance Only'!B19)*100</f>
        <v>5.6764427625354781</v>
      </c>
      <c r="DD16" s="224">
        <f t="shared" si="69"/>
        <v>402990</v>
      </c>
      <c r="DE16" s="224">
        <v>403970</v>
      </c>
      <c r="DF16" s="225">
        <f t="shared" si="70"/>
        <v>980</v>
      </c>
      <c r="DG16" s="238">
        <f t="shared" si="71"/>
        <v>30</v>
      </c>
      <c r="DH16" s="239">
        <f>(DF16/'Finance Only'!B19)*100</f>
        <v>3.8631346578366448</v>
      </c>
      <c r="DI16" s="224">
        <f t="shared" si="72"/>
        <v>368950</v>
      </c>
      <c r="DJ16" s="224">
        <v>369840</v>
      </c>
      <c r="DK16" s="225">
        <f t="shared" si="73"/>
        <v>890</v>
      </c>
      <c r="DL16" s="238">
        <f t="shared" si="74"/>
        <v>110</v>
      </c>
      <c r="DM16" s="239">
        <f>(DK16/'Finance Only'!B19)*100</f>
        <v>3.5083569851781773</v>
      </c>
      <c r="DN16" s="224">
        <f t="shared" si="75"/>
        <v>230240</v>
      </c>
      <c r="DO16" s="224">
        <v>230420</v>
      </c>
      <c r="DP16" s="225">
        <f t="shared" si="76"/>
        <v>180</v>
      </c>
      <c r="DQ16" s="238">
        <f t="shared" si="77"/>
        <v>-70</v>
      </c>
      <c r="DR16" s="239">
        <f>(DP16/'Finance Only'!B19)*100</f>
        <v>0.70955534531693476</v>
      </c>
      <c r="DS16" s="224">
        <f t="shared" si="78"/>
        <v>64260</v>
      </c>
      <c r="DT16" s="224">
        <v>64373</v>
      </c>
      <c r="DU16" s="225">
        <f t="shared" si="79"/>
        <v>113</v>
      </c>
      <c r="DV16" s="238">
        <f t="shared" si="80"/>
        <v>-19</v>
      </c>
      <c r="DW16" s="239">
        <f>(DU16/'Finance Only'!B19)*100</f>
        <v>0.44544307789340903</v>
      </c>
      <c r="DX16" s="224">
        <f t="shared" si="81"/>
        <v>430210</v>
      </c>
      <c r="DY16" s="224">
        <v>430890</v>
      </c>
      <c r="DZ16" s="225">
        <f t="shared" si="82"/>
        <v>680</v>
      </c>
      <c r="EA16" s="238">
        <f t="shared" si="83"/>
        <v>40</v>
      </c>
      <c r="EB16" s="239">
        <f>(DZ16/'Finance Only'!B19)*100</f>
        <v>2.6805424156417534</v>
      </c>
      <c r="EC16" s="224">
        <f t="shared" si="84"/>
        <v>135980</v>
      </c>
      <c r="ED16" s="224">
        <v>136170</v>
      </c>
      <c r="EE16" s="225">
        <f t="shared" si="85"/>
        <v>190</v>
      </c>
      <c r="EF16" s="238">
        <f t="shared" si="86"/>
        <v>-50</v>
      </c>
      <c r="EG16" s="239">
        <f>(EE16/'Finance Only'!B19)*100</f>
        <v>0.74897508672343116</v>
      </c>
      <c r="EH16" s="224">
        <f t="shared" si="87"/>
        <v>132100</v>
      </c>
      <c r="EI16" s="224">
        <v>132400</v>
      </c>
      <c r="EJ16" s="225">
        <f t="shared" si="88"/>
        <v>300</v>
      </c>
      <c r="EK16" s="238">
        <f t="shared" si="89"/>
        <v>-30</v>
      </c>
      <c r="EL16" s="239">
        <f>(EJ16/'Finance Only'!B19)*100</f>
        <v>1.1825922421948913</v>
      </c>
      <c r="EM16" s="224">
        <f t="shared" si="90"/>
        <v>249100</v>
      </c>
      <c r="EN16" s="224">
        <v>249620</v>
      </c>
      <c r="EO16" s="225">
        <f t="shared" si="91"/>
        <v>520</v>
      </c>
      <c r="EP16" s="238">
        <f t="shared" si="92"/>
        <v>-10</v>
      </c>
      <c r="EQ16" s="239">
        <f>(EO16/'Finance Only'!B19)*100</f>
        <v>2.0498265531378115</v>
      </c>
      <c r="ER16" s="224">
        <f t="shared" si="93"/>
        <v>0</v>
      </c>
      <c r="ES16" s="224"/>
      <c r="ET16" s="225">
        <f t="shared" si="94"/>
        <v>0</v>
      </c>
      <c r="EU16" s="238">
        <f t="shared" si="95"/>
        <v>0</v>
      </c>
      <c r="EV16" s="239">
        <f>(ET16/'Finance Only'!B19)*100</f>
        <v>0</v>
      </c>
      <c r="EW16" s="224">
        <f t="shared" si="96"/>
        <v>210140</v>
      </c>
      <c r="EX16" s="224">
        <v>217980</v>
      </c>
      <c r="EY16" s="225">
        <f t="shared" si="97"/>
        <v>7840</v>
      </c>
      <c r="EZ16" s="238">
        <f t="shared" si="98"/>
        <v>4830</v>
      </c>
      <c r="FA16" s="239" t="e">
        <f>(EY16/'Finance Only'!G19)*100</f>
        <v>#DIV/0!</v>
      </c>
      <c r="FB16" s="224">
        <f t="shared" si="99"/>
        <v>52317</v>
      </c>
      <c r="FC16" s="224">
        <v>52821</v>
      </c>
      <c r="FD16" s="225">
        <f t="shared" si="100"/>
        <v>504</v>
      </c>
      <c r="FE16" s="238">
        <f t="shared" si="101"/>
        <v>176</v>
      </c>
      <c r="FF16" s="239" t="e">
        <f>(FD16/'Finance Only'!M19)*100</f>
        <v>#DIV/0!</v>
      </c>
      <c r="FG16" s="289"/>
      <c r="FH16" s="295">
        <f t="shared" si="0"/>
        <v>7212</v>
      </c>
      <c r="FI16" s="292"/>
      <c r="FJ16" s="295">
        <f t="shared" si="1"/>
        <v>6048</v>
      </c>
      <c r="FK16" s="292"/>
      <c r="FL16" s="295">
        <f t="shared" si="2"/>
        <v>1380</v>
      </c>
      <c r="FM16" s="292"/>
      <c r="FN16" s="295">
        <f t="shared" si="3"/>
        <v>2262</v>
      </c>
      <c r="FO16" s="292"/>
      <c r="FP16" s="295">
        <f t="shared" si="4"/>
        <v>1351</v>
      </c>
      <c r="FQ16" s="292"/>
      <c r="FR16" s="295">
        <f t="shared" si="5"/>
        <v>8344</v>
      </c>
      <c r="FS16" s="292"/>
    </row>
    <row r="17" spans="1:1084" s="3" customFormat="1" ht="13.5" customHeight="1" x14ac:dyDescent="0.2">
      <c r="A17" s="280">
        <v>13</v>
      </c>
      <c r="B17" s="283">
        <f>'Finance Only'!G20</f>
        <v>4600</v>
      </c>
      <c r="C17" s="278">
        <f t="shared" si="6"/>
        <v>25965368</v>
      </c>
      <c r="D17" s="222">
        <v>25968040</v>
      </c>
      <c r="E17" s="223">
        <f t="shared" si="7"/>
        <v>2672</v>
      </c>
      <c r="F17" s="234">
        <f t="shared" si="8"/>
        <v>93</v>
      </c>
      <c r="G17" s="235">
        <f>(E17/'Finance Only'!B20)*100</f>
        <v>10.108576400711232</v>
      </c>
      <c r="H17" s="246">
        <f t="shared" si="9"/>
        <v>23324108</v>
      </c>
      <c r="I17" s="222">
        <v>23328926</v>
      </c>
      <c r="J17" s="222">
        <f t="shared" si="10"/>
        <v>4818</v>
      </c>
      <c r="K17" s="247">
        <f t="shared" si="11"/>
        <v>185</v>
      </c>
      <c r="L17" s="248">
        <f>(J17/'Finance Only'!B20)*100</f>
        <v>18.227215980024969</v>
      </c>
      <c r="M17" s="230">
        <f t="shared" si="12"/>
        <v>87707699</v>
      </c>
      <c r="N17" s="224">
        <v>87721613</v>
      </c>
      <c r="O17" s="225">
        <f t="shared" si="13"/>
        <v>13914</v>
      </c>
      <c r="P17" s="238">
        <f t="shared" si="14"/>
        <v>489</v>
      </c>
      <c r="Q17" s="239">
        <f>(O17/'Finance Only'!B20)*100</f>
        <v>52.638747020769493</v>
      </c>
      <c r="R17" s="229">
        <f t="shared" si="15"/>
        <v>2290500</v>
      </c>
      <c r="S17" s="224">
        <v>2292100</v>
      </c>
      <c r="T17" s="225">
        <f t="shared" si="16"/>
        <v>1600</v>
      </c>
      <c r="U17" s="238">
        <f t="shared" si="17"/>
        <v>0</v>
      </c>
      <c r="V17" s="239">
        <f>(T17/'Finance Only'!B20)*100</f>
        <v>6.0530397609049293</v>
      </c>
      <c r="W17" s="224">
        <f t="shared" si="18"/>
        <v>3111785</v>
      </c>
      <c r="X17" s="224">
        <v>3114439</v>
      </c>
      <c r="Y17" s="225">
        <f t="shared" si="19"/>
        <v>2654</v>
      </c>
      <c r="Z17" s="238">
        <f t="shared" si="20"/>
        <v>-104</v>
      </c>
      <c r="AA17" s="239">
        <f>(Y17/'Finance Only'!B20)*100</f>
        <v>10.040479703401052</v>
      </c>
      <c r="AB17" s="224">
        <f t="shared" si="21"/>
        <v>1911300</v>
      </c>
      <c r="AC17" s="224">
        <v>1913100</v>
      </c>
      <c r="AD17" s="225">
        <f t="shared" si="22"/>
        <v>1800</v>
      </c>
      <c r="AE17" s="238">
        <f t="shared" si="23"/>
        <v>200</v>
      </c>
      <c r="AF17" s="239">
        <f>(AD17/'Finance Only'!B20)*100</f>
        <v>6.8096697310180465</v>
      </c>
      <c r="AG17" s="224">
        <f t="shared" si="24"/>
        <v>843883</v>
      </c>
      <c r="AH17" s="224">
        <v>844703</v>
      </c>
      <c r="AI17" s="225">
        <f t="shared" si="25"/>
        <v>820</v>
      </c>
      <c r="AJ17" s="238">
        <f t="shared" si="26"/>
        <v>8</v>
      </c>
      <c r="AK17" s="239">
        <f>(AI17/'Finance Only'!B20)*100</f>
        <v>3.1021828774637763</v>
      </c>
      <c r="AL17" s="224">
        <f t="shared" si="27"/>
        <v>864030</v>
      </c>
      <c r="AM17" s="224">
        <v>864630</v>
      </c>
      <c r="AN17" s="225">
        <f t="shared" si="28"/>
        <v>600</v>
      </c>
      <c r="AO17" s="238">
        <f t="shared" si="29"/>
        <v>20</v>
      </c>
      <c r="AP17" s="239">
        <f>(AN17/'Finance Only'!B20)*100</f>
        <v>2.2698899103393488</v>
      </c>
      <c r="AQ17" s="224">
        <f t="shared" si="30"/>
        <v>1934100</v>
      </c>
      <c r="AR17" s="224">
        <v>1935400</v>
      </c>
      <c r="AS17" s="225">
        <f t="shared" si="31"/>
        <v>1300</v>
      </c>
      <c r="AT17" s="238">
        <f t="shared" si="32"/>
        <v>500</v>
      </c>
      <c r="AU17" s="239">
        <f>(AS17/'Finance Only'!B20)*100</f>
        <v>4.9180948057352545</v>
      </c>
      <c r="AV17" s="224">
        <f t="shared" si="33"/>
        <v>561900</v>
      </c>
      <c r="AW17" s="224">
        <v>562362</v>
      </c>
      <c r="AX17" s="225">
        <f t="shared" si="34"/>
        <v>462</v>
      </c>
      <c r="AY17" s="238">
        <f t="shared" si="35"/>
        <v>30</v>
      </c>
      <c r="AZ17" s="239">
        <f>(AX17/'Finance Only'!B20)*100</f>
        <v>1.7478152309612984</v>
      </c>
      <c r="BA17" s="224">
        <f t="shared" si="36"/>
        <v>780170</v>
      </c>
      <c r="BB17" s="224">
        <v>781190</v>
      </c>
      <c r="BC17" s="225">
        <f t="shared" si="37"/>
        <v>1020</v>
      </c>
      <c r="BD17" s="238">
        <f t="shared" si="38"/>
        <v>30</v>
      </c>
      <c r="BE17" s="239">
        <f>(BC17/'Finance Only'!B20)*100</f>
        <v>3.8588128475768926</v>
      </c>
      <c r="BF17" s="224">
        <f t="shared" si="39"/>
        <v>873160</v>
      </c>
      <c r="BG17" s="224">
        <v>874010</v>
      </c>
      <c r="BH17" s="225">
        <f t="shared" si="40"/>
        <v>850</v>
      </c>
      <c r="BI17" s="238">
        <f t="shared" si="41"/>
        <v>10</v>
      </c>
      <c r="BJ17" s="239">
        <f>(BH17/'Finance Only'!B20)*100</f>
        <v>3.2156773729807435</v>
      </c>
      <c r="BK17" s="224">
        <f t="shared" si="42"/>
        <v>1365200</v>
      </c>
      <c r="BL17" s="224">
        <v>1366400</v>
      </c>
      <c r="BM17" s="225">
        <f t="shared" si="43"/>
        <v>1200</v>
      </c>
      <c r="BN17" s="238">
        <f t="shared" si="44"/>
        <v>0</v>
      </c>
      <c r="BO17" s="239">
        <f>(BM17/'Finance Only'!B20)*100</f>
        <v>4.5397798206786977</v>
      </c>
      <c r="BP17" s="224">
        <f t="shared" si="45"/>
        <v>83983</v>
      </c>
      <c r="BQ17" s="224">
        <v>84123</v>
      </c>
      <c r="BR17" s="225">
        <f t="shared" si="46"/>
        <v>140</v>
      </c>
      <c r="BS17" s="238">
        <f t="shared" si="47"/>
        <v>-11</v>
      </c>
      <c r="BT17" s="239">
        <f>(BR17/'Finance Only'!B20)*100</f>
        <v>0.52964097907918128</v>
      </c>
      <c r="BU17" s="224">
        <f t="shared" si="48"/>
        <v>423640</v>
      </c>
      <c r="BV17" s="224">
        <v>424060</v>
      </c>
      <c r="BW17" s="225">
        <f t="shared" si="49"/>
        <v>420</v>
      </c>
      <c r="BX17" s="238">
        <f t="shared" si="50"/>
        <v>0</v>
      </c>
      <c r="BY17" s="239">
        <f>(BW17/'Finance Only'!B20)*100</f>
        <v>1.5889229372375442</v>
      </c>
      <c r="BZ17" s="224">
        <f t="shared" si="51"/>
        <v>658930</v>
      </c>
      <c r="CA17" s="224">
        <v>660150</v>
      </c>
      <c r="CB17" s="225">
        <f t="shared" si="52"/>
        <v>1220</v>
      </c>
      <c r="CC17" s="238">
        <f t="shared" si="53"/>
        <v>-30</v>
      </c>
      <c r="CD17" s="239">
        <f>(CB17/'Finance Only'!B20)*100</f>
        <v>4.6154428176900089</v>
      </c>
      <c r="CE17" s="224">
        <f t="shared" si="54"/>
        <v>199690</v>
      </c>
      <c r="CF17" s="224">
        <v>200110</v>
      </c>
      <c r="CG17" s="225">
        <f t="shared" si="55"/>
        <v>420</v>
      </c>
      <c r="CH17" s="238">
        <f t="shared" si="56"/>
        <v>10</v>
      </c>
      <c r="CI17" s="239">
        <f>(CG17/'Finance Only'!B20)*100</f>
        <v>1.5889229372375442</v>
      </c>
      <c r="CJ17" s="225">
        <f t="shared" si="57"/>
        <v>453990</v>
      </c>
      <c r="CK17" s="225">
        <v>454810</v>
      </c>
      <c r="CL17" s="225">
        <f t="shared" si="58"/>
        <v>820</v>
      </c>
      <c r="CM17" s="238">
        <f t="shared" si="59"/>
        <v>-40</v>
      </c>
      <c r="CN17" s="239">
        <f>(CL17/'Finance Only'!B20)*100</f>
        <v>3.1021828774637763</v>
      </c>
      <c r="CO17" s="224">
        <f t="shared" si="60"/>
        <v>367450</v>
      </c>
      <c r="CP17" s="224">
        <v>368290</v>
      </c>
      <c r="CQ17" s="226">
        <f t="shared" si="61"/>
        <v>840</v>
      </c>
      <c r="CR17" s="238">
        <f t="shared" si="62"/>
        <v>90</v>
      </c>
      <c r="CS17" s="239">
        <f>(CQ17/'Finance Only'!B20)*100</f>
        <v>3.1778458744750884</v>
      </c>
      <c r="CT17" s="224">
        <f t="shared" si="63"/>
        <v>311790</v>
      </c>
      <c r="CU17" s="224">
        <v>312390</v>
      </c>
      <c r="CV17" s="225">
        <f t="shared" si="64"/>
        <v>600</v>
      </c>
      <c r="CW17" s="238">
        <f t="shared" si="65"/>
        <v>-30</v>
      </c>
      <c r="CX17" s="239">
        <f>(CV17/'Finance Only'!B20)*100</f>
        <v>2.2698899103393488</v>
      </c>
      <c r="CY17" s="224">
        <f t="shared" si="66"/>
        <v>536990</v>
      </c>
      <c r="CZ17" s="224">
        <v>538510</v>
      </c>
      <c r="DA17" s="225">
        <f t="shared" si="67"/>
        <v>1520</v>
      </c>
      <c r="DB17" s="238">
        <f t="shared" si="68"/>
        <v>80</v>
      </c>
      <c r="DC17" s="239">
        <f>(DA17/'Finance Only'!B20)*100</f>
        <v>5.7503877728596828</v>
      </c>
      <c r="DD17" s="224">
        <f t="shared" si="69"/>
        <v>403970</v>
      </c>
      <c r="DE17" s="224">
        <v>405020</v>
      </c>
      <c r="DF17" s="225">
        <f t="shared" si="70"/>
        <v>1050</v>
      </c>
      <c r="DG17" s="238">
        <f t="shared" si="71"/>
        <v>70</v>
      </c>
      <c r="DH17" s="239">
        <f>(DF17/'Finance Only'!B20)*100</f>
        <v>3.9723073430938602</v>
      </c>
      <c r="DI17" s="224">
        <f t="shared" si="72"/>
        <v>369840</v>
      </c>
      <c r="DJ17" s="224">
        <v>370800</v>
      </c>
      <c r="DK17" s="225">
        <f t="shared" si="73"/>
        <v>960</v>
      </c>
      <c r="DL17" s="238">
        <f t="shared" si="74"/>
        <v>70</v>
      </c>
      <c r="DM17" s="239">
        <f>(DK17/'Finance Only'!B20)*100</f>
        <v>3.6318238565429573</v>
      </c>
      <c r="DN17" s="224">
        <f t="shared" si="75"/>
        <v>230420</v>
      </c>
      <c r="DO17" s="224">
        <v>230620</v>
      </c>
      <c r="DP17" s="225">
        <f t="shared" si="76"/>
        <v>200</v>
      </c>
      <c r="DQ17" s="238">
        <f t="shared" si="77"/>
        <v>20</v>
      </c>
      <c r="DR17" s="239">
        <f>(DP17/'Finance Only'!B20)*100</f>
        <v>0.75662997011311617</v>
      </c>
      <c r="DS17" s="224">
        <f t="shared" si="78"/>
        <v>64373</v>
      </c>
      <c r="DT17" s="224">
        <v>64506</v>
      </c>
      <c r="DU17" s="225">
        <f t="shared" si="79"/>
        <v>133</v>
      </c>
      <c r="DV17" s="238">
        <f t="shared" si="80"/>
        <v>20</v>
      </c>
      <c r="DW17" s="239">
        <f>(DU17/'Finance Only'!B20)*100</f>
        <v>0.50315893012522228</v>
      </c>
      <c r="DX17" s="224">
        <f t="shared" si="81"/>
        <v>430890</v>
      </c>
      <c r="DY17" s="224">
        <v>431620</v>
      </c>
      <c r="DZ17" s="225">
        <f t="shared" si="82"/>
        <v>730</v>
      </c>
      <c r="EA17" s="238">
        <f t="shared" si="83"/>
        <v>50</v>
      </c>
      <c r="EB17" s="239">
        <f>(DZ17/'Finance Only'!B20)*100</f>
        <v>2.7616993909128742</v>
      </c>
      <c r="EC17" s="224">
        <f t="shared" si="84"/>
        <v>136170</v>
      </c>
      <c r="ED17" s="224">
        <v>136400</v>
      </c>
      <c r="EE17" s="225">
        <f t="shared" si="85"/>
        <v>230</v>
      </c>
      <c r="EF17" s="238">
        <f t="shared" si="86"/>
        <v>40</v>
      </c>
      <c r="EG17" s="239">
        <f>(EE17/'Finance Only'!B20)*100</f>
        <v>0.87012446563008372</v>
      </c>
      <c r="EH17" s="224">
        <f t="shared" si="87"/>
        <v>132400</v>
      </c>
      <c r="EI17" s="224">
        <v>132740</v>
      </c>
      <c r="EJ17" s="225">
        <f t="shared" si="88"/>
        <v>340</v>
      </c>
      <c r="EK17" s="238">
        <f t="shared" si="89"/>
        <v>40</v>
      </c>
      <c r="EL17" s="239">
        <f>(EJ17/'Finance Only'!B20)*100</f>
        <v>1.2862709491922975</v>
      </c>
      <c r="EM17" s="224">
        <f t="shared" si="90"/>
        <v>249620</v>
      </c>
      <c r="EN17" s="224">
        <v>250100</v>
      </c>
      <c r="EO17" s="225">
        <f t="shared" si="91"/>
        <v>480</v>
      </c>
      <c r="EP17" s="238">
        <f t="shared" si="92"/>
        <v>-40</v>
      </c>
      <c r="EQ17" s="239">
        <f>(EO17/'Finance Only'!B20)*100</f>
        <v>1.8159119282714786</v>
      </c>
      <c r="ER17" s="224">
        <f t="shared" si="93"/>
        <v>0</v>
      </c>
      <c r="ES17" s="224"/>
      <c r="ET17" s="225">
        <f t="shared" si="94"/>
        <v>0</v>
      </c>
      <c r="EU17" s="238">
        <f t="shared" si="95"/>
        <v>0</v>
      </c>
      <c r="EV17" s="239">
        <f>(ET17/'Finance Only'!B20)*100</f>
        <v>0</v>
      </c>
      <c r="EW17" s="224">
        <f t="shared" si="96"/>
        <v>217980</v>
      </c>
      <c r="EX17" s="224">
        <v>232540</v>
      </c>
      <c r="EY17" s="225">
        <f t="shared" si="97"/>
        <v>14560</v>
      </c>
      <c r="EZ17" s="238">
        <f t="shared" si="98"/>
        <v>6720</v>
      </c>
      <c r="FA17" s="239">
        <f>(EY17/'Finance Only'!G20)*100</f>
        <v>316.52173913043475</v>
      </c>
      <c r="FB17" s="224">
        <f t="shared" si="99"/>
        <v>52821</v>
      </c>
      <c r="FC17" s="224">
        <v>53217</v>
      </c>
      <c r="FD17" s="225">
        <f t="shared" si="100"/>
        <v>396</v>
      </c>
      <c r="FE17" s="238">
        <f t="shared" si="101"/>
        <v>-108</v>
      </c>
      <c r="FF17" s="239" t="e">
        <f>(FD17/'Finance Only'!M20)*100</f>
        <v>#DIV/0!</v>
      </c>
      <c r="FG17" s="289"/>
      <c r="FH17" s="295">
        <f t="shared" si="0"/>
        <v>7490</v>
      </c>
      <c r="FI17" s="292"/>
      <c r="FJ17" s="295">
        <f t="shared" si="1"/>
        <v>6034</v>
      </c>
      <c r="FK17" s="292"/>
      <c r="FL17" s="295">
        <f t="shared" si="2"/>
        <v>1900</v>
      </c>
      <c r="FM17" s="292"/>
      <c r="FN17" s="295">
        <f t="shared" si="3"/>
        <v>2332</v>
      </c>
      <c r="FO17" s="292"/>
      <c r="FP17" s="295">
        <f t="shared" si="4"/>
        <v>1340</v>
      </c>
      <c r="FQ17" s="292"/>
      <c r="FR17" s="295">
        <f t="shared" si="5"/>
        <v>14956</v>
      </c>
      <c r="FS17" s="292"/>
    </row>
    <row r="18" spans="1:1084" s="3" customFormat="1" ht="13.5" customHeight="1" x14ac:dyDescent="0.2">
      <c r="A18" s="280">
        <v>14</v>
      </c>
      <c r="B18" s="283">
        <f>'Finance Only'!G21</f>
        <v>2029</v>
      </c>
      <c r="C18" s="278">
        <f t="shared" si="6"/>
        <v>25968040</v>
      </c>
      <c r="D18" s="222">
        <v>25970526</v>
      </c>
      <c r="E18" s="223">
        <f t="shared" si="7"/>
        <v>2486</v>
      </c>
      <c r="F18" s="234">
        <f t="shared" si="8"/>
        <v>-186</v>
      </c>
      <c r="G18" s="235">
        <f>(E18/'Finance Only'!B21)*100</f>
        <v>9.3402464682897506</v>
      </c>
      <c r="H18" s="246">
        <f t="shared" si="9"/>
        <v>23328926</v>
      </c>
      <c r="I18" s="222">
        <v>23334141</v>
      </c>
      <c r="J18" s="222">
        <f t="shared" si="10"/>
        <v>5215</v>
      </c>
      <c r="K18" s="247">
        <f t="shared" si="11"/>
        <v>397</v>
      </c>
      <c r="L18" s="248">
        <f>(J18/'Finance Only'!B21)*100</f>
        <v>19.593477607454162</v>
      </c>
      <c r="M18" s="230">
        <f t="shared" si="12"/>
        <v>87721613</v>
      </c>
      <c r="N18" s="224">
        <v>87735823</v>
      </c>
      <c r="O18" s="225">
        <f t="shared" si="13"/>
        <v>14210</v>
      </c>
      <c r="P18" s="238">
        <f t="shared" si="14"/>
        <v>296</v>
      </c>
      <c r="Q18" s="239">
        <f>(O18/'Finance Only'!B21)*100</f>
        <v>53.388938984069732</v>
      </c>
      <c r="R18" s="229">
        <f t="shared" si="15"/>
        <v>2292100</v>
      </c>
      <c r="S18" s="224">
        <v>2293700</v>
      </c>
      <c r="T18" s="225">
        <f t="shared" si="16"/>
        <v>1600</v>
      </c>
      <c r="U18" s="238">
        <f t="shared" si="17"/>
        <v>0</v>
      </c>
      <c r="V18" s="239">
        <f>(T18/'Finance Only'!B21)*100</f>
        <v>6.0114217012323419</v>
      </c>
      <c r="W18" s="224">
        <f t="shared" si="18"/>
        <v>3114439</v>
      </c>
      <c r="X18" s="224">
        <v>3117111</v>
      </c>
      <c r="Y18" s="225">
        <f t="shared" si="19"/>
        <v>2672</v>
      </c>
      <c r="Z18" s="238">
        <f t="shared" si="20"/>
        <v>18</v>
      </c>
      <c r="AA18" s="239">
        <f>(Y18/'Finance Only'!B21)*100</f>
        <v>10.03907424105801</v>
      </c>
      <c r="AB18" s="224">
        <f t="shared" si="21"/>
        <v>1913100</v>
      </c>
      <c r="AC18" s="224">
        <v>1914900</v>
      </c>
      <c r="AD18" s="225">
        <f t="shared" si="22"/>
        <v>1800</v>
      </c>
      <c r="AE18" s="238">
        <f t="shared" si="23"/>
        <v>0</v>
      </c>
      <c r="AF18" s="239">
        <f>(AD18/'Finance Only'!B21)*100</f>
        <v>6.7628494138863831</v>
      </c>
      <c r="AG18" s="224">
        <f t="shared" si="24"/>
        <v>844703</v>
      </c>
      <c r="AH18" s="224">
        <v>845537</v>
      </c>
      <c r="AI18" s="225">
        <f t="shared" si="25"/>
        <v>834</v>
      </c>
      <c r="AJ18" s="238">
        <f t="shared" si="26"/>
        <v>14</v>
      </c>
      <c r="AK18" s="239">
        <f>(AI18/'Finance Only'!B21)*100</f>
        <v>3.1334535617673582</v>
      </c>
      <c r="AL18" s="224">
        <f t="shared" si="27"/>
        <v>864630</v>
      </c>
      <c r="AM18" s="224">
        <v>865270</v>
      </c>
      <c r="AN18" s="225">
        <f t="shared" si="28"/>
        <v>640</v>
      </c>
      <c r="AO18" s="238">
        <f t="shared" si="29"/>
        <v>40</v>
      </c>
      <c r="AP18" s="239">
        <f>(AN18/'Finance Only'!B21)*100</f>
        <v>2.4045686804929365</v>
      </c>
      <c r="AQ18" s="224">
        <f t="shared" si="30"/>
        <v>1935400</v>
      </c>
      <c r="AR18" s="224">
        <v>1936300</v>
      </c>
      <c r="AS18" s="225">
        <f t="shared" si="31"/>
        <v>900</v>
      </c>
      <c r="AT18" s="238">
        <f t="shared" si="32"/>
        <v>-400</v>
      </c>
      <c r="AU18" s="239">
        <f>(AS18/'Finance Only'!B21)*100</f>
        <v>3.3814247069431915</v>
      </c>
      <c r="AV18" s="224">
        <f t="shared" si="33"/>
        <v>562362</v>
      </c>
      <c r="AW18" s="224">
        <v>562831</v>
      </c>
      <c r="AX18" s="225">
        <f t="shared" si="34"/>
        <v>469</v>
      </c>
      <c r="AY18" s="238">
        <f t="shared" si="35"/>
        <v>7</v>
      </c>
      <c r="AZ18" s="239">
        <f>(AX18/'Finance Only'!B21)*100</f>
        <v>1.76209798617373</v>
      </c>
      <c r="BA18" s="224">
        <f t="shared" si="36"/>
        <v>781190</v>
      </c>
      <c r="BB18" s="224">
        <v>782180</v>
      </c>
      <c r="BC18" s="225">
        <f t="shared" si="37"/>
        <v>990</v>
      </c>
      <c r="BD18" s="238">
        <f t="shared" si="38"/>
        <v>-30</v>
      </c>
      <c r="BE18" s="239">
        <f>(BC18/'Finance Only'!B21)*100</f>
        <v>3.719567177637511</v>
      </c>
      <c r="BF18" s="224">
        <f t="shared" si="39"/>
        <v>874010</v>
      </c>
      <c r="BG18" s="224">
        <v>874900</v>
      </c>
      <c r="BH18" s="225">
        <f t="shared" si="40"/>
        <v>890</v>
      </c>
      <c r="BI18" s="238">
        <f t="shared" si="41"/>
        <v>40</v>
      </c>
      <c r="BJ18" s="239">
        <f>(BH18/'Finance Only'!B21)*100</f>
        <v>3.34385332131049</v>
      </c>
      <c r="BK18" s="224">
        <f t="shared" si="42"/>
        <v>1366400</v>
      </c>
      <c r="BL18" s="224">
        <v>1367800</v>
      </c>
      <c r="BM18" s="225">
        <f t="shared" si="43"/>
        <v>1400</v>
      </c>
      <c r="BN18" s="238">
        <f t="shared" si="44"/>
        <v>200</v>
      </c>
      <c r="BO18" s="239">
        <f>(BM18/'Finance Only'!B21)*100</f>
        <v>5.2599939885782989</v>
      </c>
      <c r="BP18" s="224">
        <f t="shared" si="45"/>
        <v>84123</v>
      </c>
      <c r="BQ18" s="224">
        <v>84303</v>
      </c>
      <c r="BR18" s="225">
        <f t="shared" si="46"/>
        <v>180</v>
      </c>
      <c r="BS18" s="238">
        <f t="shared" si="47"/>
        <v>40</v>
      </c>
      <c r="BT18" s="239">
        <f>(BR18/'Finance Only'!B21)*100</f>
        <v>0.67628494138863837</v>
      </c>
      <c r="BU18" s="224">
        <f t="shared" si="48"/>
        <v>424060</v>
      </c>
      <c r="BV18" s="224">
        <v>424530</v>
      </c>
      <c r="BW18" s="225">
        <f t="shared" si="49"/>
        <v>470</v>
      </c>
      <c r="BX18" s="238">
        <f t="shared" si="50"/>
        <v>50</v>
      </c>
      <c r="BY18" s="239">
        <f>(BW18/'Finance Only'!B21)*100</f>
        <v>1.7658551247370005</v>
      </c>
      <c r="BZ18" s="224">
        <f t="shared" si="51"/>
        <v>660150</v>
      </c>
      <c r="CA18" s="224">
        <v>661390</v>
      </c>
      <c r="CB18" s="225">
        <f t="shared" si="52"/>
        <v>1240</v>
      </c>
      <c r="CC18" s="238">
        <f t="shared" si="53"/>
        <v>20</v>
      </c>
      <c r="CD18" s="239">
        <f>(CB18/'Finance Only'!B21)*100</f>
        <v>4.6588518184550649</v>
      </c>
      <c r="CE18" s="224">
        <f t="shared" si="54"/>
        <v>200110</v>
      </c>
      <c r="CF18" s="224">
        <v>200540</v>
      </c>
      <c r="CG18" s="225">
        <f t="shared" si="55"/>
        <v>430</v>
      </c>
      <c r="CH18" s="238">
        <f t="shared" si="56"/>
        <v>10</v>
      </c>
      <c r="CI18" s="239">
        <f>(CG18/'Finance Only'!B21)*100</f>
        <v>1.6155695822061915</v>
      </c>
      <c r="CJ18" s="225">
        <f t="shared" si="57"/>
        <v>454810</v>
      </c>
      <c r="CK18" s="225">
        <v>455860</v>
      </c>
      <c r="CL18" s="225">
        <f t="shared" si="58"/>
        <v>1050</v>
      </c>
      <c r="CM18" s="238">
        <f t="shared" si="59"/>
        <v>230</v>
      </c>
      <c r="CN18" s="239">
        <f>(CL18/'Finance Only'!B21)*100</f>
        <v>3.944995491433724</v>
      </c>
      <c r="CO18" s="224">
        <f t="shared" si="60"/>
        <v>368290</v>
      </c>
      <c r="CP18" s="224">
        <v>369200</v>
      </c>
      <c r="CQ18" s="226">
        <f t="shared" si="61"/>
        <v>910</v>
      </c>
      <c r="CR18" s="238">
        <f t="shared" si="62"/>
        <v>70</v>
      </c>
      <c r="CS18" s="239">
        <f>(CQ18/'Finance Only'!B21)*100</f>
        <v>3.418996092575894</v>
      </c>
      <c r="CT18" s="224">
        <f t="shared" si="63"/>
        <v>312390</v>
      </c>
      <c r="CU18" s="224">
        <v>313060</v>
      </c>
      <c r="CV18" s="225">
        <f t="shared" si="64"/>
        <v>670</v>
      </c>
      <c r="CW18" s="238">
        <f t="shared" si="65"/>
        <v>70</v>
      </c>
      <c r="CX18" s="239">
        <f>(CV18/'Finance Only'!B21)*100</f>
        <v>2.517282837391043</v>
      </c>
      <c r="CY18" s="224">
        <f t="shared" si="66"/>
        <v>538510</v>
      </c>
      <c r="CZ18" s="224">
        <v>539990</v>
      </c>
      <c r="DA18" s="225">
        <f t="shared" si="67"/>
        <v>1480</v>
      </c>
      <c r="DB18" s="238">
        <f t="shared" si="68"/>
        <v>-40</v>
      </c>
      <c r="DC18" s="239">
        <f>(DA18/'Finance Only'!B21)*100</f>
        <v>5.5605650736399159</v>
      </c>
      <c r="DD18" s="224">
        <f t="shared" si="69"/>
        <v>405020</v>
      </c>
      <c r="DE18" s="224">
        <v>406030</v>
      </c>
      <c r="DF18" s="225">
        <f t="shared" si="70"/>
        <v>1010</v>
      </c>
      <c r="DG18" s="238">
        <f t="shared" si="71"/>
        <v>-40</v>
      </c>
      <c r="DH18" s="239">
        <f>(DF18/'Finance Only'!B21)*100</f>
        <v>3.7947099489029155</v>
      </c>
      <c r="DI18" s="224">
        <f t="shared" si="72"/>
        <v>370800</v>
      </c>
      <c r="DJ18" s="224">
        <v>371810</v>
      </c>
      <c r="DK18" s="225">
        <f t="shared" si="73"/>
        <v>1010</v>
      </c>
      <c r="DL18" s="238">
        <f t="shared" si="74"/>
        <v>50</v>
      </c>
      <c r="DM18" s="239">
        <f>(DK18/'Finance Only'!B21)*100</f>
        <v>3.7947099489029155</v>
      </c>
      <c r="DN18" s="224">
        <f t="shared" si="75"/>
        <v>230620</v>
      </c>
      <c r="DO18" s="224">
        <v>230820</v>
      </c>
      <c r="DP18" s="225">
        <f t="shared" si="76"/>
        <v>200</v>
      </c>
      <c r="DQ18" s="238">
        <f t="shared" si="77"/>
        <v>0</v>
      </c>
      <c r="DR18" s="239">
        <f>(DP18/'Finance Only'!B21)*100</f>
        <v>0.75142771265404273</v>
      </c>
      <c r="DS18" s="224">
        <f t="shared" si="78"/>
        <v>64506</v>
      </c>
      <c r="DT18" s="224">
        <v>64632</v>
      </c>
      <c r="DU18" s="225">
        <f t="shared" si="79"/>
        <v>126</v>
      </c>
      <c r="DV18" s="238">
        <f t="shared" si="80"/>
        <v>-7</v>
      </c>
      <c r="DW18" s="239">
        <f>(DU18/'Finance Only'!B21)*100</f>
        <v>0.47339945897204688</v>
      </c>
      <c r="DX18" s="224">
        <f t="shared" si="81"/>
        <v>431620</v>
      </c>
      <c r="DY18" s="224">
        <v>432300</v>
      </c>
      <c r="DZ18" s="225">
        <f t="shared" si="82"/>
        <v>680</v>
      </c>
      <c r="EA18" s="238">
        <f t="shared" si="83"/>
        <v>-50</v>
      </c>
      <c r="EB18" s="239">
        <f>(DZ18/'Finance Only'!B21)*100</f>
        <v>2.554854223023745</v>
      </c>
      <c r="EC18" s="224">
        <f t="shared" si="84"/>
        <v>136400</v>
      </c>
      <c r="ED18" s="224">
        <v>136620</v>
      </c>
      <c r="EE18" s="225">
        <f t="shared" si="85"/>
        <v>220</v>
      </c>
      <c r="EF18" s="238">
        <f t="shared" si="86"/>
        <v>-10</v>
      </c>
      <c r="EG18" s="239">
        <f>(EE18/'Finance Only'!B21)*100</f>
        <v>0.82657048391944699</v>
      </c>
      <c r="EH18" s="224">
        <f t="shared" si="87"/>
        <v>132740</v>
      </c>
      <c r="EI18" s="224">
        <v>133090</v>
      </c>
      <c r="EJ18" s="225">
        <f t="shared" si="88"/>
        <v>350</v>
      </c>
      <c r="EK18" s="238">
        <f t="shared" si="89"/>
        <v>10</v>
      </c>
      <c r="EL18" s="239">
        <f>(EJ18/'Finance Only'!B21)*100</f>
        <v>1.3149984971445747</v>
      </c>
      <c r="EM18" s="224">
        <f t="shared" si="90"/>
        <v>250100</v>
      </c>
      <c r="EN18" s="224">
        <v>250860</v>
      </c>
      <c r="EO18" s="225">
        <f t="shared" si="91"/>
        <v>760</v>
      </c>
      <c r="EP18" s="238">
        <f t="shared" si="92"/>
        <v>280</v>
      </c>
      <c r="EQ18" s="239">
        <f>(EO18/'Finance Only'!B21)*100</f>
        <v>2.855425308085362</v>
      </c>
      <c r="ER18" s="224">
        <f t="shared" si="93"/>
        <v>0</v>
      </c>
      <c r="ES18" s="224"/>
      <c r="ET18" s="225">
        <f t="shared" si="94"/>
        <v>0</v>
      </c>
      <c r="EU18" s="238">
        <f t="shared" si="95"/>
        <v>0</v>
      </c>
      <c r="EV18" s="239">
        <f>(ET18/'Finance Only'!B21)*100</f>
        <v>0</v>
      </c>
      <c r="EW18" s="224">
        <f t="shared" si="96"/>
        <v>232540</v>
      </c>
      <c r="EX18" s="224">
        <v>239660</v>
      </c>
      <c r="EY18" s="225">
        <f t="shared" si="97"/>
        <v>7120</v>
      </c>
      <c r="EZ18" s="238">
        <f t="shared" si="98"/>
        <v>-7440</v>
      </c>
      <c r="FA18" s="239">
        <f>(EY18/'Finance Only'!G21)*100</f>
        <v>350.91177920157713</v>
      </c>
      <c r="FB18" s="224">
        <f t="shared" si="99"/>
        <v>53217</v>
      </c>
      <c r="FC18" s="224">
        <v>53567</v>
      </c>
      <c r="FD18" s="225">
        <f t="shared" si="100"/>
        <v>350</v>
      </c>
      <c r="FE18" s="238">
        <f t="shared" si="101"/>
        <v>-46</v>
      </c>
      <c r="FF18" s="239" t="e">
        <f>(FD18/'Finance Only'!M21)*100</f>
        <v>#DIV/0!</v>
      </c>
      <c r="FG18" s="289"/>
      <c r="FH18" s="295">
        <f t="shared" si="0"/>
        <v>7701</v>
      </c>
      <c r="FI18" s="292"/>
      <c r="FJ18" s="295">
        <f t="shared" si="1"/>
        <v>6282</v>
      </c>
      <c r="FK18" s="292"/>
      <c r="FL18" s="295">
        <f t="shared" si="2"/>
        <v>1540</v>
      </c>
      <c r="FM18" s="292"/>
      <c r="FN18" s="295">
        <f t="shared" si="3"/>
        <v>2349</v>
      </c>
      <c r="FO18" s="292"/>
      <c r="FP18" s="295">
        <f t="shared" si="4"/>
        <v>1580</v>
      </c>
      <c r="FQ18" s="292"/>
      <c r="FR18" s="295">
        <f t="shared" si="5"/>
        <v>7470</v>
      </c>
      <c r="FS18" s="292"/>
    </row>
    <row r="19" spans="1:1084" s="3" customFormat="1" ht="13.5" customHeight="1" x14ac:dyDescent="0.2">
      <c r="A19" s="280">
        <v>15</v>
      </c>
      <c r="B19" s="283">
        <f>'Finance Only'!G22</f>
        <v>63</v>
      </c>
      <c r="C19" s="278">
        <f t="shared" si="6"/>
        <v>25970526</v>
      </c>
      <c r="D19" s="222">
        <v>25973144</v>
      </c>
      <c r="E19" s="223">
        <f t="shared" si="7"/>
        <v>2618</v>
      </c>
      <c r="F19" s="234">
        <f t="shared" si="8"/>
        <v>132</v>
      </c>
      <c r="G19" s="235">
        <f>(E19/'Finance Only'!B22)*100</f>
        <v>9.5610254911985972</v>
      </c>
      <c r="H19" s="246">
        <f t="shared" si="9"/>
        <v>23334141</v>
      </c>
      <c r="I19" s="222">
        <v>23339727</v>
      </c>
      <c r="J19" s="222">
        <f t="shared" si="10"/>
        <v>5586</v>
      </c>
      <c r="K19" s="247">
        <f t="shared" si="11"/>
        <v>371</v>
      </c>
      <c r="L19" s="248">
        <f>(J19/'Finance Only'!B22)*100</f>
        <v>20.400262946461179</v>
      </c>
      <c r="M19" s="230">
        <f t="shared" si="12"/>
        <v>87735823</v>
      </c>
      <c r="N19" s="224">
        <v>87749809</v>
      </c>
      <c r="O19" s="225">
        <f t="shared" si="13"/>
        <v>13986</v>
      </c>
      <c r="P19" s="238">
        <f t="shared" si="14"/>
        <v>-224</v>
      </c>
      <c r="Q19" s="239">
        <f>(O19/'Finance Only'!B22)*100</f>
        <v>51.077350083996784</v>
      </c>
      <c r="R19" s="229">
        <f t="shared" si="15"/>
        <v>2293700</v>
      </c>
      <c r="S19" s="224">
        <v>2295400</v>
      </c>
      <c r="T19" s="225">
        <f t="shared" si="16"/>
        <v>1700</v>
      </c>
      <c r="U19" s="238">
        <f t="shared" si="17"/>
        <v>100</v>
      </c>
      <c r="V19" s="239">
        <f>(T19/'Finance Only'!B22)*100</f>
        <v>6.2084581111679205</v>
      </c>
      <c r="W19" s="224">
        <f t="shared" si="18"/>
        <v>3117111</v>
      </c>
      <c r="X19" s="224">
        <v>3119987</v>
      </c>
      <c r="Y19" s="225">
        <f t="shared" si="19"/>
        <v>2876</v>
      </c>
      <c r="Z19" s="238">
        <f t="shared" si="20"/>
        <v>204</v>
      </c>
      <c r="AA19" s="239">
        <f>(Y19/'Finance Only'!B22)*100</f>
        <v>10.503250310422905</v>
      </c>
      <c r="AB19" s="224">
        <f t="shared" si="21"/>
        <v>1914900</v>
      </c>
      <c r="AC19" s="224">
        <v>1916600</v>
      </c>
      <c r="AD19" s="225">
        <f t="shared" si="22"/>
        <v>1700</v>
      </c>
      <c r="AE19" s="238">
        <f t="shared" si="23"/>
        <v>-100</v>
      </c>
      <c r="AF19" s="239">
        <f>(AD19/'Finance Only'!B22)*100</f>
        <v>6.2084581111679205</v>
      </c>
      <c r="AG19" s="224">
        <f t="shared" si="24"/>
        <v>845537</v>
      </c>
      <c r="AH19" s="224">
        <v>846382</v>
      </c>
      <c r="AI19" s="225">
        <f t="shared" si="25"/>
        <v>845</v>
      </c>
      <c r="AJ19" s="238">
        <f t="shared" si="26"/>
        <v>11</v>
      </c>
      <c r="AK19" s="239">
        <f>(AI19/'Finance Only'!B22)*100</f>
        <v>3.0859688846687607</v>
      </c>
      <c r="AL19" s="224">
        <f t="shared" si="27"/>
        <v>865270</v>
      </c>
      <c r="AM19" s="224">
        <v>865980</v>
      </c>
      <c r="AN19" s="225">
        <f t="shared" si="28"/>
        <v>710</v>
      </c>
      <c r="AO19" s="238">
        <f t="shared" si="29"/>
        <v>70</v>
      </c>
      <c r="AP19" s="239">
        <f>(AN19/'Finance Only'!B22)*100</f>
        <v>2.5929442699583669</v>
      </c>
      <c r="AQ19" s="224">
        <f t="shared" si="30"/>
        <v>1936300</v>
      </c>
      <c r="AR19" s="224">
        <v>1937500</v>
      </c>
      <c r="AS19" s="225">
        <f t="shared" si="31"/>
        <v>1200</v>
      </c>
      <c r="AT19" s="238">
        <f t="shared" si="32"/>
        <v>300</v>
      </c>
      <c r="AU19" s="239">
        <f>(AS19/'Finance Only'!B22)*100</f>
        <v>4.3824410196479437</v>
      </c>
      <c r="AV19" s="224">
        <f t="shared" si="33"/>
        <v>562831</v>
      </c>
      <c r="AW19" s="224">
        <v>563296</v>
      </c>
      <c r="AX19" s="225">
        <f t="shared" si="34"/>
        <v>465</v>
      </c>
      <c r="AY19" s="238">
        <f t="shared" si="35"/>
        <v>-4</v>
      </c>
      <c r="AZ19" s="239">
        <f>(AX19/'Finance Only'!B22)*100</f>
        <v>1.6981958951135783</v>
      </c>
      <c r="BA19" s="224">
        <f t="shared" si="36"/>
        <v>782180</v>
      </c>
      <c r="BB19" s="224">
        <v>783170</v>
      </c>
      <c r="BC19" s="225">
        <f t="shared" si="37"/>
        <v>990</v>
      </c>
      <c r="BD19" s="238">
        <f t="shared" si="38"/>
        <v>0</v>
      </c>
      <c r="BE19" s="239">
        <f>(BC19/'Finance Only'!B22)*100</f>
        <v>3.6155138412095535</v>
      </c>
      <c r="BF19" s="224">
        <f t="shared" si="39"/>
        <v>874900</v>
      </c>
      <c r="BG19" s="224">
        <v>875790</v>
      </c>
      <c r="BH19" s="225">
        <f t="shared" si="40"/>
        <v>890</v>
      </c>
      <c r="BI19" s="238">
        <f t="shared" si="41"/>
        <v>0</v>
      </c>
      <c r="BJ19" s="239">
        <f>(BH19/'Finance Only'!B22)*100</f>
        <v>3.2503104229055584</v>
      </c>
      <c r="BK19" s="224">
        <f t="shared" si="42"/>
        <v>1367800</v>
      </c>
      <c r="BL19" s="224">
        <v>1369100</v>
      </c>
      <c r="BM19" s="225">
        <f t="shared" si="43"/>
        <v>1300</v>
      </c>
      <c r="BN19" s="238">
        <f t="shared" si="44"/>
        <v>-100</v>
      </c>
      <c r="BO19" s="239">
        <f>(BM19/'Finance Only'!B22)*100</f>
        <v>4.7476444379519398</v>
      </c>
      <c r="BP19" s="224">
        <f t="shared" si="45"/>
        <v>84303</v>
      </c>
      <c r="BQ19" s="224">
        <v>84445</v>
      </c>
      <c r="BR19" s="225">
        <f t="shared" si="46"/>
        <v>142</v>
      </c>
      <c r="BS19" s="238">
        <f t="shared" si="47"/>
        <v>-38</v>
      </c>
      <c r="BT19" s="239">
        <f>(BR19/'Finance Only'!B22)*100</f>
        <v>0.51858885399167332</v>
      </c>
      <c r="BU19" s="224">
        <f t="shared" si="48"/>
        <v>424530</v>
      </c>
      <c r="BV19" s="224">
        <v>424970</v>
      </c>
      <c r="BW19" s="225">
        <f t="shared" si="49"/>
        <v>440</v>
      </c>
      <c r="BX19" s="238">
        <f t="shared" si="50"/>
        <v>-30</v>
      </c>
      <c r="BY19" s="239">
        <f>(BW19/'Finance Only'!B22)*100</f>
        <v>1.6068950405375795</v>
      </c>
      <c r="BZ19" s="224">
        <f t="shared" si="51"/>
        <v>661390</v>
      </c>
      <c r="CA19" s="224">
        <v>662680</v>
      </c>
      <c r="CB19" s="225">
        <f t="shared" si="52"/>
        <v>1290</v>
      </c>
      <c r="CC19" s="238">
        <f t="shared" si="53"/>
        <v>50</v>
      </c>
      <c r="CD19" s="239">
        <f>(CB19/'Finance Only'!B22)*100</f>
        <v>4.7111240961215399</v>
      </c>
      <c r="CE19" s="224">
        <f t="shared" si="54"/>
        <v>200540</v>
      </c>
      <c r="CF19" s="224">
        <v>200970</v>
      </c>
      <c r="CG19" s="225">
        <f t="shared" si="55"/>
        <v>430</v>
      </c>
      <c r="CH19" s="238">
        <f t="shared" si="56"/>
        <v>0</v>
      </c>
      <c r="CI19" s="239">
        <f>(CG19/'Finance Only'!B22)*100</f>
        <v>1.5703746987071801</v>
      </c>
      <c r="CJ19" s="225">
        <f t="shared" si="57"/>
        <v>455860</v>
      </c>
      <c r="CK19" s="225">
        <v>456910</v>
      </c>
      <c r="CL19" s="225">
        <f t="shared" si="58"/>
        <v>1050</v>
      </c>
      <c r="CM19" s="238">
        <f t="shared" si="59"/>
        <v>0</v>
      </c>
      <c r="CN19" s="239">
        <f>(CL19/'Finance Only'!B22)*100</f>
        <v>3.834635892191951</v>
      </c>
      <c r="CO19" s="224">
        <f t="shared" si="60"/>
        <v>369200</v>
      </c>
      <c r="CP19" s="224">
        <v>370220</v>
      </c>
      <c r="CQ19" s="226">
        <f t="shared" si="61"/>
        <v>1020</v>
      </c>
      <c r="CR19" s="238">
        <f t="shared" si="62"/>
        <v>110</v>
      </c>
      <c r="CS19" s="239">
        <f>(CQ19/'Finance Only'!B22)*100</f>
        <v>3.7250748667007527</v>
      </c>
      <c r="CT19" s="224">
        <f t="shared" si="63"/>
        <v>313060</v>
      </c>
      <c r="CU19" s="224">
        <v>313830</v>
      </c>
      <c r="CV19" s="225">
        <f t="shared" si="64"/>
        <v>770</v>
      </c>
      <c r="CW19" s="238">
        <f t="shared" si="65"/>
        <v>100</v>
      </c>
      <c r="CX19" s="239">
        <f>(CV19/'Finance Only'!B22)*100</f>
        <v>2.8120663209407639</v>
      </c>
      <c r="CY19" s="224">
        <f t="shared" si="66"/>
        <v>539990</v>
      </c>
      <c r="CZ19" s="224">
        <v>541690</v>
      </c>
      <c r="DA19" s="225">
        <f t="shared" si="67"/>
        <v>1700</v>
      </c>
      <c r="DB19" s="238">
        <f t="shared" si="68"/>
        <v>220</v>
      </c>
      <c r="DC19" s="239">
        <f>(DA19/'Finance Only'!B22)*100</f>
        <v>6.2084581111679205</v>
      </c>
      <c r="DD19" s="224">
        <f t="shared" si="69"/>
        <v>406030</v>
      </c>
      <c r="DE19" s="224">
        <v>407010</v>
      </c>
      <c r="DF19" s="225">
        <f t="shared" si="70"/>
        <v>980</v>
      </c>
      <c r="DG19" s="238">
        <f t="shared" si="71"/>
        <v>-30</v>
      </c>
      <c r="DH19" s="239">
        <f>(DF19/'Finance Only'!B22)*100</f>
        <v>3.5789934993791546</v>
      </c>
      <c r="DI19" s="224">
        <f t="shared" si="72"/>
        <v>371810</v>
      </c>
      <c r="DJ19" s="224">
        <v>373000</v>
      </c>
      <c r="DK19" s="225">
        <f t="shared" si="73"/>
        <v>1190</v>
      </c>
      <c r="DL19" s="238">
        <f t="shared" si="74"/>
        <v>180</v>
      </c>
      <c r="DM19" s="239">
        <f>(DK19/'Finance Only'!B22)*100</f>
        <v>4.3459206778175439</v>
      </c>
      <c r="DN19" s="224">
        <f t="shared" si="75"/>
        <v>230820</v>
      </c>
      <c r="DO19" s="224">
        <v>231050</v>
      </c>
      <c r="DP19" s="225">
        <f t="shared" si="76"/>
        <v>230</v>
      </c>
      <c r="DQ19" s="238">
        <f t="shared" si="77"/>
        <v>30</v>
      </c>
      <c r="DR19" s="239">
        <f>(DP19/'Finance Only'!B22)*100</f>
        <v>0.83996786209918928</v>
      </c>
      <c r="DS19" s="224">
        <f t="shared" si="78"/>
        <v>64632</v>
      </c>
      <c r="DT19" s="224">
        <v>64769</v>
      </c>
      <c r="DU19" s="225">
        <f t="shared" si="79"/>
        <v>137</v>
      </c>
      <c r="DV19" s="238">
        <f t="shared" si="80"/>
        <v>11</v>
      </c>
      <c r="DW19" s="239">
        <f>(DU19/'Finance Only'!B22)*100</f>
        <v>0.5003286830764736</v>
      </c>
      <c r="DX19" s="224">
        <f t="shared" si="81"/>
        <v>432300</v>
      </c>
      <c r="DY19" s="224">
        <v>433020</v>
      </c>
      <c r="DZ19" s="225">
        <f t="shared" si="82"/>
        <v>720</v>
      </c>
      <c r="EA19" s="238">
        <f t="shared" si="83"/>
        <v>40</v>
      </c>
      <c r="EB19" s="239">
        <f>(DZ19/'Finance Only'!B22)*100</f>
        <v>2.6294646117887663</v>
      </c>
      <c r="EC19" s="224">
        <f t="shared" si="84"/>
        <v>136620</v>
      </c>
      <c r="ED19" s="224">
        <v>136860</v>
      </c>
      <c r="EE19" s="225">
        <f t="shared" si="85"/>
        <v>240</v>
      </c>
      <c r="EF19" s="238">
        <f t="shared" si="86"/>
        <v>20</v>
      </c>
      <c r="EG19" s="239">
        <f>(EE19/'Finance Only'!B22)*100</f>
        <v>0.87648820392958871</v>
      </c>
      <c r="EH19" s="224">
        <f t="shared" si="87"/>
        <v>133090</v>
      </c>
      <c r="EI19" s="224">
        <v>133310</v>
      </c>
      <c r="EJ19" s="225">
        <f t="shared" si="88"/>
        <v>220</v>
      </c>
      <c r="EK19" s="238">
        <f t="shared" si="89"/>
        <v>-130</v>
      </c>
      <c r="EL19" s="239">
        <f>(EJ19/'Finance Only'!B22)*100</f>
        <v>0.80344752026878974</v>
      </c>
      <c r="EM19" s="224">
        <f t="shared" si="90"/>
        <v>250860</v>
      </c>
      <c r="EN19" s="224">
        <v>251050</v>
      </c>
      <c r="EO19" s="225">
        <f t="shared" si="91"/>
        <v>190</v>
      </c>
      <c r="EP19" s="238">
        <f t="shared" si="92"/>
        <v>-570</v>
      </c>
      <c r="EQ19" s="239">
        <f>(EO19/'Finance Only'!B22)*100</f>
        <v>0.69388649477759112</v>
      </c>
      <c r="ER19" s="224">
        <f t="shared" si="93"/>
        <v>0</v>
      </c>
      <c r="ES19" s="224"/>
      <c r="ET19" s="225">
        <f t="shared" si="94"/>
        <v>0</v>
      </c>
      <c r="EU19" s="238">
        <f t="shared" si="95"/>
        <v>0</v>
      </c>
      <c r="EV19" s="239">
        <f>(ET19/'Finance Only'!B22)*100</f>
        <v>0</v>
      </c>
      <c r="EW19" s="224">
        <f t="shared" si="96"/>
        <v>239660</v>
      </c>
      <c r="EX19" s="224">
        <v>242440</v>
      </c>
      <c r="EY19" s="225">
        <f t="shared" si="97"/>
        <v>2780</v>
      </c>
      <c r="EZ19" s="238">
        <f t="shared" si="98"/>
        <v>-4340</v>
      </c>
      <c r="FA19" s="239">
        <f>(EY19/'Finance Only'!G22)*100</f>
        <v>4412.6984126984125</v>
      </c>
      <c r="FB19" s="224">
        <f t="shared" si="99"/>
        <v>53567</v>
      </c>
      <c r="FC19" s="224">
        <v>53862</v>
      </c>
      <c r="FD19" s="225">
        <f t="shared" si="100"/>
        <v>295</v>
      </c>
      <c r="FE19" s="238">
        <f t="shared" si="101"/>
        <v>-55</v>
      </c>
      <c r="FF19" s="239" t="e">
        <f>(FD19/'Finance Only'!M22)*100</f>
        <v>#DIV/0!</v>
      </c>
      <c r="FG19" s="289"/>
      <c r="FH19" s="295">
        <f t="shared" si="0"/>
        <v>8204</v>
      </c>
      <c r="FI19" s="292"/>
      <c r="FJ19" s="295">
        <f t="shared" si="1"/>
        <v>5946</v>
      </c>
      <c r="FK19" s="292"/>
      <c r="FL19" s="295">
        <f t="shared" si="2"/>
        <v>1910</v>
      </c>
      <c r="FM19" s="292"/>
      <c r="FN19" s="295">
        <f t="shared" si="3"/>
        <v>2345</v>
      </c>
      <c r="FO19" s="292"/>
      <c r="FP19" s="295">
        <f t="shared" si="4"/>
        <v>1442</v>
      </c>
      <c r="FQ19" s="292"/>
      <c r="FR19" s="295">
        <f t="shared" si="5"/>
        <v>3075</v>
      </c>
      <c r="FS19" s="292"/>
    </row>
    <row r="20" spans="1:1084" s="3" customFormat="1" ht="13.5" customHeight="1" x14ac:dyDescent="0.2">
      <c r="A20" s="280">
        <v>16</v>
      </c>
      <c r="B20" s="283">
        <f>'Finance Only'!G23</f>
        <v>0</v>
      </c>
      <c r="C20" s="278">
        <f t="shared" si="6"/>
        <v>25973144</v>
      </c>
      <c r="D20" s="222">
        <v>25975731</v>
      </c>
      <c r="E20" s="223">
        <f t="shared" si="7"/>
        <v>2587</v>
      </c>
      <c r="F20" s="234">
        <f t="shared" si="8"/>
        <v>-31</v>
      </c>
      <c r="G20" s="235">
        <f>(E20/'Finance Only'!B23)*100</f>
        <v>9.4581749049429664</v>
      </c>
      <c r="H20" s="246">
        <f t="shared" si="9"/>
        <v>23339727</v>
      </c>
      <c r="I20" s="222">
        <v>23345236</v>
      </c>
      <c r="J20" s="222">
        <f t="shared" si="10"/>
        <v>5509</v>
      </c>
      <c r="K20" s="247">
        <f t="shared" si="11"/>
        <v>-77</v>
      </c>
      <c r="L20" s="248">
        <f>(J20/'Finance Only'!B23)*100</f>
        <v>20.141123135419715</v>
      </c>
      <c r="M20" s="230">
        <f t="shared" si="12"/>
        <v>87749809</v>
      </c>
      <c r="N20" s="224">
        <v>87764002</v>
      </c>
      <c r="O20" s="225">
        <f t="shared" si="13"/>
        <v>14193</v>
      </c>
      <c r="P20" s="238">
        <f t="shared" si="14"/>
        <v>207</v>
      </c>
      <c r="Q20" s="239">
        <f>(O20/'Finance Only'!B23)*100</f>
        <v>51.890172565077506</v>
      </c>
      <c r="R20" s="229">
        <f t="shared" si="15"/>
        <v>2295400</v>
      </c>
      <c r="S20" s="224">
        <v>2297100</v>
      </c>
      <c r="T20" s="225">
        <f t="shared" si="16"/>
        <v>1700</v>
      </c>
      <c r="U20" s="238">
        <f t="shared" si="17"/>
        <v>0</v>
      </c>
      <c r="V20" s="239">
        <f>(T20/'Finance Only'!B23)*100</f>
        <v>6.2152676221117291</v>
      </c>
      <c r="W20" s="224">
        <f t="shared" si="18"/>
        <v>3119987</v>
      </c>
      <c r="X20" s="224">
        <v>3122767</v>
      </c>
      <c r="Y20" s="225">
        <f t="shared" si="19"/>
        <v>2780</v>
      </c>
      <c r="Z20" s="238">
        <f t="shared" si="20"/>
        <v>-96</v>
      </c>
      <c r="AA20" s="239">
        <f>(Y20/'Finance Only'!B23)*100</f>
        <v>10.163790582041532</v>
      </c>
      <c r="AB20" s="224">
        <f t="shared" si="21"/>
        <v>1916600</v>
      </c>
      <c r="AC20" s="224">
        <v>1918700</v>
      </c>
      <c r="AD20" s="225">
        <f t="shared" si="22"/>
        <v>2100</v>
      </c>
      <c r="AE20" s="238">
        <f t="shared" si="23"/>
        <v>400</v>
      </c>
      <c r="AF20" s="239">
        <f>(AD20/'Finance Only'!B23)*100</f>
        <v>7.6776835331968414</v>
      </c>
      <c r="AG20" s="224">
        <f t="shared" si="24"/>
        <v>846382</v>
      </c>
      <c r="AH20" s="224">
        <v>847267</v>
      </c>
      <c r="AI20" s="225">
        <f t="shared" si="25"/>
        <v>885</v>
      </c>
      <c r="AJ20" s="238">
        <f t="shared" si="26"/>
        <v>40</v>
      </c>
      <c r="AK20" s="239">
        <f>(AI20/'Finance Only'!B23)*100</f>
        <v>3.2355952032758117</v>
      </c>
      <c r="AL20" s="224">
        <f t="shared" si="27"/>
        <v>865980</v>
      </c>
      <c r="AM20" s="224">
        <v>866580</v>
      </c>
      <c r="AN20" s="225">
        <f t="shared" si="28"/>
        <v>600</v>
      </c>
      <c r="AO20" s="238">
        <f t="shared" si="29"/>
        <v>-110</v>
      </c>
      <c r="AP20" s="239">
        <f>(AN20/'Finance Only'!B23)*100</f>
        <v>2.1936238666276688</v>
      </c>
      <c r="AQ20" s="224">
        <f t="shared" si="30"/>
        <v>1937500</v>
      </c>
      <c r="AR20" s="224">
        <v>1938600</v>
      </c>
      <c r="AS20" s="225">
        <f t="shared" si="31"/>
        <v>1100</v>
      </c>
      <c r="AT20" s="238">
        <f t="shared" si="32"/>
        <v>-100</v>
      </c>
      <c r="AU20" s="239">
        <f>(AS20/'Finance Only'!B23)*100</f>
        <v>4.0216437554840594</v>
      </c>
      <c r="AV20" s="224">
        <f t="shared" si="33"/>
        <v>563296</v>
      </c>
      <c r="AW20" s="224">
        <v>563741</v>
      </c>
      <c r="AX20" s="225">
        <f t="shared" si="34"/>
        <v>445</v>
      </c>
      <c r="AY20" s="238">
        <f t="shared" si="35"/>
        <v>-20</v>
      </c>
      <c r="AZ20" s="239">
        <f>(AX20/'Finance Only'!B23)*100</f>
        <v>1.6269377010821877</v>
      </c>
      <c r="BA20" s="224">
        <f t="shared" si="36"/>
        <v>783170</v>
      </c>
      <c r="BB20" s="224">
        <v>784140</v>
      </c>
      <c r="BC20" s="225">
        <f t="shared" si="37"/>
        <v>970</v>
      </c>
      <c r="BD20" s="238">
        <f t="shared" si="38"/>
        <v>-20</v>
      </c>
      <c r="BE20" s="239">
        <f>(BC20/'Finance Only'!B23)*100</f>
        <v>3.5463585843813981</v>
      </c>
      <c r="BF20" s="224">
        <f t="shared" si="39"/>
        <v>875790</v>
      </c>
      <c r="BG20" s="224">
        <v>876670</v>
      </c>
      <c r="BH20" s="225">
        <f t="shared" si="40"/>
        <v>880</v>
      </c>
      <c r="BI20" s="238">
        <f t="shared" si="41"/>
        <v>-10</v>
      </c>
      <c r="BJ20" s="239">
        <f>(BH20/'Finance Only'!B23)*100</f>
        <v>3.217315004387248</v>
      </c>
      <c r="BK20" s="224">
        <f t="shared" si="42"/>
        <v>1369100</v>
      </c>
      <c r="BL20" s="224">
        <v>1370400</v>
      </c>
      <c r="BM20" s="225">
        <f t="shared" si="43"/>
        <v>1300</v>
      </c>
      <c r="BN20" s="238">
        <f t="shared" si="44"/>
        <v>0</v>
      </c>
      <c r="BO20" s="239">
        <f>(BM20/'Finance Only'!B23)*100</f>
        <v>4.752851711026616</v>
      </c>
      <c r="BP20" s="224">
        <f t="shared" si="45"/>
        <v>84445</v>
      </c>
      <c r="BQ20" s="224">
        <v>84610</v>
      </c>
      <c r="BR20" s="225">
        <f t="shared" si="46"/>
        <v>165</v>
      </c>
      <c r="BS20" s="238">
        <f t="shared" si="47"/>
        <v>23</v>
      </c>
      <c r="BT20" s="239">
        <f>(BR20/'Finance Only'!B23)*100</f>
        <v>0.60324656332260895</v>
      </c>
      <c r="BU20" s="224">
        <f t="shared" si="48"/>
        <v>424970</v>
      </c>
      <c r="BV20" s="224">
        <v>425400</v>
      </c>
      <c r="BW20" s="225">
        <f t="shared" si="49"/>
        <v>430</v>
      </c>
      <c r="BX20" s="238">
        <f t="shared" si="50"/>
        <v>-10</v>
      </c>
      <c r="BY20" s="239">
        <f>(BW20/'Finance Only'!B23)*100</f>
        <v>1.572097104416496</v>
      </c>
      <c r="BZ20" s="224">
        <f t="shared" si="51"/>
        <v>662680</v>
      </c>
      <c r="CA20" s="224">
        <v>663920</v>
      </c>
      <c r="CB20" s="225">
        <f t="shared" si="52"/>
        <v>1240</v>
      </c>
      <c r="CC20" s="238">
        <f t="shared" si="53"/>
        <v>-50</v>
      </c>
      <c r="CD20" s="239">
        <f>(CB20/'Finance Only'!B23)*100</f>
        <v>4.533489324363849</v>
      </c>
      <c r="CE20" s="224">
        <f t="shared" si="54"/>
        <v>200970</v>
      </c>
      <c r="CF20" s="224">
        <v>201380</v>
      </c>
      <c r="CG20" s="225">
        <f t="shared" si="55"/>
        <v>410</v>
      </c>
      <c r="CH20" s="238">
        <f t="shared" si="56"/>
        <v>-20</v>
      </c>
      <c r="CI20" s="239">
        <f>(CG20/'Finance Only'!B23)*100</f>
        <v>1.4989763088622405</v>
      </c>
      <c r="CJ20" s="225">
        <f t="shared" si="57"/>
        <v>456910</v>
      </c>
      <c r="CK20" s="225">
        <v>457820</v>
      </c>
      <c r="CL20" s="225">
        <f t="shared" si="58"/>
        <v>910</v>
      </c>
      <c r="CM20" s="238">
        <f t="shared" si="59"/>
        <v>-140</v>
      </c>
      <c r="CN20" s="239">
        <f>(CL20/'Finance Only'!B23)*100</f>
        <v>3.3269961977186311</v>
      </c>
      <c r="CO20" s="224">
        <f t="shared" si="60"/>
        <v>370220</v>
      </c>
      <c r="CP20" s="224">
        <v>371090</v>
      </c>
      <c r="CQ20" s="226">
        <f t="shared" si="61"/>
        <v>870</v>
      </c>
      <c r="CR20" s="238">
        <f t="shared" si="62"/>
        <v>-150</v>
      </c>
      <c r="CS20" s="239">
        <f>(CQ20/'Finance Only'!B23)*100</f>
        <v>3.1807546066101198</v>
      </c>
      <c r="CT20" s="224">
        <f t="shared" si="63"/>
        <v>313830</v>
      </c>
      <c r="CU20" s="224">
        <v>314630</v>
      </c>
      <c r="CV20" s="225">
        <f t="shared" si="64"/>
        <v>800</v>
      </c>
      <c r="CW20" s="238">
        <f t="shared" si="65"/>
        <v>30</v>
      </c>
      <c r="CX20" s="239">
        <f>(CV20/'Finance Only'!B23)*100</f>
        <v>2.9248318221702254</v>
      </c>
      <c r="CY20" s="224">
        <f t="shared" si="66"/>
        <v>541690</v>
      </c>
      <c r="CZ20" s="224">
        <v>543310</v>
      </c>
      <c r="DA20" s="225">
        <f t="shared" si="67"/>
        <v>1620</v>
      </c>
      <c r="DB20" s="238">
        <f t="shared" si="68"/>
        <v>-80</v>
      </c>
      <c r="DC20" s="239">
        <f>(DA20/'Finance Only'!B23)*100</f>
        <v>5.9227844398947056</v>
      </c>
      <c r="DD20" s="224">
        <f t="shared" si="69"/>
        <v>407010</v>
      </c>
      <c r="DE20" s="224">
        <v>408130</v>
      </c>
      <c r="DF20" s="225">
        <f t="shared" si="70"/>
        <v>1120</v>
      </c>
      <c r="DG20" s="238">
        <f t="shared" si="71"/>
        <v>140</v>
      </c>
      <c r="DH20" s="239">
        <f>(DF20/'Finance Only'!B23)*100</f>
        <v>4.094764551038315</v>
      </c>
      <c r="DI20" s="224">
        <f t="shared" si="72"/>
        <v>373000</v>
      </c>
      <c r="DJ20" s="224">
        <v>374220</v>
      </c>
      <c r="DK20" s="225">
        <f t="shared" si="73"/>
        <v>1220</v>
      </c>
      <c r="DL20" s="238">
        <f t="shared" si="74"/>
        <v>30</v>
      </c>
      <c r="DM20" s="239">
        <f>(DK20/'Finance Only'!B23)*100</f>
        <v>4.4603685288095933</v>
      </c>
      <c r="DN20" s="224">
        <f t="shared" si="75"/>
        <v>231050</v>
      </c>
      <c r="DO20" s="224">
        <v>231270</v>
      </c>
      <c r="DP20" s="225">
        <f t="shared" si="76"/>
        <v>220</v>
      </c>
      <c r="DQ20" s="238">
        <f t="shared" si="77"/>
        <v>-10</v>
      </c>
      <c r="DR20" s="239">
        <f>(DP20/'Finance Only'!B23)*100</f>
        <v>0.80432875109681201</v>
      </c>
      <c r="DS20" s="224">
        <f t="shared" si="78"/>
        <v>64769</v>
      </c>
      <c r="DT20" s="224">
        <v>64907</v>
      </c>
      <c r="DU20" s="225">
        <f t="shared" si="79"/>
        <v>138</v>
      </c>
      <c r="DV20" s="238">
        <f t="shared" si="80"/>
        <v>1</v>
      </c>
      <c r="DW20" s="239">
        <f>(DU20/'Finance Only'!B23)*100</f>
        <v>0.50453348932436382</v>
      </c>
      <c r="DX20" s="224">
        <f t="shared" si="81"/>
        <v>433020</v>
      </c>
      <c r="DY20" s="224">
        <v>433720</v>
      </c>
      <c r="DZ20" s="225">
        <f t="shared" si="82"/>
        <v>700</v>
      </c>
      <c r="EA20" s="238">
        <f t="shared" si="83"/>
        <v>-20</v>
      </c>
      <c r="EB20" s="239">
        <f>(DZ20/'Finance Only'!B23)*100</f>
        <v>2.5592278443989471</v>
      </c>
      <c r="EC20" s="224">
        <f t="shared" si="84"/>
        <v>136860</v>
      </c>
      <c r="ED20" s="224">
        <v>137100</v>
      </c>
      <c r="EE20" s="225">
        <f t="shared" si="85"/>
        <v>240</v>
      </c>
      <c r="EF20" s="238">
        <f t="shared" si="86"/>
        <v>0</v>
      </c>
      <c r="EG20" s="239">
        <f>(EE20/'Finance Only'!B23)*100</f>
        <v>0.87744954665106756</v>
      </c>
      <c r="EH20" s="224">
        <f t="shared" si="87"/>
        <v>133310</v>
      </c>
      <c r="EI20" s="224">
        <v>133640</v>
      </c>
      <c r="EJ20" s="225">
        <f t="shared" si="88"/>
        <v>330</v>
      </c>
      <c r="EK20" s="238">
        <f t="shared" si="89"/>
        <v>110</v>
      </c>
      <c r="EL20" s="239">
        <f>(EJ20/'Finance Only'!B23)*100</f>
        <v>1.2064931266452179</v>
      </c>
      <c r="EM20" s="224">
        <f t="shared" si="90"/>
        <v>251050</v>
      </c>
      <c r="EN20" s="224">
        <v>251540</v>
      </c>
      <c r="EO20" s="225">
        <f t="shared" si="91"/>
        <v>490</v>
      </c>
      <c r="EP20" s="238">
        <f t="shared" si="92"/>
        <v>300</v>
      </c>
      <c r="EQ20" s="239">
        <f>(EO20/'Finance Only'!B23)*100</f>
        <v>1.7914594910792627</v>
      </c>
      <c r="ER20" s="224">
        <f t="shared" si="93"/>
        <v>0</v>
      </c>
      <c r="ES20" s="224"/>
      <c r="ET20" s="225">
        <f t="shared" si="94"/>
        <v>0</v>
      </c>
      <c r="EU20" s="238">
        <f t="shared" si="95"/>
        <v>0</v>
      </c>
      <c r="EV20" s="239">
        <f>(ET20/'Finance Only'!B23)*100</f>
        <v>0</v>
      </c>
      <c r="EW20" s="224">
        <f t="shared" si="96"/>
        <v>242440</v>
      </c>
      <c r="EX20" s="224">
        <v>250720</v>
      </c>
      <c r="EY20" s="225">
        <f t="shared" si="97"/>
        <v>8280</v>
      </c>
      <c r="EZ20" s="238">
        <f t="shared" si="98"/>
        <v>5500</v>
      </c>
      <c r="FA20" s="239" t="e">
        <f>(EY20/'Finance Only'!G23)*100</f>
        <v>#DIV/0!</v>
      </c>
      <c r="FB20" s="224">
        <f t="shared" si="99"/>
        <v>53862</v>
      </c>
      <c r="FC20" s="224">
        <v>54258</v>
      </c>
      <c r="FD20" s="225">
        <f t="shared" si="100"/>
        <v>396</v>
      </c>
      <c r="FE20" s="238">
        <f t="shared" si="101"/>
        <v>101</v>
      </c>
      <c r="FF20" s="239" t="e">
        <f>(FD20/'Finance Only'!M23)*100</f>
        <v>#DIV/0!</v>
      </c>
      <c r="FG20" s="289"/>
      <c r="FH20" s="295">
        <f t="shared" si="0"/>
        <v>8096</v>
      </c>
      <c r="FI20" s="292"/>
      <c r="FJ20" s="295">
        <f t="shared" si="1"/>
        <v>6240</v>
      </c>
      <c r="FK20" s="292"/>
      <c r="FL20" s="295">
        <f t="shared" si="2"/>
        <v>1700</v>
      </c>
      <c r="FM20" s="292"/>
      <c r="FN20" s="295">
        <f t="shared" si="3"/>
        <v>2295</v>
      </c>
      <c r="FO20" s="292"/>
      <c r="FP20" s="295">
        <f t="shared" si="4"/>
        <v>1465</v>
      </c>
      <c r="FQ20" s="292"/>
      <c r="FR20" s="295">
        <f t="shared" si="5"/>
        <v>8676</v>
      </c>
      <c r="FS20" s="292"/>
    </row>
    <row r="21" spans="1:1084" s="3" customFormat="1" ht="13.5" customHeight="1" x14ac:dyDescent="0.2">
      <c r="A21" s="280">
        <v>17</v>
      </c>
      <c r="B21" s="283">
        <f>'Finance Only'!G24</f>
        <v>4203</v>
      </c>
      <c r="C21" s="278">
        <f t="shared" si="6"/>
        <v>25975731</v>
      </c>
      <c r="D21" s="222">
        <v>25977944</v>
      </c>
      <c r="E21" s="223">
        <f t="shared" si="7"/>
        <v>2213</v>
      </c>
      <c r="F21" s="234">
        <f t="shared" si="8"/>
        <v>-374</v>
      </c>
      <c r="G21" s="235">
        <f>(E21/'Finance Only'!B24)*100</f>
        <v>9.3624402419934842</v>
      </c>
      <c r="H21" s="246">
        <f t="shared" si="9"/>
        <v>23345236</v>
      </c>
      <c r="I21" s="222">
        <v>23348950</v>
      </c>
      <c r="J21" s="222">
        <f t="shared" si="10"/>
        <v>3714</v>
      </c>
      <c r="K21" s="247">
        <f t="shared" si="11"/>
        <v>-1795</v>
      </c>
      <c r="L21" s="248">
        <f>(J21/'Finance Only'!B24)*100</f>
        <v>15.712653890087575</v>
      </c>
      <c r="M21" s="230">
        <f t="shared" si="12"/>
        <v>87764002</v>
      </c>
      <c r="N21" s="224">
        <v>87776773</v>
      </c>
      <c r="O21" s="225">
        <f t="shared" si="13"/>
        <v>12771</v>
      </c>
      <c r="P21" s="238">
        <f t="shared" si="14"/>
        <v>-1422</v>
      </c>
      <c r="Q21" s="239">
        <f>(O21/'Finance Only'!B24)*100</f>
        <v>54.029699200406142</v>
      </c>
      <c r="R21" s="229">
        <f t="shared" si="15"/>
        <v>2297100</v>
      </c>
      <c r="S21" s="224">
        <v>2298700</v>
      </c>
      <c r="T21" s="225">
        <f t="shared" si="16"/>
        <v>1600</v>
      </c>
      <c r="U21" s="238">
        <f t="shared" si="17"/>
        <v>-100</v>
      </c>
      <c r="V21" s="239">
        <f>(T21/'Finance Only'!B24)*100</f>
        <v>6.7690485256166184</v>
      </c>
      <c r="W21" s="224">
        <f t="shared" si="18"/>
        <v>3122767</v>
      </c>
      <c r="X21" s="224">
        <v>3125280</v>
      </c>
      <c r="Y21" s="225">
        <f t="shared" si="19"/>
        <v>2513</v>
      </c>
      <c r="Z21" s="238">
        <f t="shared" si="20"/>
        <v>-267</v>
      </c>
      <c r="AA21" s="239">
        <f>(Y21/'Finance Only'!B24)*100</f>
        <v>10.6316368405466</v>
      </c>
      <c r="AB21" s="224">
        <f t="shared" si="21"/>
        <v>1918700</v>
      </c>
      <c r="AC21" s="224">
        <v>1920300</v>
      </c>
      <c r="AD21" s="225">
        <f t="shared" si="22"/>
        <v>1600</v>
      </c>
      <c r="AE21" s="238">
        <f t="shared" si="23"/>
        <v>-500</v>
      </c>
      <c r="AF21" s="239">
        <f>(AD21/'Finance Only'!B24)*100</f>
        <v>6.7690485256166184</v>
      </c>
      <c r="AG21" s="224">
        <f t="shared" si="24"/>
        <v>847267</v>
      </c>
      <c r="AH21" s="224">
        <v>848196</v>
      </c>
      <c r="AI21" s="225">
        <f t="shared" si="25"/>
        <v>929</v>
      </c>
      <c r="AJ21" s="238">
        <f t="shared" si="26"/>
        <v>44</v>
      </c>
      <c r="AK21" s="239">
        <f>(AI21/'Finance Only'!B24)*100</f>
        <v>3.9302788001861488</v>
      </c>
      <c r="AL21" s="224">
        <f t="shared" si="27"/>
        <v>866580</v>
      </c>
      <c r="AM21" s="224">
        <v>867110</v>
      </c>
      <c r="AN21" s="225">
        <f t="shared" si="28"/>
        <v>530</v>
      </c>
      <c r="AO21" s="238">
        <f t="shared" si="29"/>
        <v>-70</v>
      </c>
      <c r="AP21" s="239">
        <f>(AN21/'Finance Only'!B24)*100</f>
        <v>2.2422473241105045</v>
      </c>
      <c r="AQ21" s="224">
        <f t="shared" si="30"/>
        <v>1938600</v>
      </c>
      <c r="AR21" s="224">
        <v>1939900</v>
      </c>
      <c r="AS21" s="225">
        <f t="shared" si="31"/>
        <v>1300</v>
      </c>
      <c r="AT21" s="238">
        <f t="shared" si="32"/>
        <v>200</v>
      </c>
      <c r="AU21" s="239">
        <f>(AS21/'Finance Only'!B24)*100</f>
        <v>5.499851927063502</v>
      </c>
      <c r="AV21" s="224">
        <f t="shared" si="33"/>
        <v>563741</v>
      </c>
      <c r="AW21" s="224">
        <v>564095</v>
      </c>
      <c r="AX21" s="225">
        <f t="shared" si="34"/>
        <v>354</v>
      </c>
      <c r="AY21" s="238">
        <f t="shared" si="35"/>
        <v>-91</v>
      </c>
      <c r="AZ21" s="239">
        <f>(AX21/'Finance Only'!B24)*100</f>
        <v>1.4976519862926767</v>
      </c>
      <c r="BA21" s="224">
        <f t="shared" si="36"/>
        <v>784140</v>
      </c>
      <c r="BB21" s="224">
        <v>785140</v>
      </c>
      <c r="BC21" s="225">
        <f t="shared" si="37"/>
        <v>1000</v>
      </c>
      <c r="BD21" s="238">
        <f t="shared" si="38"/>
        <v>30</v>
      </c>
      <c r="BE21" s="239">
        <f>(BC21/'Finance Only'!B24)*100</f>
        <v>4.2306553285103865</v>
      </c>
      <c r="BF21" s="224">
        <f t="shared" si="39"/>
        <v>876670</v>
      </c>
      <c r="BG21" s="224">
        <v>877520</v>
      </c>
      <c r="BH21" s="225">
        <f t="shared" si="40"/>
        <v>850</v>
      </c>
      <c r="BI21" s="238">
        <f t="shared" si="41"/>
        <v>-30</v>
      </c>
      <c r="BJ21" s="239">
        <f>(BH21/'Finance Only'!B24)*100</f>
        <v>3.5960570292338283</v>
      </c>
      <c r="BK21" s="224">
        <f t="shared" si="42"/>
        <v>1370400</v>
      </c>
      <c r="BL21" s="224">
        <v>1371500</v>
      </c>
      <c r="BM21" s="225">
        <f t="shared" si="43"/>
        <v>1100</v>
      </c>
      <c r="BN21" s="238">
        <f t="shared" si="44"/>
        <v>-200</v>
      </c>
      <c r="BO21" s="239">
        <f>(BM21/'Finance Only'!B24)*100</f>
        <v>4.6537208613614247</v>
      </c>
      <c r="BP21" s="224">
        <f t="shared" si="45"/>
        <v>84610</v>
      </c>
      <c r="BQ21" s="224">
        <v>84772</v>
      </c>
      <c r="BR21" s="225">
        <f t="shared" si="46"/>
        <v>162</v>
      </c>
      <c r="BS21" s="238">
        <f t="shared" si="47"/>
        <v>-3</v>
      </c>
      <c r="BT21" s="239">
        <f>(BR21/'Finance Only'!B24)*100</f>
        <v>0.6853661632186826</v>
      </c>
      <c r="BU21" s="224">
        <f t="shared" si="48"/>
        <v>425400</v>
      </c>
      <c r="BV21" s="224">
        <v>425850</v>
      </c>
      <c r="BW21" s="225">
        <f t="shared" si="49"/>
        <v>450</v>
      </c>
      <c r="BX21" s="238">
        <f t="shared" si="50"/>
        <v>20</v>
      </c>
      <c r="BY21" s="239">
        <f>(BW21/'Finance Only'!B24)*100</f>
        <v>1.9037948978296737</v>
      </c>
      <c r="BZ21" s="224">
        <f t="shared" si="51"/>
        <v>663920</v>
      </c>
      <c r="CA21" s="224">
        <v>665070</v>
      </c>
      <c r="CB21" s="225">
        <f t="shared" si="52"/>
        <v>1150</v>
      </c>
      <c r="CC21" s="238">
        <f t="shared" si="53"/>
        <v>-90</v>
      </c>
      <c r="CD21" s="239">
        <f>(CB21/'Finance Only'!B24)*100</f>
        <v>4.8652536277869443</v>
      </c>
      <c r="CE21" s="224">
        <f t="shared" si="54"/>
        <v>201380</v>
      </c>
      <c r="CF21" s="224">
        <v>201740</v>
      </c>
      <c r="CG21" s="225">
        <f t="shared" si="55"/>
        <v>360</v>
      </c>
      <c r="CH21" s="238">
        <f t="shared" si="56"/>
        <v>-50</v>
      </c>
      <c r="CI21" s="239">
        <f>(CG21/'Finance Only'!B24)*100</f>
        <v>1.523035918263739</v>
      </c>
      <c r="CJ21" s="225">
        <f t="shared" si="57"/>
        <v>457820</v>
      </c>
      <c r="CK21" s="225">
        <v>458580</v>
      </c>
      <c r="CL21" s="225">
        <f t="shared" si="58"/>
        <v>760</v>
      </c>
      <c r="CM21" s="238">
        <f t="shared" si="59"/>
        <v>-150</v>
      </c>
      <c r="CN21" s="239">
        <f>(CL21/'Finance Only'!B24)*100</f>
        <v>3.215298049667894</v>
      </c>
      <c r="CO21" s="224">
        <f t="shared" si="60"/>
        <v>371090</v>
      </c>
      <c r="CP21" s="224">
        <v>371760</v>
      </c>
      <c r="CQ21" s="226">
        <f t="shared" si="61"/>
        <v>670</v>
      </c>
      <c r="CR21" s="238">
        <f t="shared" si="62"/>
        <v>-200</v>
      </c>
      <c r="CS21" s="239">
        <f>(CQ21/'Finance Only'!B24)*100</f>
        <v>2.8345390701019588</v>
      </c>
      <c r="CT21" s="224">
        <f t="shared" si="63"/>
        <v>314630</v>
      </c>
      <c r="CU21" s="224">
        <v>315120</v>
      </c>
      <c r="CV21" s="225">
        <f t="shared" si="64"/>
        <v>490</v>
      </c>
      <c r="CW21" s="238">
        <f t="shared" si="65"/>
        <v>-310</v>
      </c>
      <c r="CX21" s="239">
        <f>(CV21/'Finance Only'!B24)*100</f>
        <v>2.0730211109700893</v>
      </c>
      <c r="CY21" s="224">
        <f t="shared" si="66"/>
        <v>543310</v>
      </c>
      <c r="CZ21" s="224">
        <v>544270</v>
      </c>
      <c r="DA21" s="225">
        <f t="shared" si="67"/>
        <v>960</v>
      </c>
      <c r="DB21" s="238">
        <f t="shared" si="68"/>
        <v>-660</v>
      </c>
      <c r="DC21" s="239">
        <f>(DA21/'Finance Only'!B24)*100</f>
        <v>4.0614291153699709</v>
      </c>
      <c r="DD21" s="224">
        <f t="shared" si="69"/>
        <v>408130</v>
      </c>
      <c r="DE21" s="224">
        <v>408870</v>
      </c>
      <c r="DF21" s="225">
        <f t="shared" si="70"/>
        <v>740</v>
      </c>
      <c r="DG21" s="238">
        <f t="shared" si="71"/>
        <v>-380</v>
      </c>
      <c r="DH21" s="239">
        <f>(DF21/'Finance Only'!B24)*100</f>
        <v>3.1306849430976857</v>
      </c>
      <c r="DI21" s="224">
        <f t="shared" si="72"/>
        <v>374220</v>
      </c>
      <c r="DJ21" s="224">
        <v>374980</v>
      </c>
      <c r="DK21" s="225">
        <f t="shared" si="73"/>
        <v>760</v>
      </c>
      <c r="DL21" s="238">
        <f t="shared" si="74"/>
        <v>-460</v>
      </c>
      <c r="DM21" s="239">
        <f>(DK21/'Finance Only'!B24)*100</f>
        <v>3.215298049667894</v>
      </c>
      <c r="DN21" s="224">
        <f t="shared" si="75"/>
        <v>231270</v>
      </c>
      <c r="DO21" s="224">
        <v>231450</v>
      </c>
      <c r="DP21" s="225">
        <f t="shared" si="76"/>
        <v>180</v>
      </c>
      <c r="DQ21" s="238">
        <f t="shared" si="77"/>
        <v>-40</v>
      </c>
      <c r="DR21" s="239">
        <f>(DP21/'Finance Only'!B24)*100</f>
        <v>0.76151795913186948</v>
      </c>
      <c r="DS21" s="224">
        <f t="shared" si="78"/>
        <v>64907</v>
      </c>
      <c r="DT21" s="224">
        <v>65056</v>
      </c>
      <c r="DU21" s="225">
        <f t="shared" si="79"/>
        <v>149</v>
      </c>
      <c r="DV21" s="238">
        <f t="shared" si="80"/>
        <v>11</v>
      </c>
      <c r="DW21" s="239">
        <f>(DU21/'Finance Only'!B24)*100</f>
        <v>0.63036764394804756</v>
      </c>
      <c r="DX21" s="224">
        <f t="shared" si="81"/>
        <v>433720</v>
      </c>
      <c r="DY21" s="224">
        <v>434390</v>
      </c>
      <c r="DZ21" s="225">
        <f t="shared" si="82"/>
        <v>670</v>
      </c>
      <c r="EA21" s="238">
        <f t="shared" si="83"/>
        <v>-30</v>
      </c>
      <c r="EB21" s="239">
        <f>(DZ21/'Finance Only'!B24)*100</f>
        <v>2.8345390701019588</v>
      </c>
      <c r="EC21" s="224">
        <f t="shared" si="84"/>
        <v>137100</v>
      </c>
      <c r="ED21" s="224">
        <v>137330</v>
      </c>
      <c r="EE21" s="225">
        <f t="shared" si="85"/>
        <v>230</v>
      </c>
      <c r="EF21" s="238">
        <f t="shared" si="86"/>
        <v>-10</v>
      </c>
      <c r="EG21" s="239">
        <f>(EE21/'Finance Only'!B24)*100</f>
        <v>0.97305072555738881</v>
      </c>
      <c r="EH21" s="224">
        <f t="shared" si="87"/>
        <v>133640</v>
      </c>
      <c r="EI21" s="224">
        <v>133980</v>
      </c>
      <c r="EJ21" s="225">
        <f t="shared" si="88"/>
        <v>340</v>
      </c>
      <c r="EK21" s="238">
        <f t="shared" si="89"/>
        <v>10</v>
      </c>
      <c r="EL21" s="239">
        <f>(EJ21/'Finance Only'!B24)*100</f>
        <v>1.4384228116935314</v>
      </c>
      <c r="EM21" s="224">
        <f t="shared" si="90"/>
        <v>251540</v>
      </c>
      <c r="EN21" s="224">
        <v>252000</v>
      </c>
      <c r="EO21" s="225">
        <f t="shared" si="91"/>
        <v>460</v>
      </c>
      <c r="EP21" s="238">
        <f t="shared" si="92"/>
        <v>-30</v>
      </c>
      <c r="EQ21" s="239">
        <f>(EO21/'Finance Only'!B24)*100</f>
        <v>1.9461014511147776</v>
      </c>
      <c r="ER21" s="224">
        <f t="shared" si="93"/>
        <v>0</v>
      </c>
      <c r="ES21" s="224"/>
      <c r="ET21" s="225">
        <f t="shared" si="94"/>
        <v>0</v>
      </c>
      <c r="EU21" s="238">
        <f t="shared" si="95"/>
        <v>0</v>
      </c>
      <c r="EV21" s="239">
        <f>(ET21/'Finance Only'!B24)*100</f>
        <v>0</v>
      </c>
      <c r="EW21" s="224">
        <f t="shared" si="96"/>
        <v>250720</v>
      </c>
      <c r="EX21" s="224">
        <v>259520</v>
      </c>
      <c r="EY21" s="225">
        <f t="shared" si="97"/>
        <v>8800</v>
      </c>
      <c r="EZ21" s="238">
        <f t="shared" si="98"/>
        <v>520</v>
      </c>
      <c r="FA21" s="239">
        <f>(EY21/'Finance Only'!G24)*100</f>
        <v>209.37425648346419</v>
      </c>
      <c r="FB21" s="224">
        <f t="shared" si="99"/>
        <v>54258</v>
      </c>
      <c r="FC21" s="224">
        <v>54594</v>
      </c>
      <c r="FD21" s="225">
        <f t="shared" si="100"/>
        <v>336</v>
      </c>
      <c r="FE21" s="238">
        <f t="shared" si="101"/>
        <v>-60</v>
      </c>
      <c r="FF21" s="239" t="e">
        <f>(FD21/'Finance Only'!M24)*100</f>
        <v>#DIV/0!</v>
      </c>
      <c r="FG21" s="289"/>
      <c r="FH21" s="295">
        <f t="shared" si="0"/>
        <v>5927</v>
      </c>
      <c r="FI21" s="292"/>
      <c r="FJ21" s="295">
        <f t="shared" si="1"/>
        <v>5813</v>
      </c>
      <c r="FK21" s="292"/>
      <c r="FL21" s="295">
        <f t="shared" si="2"/>
        <v>1830</v>
      </c>
      <c r="FM21" s="292"/>
      <c r="FN21" s="295">
        <f t="shared" si="3"/>
        <v>2204</v>
      </c>
      <c r="FO21" s="292"/>
      <c r="FP21" s="295">
        <f t="shared" si="4"/>
        <v>1262</v>
      </c>
      <c r="FQ21" s="292"/>
      <c r="FR21" s="295">
        <f t="shared" si="5"/>
        <v>9136</v>
      </c>
      <c r="FS21" s="292"/>
    </row>
    <row r="22" spans="1:1084" s="3" customFormat="1" ht="13.5" customHeight="1" x14ac:dyDescent="0.2">
      <c r="A22" s="280">
        <v>18</v>
      </c>
      <c r="B22" s="283">
        <f>'Finance Only'!G25</f>
        <v>0</v>
      </c>
      <c r="C22" s="278">
        <f t="shared" si="6"/>
        <v>25977944</v>
      </c>
      <c r="D22" s="222">
        <v>25980110</v>
      </c>
      <c r="E22" s="223">
        <f t="shared" si="7"/>
        <v>2166</v>
      </c>
      <c r="F22" s="234">
        <f t="shared" si="8"/>
        <v>-47</v>
      </c>
      <c r="G22" s="235">
        <f>(E22/'Finance Only'!B25)*100</f>
        <v>9.6562792563862505</v>
      </c>
      <c r="H22" s="246">
        <f t="shared" si="9"/>
        <v>23348950</v>
      </c>
      <c r="I22" s="222">
        <v>23352033</v>
      </c>
      <c r="J22" s="222">
        <f t="shared" si="10"/>
        <v>3083</v>
      </c>
      <c r="K22" s="247">
        <f t="shared" si="11"/>
        <v>-631</v>
      </c>
      <c r="L22" s="248">
        <f>(J22/'Finance Only'!B25)*100</f>
        <v>13.744371628549775</v>
      </c>
      <c r="M22" s="230">
        <f t="shared" si="12"/>
        <v>87776773</v>
      </c>
      <c r="N22" s="224">
        <v>87788974</v>
      </c>
      <c r="O22" s="225">
        <f t="shared" si="13"/>
        <v>12201</v>
      </c>
      <c r="P22" s="238">
        <f t="shared" si="14"/>
        <v>-570</v>
      </c>
      <c r="Q22" s="239">
        <f>(O22/'Finance Only'!B25)*100</f>
        <v>54.393473318175737</v>
      </c>
      <c r="R22" s="229">
        <f t="shared" si="15"/>
        <v>2298700</v>
      </c>
      <c r="S22" s="224">
        <v>2300400</v>
      </c>
      <c r="T22" s="225">
        <f t="shared" si="16"/>
        <v>1700</v>
      </c>
      <c r="U22" s="238">
        <f t="shared" si="17"/>
        <v>100</v>
      </c>
      <c r="V22" s="239">
        <f>(T22/'Finance Only'!B25)*100</f>
        <v>7.5787972003031516</v>
      </c>
      <c r="W22" s="224">
        <f t="shared" si="18"/>
        <v>3125280</v>
      </c>
      <c r="X22" s="224">
        <v>3127762</v>
      </c>
      <c r="Y22" s="225">
        <f t="shared" si="19"/>
        <v>2482</v>
      </c>
      <c r="Z22" s="238">
        <f t="shared" si="20"/>
        <v>-31</v>
      </c>
      <c r="AA22" s="239">
        <f>(Y22/'Finance Only'!B25)*100</f>
        <v>11.065043912442601</v>
      </c>
      <c r="AB22" s="224">
        <f t="shared" si="21"/>
        <v>1920300</v>
      </c>
      <c r="AC22" s="224">
        <v>1921900</v>
      </c>
      <c r="AD22" s="225">
        <f t="shared" si="22"/>
        <v>1600</v>
      </c>
      <c r="AE22" s="238">
        <f t="shared" si="23"/>
        <v>0</v>
      </c>
      <c r="AF22" s="239">
        <f>(AD22/'Finance Only'!B25)*100</f>
        <v>7.1329856002853198</v>
      </c>
      <c r="AG22" s="224">
        <f t="shared" si="24"/>
        <v>848196</v>
      </c>
      <c r="AH22" s="224">
        <v>849063</v>
      </c>
      <c r="AI22" s="225">
        <f t="shared" si="25"/>
        <v>867</v>
      </c>
      <c r="AJ22" s="238">
        <f t="shared" si="26"/>
        <v>-62</v>
      </c>
      <c r="AK22" s="239">
        <f>(AI22/'Finance Only'!B25)*100</f>
        <v>3.8651865721546073</v>
      </c>
      <c r="AL22" s="224">
        <f t="shared" si="27"/>
        <v>867110</v>
      </c>
      <c r="AM22" s="224">
        <v>867660</v>
      </c>
      <c r="AN22" s="225">
        <f t="shared" si="28"/>
        <v>550</v>
      </c>
      <c r="AO22" s="238">
        <f t="shared" si="29"/>
        <v>20</v>
      </c>
      <c r="AP22" s="239">
        <f>(AN22/'Finance Only'!B25)*100</f>
        <v>2.4519638000980786</v>
      </c>
      <c r="AQ22" s="224">
        <f t="shared" si="30"/>
        <v>1939900</v>
      </c>
      <c r="AR22" s="224">
        <v>1941400</v>
      </c>
      <c r="AS22" s="225">
        <f t="shared" si="31"/>
        <v>1500</v>
      </c>
      <c r="AT22" s="238">
        <f t="shared" si="32"/>
        <v>200</v>
      </c>
      <c r="AU22" s="239">
        <f>(AS22/'Finance Only'!B25)*100</f>
        <v>6.6871740002674871</v>
      </c>
      <c r="AV22" s="224">
        <f t="shared" si="33"/>
        <v>564095</v>
      </c>
      <c r="AW22" s="224">
        <v>564415</v>
      </c>
      <c r="AX22" s="225">
        <f t="shared" si="34"/>
        <v>320</v>
      </c>
      <c r="AY22" s="238">
        <f t="shared" si="35"/>
        <v>-34</v>
      </c>
      <c r="AZ22" s="239">
        <f>(AX22/'Finance Only'!B25)*100</f>
        <v>1.426597120057064</v>
      </c>
      <c r="BA22" s="224">
        <f t="shared" si="36"/>
        <v>785140</v>
      </c>
      <c r="BB22" s="224">
        <v>785950</v>
      </c>
      <c r="BC22" s="225">
        <f t="shared" si="37"/>
        <v>810</v>
      </c>
      <c r="BD22" s="238">
        <f t="shared" si="38"/>
        <v>-190</v>
      </c>
      <c r="BE22" s="239">
        <f>(BC22/'Finance Only'!B25)*100</f>
        <v>3.6110739601444433</v>
      </c>
      <c r="BF22" s="224">
        <f t="shared" si="39"/>
        <v>877520</v>
      </c>
      <c r="BG22" s="224">
        <v>878240</v>
      </c>
      <c r="BH22" s="225">
        <f t="shared" si="40"/>
        <v>720</v>
      </c>
      <c r="BI22" s="238">
        <f t="shared" si="41"/>
        <v>-130</v>
      </c>
      <c r="BJ22" s="239">
        <f>(BH22/'Finance Only'!B25)*100</f>
        <v>3.2098435201283935</v>
      </c>
      <c r="BK22" s="224">
        <f t="shared" si="42"/>
        <v>1371500</v>
      </c>
      <c r="BL22" s="224">
        <v>1372400</v>
      </c>
      <c r="BM22" s="225">
        <f t="shared" si="43"/>
        <v>900</v>
      </c>
      <c r="BN22" s="238">
        <f t="shared" si="44"/>
        <v>-200</v>
      </c>
      <c r="BO22" s="239">
        <f>(BM22/'Finance Only'!B25)*100</f>
        <v>4.0123044001604917</v>
      </c>
      <c r="BP22" s="224">
        <f t="shared" si="45"/>
        <v>84772</v>
      </c>
      <c r="BQ22" s="224">
        <v>84885</v>
      </c>
      <c r="BR22" s="225">
        <f t="shared" si="46"/>
        <v>113</v>
      </c>
      <c r="BS22" s="238">
        <f t="shared" si="47"/>
        <v>-49</v>
      </c>
      <c r="BT22" s="239">
        <f>(BR22/'Finance Only'!B25)*100</f>
        <v>0.50376710802015068</v>
      </c>
      <c r="BU22" s="224">
        <f t="shared" si="48"/>
        <v>425850</v>
      </c>
      <c r="BV22" s="224">
        <v>426230</v>
      </c>
      <c r="BW22" s="225">
        <f t="shared" si="49"/>
        <v>380</v>
      </c>
      <c r="BX22" s="238">
        <f t="shared" si="50"/>
        <v>-70</v>
      </c>
      <c r="BY22" s="239">
        <f>(BW22/'Finance Only'!B25)*100</f>
        <v>1.6940840800677635</v>
      </c>
      <c r="BZ22" s="224">
        <f t="shared" si="51"/>
        <v>665070</v>
      </c>
      <c r="CA22" s="224">
        <v>666210</v>
      </c>
      <c r="CB22" s="225">
        <f t="shared" si="52"/>
        <v>1140</v>
      </c>
      <c r="CC22" s="238">
        <f t="shared" si="53"/>
        <v>-10</v>
      </c>
      <c r="CD22" s="239">
        <f>(CB22/'Finance Only'!B25)*100</f>
        <v>5.0822522402032906</v>
      </c>
      <c r="CE22" s="224">
        <f t="shared" si="54"/>
        <v>201740</v>
      </c>
      <c r="CF22" s="224">
        <v>202120</v>
      </c>
      <c r="CG22" s="225">
        <f t="shared" si="55"/>
        <v>380</v>
      </c>
      <c r="CH22" s="238">
        <f t="shared" si="56"/>
        <v>20</v>
      </c>
      <c r="CI22" s="239">
        <f>(CG22/'Finance Only'!B25)*100</f>
        <v>1.6940840800677635</v>
      </c>
      <c r="CJ22" s="225">
        <f t="shared" si="57"/>
        <v>458580</v>
      </c>
      <c r="CK22" s="225">
        <v>459260</v>
      </c>
      <c r="CL22" s="225">
        <f t="shared" si="58"/>
        <v>680</v>
      </c>
      <c r="CM22" s="238">
        <f t="shared" si="59"/>
        <v>-80</v>
      </c>
      <c r="CN22" s="239">
        <f>(CL22/'Finance Only'!B25)*100</f>
        <v>3.0315188801212605</v>
      </c>
      <c r="CO22" s="224">
        <f t="shared" si="60"/>
        <v>371760</v>
      </c>
      <c r="CP22" s="224">
        <v>372300</v>
      </c>
      <c r="CQ22" s="226">
        <f t="shared" si="61"/>
        <v>540</v>
      </c>
      <c r="CR22" s="238">
        <f t="shared" si="62"/>
        <v>-130</v>
      </c>
      <c r="CS22" s="239">
        <f>(CQ22/'Finance Only'!B25)*100</f>
        <v>2.4073826400962952</v>
      </c>
      <c r="CT22" s="224">
        <f t="shared" si="63"/>
        <v>315120</v>
      </c>
      <c r="CU22" s="224">
        <v>315500</v>
      </c>
      <c r="CV22" s="225">
        <f t="shared" si="64"/>
        <v>380</v>
      </c>
      <c r="CW22" s="238">
        <f t="shared" si="65"/>
        <v>-110</v>
      </c>
      <c r="CX22" s="239">
        <f>(CV22/'Finance Only'!B25)*100</f>
        <v>1.6940840800677635</v>
      </c>
      <c r="CY22" s="224">
        <f t="shared" si="66"/>
        <v>544270</v>
      </c>
      <c r="CZ22" s="224">
        <v>545070</v>
      </c>
      <c r="DA22" s="225">
        <f t="shared" si="67"/>
        <v>800</v>
      </c>
      <c r="DB22" s="238">
        <f t="shared" si="68"/>
        <v>-160</v>
      </c>
      <c r="DC22" s="239">
        <f>(DA22/'Finance Only'!B25)*100</f>
        <v>3.5664928001426599</v>
      </c>
      <c r="DD22" s="224">
        <f t="shared" si="69"/>
        <v>408870</v>
      </c>
      <c r="DE22" s="224">
        <v>409510</v>
      </c>
      <c r="DF22" s="225">
        <f t="shared" si="70"/>
        <v>640</v>
      </c>
      <c r="DG22" s="238">
        <f t="shared" si="71"/>
        <v>-100</v>
      </c>
      <c r="DH22" s="239">
        <f>(DF22/'Finance Only'!B25)*100</f>
        <v>2.8531942401141279</v>
      </c>
      <c r="DI22" s="224">
        <f t="shared" si="72"/>
        <v>374980</v>
      </c>
      <c r="DJ22" s="224">
        <v>375520</v>
      </c>
      <c r="DK22" s="225">
        <f t="shared" si="73"/>
        <v>540</v>
      </c>
      <c r="DL22" s="238">
        <f t="shared" si="74"/>
        <v>-220</v>
      </c>
      <c r="DM22" s="239">
        <f>(DK22/'Finance Only'!B25)*100</f>
        <v>2.4073826400962952</v>
      </c>
      <c r="DN22" s="224">
        <f t="shared" si="75"/>
        <v>231450</v>
      </c>
      <c r="DO22" s="224">
        <v>231610</v>
      </c>
      <c r="DP22" s="225">
        <f t="shared" si="76"/>
        <v>160</v>
      </c>
      <c r="DQ22" s="238">
        <f t="shared" si="77"/>
        <v>-20</v>
      </c>
      <c r="DR22" s="239">
        <f>(DP22/'Finance Only'!B25)*100</f>
        <v>0.71329856002853198</v>
      </c>
      <c r="DS22" s="224">
        <f t="shared" si="78"/>
        <v>65056</v>
      </c>
      <c r="DT22" s="224">
        <v>65213</v>
      </c>
      <c r="DU22" s="225">
        <f t="shared" si="79"/>
        <v>157</v>
      </c>
      <c r="DV22" s="238">
        <f t="shared" si="80"/>
        <v>8</v>
      </c>
      <c r="DW22" s="239">
        <f>(DU22/'Finance Only'!B25)*100</f>
        <v>0.69992421202799693</v>
      </c>
      <c r="DX22" s="224">
        <f t="shared" si="81"/>
        <v>434390</v>
      </c>
      <c r="DY22" s="224">
        <v>435050</v>
      </c>
      <c r="DZ22" s="225">
        <f t="shared" si="82"/>
        <v>660</v>
      </c>
      <c r="EA22" s="238">
        <f t="shared" si="83"/>
        <v>-10</v>
      </c>
      <c r="EB22" s="239">
        <f>(DZ22/'Finance Only'!B25)*100</f>
        <v>2.9423565601176942</v>
      </c>
      <c r="EC22" s="224">
        <f t="shared" si="84"/>
        <v>137330</v>
      </c>
      <c r="ED22" s="224">
        <v>137580</v>
      </c>
      <c r="EE22" s="225">
        <f t="shared" si="85"/>
        <v>250</v>
      </c>
      <c r="EF22" s="238">
        <f t="shared" si="86"/>
        <v>20</v>
      </c>
      <c r="EG22" s="239">
        <f>(EE22/'Finance Only'!B25)*100</f>
        <v>1.1145290000445813</v>
      </c>
      <c r="EH22" s="224">
        <f t="shared" si="87"/>
        <v>133980</v>
      </c>
      <c r="EI22" s="224">
        <v>134330</v>
      </c>
      <c r="EJ22" s="225">
        <f t="shared" si="88"/>
        <v>350</v>
      </c>
      <c r="EK22" s="238">
        <f t="shared" si="89"/>
        <v>10</v>
      </c>
      <c r="EL22" s="239">
        <f>(EJ22/'Finance Only'!B25)*100</f>
        <v>1.5603406000624136</v>
      </c>
      <c r="EM22" s="224">
        <f t="shared" si="90"/>
        <v>252000</v>
      </c>
      <c r="EN22" s="224">
        <v>252480</v>
      </c>
      <c r="EO22" s="225">
        <f t="shared" si="91"/>
        <v>480</v>
      </c>
      <c r="EP22" s="238">
        <f t="shared" si="92"/>
        <v>20</v>
      </c>
      <c r="EQ22" s="239">
        <f>(EO22/'Finance Only'!B25)*100</f>
        <v>2.1398956800855959</v>
      </c>
      <c r="ER22" s="224">
        <f t="shared" si="93"/>
        <v>0</v>
      </c>
      <c r="ES22" s="224"/>
      <c r="ET22" s="225">
        <f t="shared" si="94"/>
        <v>0</v>
      </c>
      <c r="EU22" s="238">
        <f t="shared" si="95"/>
        <v>0</v>
      </c>
      <c r="EV22" s="239">
        <f>(ET22/'Finance Only'!B25)*100</f>
        <v>0</v>
      </c>
      <c r="EW22" s="224">
        <f t="shared" si="96"/>
        <v>259520</v>
      </c>
      <c r="EX22" s="224">
        <v>271140</v>
      </c>
      <c r="EY22" s="225">
        <f t="shared" si="97"/>
        <v>11620</v>
      </c>
      <c r="EZ22" s="238">
        <f t="shared" si="98"/>
        <v>2820</v>
      </c>
      <c r="FA22" s="239" t="e">
        <f>(EY22/'Finance Only'!G25)*100</f>
        <v>#DIV/0!</v>
      </c>
      <c r="FB22" s="224">
        <f t="shared" si="99"/>
        <v>54594</v>
      </c>
      <c r="FC22" s="224">
        <v>54922</v>
      </c>
      <c r="FD22" s="225">
        <f t="shared" si="100"/>
        <v>328</v>
      </c>
      <c r="FE22" s="238">
        <f t="shared" si="101"/>
        <v>-8</v>
      </c>
      <c r="FF22" s="239" t="e">
        <f>(FD22/'Finance Only'!M25)*100</f>
        <v>#DIV/0!</v>
      </c>
      <c r="FG22" s="289"/>
      <c r="FH22" s="295">
        <f t="shared" si="0"/>
        <v>5249</v>
      </c>
      <c r="FI22" s="292"/>
      <c r="FJ22" s="295">
        <f t="shared" si="1"/>
        <v>5922</v>
      </c>
      <c r="FK22" s="292"/>
      <c r="FL22" s="295">
        <f t="shared" si="2"/>
        <v>2050</v>
      </c>
      <c r="FM22" s="292"/>
      <c r="FN22" s="295">
        <f t="shared" si="3"/>
        <v>1850</v>
      </c>
      <c r="FO22" s="292"/>
      <c r="FP22" s="295">
        <f t="shared" si="4"/>
        <v>1013</v>
      </c>
      <c r="FQ22" s="292"/>
      <c r="FR22" s="295">
        <f t="shared" si="5"/>
        <v>11948</v>
      </c>
      <c r="FS22" s="292"/>
    </row>
    <row r="23" spans="1:1084" s="3" customFormat="1" ht="13.5" customHeight="1" x14ac:dyDescent="0.2">
      <c r="A23" s="280">
        <v>19</v>
      </c>
      <c r="B23" s="283">
        <f>'Finance Only'!G26</f>
        <v>5793</v>
      </c>
      <c r="C23" s="278">
        <f t="shared" si="6"/>
        <v>25980110</v>
      </c>
      <c r="D23" s="222">
        <v>25982566</v>
      </c>
      <c r="E23" s="223">
        <f t="shared" si="7"/>
        <v>2456</v>
      </c>
      <c r="F23" s="234">
        <f t="shared" si="8"/>
        <v>290</v>
      </c>
      <c r="G23" s="235">
        <f>(E23/'Finance Only'!B26)*100</f>
        <v>10.241441140903214</v>
      </c>
      <c r="H23" s="246">
        <f t="shared" si="9"/>
        <v>23352033</v>
      </c>
      <c r="I23" s="222">
        <v>23355591</v>
      </c>
      <c r="J23" s="222">
        <f t="shared" si="10"/>
        <v>3558</v>
      </c>
      <c r="K23" s="247">
        <f t="shared" si="11"/>
        <v>475</v>
      </c>
      <c r="L23" s="248">
        <f>(J23/'Finance Only'!B26)*100</f>
        <v>14.83674575705767</v>
      </c>
      <c r="M23" s="230">
        <f t="shared" si="12"/>
        <v>87788974</v>
      </c>
      <c r="N23" s="224">
        <v>87801620</v>
      </c>
      <c r="O23" s="225">
        <f t="shared" si="13"/>
        <v>12646</v>
      </c>
      <c r="P23" s="238">
        <f t="shared" si="14"/>
        <v>445</v>
      </c>
      <c r="Q23" s="239">
        <f>(O23/'Finance Only'!B26)*100</f>
        <v>52.73341395271256</v>
      </c>
      <c r="R23" s="229">
        <f t="shared" si="15"/>
        <v>2300400</v>
      </c>
      <c r="S23" s="224">
        <v>2302100</v>
      </c>
      <c r="T23" s="225">
        <f t="shared" si="16"/>
        <v>1700</v>
      </c>
      <c r="U23" s="238">
        <f t="shared" si="17"/>
        <v>0</v>
      </c>
      <c r="V23" s="239">
        <f>(T23/'Finance Only'!B26)*100</f>
        <v>7.0889454151203042</v>
      </c>
      <c r="W23" s="224">
        <f t="shared" si="18"/>
        <v>3127762</v>
      </c>
      <c r="X23" s="224">
        <v>3130450</v>
      </c>
      <c r="Y23" s="225">
        <f t="shared" si="19"/>
        <v>2688</v>
      </c>
      <c r="Z23" s="238">
        <f t="shared" si="20"/>
        <v>206</v>
      </c>
      <c r="AA23" s="239">
        <f>(Y23/'Finance Only'!B26)*100</f>
        <v>11.208873691672574</v>
      </c>
      <c r="AB23" s="224">
        <f t="shared" si="21"/>
        <v>1921900</v>
      </c>
      <c r="AC23" s="224">
        <v>1923600</v>
      </c>
      <c r="AD23" s="225">
        <f t="shared" si="22"/>
        <v>1700</v>
      </c>
      <c r="AE23" s="238">
        <f t="shared" si="23"/>
        <v>100</v>
      </c>
      <c r="AF23" s="239">
        <f>(AD23/'Finance Only'!B26)*100</f>
        <v>7.0889454151203042</v>
      </c>
      <c r="AG23" s="224">
        <f t="shared" si="24"/>
        <v>849063</v>
      </c>
      <c r="AH23" s="224">
        <v>849953</v>
      </c>
      <c r="AI23" s="225">
        <f t="shared" si="25"/>
        <v>890</v>
      </c>
      <c r="AJ23" s="238">
        <f t="shared" si="26"/>
        <v>23</v>
      </c>
      <c r="AK23" s="239">
        <f>(AI23/'Finance Only'!B26)*100</f>
        <v>3.7112714232100412</v>
      </c>
      <c r="AL23" s="224">
        <f t="shared" si="27"/>
        <v>867660</v>
      </c>
      <c r="AM23" s="224">
        <v>868300</v>
      </c>
      <c r="AN23" s="225">
        <f t="shared" si="28"/>
        <v>640</v>
      </c>
      <c r="AO23" s="238">
        <f t="shared" si="29"/>
        <v>90</v>
      </c>
      <c r="AP23" s="239">
        <f>(AN23/'Finance Only'!B26)*100</f>
        <v>2.6687794503982318</v>
      </c>
      <c r="AQ23" s="224">
        <f t="shared" si="30"/>
        <v>1941400</v>
      </c>
      <c r="AR23" s="224">
        <v>1942800</v>
      </c>
      <c r="AS23" s="225">
        <f t="shared" si="31"/>
        <v>1400</v>
      </c>
      <c r="AT23" s="238">
        <f t="shared" si="32"/>
        <v>-100</v>
      </c>
      <c r="AU23" s="239">
        <f>(AS23/'Finance Only'!B26)*100</f>
        <v>5.8379550477461324</v>
      </c>
      <c r="AV23" s="224">
        <f t="shared" si="33"/>
        <v>564415</v>
      </c>
      <c r="AW23" s="224">
        <v>564769</v>
      </c>
      <c r="AX23" s="225">
        <f t="shared" si="34"/>
        <v>354</v>
      </c>
      <c r="AY23" s="238">
        <f t="shared" si="35"/>
        <v>34</v>
      </c>
      <c r="AZ23" s="239">
        <f>(AX23/'Finance Only'!B26)*100</f>
        <v>1.4761686335015221</v>
      </c>
      <c r="BA23" s="224">
        <f t="shared" si="36"/>
        <v>785950</v>
      </c>
      <c r="BB23" s="224">
        <v>786760</v>
      </c>
      <c r="BC23" s="225">
        <f t="shared" si="37"/>
        <v>810</v>
      </c>
      <c r="BD23" s="238">
        <f t="shared" si="38"/>
        <v>0</v>
      </c>
      <c r="BE23" s="239">
        <f>(BC23/'Finance Only'!B26)*100</f>
        <v>3.3776739919102621</v>
      </c>
      <c r="BF23" s="224">
        <f t="shared" si="39"/>
        <v>878240</v>
      </c>
      <c r="BG23" s="224">
        <v>878930</v>
      </c>
      <c r="BH23" s="225">
        <f t="shared" si="40"/>
        <v>690</v>
      </c>
      <c r="BI23" s="238">
        <f t="shared" si="41"/>
        <v>-30</v>
      </c>
      <c r="BJ23" s="239">
        <f>(BH23/'Finance Only'!B26)*100</f>
        <v>2.8772778449605938</v>
      </c>
      <c r="BK23" s="224">
        <f t="shared" si="42"/>
        <v>1372400</v>
      </c>
      <c r="BL23" s="224">
        <v>1373300</v>
      </c>
      <c r="BM23" s="225">
        <f t="shared" si="43"/>
        <v>900</v>
      </c>
      <c r="BN23" s="238">
        <f t="shared" si="44"/>
        <v>0</v>
      </c>
      <c r="BO23" s="239">
        <f>(BM23/'Finance Only'!B26)*100</f>
        <v>3.7529711021225141</v>
      </c>
      <c r="BP23" s="224">
        <f t="shared" si="45"/>
        <v>84885</v>
      </c>
      <c r="BQ23" s="224">
        <v>84998</v>
      </c>
      <c r="BR23" s="225">
        <f t="shared" si="46"/>
        <v>113</v>
      </c>
      <c r="BS23" s="238">
        <f t="shared" si="47"/>
        <v>0</v>
      </c>
      <c r="BT23" s="239">
        <f>(BR23/'Finance Only'!B26)*100</f>
        <v>0.47120637171093788</v>
      </c>
      <c r="BU23" s="224">
        <f t="shared" si="48"/>
        <v>426230</v>
      </c>
      <c r="BV23" s="224">
        <v>426550</v>
      </c>
      <c r="BW23" s="225">
        <f t="shared" si="49"/>
        <v>320</v>
      </c>
      <c r="BX23" s="238">
        <f t="shared" si="50"/>
        <v>-60</v>
      </c>
      <c r="BY23" s="239">
        <f>(BW23/'Finance Only'!B26)*100</f>
        <v>1.3343897251991159</v>
      </c>
      <c r="BZ23" s="224">
        <f t="shared" si="51"/>
        <v>666210</v>
      </c>
      <c r="CA23" s="224">
        <v>667334</v>
      </c>
      <c r="CB23" s="225">
        <f t="shared" si="52"/>
        <v>1124</v>
      </c>
      <c r="CC23" s="238">
        <f t="shared" si="53"/>
        <v>-16</v>
      </c>
      <c r="CD23" s="239">
        <f>(CB23/'Finance Only'!B26)*100</f>
        <v>4.6870439097618943</v>
      </c>
      <c r="CE23" s="224">
        <f t="shared" si="54"/>
        <v>202120</v>
      </c>
      <c r="CF23" s="224">
        <v>202540</v>
      </c>
      <c r="CG23" s="225">
        <f t="shared" si="55"/>
        <v>420</v>
      </c>
      <c r="CH23" s="238">
        <f t="shared" si="56"/>
        <v>40</v>
      </c>
      <c r="CI23" s="239">
        <f>(CG23/'Finance Only'!B26)*100</f>
        <v>1.7513865143238396</v>
      </c>
      <c r="CJ23" s="225">
        <f t="shared" si="57"/>
        <v>459260</v>
      </c>
      <c r="CK23" s="225">
        <v>459990</v>
      </c>
      <c r="CL23" s="225">
        <f t="shared" si="58"/>
        <v>730</v>
      </c>
      <c r="CM23" s="238">
        <f t="shared" si="59"/>
        <v>50</v>
      </c>
      <c r="CN23" s="239">
        <f>(CL23/'Finance Only'!B26)*100</f>
        <v>3.0440765606104834</v>
      </c>
      <c r="CO23" s="224">
        <f t="shared" si="60"/>
        <v>372300</v>
      </c>
      <c r="CP23" s="224">
        <v>372800</v>
      </c>
      <c r="CQ23" s="226">
        <f t="shared" si="61"/>
        <v>500</v>
      </c>
      <c r="CR23" s="238">
        <f t="shared" si="62"/>
        <v>-40</v>
      </c>
      <c r="CS23" s="239">
        <f>(CQ23/'Finance Only'!B26)*100</f>
        <v>2.0849839456236188</v>
      </c>
      <c r="CT23" s="224">
        <f t="shared" si="63"/>
        <v>315500</v>
      </c>
      <c r="CU23" s="224">
        <v>316000</v>
      </c>
      <c r="CV23" s="225">
        <f t="shared" si="64"/>
        <v>500</v>
      </c>
      <c r="CW23" s="238">
        <f t="shared" si="65"/>
        <v>120</v>
      </c>
      <c r="CX23" s="239">
        <f>(CV23/'Finance Only'!B26)*100</f>
        <v>2.0849839456236188</v>
      </c>
      <c r="CY23" s="224">
        <f t="shared" si="66"/>
        <v>545070</v>
      </c>
      <c r="CZ23" s="224">
        <v>545920</v>
      </c>
      <c r="DA23" s="225">
        <f t="shared" si="67"/>
        <v>850</v>
      </c>
      <c r="DB23" s="238">
        <f t="shared" si="68"/>
        <v>50</v>
      </c>
      <c r="DC23" s="239">
        <f>(DA23/'Finance Only'!B26)*100</f>
        <v>3.5444727075601521</v>
      </c>
      <c r="DD23" s="224">
        <f t="shared" si="69"/>
        <v>409510</v>
      </c>
      <c r="DE23" s="224">
        <v>410330</v>
      </c>
      <c r="DF23" s="225">
        <f t="shared" si="70"/>
        <v>820</v>
      </c>
      <c r="DG23" s="238">
        <f t="shared" si="71"/>
        <v>180</v>
      </c>
      <c r="DH23" s="239">
        <f>(DF23/'Finance Only'!B26)*100</f>
        <v>3.4193736708227349</v>
      </c>
      <c r="DI23" s="224">
        <f t="shared" si="72"/>
        <v>375520</v>
      </c>
      <c r="DJ23" s="224">
        <v>376140</v>
      </c>
      <c r="DK23" s="225">
        <f t="shared" si="73"/>
        <v>620</v>
      </c>
      <c r="DL23" s="238">
        <f t="shared" si="74"/>
        <v>80</v>
      </c>
      <c r="DM23" s="239">
        <f>(DK23/'Finance Only'!B26)*100</f>
        <v>2.585380092573287</v>
      </c>
      <c r="DN23" s="224">
        <f t="shared" si="75"/>
        <v>231610</v>
      </c>
      <c r="DO23" s="224">
        <v>231860</v>
      </c>
      <c r="DP23" s="225">
        <f t="shared" si="76"/>
        <v>250</v>
      </c>
      <c r="DQ23" s="238">
        <f t="shared" si="77"/>
        <v>90</v>
      </c>
      <c r="DR23" s="239">
        <f>(DP23/'Finance Only'!B26)*100</f>
        <v>1.0424919728118094</v>
      </c>
      <c r="DS23" s="224">
        <f t="shared" si="78"/>
        <v>65213</v>
      </c>
      <c r="DT23" s="224">
        <v>65353</v>
      </c>
      <c r="DU23" s="225">
        <f t="shared" si="79"/>
        <v>140</v>
      </c>
      <c r="DV23" s="238">
        <f t="shared" si="80"/>
        <v>-17</v>
      </c>
      <c r="DW23" s="239">
        <f>(DU23/'Finance Only'!B26)*100</f>
        <v>0.58379550477461328</v>
      </c>
      <c r="DX23" s="224">
        <f t="shared" si="81"/>
        <v>435050</v>
      </c>
      <c r="DY23" s="224">
        <v>435730</v>
      </c>
      <c r="DZ23" s="225">
        <f t="shared" si="82"/>
        <v>680</v>
      </c>
      <c r="EA23" s="238">
        <f t="shared" si="83"/>
        <v>20</v>
      </c>
      <c r="EB23" s="239">
        <f>(DZ23/'Finance Only'!B26)*100</f>
        <v>2.8355781660481214</v>
      </c>
      <c r="EC23" s="224">
        <f t="shared" si="84"/>
        <v>137580</v>
      </c>
      <c r="ED23" s="224">
        <v>137810</v>
      </c>
      <c r="EE23" s="225">
        <f t="shared" si="85"/>
        <v>230</v>
      </c>
      <c r="EF23" s="238">
        <f t="shared" si="86"/>
        <v>-20</v>
      </c>
      <c r="EG23" s="239">
        <f>(EE23/'Finance Only'!B26)*100</f>
        <v>0.95909261498686471</v>
      </c>
      <c r="EH23" s="224">
        <f t="shared" si="87"/>
        <v>134330</v>
      </c>
      <c r="EI23" s="224">
        <v>134650</v>
      </c>
      <c r="EJ23" s="225">
        <f t="shared" si="88"/>
        <v>320</v>
      </c>
      <c r="EK23" s="238">
        <f t="shared" si="89"/>
        <v>-30</v>
      </c>
      <c r="EL23" s="239">
        <f>(EJ23/'Finance Only'!B26)*100</f>
        <v>1.3343897251991159</v>
      </c>
      <c r="EM23" s="224">
        <f t="shared" si="90"/>
        <v>252480</v>
      </c>
      <c r="EN23" s="224">
        <v>252970</v>
      </c>
      <c r="EO23" s="225">
        <f t="shared" si="91"/>
        <v>490</v>
      </c>
      <c r="EP23" s="238">
        <f t="shared" si="92"/>
        <v>10</v>
      </c>
      <c r="EQ23" s="239">
        <f>(EO23/'Finance Only'!B26)*100</f>
        <v>2.0432842667111464</v>
      </c>
      <c r="ER23" s="224">
        <f t="shared" si="93"/>
        <v>0</v>
      </c>
      <c r="ES23" s="224"/>
      <c r="ET23" s="225">
        <f t="shared" si="94"/>
        <v>0</v>
      </c>
      <c r="EU23" s="238">
        <f t="shared" si="95"/>
        <v>0</v>
      </c>
      <c r="EV23" s="239">
        <f>(ET23/'Finance Only'!B26)*100</f>
        <v>0</v>
      </c>
      <c r="EW23" s="224">
        <f t="shared" si="96"/>
        <v>271140</v>
      </c>
      <c r="EX23" s="224">
        <v>282480</v>
      </c>
      <c r="EY23" s="225">
        <f t="shared" si="97"/>
        <v>11340</v>
      </c>
      <c r="EZ23" s="238">
        <f t="shared" si="98"/>
        <v>-280</v>
      </c>
      <c r="FA23" s="239">
        <f>(EY23/'Finance Only'!G26)*100</f>
        <v>195.75349559813569</v>
      </c>
      <c r="FB23" s="224">
        <f t="shared" si="99"/>
        <v>54922</v>
      </c>
      <c r="FC23" s="224">
        <v>55262</v>
      </c>
      <c r="FD23" s="225">
        <f t="shared" si="100"/>
        <v>340</v>
      </c>
      <c r="FE23" s="238">
        <f t="shared" si="101"/>
        <v>12</v>
      </c>
      <c r="FF23" s="239" t="e">
        <f>(FD23/'Finance Only'!M26)*100</f>
        <v>#DIV/0!</v>
      </c>
      <c r="FG23" s="289"/>
      <c r="FH23" s="295">
        <f t="shared" si="0"/>
        <v>6014</v>
      </c>
      <c r="FI23" s="292"/>
      <c r="FJ23" s="295">
        <f t="shared" si="1"/>
        <v>6108</v>
      </c>
      <c r="FK23" s="292"/>
      <c r="FL23" s="295">
        <f t="shared" si="2"/>
        <v>2040</v>
      </c>
      <c r="FM23" s="292"/>
      <c r="FN23" s="295">
        <f t="shared" si="3"/>
        <v>1854</v>
      </c>
      <c r="FO23" s="292"/>
      <c r="FP23" s="295">
        <f t="shared" si="4"/>
        <v>1013</v>
      </c>
      <c r="FQ23" s="292"/>
      <c r="FR23" s="295">
        <f t="shared" si="5"/>
        <v>11680</v>
      </c>
      <c r="FS23" s="292"/>
    </row>
    <row r="24" spans="1:1084" s="3" customFormat="1" ht="13.5" customHeight="1" x14ac:dyDescent="0.2">
      <c r="A24" s="280">
        <v>20</v>
      </c>
      <c r="B24" s="283">
        <f>'Finance Only'!G27</f>
        <v>4959</v>
      </c>
      <c r="C24" s="278">
        <f t="shared" si="6"/>
        <v>25982566</v>
      </c>
      <c r="D24" s="222">
        <v>25985021</v>
      </c>
      <c r="E24" s="223">
        <f t="shared" si="7"/>
        <v>2455</v>
      </c>
      <c r="F24" s="234">
        <f t="shared" si="8"/>
        <v>-1</v>
      </c>
      <c r="G24" s="235">
        <f>(E24/'Finance Only'!B27)*100</f>
        <v>9.760655216284988</v>
      </c>
      <c r="H24" s="246">
        <f t="shared" si="9"/>
        <v>23355591</v>
      </c>
      <c r="I24" s="222">
        <v>23359704</v>
      </c>
      <c r="J24" s="222">
        <f t="shared" si="10"/>
        <v>4113</v>
      </c>
      <c r="K24" s="247">
        <f t="shared" si="11"/>
        <v>555</v>
      </c>
      <c r="L24" s="248">
        <f>(J24/'Finance Only'!B27)*100</f>
        <v>16.352576335877863</v>
      </c>
      <c r="M24" s="230">
        <f t="shared" si="12"/>
        <v>87801620</v>
      </c>
      <c r="N24" s="224">
        <v>87814936</v>
      </c>
      <c r="O24" s="225">
        <f t="shared" si="13"/>
        <v>13316</v>
      </c>
      <c r="P24" s="238">
        <f t="shared" si="14"/>
        <v>670</v>
      </c>
      <c r="Q24" s="239">
        <f>(O24/'Finance Only'!B27)*100</f>
        <v>52.94211195928753</v>
      </c>
      <c r="R24" s="229">
        <f t="shared" si="15"/>
        <v>2302100</v>
      </c>
      <c r="S24" s="224">
        <v>2303900</v>
      </c>
      <c r="T24" s="225">
        <f t="shared" si="16"/>
        <v>1800</v>
      </c>
      <c r="U24" s="238">
        <f t="shared" si="17"/>
        <v>100</v>
      </c>
      <c r="V24" s="239">
        <f>(T24/'Finance Only'!B27)*100</f>
        <v>7.1564885496183201</v>
      </c>
      <c r="W24" s="224">
        <f t="shared" si="18"/>
        <v>3130450</v>
      </c>
      <c r="X24" s="224">
        <v>3133144</v>
      </c>
      <c r="Y24" s="225">
        <f t="shared" si="19"/>
        <v>2694</v>
      </c>
      <c r="Z24" s="238">
        <f t="shared" si="20"/>
        <v>6</v>
      </c>
      <c r="AA24" s="239">
        <f>(Y24/'Finance Only'!B27)*100</f>
        <v>10.710877862595419</v>
      </c>
      <c r="AB24" s="224">
        <f t="shared" si="21"/>
        <v>1923600</v>
      </c>
      <c r="AC24" s="227">
        <v>1925600</v>
      </c>
      <c r="AD24" s="225">
        <f t="shared" si="22"/>
        <v>2000</v>
      </c>
      <c r="AE24" s="238">
        <f t="shared" si="23"/>
        <v>300</v>
      </c>
      <c r="AF24" s="239">
        <f>(AD24/'Finance Only'!B27)*100</f>
        <v>7.9516539440203564</v>
      </c>
      <c r="AG24" s="224">
        <f t="shared" si="24"/>
        <v>849953</v>
      </c>
      <c r="AH24" s="224">
        <v>850830</v>
      </c>
      <c r="AI24" s="225">
        <f t="shared" si="25"/>
        <v>877</v>
      </c>
      <c r="AJ24" s="238">
        <f t="shared" si="26"/>
        <v>-13</v>
      </c>
      <c r="AK24" s="239">
        <f>(AI24/'Finance Only'!B27)*100</f>
        <v>3.4868002544529264</v>
      </c>
      <c r="AL24" s="224">
        <f t="shared" si="27"/>
        <v>868300</v>
      </c>
      <c r="AM24" s="224">
        <v>868940</v>
      </c>
      <c r="AN24" s="225">
        <f t="shared" si="28"/>
        <v>640</v>
      </c>
      <c r="AO24" s="238">
        <f t="shared" si="29"/>
        <v>0</v>
      </c>
      <c r="AP24" s="239">
        <f>(AN24/'Finance Only'!B27)*100</f>
        <v>2.5445292620865136</v>
      </c>
      <c r="AQ24" s="224">
        <f t="shared" si="30"/>
        <v>1942800</v>
      </c>
      <c r="AR24" s="224">
        <v>1944300</v>
      </c>
      <c r="AS24" s="225">
        <f t="shared" si="31"/>
        <v>1500</v>
      </c>
      <c r="AT24" s="238">
        <f t="shared" si="32"/>
        <v>100</v>
      </c>
      <c r="AU24" s="239">
        <f>(AS24/'Finance Only'!B27)*100</f>
        <v>5.9637404580152671</v>
      </c>
      <c r="AV24" s="224">
        <f t="shared" si="33"/>
        <v>564769</v>
      </c>
      <c r="AW24" s="224">
        <v>565171</v>
      </c>
      <c r="AX24" s="225">
        <f t="shared" si="34"/>
        <v>402</v>
      </c>
      <c r="AY24" s="238">
        <f t="shared" si="35"/>
        <v>48</v>
      </c>
      <c r="AZ24" s="239">
        <f>(AX24/'Finance Only'!B27)*100</f>
        <v>1.5982824427480915</v>
      </c>
      <c r="BA24" s="224">
        <f t="shared" si="36"/>
        <v>786760</v>
      </c>
      <c r="BB24" s="224">
        <v>787610</v>
      </c>
      <c r="BC24" s="225">
        <f t="shared" si="37"/>
        <v>850</v>
      </c>
      <c r="BD24" s="238">
        <f t="shared" si="38"/>
        <v>40</v>
      </c>
      <c r="BE24" s="239">
        <f>(BC24/'Finance Only'!B27)*100</f>
        <v>3.3794529262086517</v>
      </c>
      <c r="BF24" s="224">
        <f t="shared" si="39"/>
        <v>878930</v>
      </c>
      <c r="BG24" s="224">
        <v>879670</v>
      </c>
      <c r="BH24" s="225">
        <f t="shared" si="40"/>
        <v>740</v>
      </c>
      <c r="BI24" s="238">
        <f t="shared" si="41"/>
        <v>50</v>
      </c>
      <c r="BJ24" s="239">
        <f>(BH24/'Finance Only'!B27)*100</f>
        <v>2.9421119592875318</v>
      </c>
      <c r="BK24" s="224">
        <f t="shared" si="42"/>
        <v>1373300</v>
      </c>
      <c r="BL24" s="224">
        <v>1374300</v>
      </c>
      <c r="BM24" s="225">
        <f t="shared" si="43"/>
        <v>1000</v>
      </c>
      <c r="BN24" s="238">
        <f t="shared" si="44"/>
        <v>100</v>
      </c>
      <c r="BO24" s="239">
        <f>(BM24/'Finance Only'!B27)*100</f>
        <v>3.9758269720101782</v>
      </c>
      <c r="BP24" s="224">
        <f t="shared" si="45"/>
        <v>84998</v>
      </c>
      <c r="BQ24" s="224">
        <v>85128</v>
      </c>
      <c r="BR24" s="225">
        <f t="shared" si="46"/>
        <v>130</v>
      </c>
      <c r="BS24" s="238">
        <f t="shared" si="47"/>
        <v>17</v>
      </c>
      <c r="BT24" s="239">
        <f>(BR24/'Finance Only'!B27)*100</f>
        <v>0.51685750636132322</v>
      </c>
      <c r="BU24" s="224">
        <f t="shared" si="48"/>
        <v>426550</v>
      </c>
      <c r="BV24" s="224">
        <v>426870</v>
      </c>
      <c r="BW24" s="225">
        <f t="shared" si="49"/>
        <v>320</v>
      </c>
      <c r="BX24" s="238">
        <f t="shared" si="50"/>
        <v>0</v>
      </c>
      <c r="BY24" s="239">
        <f>(BW24/'Finance Only'!B27)*100</f>
        <v>1.2722646310432568</v>
      </c>
      <c r="BZ24" s="224">
        <f t="shared" si="51"/>
        <v>667334</v>
      </c>
      <c r="CA24" s="224">
        <v>668600</v>
      </c>
      <c r="CB24" s="225">
        <f t="shared" si="52"/>
        <v>1266</v>
      </c>
      <c r="CC24" s="238">
        <f t="shared" si="53"/>
        <v>142</v>
      </c>
      <c r="CD24" s="239">
        <f>(CB24/'Finance Only'!B27)*100</f>
        <v>5.0333969465648849</v>
      </c>
      <c r="CE24" s="224">
        <f t="shared" si="54"/>
        <v>202540</v>
      </c>
      <c r="CF24" s="224">
        <v>202990</v>
      </c>
      <c r="CG24" s="225">
        <f t="shared" si="55"/>
        <v>450</v>
      </c>
      <c r="CH24" s="238">
        <f t="shared" si="56"/>
        <v>30</v>
      </c>
      <c r="CI24" s="239">
        <f>(CG24/'Finance Only'!B27)*100</f>
        <v>1.78912213740458</v>
      </c>
      <c r="CJ24" s="225">
        <f t="shared" si="57"/>
        <v>459990</v>
      </c>
      <c r="CK24" s="225">
        <v>460940</v>
      </c>
      <c r="CL24" s="225">
        <f t="shared" si="58"/>
        <v>950</v>
      </c>
      <c r="CM24" s="238">
        <f t="shared" si="59"/>
        <v>220</v>
      </c>
      <c r="CN24" s="239">
        <f>(CL24/'Finance Only'!B27)*100</f>
        <v>3.7770356234096694</v>
      </c>
      <c r="CO24" s="224">
        <f t="shared" si="60"/>
        <v>372800</v>
      </c>
      <c r="CP24" s="224">
        <v>373530</v>
      </c>
      <c r="CQ24" s="226">
        <f t="shared" si="61"/>
        <v>730</v>
      </c>
      <c r="CR24" s="238">
        <f t="shared" si="62"/>
        <v>230</v>
      </c>
      <c r="CS24" s="239">
        <f>(CQ24/'Finance Only'!B27)*100</f>
        <v>2.90235368956743</v>
      </c>
      <c r="CT24" s="224">
        <f t="shared" si="63"/>
        <v>316000</v>
      </c>
      <c r="CU24" s="224">
        <v>316590</v>
      </c>
      <c r="CV24" s="225">
        <f t="shared" si="64"/>
        <v>590</v>
      </c>
      <c r="CW24" s="238">
        <f t="shared" si="65"/>
        <v>90</v>
      </c>
      <c r="CX24" s="239">
        <f>(CV24/'Finance Only'!B27)*100</f>
        <v>2.3457379134860052</v>
      </c>
      <c r="CY24" s="224">
        <f t="shared" si="66"/>
        <v>545920</v>
      </c>
      <c r="CZ24" s="224">
        <v>546810</v>
      </c>
      <c r="DA24" s="225">
        <f t="shared" si="67"/>
        <v>890</v>
      </c>
      <c r="DB24" s="238">
        <f t="shared" si="68"/>
        <v>40</v>
      </c>
      <c r="DC24" s="239">
        <f>(DA24/'Finance Only'!B27)*100</f>
        <v>3.5384860050890588</v>
      </c>
      <c r="DD24" s="224">
        <f t="shared" si="69"/>
        <v>410330</v>
      </c>
      <c r="DE24" s="224">
        <v>411200</v>
      </c>
      <c r="DF24" s="225">
        <f t="shared" si="70"/>
        <v>870</v>
      </c>
      <c r="DG24" s="238">
        <f t="shared" si="71"/>
        <v>50</v>
      </c>
      <c r="DH24" s="239">
        <f>(DF24/'Finance Only'!B27)*100</f>
        <v>3.4589694656488548</v>
      </c>
      <c r="DI24" s="224">
        <f t="shared" si="72"/>
        <v>376140</v>
      </c>
      <c r="DJ24" s="224">
        <v>376900</v>
      </c>
      <c r="DK24" s="225">
        <f t="shared" si="73"/>
        <v>760</v>
      </c>
      <c r="DL24" s="238">
        <f t="shared" si="74"/>
        <v>140</v>
      </c>
      <c r="DM24" s="239">
        <f>(DK24/'Finance Only'!B27)*100</f>
        <v>3.0216284987277353</v>
      </c>
      <c r="DN24" s="224">
        <f t="shared" si="75"/>
        <v>231860</v>
      </c>
      <c r="DO24" s="224">
        <v>231990</v>
      </c>
      <c r="DP24" s="225">
        <f t="shared" si="76"/>
        <v>130</v>
      </c>
      <c r="DQ24" s="238">
        <f t="shared" si="77"/>
        <v>-120</v>
      </c>
      <c r="DR24" s="239">
        <f>(DP24/'Finance Only'!B27)*100</f>
        <v>0.51685750636132322</v>
      </c>
      <c r="DS24" s="224">
        <f t="shared" si="78"/>
        <v>65353</v>
      </c>
      <c r="DT24" s="224">
        <v>65513</v>
      </c>
      <c r="DU24" s="225">
        <f t="shared" si="79"/>
        <v>160</v>
      </c>
      <c r="DV24" s="238">
        <f t="shared" si="80"/>
        <v>20</v>
      </c>
      <c r="DW24" s="239">
        <f>(DU24/'Finance Only'!B27)*100</f>
        <v>0.63613231552162841</v>
      </c>
      <c r="DX24" s="224">
        <f t="shared" si="81"/>
        <v>435730</v>
      </c>
      <c r="DY24" s="224">
        <v>436410</v>
      </c>
      <c r="DZ24" s="225">
        <f t="shared" si="82"/>
        <v>680</v>
      </c>
      <c r="EA24" s="238">
        <f t="shared" si="83"/>
        <v>0</v>
      </c>
      <c r="EB24" s="239">
        <f>(DZ24/'Finance Only'!B27)*100</f>
        <v>2.7035623409669212</v>
      </c>
      <c r="EC24" s="224">
        <f t="shared" si="84"/>
        <v>137810</v>
      </c>
      <c r="ED24" s="224">
        <v>138080</v>
      </c>
      <c r="EE24" s="225">
        <f t="shared" si="85"/>
        <v>270</v>
      </c>
      <c r="EF24" s="238">
        <f t="shared" si="86"/>
        <v>40</v>
      </c>
      <c r="EG24" s="239">
        <f>(EE24/'Finance Only'!B27)*100</f>
        <v>1.0734732824427482</v>
      </c>
      <c r="EH24" s="224">
        <f t="shared" si="87"/>
        <v>134650</v>
      </c>
      <c r="EI24" s="224">
        <v>135030</v>
      </c>
      <c r="EJ24" s="225">
        <f t="shared" si="88"/>
        <v>380</v>
      </c>
      <c r="EK24" s="238">
        <f t="shared" si="89"/>
        <v>60</v>
      </c>
      <c r="EL24" s="239">
        <f>(EJ24/'Finance Only'!B27)*100</f>
        <v>1.5108142493638677</v>
      </c>
      <c r="EM24" s="224">
        <f t="shared" si="90"/>
        <v>252970</v>
      </c>
      <c r="EN24" s="224">
        <v>253380</v>
      </c>
      <c r="EO24" s="225">
        <f t="shared" si="91"/>
        <v>410</v>
      </c>
      <c r="EP24" s="238">
        <f t="shared" si="92"/>
        <v>-80</v>
      </c>
      <c r="EQ24" s="239">
        <f>(EO24/'Finance Only'!B27)*100</f>
        <v>1.6300890585241732</v>
      </c>
      <c r="ER24" s="224">
        <f t="shared" si="93"/>
        <v>0</v>
      </c>
      <c r="ES24" s="224"/>
      <c r="ET24" s="225">
        <f t="shared" si="94"/>
        <v>0</v>
      </c>
      <c r="EU24" s="238">
        <f t="shared" si="95"/>
        <v>0</v>
      </c>
      <c r="EV24" s="239">
        <f>(ET24/'Finance Only'!B27)*100</f>
        <v>0</v>
      </c>
      <c r="EW24" s="224">
        <f t="shared" si="96"/>
        <v>282480</v>
      </c>
      <c r="EX24" s="224">
        <v>288560</v>
      </c>
      <c r="EY24" s="225">
        <f t="shared" si="97"/>
        <v>6080</v>
      </c>
      <c r="EZ24" s="238">
        <f t="shared" si="98"/>
        <v>-5260</v>
      </c>
      <c r="FA24" s="239">
        <f>(EY24/'Finance Only'!G27)*100</f>
        <v>122.60536398467433</v>
      </c>
      <c r="FB24" s="224">
        <f t="shared" si="99"/>
        <v>55262</v>
      </c>
      <c r="FC24" s="224">
        <v>55696</v>
      </c>
      <c r="FD24" s="225">
        <f t="shared" si="100"/>
        <v>434</v>
      </c>
      <c r="FE24" s="238">
        <f t="shared" si="101"/>
        <v>94</v>
      </c>
      <c r="FF24" s="239" t="e">
        <f>(FD24/'Finance Only'!M27)*100</f>
        <v>#DIV/0!</v>
      </c>
      <c r="FG24" s="289"/>
      <c r="FH24" s="295">
        <f>SUM(E24+J24)</f>
        <v>6568</v>
      </c>
      <c r="FI24" s="292"/>
      <c r="FJ24" s="295">
        <f t="shared" si="1"/>
        <v>6234</v>
      </c>
      <c r="FK24" s="292"/>
      <c r="FL24" s="295">
        <f t="shared" si="2"/>
        <v>2140</v>
      </c>
      <c r="FM24" s="292"/>
      <c r="FN24" s="295">
        <f t="shared" si="3"/>
        <v>1992</v>
      </c>
      <c r="FO24" s="292"/>
      <c r="FP24" s="295">
        <f t="shared" si="4"/>
        <v>1130</v>
      </c>
      <c r="FQ24" s="292"/>
      <c r="FR24" s="295">
        <f t="shared" si="5"/>
        <v>6514</v>
      </c>
      <c r="FS24" s="292"/>
    </row>
    <row r="25" spans="1:1084" s="3" customFormat="1" ht="13.5" customHeight="1" x14ac:dyDescent="0.2">
      <c r="A25" s="280">
        <v>21</v>
      </c>
      <c r="B25" s="283">
        <f>'Finance Only'!G28</f>
        <v>3510</v>
      </c>
      <c r="C25" s="278">
        <f t="shared" si="6"/>
        <v>25985021</v>
      </c>
      <c r="D25" s="222">
        <v>25987601</v>
      </c>
      <c r="E25" s="223">
        <f t="shared" si="7"/>
        <v>2580</v>
      </c>
      <c r="F25" s="234">
        <f t="shared" si="8"/>
        <v>125</v>
      </c>
      <c r="G25" s="235">
        <f>(E25/'Finance Only'!B28)*100</f>
        <v>9.8544746189985091</v>
      </c>
      <c r="H25" s="246">
        <f t="shared" si="9"/>
        <v>23359704</v>
      </c>
      <c r="I25" s="222">
        <v>23364108</v>
      </c>
      <c r="J25" s="222">
        <f t="shared" si="10"/>
        <v>4404</v>
      </c>
      <c r="K25" s="247">
        <f t="shared" si="11"/>
        <v>291</v>
      </c>
      <c r="L25" s="248">
        <f>(J25/'Finance Only'!B28)*100</f>
        <v>16.821359000802108</v>
      </c>
      <c r="M25" s="230">
        <f t="shared" si="12"/>
        <v>87814936</v>
      </c>
      <c r="N25" s="224">
        <v>87828584</v>
      </c>
      <c r="O25" s="225">
        <f t="shared" si="13"/>
        <v>13648</v>
      </c>
      <c r="P25" s="238">
        <f t="shared" si="14"/>
        <v>332</v>
      </c>
      <c r="Q25" s="239">
        <f>(O25/'Finance Only'!B28)*100</f>
        <v>52.12940682174095</v>
      </c>
      <c r="R25" s="229">
        <f t="shared" si="15"/>
        <v>2303900</v>
      </c>
      <c r="S25" s="224">
        <v>2305800</v>
      </c>
      <c r="T25" s="225">
        <f t="shared" si="16"/>
        <v>1900</v>
      </c>
      <c r="U25" s="238">
        <f t="shared" si="17"/>
        <v>100</v>
      </c>
      <c r="V25" s="239">
        <f>(T25/'Finance Only'!B28)*100</f>
        <v>7.2571712310454144</v>
      </c>
      <c r="W25" s="224">
        <f t="shared" si="18"/>
        <v>3133144</v>
      </c>
      <c r="X25" s="224">
        <v>3135935</v>
      </c>
      <c r="Y25" s="225">
        <f t="shared" si="19"/>
        <v>2791</v>
      </c>
      <c r="Z25" s="238">
        <f t="shared" si="20"/>
        <v>97</v>
      </c>
      <c r="AA25" s="239">
        <f>(Y25/'Finance Only'!B28)*100</f>
        <v>10.660402582025133</v>
      </c>
      <c r="AB25" s="224">
        <f t="shared" si="21"/>
        <v>1925600</v>
      </c>
      <c r="AC25" s="224">
        <v>1927700</v>
      </c>
      <c r="AD25" s="225">
        <f t="shared" si="22"/>
        <v>2100</v>
      </c>
      <c r="AE25" s="238">
        <f t="shared" si="23"/>
        <v>100</v>
      </c>
      <c r="AF25" s="239">
        <f>(AD25/'Finance Only'!B28)*100</f>
        <v>8.0210839922080908</v>
      </c>
      <c r="AG25" s="224">
        <f t="shared" si="24"/>
        <v>850830</v>
      </c>
      <c r="AH25" s="224">
        <v>851725</v>
      </c>
      <c r="AI25" s="225">
        <f t="shared" si="25"/>
        <v>895</v>
      </c>
      <c r="AJ25" s="238">
        <f t="shared" si="26"/>
        <v>18</v>
      </c>
      <c r="AK25" s="239">
        <f>(AI25/'Finance Only'!B28)*100</f>
        <v>3.4185096062029712</v>
      </c>
      <c r="AL25" s="224">
        <f t="shared" si="27"/>
        <v>868940</v>
      </c>
      <c r="AM25" s="224">
        <v>869550</v>
      </c>
      <c r="AN25" s="225">
        <f t="shared" si="28"/>
        <v>610</v>
      </c>
      <c r="AO25" s="238">
        <f t="shared" si="29"/>
        <v>-30</v>
      </c>
      <c r="AP25" s="239">
        <f>(AN25/'Finance Only'!B28)*100</f>
        <v>2.3299339215461594</v>
      </c>
      <c r="AQ25" s="224">
        <f t="shared" si="30"/>
        <v>1944300</v>
      </c>
      <c r="AR25" s="224">
        <v>1946000</v>
      </c>
      <c r="AS25" s="225">
        <f t="shared" si="31"/>
        <v>1700</v>
      </c>
      <c r="AT25" s="238">
        <f t="shared" si="32"/>
        <v>200</v>
      </c>
      <c r="AU25" s="239">
        <f>(AS25/'Finance Only'!B28)*100</f>
        <v>6.4932584698827398</v>
      </c>
      <c r="AV25" s="224">
        <f t="shared" si="33"/>
        <v>565171</v>
      </c>
      <c r="AW25" s="224">
        <v>565569</v>
      </c>
      <c r="AX25" s="225">
        <f t="shared" si="34"/>
        <v>398</v>
      </c>
      <c r="AY25" s="238">
        <f t="shared" si="35"/>
        <v>-4</v>
      </c>
      <c r="AZ25" s="239">
        <f>(AX25/'Finance Only'!B28)*100</f>
        <v>1.5201863947137235</v>
      </c>
      <c r="BA25" s="224">
        <f t="shared" si="36"/>
        <v>787610</v>
      </c>
      <c r="BB25" s="224">
        <v>788550</v>
      </c>
      <c r="BC25" s="225">
        <f t="shared" si="37"/>
        <v>940</v>
      </c>
      <c r="BD25" s="238">
        <f t="shared" si="38"/>
        <v>90</v>
      </c>
      <c r="BE25" s="239">
        <f>(BC25/'Finance Only'!B28)*100</f>
        <v>3.5903899774645733</v>
      </c>
      <c r="BF25" s="224">
        <f t="shared" si="39"/>
        <v>879670</v>
      </c>
      <c r="BG25" s="224">
        <v>880460</v>
      </c>
      <c r="BH25" s="225">
        <f t="shared" si="40"/>
        <v>790</v>
      </c>
      <c r="BI25" s="238">
        <f t="shared" si="41"/>
        <v>50</v>
      </c>
      <c r="BJ25" s="239">
        <f>(BH25/'Finance Only'!B28)*100</f>
        <v>3.0174554065925672</v>
      </c>
      <c r="BK25" s="224">
        <f t="shared" si="42"/>
        <v>1374300</v>
      </c>
      <c r="BL25" s="224">
        <v>1375300</v>
      </c>
      <c r="BM25" s="225">
        <f t="shared" si="43"/>
        <v>1000</v>
      </c>
      <c r="BN25" s="238">
        <f t="shared" si="44"/>
        <v>0</v>
      </c>
      <c r="BO25" s="239">
        <f>(BM25/'Finance Only'!B28)*100</f>
        <v>3.8195638058133761</v>
      </c>
      <c r="BP25" s="224">
        <f t="shared" si="45"/>
        <v>85128</v>
      </c>
      <c r="BQ25" s="224">
        <v>85269</v>
      </c>
      <c r="BR25" s="225">
        <f t="shared" si="46"/>
        <v>141</v>
      </c>
      <c r="BS25" s="238">
        <f t="shared" si="47"/>
        <v>11</v>
      </c>
      <c r="BT25" s="239">
        <f>(BR25/'Finance Only'!B28)*100</f>
        <v>0.53855849661968602</v>
      </c>
      <c r="BU25" s="224">
        <f t="shared" si="48"/>
        <v>426870</v>
      </c>
      <c r="BV25" s="224">
        <v>427290</v>
      </c>
      <c r="BW25" s="225">
        <f t="shared" si="49"/>
        <v>420</v>
      </c>
      <c r="BX25" s="238">
        <f t="shared" si="50"/>
        <v>100</v>
      </c>
      <c r="BY25" s="239">
        <f>(BW25/'Finance Only'!B28)*100</f>
        <v>1.604216798441618</v>
      </c>
      <c r="BZ25" s="224">
        <f t="shared" si="51"/>
        <v>668600</v>
      </c>
      <c r="CA25" s="224">
        <v>669790</v>
      </c>
      <c r="CB25" s="225">
        <f t="shared" si="52"/>
        <v>1190</v>
      </c>
      <c r="CC25" s="238">
        <f t="shared" si="53"/>
        <v>-76</v>
      </c>
      <c r="CD25" s="239">
        <f>(CB25/'Finance Only'!B28)*100</f>
        <v>4.5452809289179177</v>
      </c>
      <c r="CE25" s="224">
        <f t="shared" si="54"/>
        <v>202990</v>
      </c>
      <c r="CF25" s="224">
        <v>203450</v>
      </c>
      <c r="CG25" s="225">
        <f t="shared" si="55"/>
        <v>460</v>
      </c>
      <c r="CH25" s="238">
        <f t="shared" si="56"/>
        <v>10</v>
      </c>
      <c r="CI25" s="239">
        <f>(CG25/'Finance Only'!B28)*100</f>
        <v>1.756999350674153</v>
      </c>
      <c r="CJ25" s="225">
        <f t="shared" si="57"/>
        <v>460940</v>
      </c>
      <c r="CK25" s="225">
        <v>461340</v>
      </c>
      <c r="CL25" s="225">
        <f t="shared" si="58"/>
        <v>400</v>
      </c>
      <c r="CM25" s="238">
        <f t="shared" si="59"/>
        <v>-550</v>
      </c>
      <c r="CN25" s="239">
        <f>(CL25/'Finance Only'!B28)*100</f>
        <v>1.5278255223253505</v>
      </c>
      <c r="CO25" s="224">
        <f t="shared" si="60"/>
        <v>373530</v>
      </c>
      <c r="CP25" s="224">
        <v>373910</v>
      </c>
      <c r="CQ25" s="226">
        <f t="shared" si="61"/>
        <v>380</v>
      </c>
      <c r="CR25" s="238">
        <f t="shared" si="62"/>
        <v>-350</v>
      </c>
      <c r="CS25" s="239">
        <f>(CQ25/'Finance Only'!B28)*100</f>
        <v>1.4514342462090828</v>
      </c>
      <c r="CT25" s="224">
        <f t="shared" si="63"/>
        <v>316590</v>
      </c>
      <c r="CU25" s="224">
        <v>316910</v>
      </c>
      <c r="CV25" s="225">
        <f t="shared" si="64"/>
        <v>320</v>
      </c>
      <c r="CW25" s="238">
        <f t="shared" si="65"/>
        <v>-270</v>
      </c>
      <c r="CX25" s="239">
        <f>(CV25/'Finance Only'!B28)*100</f>
        <v>1.2222604178602805</v>
      </c>
      <c r="CY25" s="224">
        <f t="shared" si="66"/>
        <v>546810</v>
      </c>
      <c r="CZ25" s="224">
        <v>547310</v>
      </c>
      <c r="DA25" s="225">
        <f t="shared" si="67"/>
        <v>500</v>
      </c>
      <c r="DB25" s="238">
        <f t="shared" si="68"/>
        <v>-390</v>
      </c>
      <c r="DC25" s="239">
        <f>(DA25/'Finance Only'!B28)*100</f>
        <v>1.909781902906688</v>
      </c>
      <c r="DD25" s="224">
        <f t="shared" si="69"/>
        <v>411200</v>
      </c>
      <c r="DE25" s="224">
        <v>412010</v>
      </c>
      <c r="DF25" s="225">
        <f t="shared" si="70"/>
        <v>810</v>
      </c>
      <c r="DG25" s="238">
        <f t="shared" si="71"/>
        <v>-60</v>
      </c>
      <c r="DH25" s="239">
        <f>(DF25/'Finance Only'!B28)*100</f>
        <v>3.0938466827088349</v>
      </c>
      <c r="DI25" s="224">
        <f t="shared" si="72"/>
        <v>376900</v>
      </c>
      <c r="DJ25" s="224">
        <v>377690</v>
      </c>
      <c r="DK25" s="225">
        <f t="shared" si="73"/>
        <v>790</v>
      </c>
      <c r="DL25" s="238">
        <f t="shared" si="74"/>
        <v>30</v>
      </c>
      <c r="DM25" s="239">
        <f>(DK25/'Finance Only'!B28)*100</f>
        <v>3.0174554065925672</v>
      </c>
      <c r="DN25" s="224">
        <f t="shared" si="75"/>
        <v>231990</v>
      </c>
      <c r="DO25" s="224">
        <v>232210</v>
      </c>
      <c r="DP25" s="225">
        <f t="shared" si="76"/>
        <v>220</v>
      </c>
      <c r="DQ25" s="238">
        <f t="shared" si="77"/>
        <v>90</v>
      </c>
      <c r="DR25" s="239">
        <f>(DP25/'Finance Only'!B28)*100</f>
        <v>0.84030403727894287</v>
      </c>
      <c r="DS25" s="224">
        <f t="shared" si="78"/>
        <v>65513</v>
      </c>
      <c r="DT25" s="224">
        <v>65701</v>
      </c>
      <c r="DU25" s="225">
        <f t="shared" si="79"/>
        <v>188</v>
      </c>
      <c r="DV25" s="238">
        <f t="shared" si="80"/>
        <v>28</v>
      </c>
      <c r="DW25" s="239">
        <f>(DU25/'Finance Only'!B28)*100</f>
        <v>0.71807799549291473</v>
      </c>
      <c r="DX25" s="224">
        <f t="shared" si="81"/>
        <v>436410</v>
      </c>
      <c r="DY25" s="224">
        <v>436900</v>
      </c>
      <c r="DZ25" s="225">
        <f t="shared" si="82"/>
        <v>490</v>
      </c>
      <c r="EA25" s="238">
        <f t="shared" si="83"/>
        <v>-190</v>
      </c>
      <c r="EB25" s="239">
        <f>(DZ25/'Finance Only'!B28)*100</f>
        <v>1.8715862648485544</v>
      </c>
      <c r="EC25" s="224">
        <f t="shared" si="84"/>
        <v>138080</v>
      </c>
      <c r="ED25" s="224">
        <v>138310</v>
      </c>
      <c r="EE25" s="225">
        <f t="shared" si="85"/>
        <v>230</v>
      </c>
      <c r="EF25" s="238">
        <f t="shared" si="86"/>
        <v>-40</v>
      </c>
      <c r="EG25" s="239">
        <f>(EE25/'Finance Only'!B28)*100</f>
        <v>0.87849967533707651</v>
      </c>
      <c r="EH25" s="224">
        <f t="shared" si="87"/>
        <v>135030</v>
      </c>
      <c r="EI25" s="224">
        <v>135410</v>
      </c>
      <c r="EJ25" s="225">
        <f t="shared" si="88"/>
        <v>380</v>
      </c>
      <c r="EK25" s="238">
        <f t="shared" si="89"/>
        <v>0</v>
      </c>
      <c r="EL25" s="239">
        <f>(EJ25/'Finance Only'!B28)*100</f>
        <v>1.4514342462090828</v>
      </c>
      <c r="EM25" s="224">
        <f t="shared" si="90"/>
        <v>253380</v>
      </c>
      <c r="EN25" s="224">
        <v>253740</v>
      </c>
      <c r="EO25" s="225">
        <f t="shared" si="91"/>
        <v>360</v>
      </c>
      <c r="EP25" s="238">
        <f t="shared" si="92"/>
        <v>-50</v>
      </c>
      <c r="EQ25" s="239">
        <f>(EO25/'Finance Only'!B28)*100</f>
        <v>1.3750429700928153</v>
      </c>
      <c r="ER25" s="224">
        <f t="shared" si="93"/>
        <v>0</v>
      </c>
      <c r="ES25" s="224"/>
      <c r="ET25" s="225">
        <f t="shared" si="94"/>
        <v>0</v>
      </c>
      <c r="EU25" s="238">
        <f t="shared" si="95"/>
        <v>0</v>
      </c>
      <c r="EV25" s="239">
        <f>(ET25/'Finance Only'!B28)*100</f>
        <v>0</v>
      </c>
      <c r="EW25" s="224">
        <f t="shared" si="96"/>
        <v>288560</v>
      </c>
      <c r="EX25" s="224">
        <v>291010</v>
      </c>
      <c r="EY25" s="225">
        <f t="shared" si="97"/>
        <v>2450</v>
      </c>
      <c r="EZ25" s="238">
        <f t="shared" si="98"/>
        <v>-3630</v>
      </c>
      <c r="FA25" s="239">
        <f>(EY25/'Finance Only'!G28)*100</f>
        <v>69.800569800569804</v>
      </c>
      <c r="FB25" s="224">
        <f t="shared" si="99"/>
        <v>55696</v>
      </c>
      <c r="FC25" s="224">
        <v>55935</v>
      </c>
      <c r="FD25" s="225">
        <f t="shared" si="100"/>
        <v>239</v>
      </c>
      <c r="FE25" s="238">
        <f t="shared" si="101"/>
        <v>-195</v>
      </c>
      <c r="FF25" s="239" t="e">
        <f>(FD25/'Finance Only'!M28)*100</f>
        <v>#DIV/0!</v>
      </c>
      <c r="FG25" s="289"/>
      <c r="FH25" s="295">
        <f t="shared" si="0"/>
        <v>6984</v>
      </c>
      <c r="FI25" s="292"/>
      <c r="FJ25" s="295">
        <f t="shared" si="1"/>
        <v>6151</v>
      </c>
      <c r="FK25" s="292"/>
      <c r="FL25" s="295">
        <f t="shared" si="2"/>
        <v>2310</v>
      </c>
      <c r="FM25" s="292"/>
      <c r="FN25" s="295">
        <f t="shared" si="3"/>
        <v>2128</v>
      </c>
      <c r="FO25" s="292"/>
      <c r="FP25" s="295">
        <f t="shared" si="4"/>
        <v>1141</v>
      </c>
      <c r="FQ25" s="292"/>
      <c r="FR25" s="295">
        <f t="shared" si="5"/>
        <v>2689</v>
      </c>
      <c r="FS25" s="292"/>
    </row>
    <row r="26" spans="1:1084" s="3" customFormat="1" ht="13.5" customHeight="1" x14ac:dyDescent="0.2">
      <c r="A26" s="280">
        <v>22</v>
      </c>
      <c r="B26" s="283">
        <f>'Finance Only'!G29</f>
        <v>1223</v>
      </c>
      <c r="C26" s="278">
        <f t="shared" si="6"/>
        <v>25987601</v>
      </c>
      <c r="D26" s="222">
        <v>25990056</v>
      </c>
      <c r="E26" s="223">
        <f t="shared" si="7"/>
        <v>2455</v>
      </c>
      <c r="F26" s="234">
        <f t="shared" si="8"/>
        <v>-125</v>
      </c>
      <c r="G26" s="235">
        <f>(E26/'Finance Only'!B29)*100</f>
        <v>9.6905344596194833</v>
      </c>
      <c r="H26" s="246">
        <f t="shared" si="9"/>
        <v>23364108</v>
      </c>
      <c r="I26" s="222">
        <v>23368207</v>
      </c>
      <c r="J26" s="222">
        <f t="shared" si="10"/>
        <v>4099</v>
      </c>
      <c r="K26" s="247">
        <f t="shared" si="11"/>
        <v>-305</v>
      </c>
      <c r="L26" s="248">
        <f>(J26/'Finance Only'!B29)*100</f>
        <v>16.179837372700717</v>
      </c>
      <c r="M26" s="230">
        <f t="shared" si="12"/>
        <v>87828584</v>
      </c>
      <c r="N26" s="224">
        <v>87841566</v>
      </c>
      <c r="O26" s="225">
        <f t="shared" si="13"/>
        <v>12982</v>
      </c>
      <c r="P26" s="238">
        <f t="shared" si="14"/>
        <v>-666</v>
      </c>
      <c r="Q26" s="239">
        <f>(O26/'Finance Only'!B29)*100</f>
        <v>51.24338833188601</v>
      </c>
      <c r="R26" s="229">
        <f t="shared" si="15"/>
        <v>2305800</v>
      </c>
      <c r="S26" s="224">
        <v>2307600</v>
      </c>
      <c r="T26" s="225">
        <f t="shared" si="16"/>
        <v>1800</v>
      </c>
      <c r="U26" s="238">
        <f t="shared" si="17"/>
        <v>-100</v>
      </c>
      <c r="V26" s="239">
        <f>(T26/'Finance Only'!B29)*100</f>
        <v>7.1050761822057318</v>
      </c>
      <c r="W26" s="224">
        <f t="shared" si="18"/>
        <v>3135935</v>
      </c>
      <c r="X26" s="224">
        <v>3138623</v>
      </c>
      <c r="Y26" s="225">
        <f t="shared" si="19"/>
        <v>2688</v>
      </c>
      <c r="Z26" s="238">
        <f t="shared" si="20"/>
        <v>-103</v>
      </c>
      <c r="AA26" s="239">
        <f>(Y26/'Finance Only'!B29)*100</f>
        <v>10.610247098760558</v>
      </c>
      <c r="AB26" s="224">
        <f t="shared" si="21"/>
        <v>1927700</v>
      </c>
      <c r="AC26" s="224">
        <v>1929400</v>
      </c>
      <c r="AD26" s="225">
        <f t="shared" si="22"/>
        <v>1700</v>
      </c>
      <c r="AE26" s="238">
        <f t="shared" si="23"/>
        <v>-400</v>
      </c>
      <c r="AF26" s="239">
        <f>(AD26/'Finance Only'!B29)*100</f>
        <v>6.7103497276387465</v>
      </c>
      <c r="AG26" s="224">
        <f t="shared" si="24"/>
        <v>851725</v>
      </c>
      <c r="AH26" s="224">
        <v>852546</v>
      </c>
      <c r="AI26" s="225">
        <f t="shared" si="25"/>
        <v>821</v>
      </c>
      <c r="AJ26" s="238">
        <f t="shared" si="26"/>
        <v>-74</v>
      </c>
      <c r="AK26" s="239">
        <f>(AI26/'Finance Only'!B29)*100</f>
        <v>3.2407041919949475</v>
      </c>
      <c r="AL26" s="224">
        <f t="shared" si="27"/>
        <v>869550</v>
      </c>
      <c r="AM26" s="224">
        <v>870160</v>
      </c>
      <c r="AN26" s="225">
        <f t="shared" si="28"/>
        <v>610</v>
      </c>
      <c r="AO26" s="238">
        <f t="shared" si="29"/>
        <v>0</v>
      </c>
      <c r="AP26" s="239">
        <f>(AN26/'Finance Only'!B29)*100</f>
        <v>2.4078313728586092</v>
      </c>
      <c r="AQ26" s="224">
        <f t="shared" si="30"/>
        <v>1946000</v>
      </c>
      <c r="AR26" s="224">
        <v>1947800</v>
      </c>
      <c r="AS26" s="225">
        <f t="shared" si="31"/>
        <v>1800</v>
      </c>
      <c r="AT26" s="238">
        <f t="shared" si="32"/>
        <v>100</v>
      </c>
      <c r="AU26" s="239">
        <f>(AS26/'Finance Only'!B29)*100</f>
        <v>7.1050761822057318</v>
      </c>
      <c r="AV26" s="224">
        <f t="shared" si="33"/>
        <v>565569</v>
      </c>
      <c r="AW26" s="224">
        <v>565925</v>
      </c>
      <c r="AX26" s="225">
        <f t="shared" si="34"/>
        <v>356</v>
      </c>
      <c r="AY26" s="238">
        <f t="shared" si="35"/>
        <v>-42</v>
      </c>
      <c r="AZ26" s="239">
        <f>(AX26/'Finance Only'!B29)*100</f>
        <v>1.405226178258467</v>
      </c>
      <c r="BA26" s="224">
        <f t="shared" si="36"/>
        <v>788550</v>
      </c>
      <c r="BB26" s="224">
        <v>789530</v>
      </c>
      <c r="BC26" s="225">
        <f t="shared" si="37"/>
        <v>980</v>
      </c>
      <c r="BD26" s="238">
        <f t="shared" si="38"/>
        <v>40</v>
      </c>
      <c r="BE26" s="239">
        <f>(BC26/'Finance Only'!B29)*100</f>
        <v>3.8683192547564542</v>
      </c>
      <c r="BF26" s="224">
        <f t="shared" si="39"/>
        <v>880460</v>
      </c>
      <c r="BG26" s="224">
        <v>881270</v>
      </c>
      <c r="BH26" s="225">
        <f t="shared" si="40"/>
        <v>810</v>
      </c>
      <c r="BI26" s="238">
        <f t="shared" si="41"/>
        <v>20</v>
      </c>
      <c r="BJ26" s="239">
        <f>(BH26/'Finance Only'!B29)*100</f>
        <v>3.1972842819925789</v>
      </c>
      <c r="BK26" s="224">
        <f t="shared" si="42"/>
        <v>1375300</v>
      </c>
      <c r="BL26" s="224">
        <v>1376300</v>
      </c>
      <c r="BM26" s="225">
        <f t="shared" si="43"/>
        <v>1000</v>
      </c>
      <c r="BN26" s="238">
        <f t="shared" si="44"/>
        <v>0</v>
      </c>
      <c r="BO26" s="239">
        <f>(BM26/'Finance Only'!B29)*100</f>
        <v>3.9472645456698507</v>
      </c>
      <c r="BP26" s="224">
        <f t="shared" si="45"/>
        <v>85269</v>
      </c>
      <c r="BQ26" s="224">
        <v>85408</v>
      </c>
      <c r="BR26" s="225">
        <f t="shared" si="46"/>
        <v>139</v>
      </c>
      <c r="BS26" s="238">
        <f t="shared" si="47"/>
        <v>-2</v>
      </c>
      <c r="BT26" s="239">
        <f>(BR26/'Finance Only'!B29)*100</f>
        <v>0.54866977184810928</v>
      </c>
      <c r="BU26" s="224">
        <f t="shared" si="48"/>
        <v>427290</v>
      </c>
      <c r="BV26" s="224">
        <v>427730</v>
      </c>
      <c r="BW26" s="225">
        <f t="shared" si="49"/>
        <v>440</v>
      </c>
      <c r="BX26" s="238">
        <f t="shared" si="50"/>
        <v>20</v>
      </c>
      <c r="BY26" s="239">
        <f>(BW26/'Finance Only'!B29)*100</f>
        <v>1.7367964000947342</v>
      </c>
      <c r="BZ26" s="224">
        <f t="shared" si="51"/>
        <v>669790</v>
      </c>
      <c r="CA26" s="224">
        <v>670940</v>
      </c>
      <c r="CB26" s="225">
        <f t="shared" si="52"/>
        <v>1150</v>
      </c>
      <c r="CC26" s="238">
        <f t="shared" si="53"/>
        <v>-40</v>
      </c>
      <c r="CD26" s="239">
        <f>(CB26/'Finance Only'!B29)*100</f>
        <v>4.5393542275203282</v>
      </c>
      <c r="CE26" s="224">
        <f t="shared" si="54"/>
        <v>203450</v>
      </c>
      <c r="CF26" s="224">
        <v>203830</v>
      </c>
      <c r="CG26" s="225">
        <f t="shared" si="55"/>
        <v>380</v>
      </c>
      <c r="CH26" s="238">
        <f t="shared" si="56"/>
        <v>-80</v>
      </c>
      <c r="CI26" s="239">
        <f>(CG26/'Finance Only'!B29)*100</f>
        <v>1.4999605273545433</v>
      </c>
      <c r="CJ26" s="225">
        <f t="shared" si="57"/>
        <v>461340</v>
      </c>
      <c r="CK26" s="225">
        <v>463150</v>
      </c>
      <c r="CL26" s="225">
        <f t="shared" si="58"/>
        <v>1810</v>
      </c>
      <c r="CM26" s="238">
        <f t="shared" si="59"/>
        <v>1410</v>
      </c>
      <c r="CN26" s="239">
        <f>(CL26/'Finance Only'!B29)*100</f>
        <v>7.1445488276624296</v>
      </c>
      <c r="CO26" s="224">
        <f t="shared" si="60"/>
        <v>373910</v>
      </c>
      <c r="CP26" s="224">
        <v>375030</v>
      </c>
      <c r="CQ26" s="226">
        <f t="shared" si="61"/>
        <v>1120</v>
      </c>
      <c r="CR26" s="238">
        <f t="shared" si="62"/>
        <v>740</v>
      </c>
      <c r="CS26" s="239">
        <f>(CQ26/'Finance Only'!B29)*100</f>
        <v>4.420936291150233</v>
      </c>
      <c r="CT26" s="224">
        <f t="shared" si="63"/>
        <v>316910</v>
      </c>
      <c r="CU26" s="224">
        <v>317940</v>
      </c>
      <c r="CV26" s="225">
        <f t="shared" si="64"/>
        <v>1030</v>
      </c>
      <c r="CW26" s="238">
        <f t="shared" si="65"/>
        <v>710</v>
      </c>
      <c r="CX26" s="239">
        <f>(CV26/'Finance Only'!B29)*100</f>
        <v>4.0656824820399464</v>
      </c>
      <c r="CY26" s="224">
        <f t="shared" si="66"/>
        <v>547310</v>
      </c>
      <c r="CZ26" s="224">
        <v>548460</v>
      </c>
      <c r="DA26" s="225">
        <f t="shared" si="67"/>
        <v>1150</v>
      </c>
      <c r="DB26" s="238">
        <f t="shared" si="68"/>
        <v>650</v>
      </c>
      <c r="DC26" s="239">
        <f>(DA26/'Finance Only'!B29)*100</f>
        <v>4.5393542275203282</v>
      </c>
      <c r="DD26" s="224">
        <f t="shared" si="69"/>
        <v>412010</v>
      </c>
      <c r="DE26" s="224">
        <v>412880</v>
      </c>
      <c r="DF26" s="225">
        <f t="shared" si="70"/>
        <v>870</v>
      </c>
      <c r="DG26" s="238">
        <f t="shared" si="71"/>
        <v>60</v>
      </c>
      <c r="DH26" s="239">
        <f>(DF26/'Finance Only'!B29)*100</f>
        <v>3.4341201547327698</v>
      </c>
      <c r="DI26" s="224">
        <f t="shared" si="72"/>
        <v>377690</v>
      </c>
      <c r="DJ26" s="224">
        <v>378390</v>
      </c>
      <c r="DK26" s="225">
        <f t="shared" si="73"/>
        <v>700</v>
      </c>
      <c r="DL26" s="238">
        <f t="shared" si="74"/>
        <v>-90</v>
      </c>
      <c r="DM26" s="239">
        <f>(DK26/'Finance Only'!B29)*100</f>
        <v>2.7630851819688957</v>
      </c>
      <c r="DN26" s="224">
        <f t="shared" si="75"/>
        <v>232210</v>
      </c>
      <c r="DO26" s="224">
        <v>232390</v>
      </c>
      <c r="DP26" s="225">
        <f t="shared" si="76"/>
        <v>180</v>
      </c>
      <c r="DQ26" s="238">
        <f t="shared" si="77"/>
        <v>-40</v>
      </c>
      <c r="DR26" s="239">
        <f>(DP26/'Finance Only'!B29)*100</f>
        <v>0.71050761822057318</v>
      </c>
      <c r="DS26" s="224">
        <f t="shared" si="78"/>
        <v>65701</v>
      </c>
      <c r="DT26" s="224">
        <v>65817</v>
      </c>
      <c r="DU26" s="225">
        <f t="shared" si="79"/>
        <v>116</v>
      </c>
      <c r="DV26" s="238">
        <f t="shared" si="80"/>
        <v>-72</v>
      </c>
      <c r="DW26" s="239">
        <f>(DU26/'Finance Only'!B29)*100</f>
        <v>0.45788268729770271</v>
      </c>
      <c r="DX26" s="224">
        <f t="shared" si="81"/>
        <v>436900</v>
      </c>
      <c r="DY26" s="224">
        <v>437780</v>
      </c>
      <c r="DZ26" s="225">
        <f t="shared" si="82"/>
        <v>880</v>
      </c>
      <c r="EA26" s="238">
        <f t="shared" si="83"/>
        <v>390</v>
      </c>
      <c r="EB26" s="239">
        <f>(DZ26/'Finance Only'!B29)*100</f>
        <v>3.4735928001894685</v>
      </c>
      <c r="EC26" s="224">
        <f t="shared" si="84"/>
        <v>138310</v>
      </c>
      <c r="ED26" s="224">
        <v>138590</v>
      </c>
      <c r="EE26" s="225">
        <f t="shared" si="85"/>
        <v>280</v>
      </c>
      <c r="EF26" s="238">
        <f t="shared" si="86"/>
        <v>50</v>
      </c>
      <c r="EG26" s="239">
        <f>(EE26/'Finance Only'!B29)*100</f>
        <v>1.1052340727875583</v>
      </c>
      <c r="EH26" s="224">
        <f t="shared" si="87"/>
        <v>135410</v>
      </c>
      <c r="EI26" s="224">
        <v>135630</v>
      </c>
      <c r="EJ26" s="225">
        <f t="shared" si="88"/>
        <v>220</v>
      </c>
      <c r="EK26" s="238">
        <f t="shared" si="89"/>
        <v>-160</v>
      </c>
      <c r="EL26" s="239">
        <f>(EJ26/'Finance Only'!B29)*100</f>
        <v>0.86839820004736712</v>
      </c>
      <c r="EM26" s="224">
        <f t="shared" si="90"/>
        <v>253740</v>
      </c>
      <c r="EN26" s="224">
        <v>254120</v>
      </c>
      <c r="EO26" s="225">
        <f t="shared" si="91"/>
        <v>380</v>
      </c>
      <c r="EP26" s="238">
        <f t="shared" si="92"/>
        <v>20</v>
      </c>
      <c r="EQ26" s="239">
        <f>(EO26/'Finance Only'!B29)*100</f>
        <v>1.4999605273545433</v>
      </c>
      <c r="ER26" s="224">
        <f t="shared" si="93"/>
        <v>0</v>
      </c>
      <c r="ES26" s="224"/>
      <c r="ET26" s="225">
        <f t="shared" si="94"/>
        <v>0</v>
      </c>
      <c r="EU26" s="238">
        <f t="shared" si="95"/>
        <v>0</v>
      </c>
      <c r="EV26" s="239">
        <f>(ET26/'Finance Only'!B29)*100</f>
        <v>0</v>
      </c>
      <c r="EW26" s="224">
        <f t="shared" si="96"/>
        <v>291010</v>
      </c>
      <c r="EX26" s="224">
        <v>305400</v>
      </c>
      <c r="EY26" s="225">
        <f t="shared" si="97"/>
        <v>14390</v>
      </c>
      <c r="EZ26" s="238">
        <f t="shared" si="98"/>
        <v>11940</v>
      </c>
      <c r="FA26" s="239">
        <f>(EY26/'Finance Only'!G29)*100</f>
        <v>1176.6148814390842</v>
      </c>
      <c r="FB26" s="224">
        <f t="shared" si="99"/>
        <v>55935</v>
      </c>
      <c r="FC26" s="224">
        <v>56588</v>
      </c>
      <c r="FD26" s="225">
        <f t="shared" si="100"/>
        <v>653</v>
      </c>
      <c r="FE26" s="238">
        <f t="shared" si="101"/>
        <v>414</v>
      </c>
      <c r="FF26" s="239" t="e">
        <f>(FD26/'Finance Only'!M29)*100</f>
        <v>#DIV/0!</v>
      </c>
      <c r="FG26" s="289"/>
      <c r="FH26" s="295">
        <f t="shared" si="0"/>
        <v>6554</v>
      </c>
      <c r="FI26" s="292"/>
      <c r="FJ26" s="295">
        <f t="shared" si="1"/>
        <v>6248</v>
      </c>
      <c r="FK26" s="292"/>
      <c r="FL26" s="295">
        <f t="shared" si="2"/>
        <v>2410</v>
      </c>
      <c r="FM26" s="292"/>
      <c r="FN26" s="295">
        <f t="shared" si="3"/>
        <v>2146</v>
      </c>
      <c r="FO26" s="292"/>
      <c r="FP26" s="295">
        <f t="shared" si="4"/>
        <v>1139</v>
      </c>
      <c r="FQ26" s="292"/>
      <c r="FR26" s="295">
        <f t="shared" si="5"/>
        <v>15043</v>
      </c>
      <c r="FS26" s="292"/>
    </row>
    <row r="27" spans="1:1084" s="3" customFormat="1" ht="13.5" customHeight="1" x14ac:dyDescent="0.2">
      <c r="A27" s="280">
        <v>23</v>
      </c>
      <c r="B27" s="283">
        <f>'Finance Only'!G30</f>
        <v>5746</v>
      </c>
      <c r="C27" s="278">
        <f t="shared" si="6"/>
        <v>25990056</v>
      </c>
      <c r="D27" s="222">
        <v>25992568</v>
      </c>
      <c r="E27" s="223">
        <f t="shared" si="7"/>
        <v>2512</v>
      </c>
      <c r="F27" s="234">
        <f t="shared" si="8"/>
        <v>57</v>
      </c>
      <c r="G27" s="235">
        <f>(E27/'Finance Only'!B30)*100</f>
        <v>9.6381843993400604</v>
      </c>
      <c r="H27" s="246">
        <f t="shared" si="9"/>
        <v>23368207</v>
      </c>
      <c r="I27" s="222">
        <v>23372756</v>
      </c>
      <c r="J27" s="222">
        <f t="shared" si="10"/>
        <v>4549</v>
      </c>
      <c r="K27" s="247">
        <f t="shared" si="11"/>
        <v>450</v>
      </c>
      <c r="L27" s="248">
        <f>(J27/'Finance Only'!B30)*100</f>
        <v>17.453861796416376</v>
      </c>
      <c r="M27" s="230">
        <f t="shared" si="12"/>
        <v>87841566</v>
      </c>
      <c r="N27" s="224">
        <v>87854834</v>
      </c>
      <c r="O27" s="225">
        <f t="shared" si="13"/>
        <v>13268</v>
      </c>
      <c r="P27" s="238">
        <f t="shared" si="14"/>
        <v>286</v>
      </c>
      <c r="Q27" s="239">
        <f>(O27/'Finance Only'!B30)*100</f>
        <v>50.907416644285</v>
      </c>
      <c r="R27" s="229">
        <f t="shared" si="15"/>
        <v>2307600</v>
      </c>
      <c r="S27" s="224">
        <v>2309400</v>
      </c>
      <c r="T27" s="225">
        <f t="shared" si="16"/>
        <v>1800</v>
      </c>
      <c r="U27" s="238">
        <f t="shared" si="17"/>
        <v>0</v>
      </c>
      <c r="V27" s="239">
        <f>(T27/'Finance Only'!B30)*100</f>
        <v>6.9063423243678788</v>
      </c>
      <c r="W27" s="224">
        <f t="shared" si="18"/>
        <v>3138623</v>
      </c>
      <c r="X27" s="224">
        <v>3141456</v>
      </c>
      <c r="Y27" s="225">
        <f t="shared" si="19"/>
        <v>2833</v>
      </c>
      <c r="Z27" s="238">
        <f t="shared" si="20"/>
        <v>145</v>
      </c>
      <c r="AA27" s="239">
        <f>(Y27/'Finance Only'!B30)*100</f>
        <v>10.869815447185665</v>
      </c>
      <c r="AB27" s="224">
        <f t="shared" si="21"/>
        <v>1929400</v>
      </c>
      <c r="AC27" s="224">
        <v>1931300</v>
      </c>
      <c r="AD27" s="225">
        <f t="shared" si="22"/>
        <v>1900</v>
      </c>
      <c r="AE27" s="238">
        <f t="shared" si="23"/>
        <v>200</v>
      </c>
      <c r="AF27" s="239">
        <f>(AD27/'Finance Only'!B30)*100</f>
        <v>7.2900280090549812</v>
      </c>
      <c r="AG27" s="224">
        <f t="shared" si="24"/>
        <v>852546</v>
      </c>
      <c r="AH27" s="224">
        <v>853316</v>
      </c>
      <c r="AI27" s="225">
        <f t="shared" si="25"/>
        <v>770</v>
      </c>
      <c r="AJ27" s="238">
        <f t="shared" si="26"/>
        <v>-51</v>
      </c>
      <c r="AK27" s="239">
        <f>(AI27/'Finance Only'!B30)*100</f>
        <v>2.9543797720907032</v>
      </c>
      <c r="AL27" s="224">
        <f t="shared" si="27"/>
        <v>870160</v>
      </c>
      <c r="AM27" s="224">
        <v>870770</v>
      </c>
      <c r="AN27" s="225">
        <f t="shared" si="28"/>
        <v>610</v>
      </c>
      <c r="AO27" s="238">
        <f t="shared" si="29"/>
        <v>0</v>
      </c>
      <c r="AP27" s="239">
        <f>(AN27/'Finance Only'!B30)*100</f>
        <v>2.3404826765913365</v>
      </c>
      <c r="AQ27" s="224">
        <f t="shared" si="30"/>
        <v>1947800</v>
      </c>
      <c r="AR27" s="224">
        <v>1949700</v>
      </c>
      <c r="AS27" s="225">
        <f t="shared" si="31"/>
        <v>1900</v>
      </c>
      <c r="AT27" s="238">
        <f t="shared" si="32"/>
        <v>100</v>
      </c>
      <c r="AU27" s="239">
        <f>(AS27/'Finance Only'!B30)*100</f>
        <v>7.2900280090549812</v>
      </c>
      <c r="AV27" s="224">
        <f t="shared" si="33"/>
        <v>565925</v>
      </c>
      <c r="AW27" s="224">
        <v>566327</v>
      </c>
      <c r="AX27" s="225">
        <f t="shared" si="34"/>
        <v>402</v>
      </c>
      <c r="AY27" s="238">
        <f t="shared" si="35"/>
        <v>46</v>
      </c>
      <c r="AZ27" s="239">
        <f>(AX27/'Finance Only'!B30)*100</f>
        <v>1.5424164524421593</v>
      </c>
      <c r="BA27" s="224">
        <f t="shared" si="36"/>
        <v>789530</v>
      </c>
      <c r="BB27" s="224">
        <v>790490</v>
      </c>
      <c r="BC27" s="225">
        <f t="shared" si="37"/>
        <v>960</v>
      </c>
      <c r="BD27" s="238">
        <f t="shared" si="38"/>
        <v>-20</v>
      </c>
      <c r="BE27" s="239">
        <f>(BC27/'Finance Only'!B30)*100</f>
        <v>3.6833825729962015</v>
      </c>
      <c r="BF27" s="224">
        <f t="shared" si="39"/>
        <v>881270</v>
      </c>
      <c r="BG27" s="224">
        <v>882060</v>
      </c>
      <c r="BH27" s="225">
        <f t="shared" si="40"/>
        <v>790</v>
      </c>
      <c r="BI27" s="238">
        <f t="shared" si="41"/>
        <v>-20</v>
      </c>
      <c r="BJ27" s="239">
        <f>(BH27/'Finance Only'!B30)*100</f>
        <v>3.0311169090281243</v>
      </c>
      <c r="BK27" s="224">
        <f t="shared" si="42"/>
        <v>1376300</v>
      </c>
      <c r="BL27" s="224">
        <v>1377300</v>
      </c>
      <c r="BM27" s="225">
        <f t="shared" si="43"/>
        <v>1000</v>
      </c>
      <c r="BN27" s="238">
        <f t="shared" si="44"/>
        <v>0</v>
      </c>
      <c r="BO27" s="239">
        <f>(BM27/'Finance Only'!B30)*100</f>
        <v>3.8368568468710431</v>
      </c>
      <c r="BP27" s="224">
        <f t="shared" si="45"/>
        <v>85408</v>
      </c>
      <c r="BQ27" s="224">
        <v>85541</v>
      </c>
      <c r="BR27" s="225">
        <f t="shared" si="46"/>
        <v>133</v>
      </c>
      <c r="BS27" s="238">
        <f t="shared" si="47"/>
        <v>-6</v>
      </c>
      <c r="BT27" s="239">
        <f>(BR27/'Finance Only'!B30)*100</f>
        <v>0.51030196063384881</v>
      </c>
      <c r="BU27" s="224">
        <f t="shared" si="48"/>
        <v>427730</v>
      </c>
      <c r="BV27" s="224">
        <v>428190</v>
      </c>
      <c r="BW27" s="225">
        <f t="shared" si="49"/>
        <v>460</v>
      </c>
      <c r="BX27" s="238">
        <f t="shared" si="50"/>
        <v>20</v>
      </c>
      <c r="BY27" s="239">
        <f>(BW27/'Finance Only'!B30)*100</f>
        <v>1.76495414956068</v>
      </c>
      <c r="BZ27" s="224">
        <f t="shared" si="51"/>
        <v>670940</v>
      </c>
      <c r="CA27" s="224">
        <v>672140</v>
      </c>
      <c r="CB27" s="225">
        <f t="shared" si="52"/>
        <v>1200</v>
      </c>
      <c r="CC27" s="238">
        <f t="shared" si="53"/>
        <v>50</v>
      </c>
      <c r="CD27" s="239">
        <f>(CB27/'Finance Only'!B30)*100</f>
        <v>4.6042282162452519</v>
      </c>
      <c r="CE27" s="224">
        <f t="shared" si="54"/>
        <v>203830</v>
      </c>
      <c r="CF27" s="224">
        <v>204360</v>
      </c>
      <c r="CG27" s="225">
        <f t="shared" si="55"/>
        <v>530</v>
      </c>
      <c r="CH27" s="238">
        <f t="shared" si="56"/>
        <v>150</v>
      </c>
      <c r="CI27" s="239">
        <f>(CG27/'Finance Only'!B30)*100</f>
        <v>2.0335341288416529</v>
      </c>
      <c r="CJ27" s="225">
        <f t="shared" si="57"/>
        <v>463150</v>
      </c>
      <c r="CK27" s="225">
        <v>464300</v>
      </c>
      <c r="CL27" s="225">
        <f t="shared" si="58"/>
        <v>1150</v>
      </c>
      <c r="CM27" s="238">
        <f t="shared" si="59"/>
        <v>-660</v>
      </c>
      <c r="CN27" s="239">
        <f>(CL27/'Finance Only'!B30)*100</f>
        <v>4.4123853739016994</v>
      </c>
      <c r="CO27" s="224">
        <f t="shared" si="60"/>
        <v>375030</v>
      </c>
      <c r="CP27" s="224">
        <v>375790</v>
      </c>
      <c r="CQ27" s="226">
        <f t="shared" si="61"/>
        <v>760</v>
      </c>
      <c r="CR27" s="238">
        <f t="shared" si="62"/>
        <v>-360</v>
      </c>
      <c r="CS27" s="239">
        <f>(CQ27/'Finance Only'!B30)*100</f>
        <v>2.9160112036219927</v>
      </c>
      <c r="CT27" s="224">
        <f t="shared" si="63"/>
        <v>317940</v>
      </c>
      <c r="CU27" s="224">
        <v>318650</v>
      </c>
      <c r="CV27" s="225">
        <f t="shared" si="64"/>
        <v>710</v>
      </c>
      <c r="CW27" s="238">
        <f t="shared" si="65"/>
        <v>-320</v>
      </c>
      <c r="CX27" s="239">
        <f>(CV27/'Finance Only'!B30)*100</f>
        <v>2.7241683612784406</v>
      </c>
      <c r="CY27" s="224">
        <f t="shared" si="66"/>
        <v>548460</v>
      </c>
      <c r="CZ27" s="224">
        <v>549420</v>
      </c>
      <c r="DA27" s="225">
        <f t="shared" si="67"/>
        <v>960</v>
      </c>
      <c r="DB27" s="238">
        <f t="shared" si="68"/>
        <v>-190</v>
      </c>
      <c r="DC27" s="239">
        <f>(DA27/'Finance Only'!B30)*100</f>
        <v>3.6833825729962015</v>
      </c>
      <c r="DD27" s="224">
        <f t="shared" si="69"/>
        <v>412880</v>
      </c>
      <c r="DE27" s="224">
        <v>413720</v>
      </c>
      <c r="DF27" s="225">
        <f t="shared" si="70"/>
        <v>840</v>
      </c>
      <c r="DG27" s="238">
        <f t="shared" si="71"/>
        <v>-30</v>
      </c>
      <c r="DH27" s="239">
        <f>(DF27/'Finance Only'!B30)*100</f>
        <v>3.2229597513716763</v>
      </c>
      <c r="DI27" s="224">
        <f t="shared" si="72"/>
        <v>378390</v>
      </c>
      <c r="DJ27" s="224">
        <v>379250</v>
      </c>
      <c r="DK27" s="225">
        <f t="shared" si="73"/>
        <v>860</v>
      </c>
      <c r="DL27" s="238">
        <f t="shared" si="74"/>
        <v>160</v>
      </c>
      <c r="DM27" s="239">
        <f>(DK27/'Finance Only'!B30)*100</f>
        <v>3.2996968883090969</v>
      </c>
      <c r="DN27" s="224">
        <f t="shared" si="75"/>
        <v>232390</v>
      </c>
      <c r="DO27" s="224">
        <v>232590</v>
      </c>
      <c r="DP27" s="225">
        <f t="shared" si="76"/>
        <v>200</v>
      </c>
      <c r="DQ27" s="238">
        <f t="shared" si="77"/>
        <v>20</v>
      </c>
      <c r="DR27" s="239">
        <f>(DP27/'Finance Only'!B30)*100</f>
        <v>0.76737136937420869</v>
      </c>
      <c r="DS27" s="224">
        <f t="shared" si="78"/>
        <v>65817</v>
      </c>
      <c r="DT27" s="224">
        <v>65964</v>
      </c>
      <c r="DU27" s="225">
        <f t="shared" si="79"/>
        <v>147</v>
      </c>
      <c r="DV27" s="238">
        <f t="shared" si="80"/>
        <v>31</v>
      </c>
      <c r="DW27" s="239">
        <f>(DU27/'Finance Only'!B30)*100</f>
        <v>0.56401795649004327</v>
      </c>
      <c r="DX27" s="224">
        <f t="shared" si="81"/>
        <v>437780</v>
      </c>
      <c r="DY27" s="224">
        <v>438440</v>
      </c>
      <c r="DZ27" s="225">
        <f t="shared" si="82"/>
        <v>660</v>
      </c>
      <c r="EA27" s="238">
        <f t="shared" si="83"/>
        <v>-220</v>
      </c>
      <c r="EB27" s="239">
        <f>(DZ27/'Finance Only'!B30)*100</f>
        <v>2.5323255189348886</v>
      </c>
      <c r="EC27" s="224">
        <f t="shared" si="84"/>
        <v>138590</v>
      </c>
      <c r="ED27" s="224">
        <v>138820</v>
      </c>
      <c r="EE27" s="225">
        <f t="shared" si="85"/>
        <v>230</v>
      </c>
      <c r="EF27" s="238">
        <f t="shared" si="86"/>
        <v>-50</v>
      </c>
      <c r="EG27" s="239">
        <f>(EE27/'Finance Only'!B30)*100</f>
        <v>0.88247707478033999</v>
      </c>
      <c r="EH27" s="224">
        <f t="shared" si="87"/>
        <v>135630</v>
      </c>
      <c r="EI27" s="224">
        <v>135920</v>
      </c>
      <c r="EJ27" s="225">
        <f t="shared" si="88"/>
        <v>290</v>
      </c>
      <c r="EK27" s="238">
        <f t="shared" si="89"/>
        <v>70</v>
      </c>
      <c r="EL27" s="239">
        <f>(EJ27/'Finance Only'!B30)*100</f>
        <v>1.1126884855926025</v>
      </c>
      <c r="EM27" s="224">
        <f t="shared" si="90"/>
        <v>254120</v>
      </c>
      <c r="EN27" s="224">
        <v>254530</v>
      </c>
      <c r="EO27" s="225">
        <f t="shared" si="91"/>
        <v>410</v>
      </c>
      <c r="EP27" s="238">
        <f t="shared" si="92"/>
        <v>30</v>
      </c>
      <c r="EQ27" s="239">
        <f>(EO27/'Finance Only'!B30)*100</f>
        <v>1.5731113072171277</v>
      </c>
      <c r="ER27" s="224">
        <f t="shared" si="93"/>
        <v>0</v>
      </c>
      <c r="ES27" s="224"/>
      <c r="ET27" s="225">
        <f t="shared" si="94"/>
        <v>0</v>
      </c>
      <c r="EU27" s="238">
        <f t="shared" si="95"/>
        <v>0</v>
      </c>
      <c r="EV27" s="239">
        <f>(ET27/'Finance Only'!B30)*100</f>
        <v>0</v>
      </c>
      <c r="EW27" s="224">
        <f t="shared" si="96"/>
        <v>305400</v>
      </c>
      <c r="EX27" s="224">
        <v>317770</v>
      </c>
      <c r="EY27" s="225">
        <f t="shared" si="97"/>
        <v>12370</v>
      </c>
      <c r="EZ27" s="238">
        <f t="shared" si="98"/>
        <v>-2020</v>
      </c>
      <c r="FA27" s="239">
        <f>(EY27/'Finance Only'!G30)*100</f>
        <v>215.28019491820399</v>
      </c>
      <c r="FB27" s="224">
        <f t="shared" si="99"/>
        <v>56588</v>
      </c>
      <c r="FC27" s="224">
        <v>56910</v>
      </c>
      <c r="FD27" s="225">
        <f t="shared" si="100"/>
        <v>322</v>
      </c>
      <c r="FE27" s="238">
        <f t="shared" si="101"/>
        <v>-331</v>
      </c>
      <c r="FF27" s="239" t="e">
        <f>(FD27/'Finance Only'!M30)*100</f>
        <v>#DIV/0!</v>
      </c>
      <c r="FG27" s="289"/>
      <c r="FH27" s="295">
        <f t="shared" si="0"/>
        <v>7061</v>
      </c>
      <c r="FI27" s="292"/>
      <c r="FJ27" s="295">
        <f t="shared" si="1"/>
        <v>6223</v>
      </c>
      <c r="FK27" s="292"/>
      <c r="FL27" s="295">
        <f t="shared" si="2"/>
        <v>2510</v>
      </c>
      <c r="FM27" s="292"/>
      <c r="FN27" s="295">
        <f t="shared" si="3"/>
        <v>2152</v>
      </c>
      <c r="FO27" s="292"/>
      <c r="FP27" s="295">
        <f t="shared" si="4"/>
        <v>1133</v>
      </c>
      <c r="FQ27" s="292"/>
      <c r="FR27" s="295">
        <f t="shared" si="5"/>
        <v>12692</v>
      </c>
      <c r="FS27" s="292"/>
    </row>
    <row r="28" spans="1:1084" s="76" customFormat="1" ht="13.5" customHeight="1" x14ac:dyDescent="0.2">
      <c r="A28" s="280">
        <v>24</v>
      </c>
      <c r="B28" s="283">
        <f>'Finance Only'!G31</f>
        <v>2409</v>
      </c>
      <c r="C28" s="278">
        <f t="shared" si="6"/>
        <v>25992568</v>
      </c>
      <c r="D28" s="222">
        <v>25995179</v>
      </c>
      <c r="E28" s="223">
        <f t="shared" si="7"/>
        <v>2611</v>
      </c>
      <c r="F28" s="234">
        <f t="shared" si="8"/>
        <v>99</v>
      </c>
      <c r="G28" s="235">
        <f>(E28/'Finance Only'!B31)*100</f>
        <v>9.9217206262349915</v>
      </c>
      <c r="H28" s="246">
        <f t="shared" si="9"/>
        <v>23372756</v>
      </c>
      <c r="I28" s="222">
        <v>23377294</v>
      </c>
      <c r="J28" s="222">
        <f t="shared" si="10"/>
        <v>4538</v>
      </c>
      <c r="K28" s="247">
        <f t="shared" si="11"/>
        <v>-11</v>
      </c>
      <c r="L28" s="248">
        <f>(J28/'Finance Only'!B31)*100</f>
        <v>17.244262045903632</v>
      </c>
      <c r="M28" s="230">
        <f t="shared" si="12"/>
        <v>87854834</v>
      </c>
      <c r="N28" s="224">
        <v>87868177</v>
      </c>
      <c r="O28" s="225">
        <f t="shared" si="13"/>
        <v>13343</v>
      </c>
      <c r="P28" s="238">
        <f t="shared" si="14"/>
        <v>75</v>
      </c>
      <c r="Q28" s="239">
        <f>(O28/'Finance Only'!B31)*100</f>
        <v>50.702994376044998</v>
      </c>
      <c r="R28" s="229">
        <f t="shared" si="15"/>
        <v>2309400</v>
      </c>
      <c r="S28" s="224">
        <v>2311100</v>
      </c>
      <c r="T28" s="225">
        <f t="shared" si="16"/>
        <v>1700</v>
      </c>
      <c r="U28" s="238">
        <f t="shared" si="17"/>
        <v>-100</v>
      </c>
      <c r="V28" s="239">
        <f>(T28/'Finance Only'!B31)*100</f>
        <v>6.459948320413436</v>
      </c>
      <c r="W28" s="224">
        <f t="shared" si="18"/>
        <v>3141456</v>
      </c>
      <c r="X28" s="224">
        <v>3144310</v>
      </c>
      <c r="Y28" s="225">
        <f t="shared" si="19"/>
        <v>2854</v>
      </c>
      <c r="Z28" s="238">
        <f t="shared" si="20"/>
        <v>21</v>
      </c>
      <c r="AA28" s="239">
        <f>(Y28/'Finance Only'!B31)*100</f>
        <v>10.845113239094086</v>
      </c>
      <c r="AB28" s="224">
        <f t="shared" si="21"/>
        <v>1931300</v>
      </c>
      <c r="AC28" s="224">
        <v>1933300</v>
      </c>
      <c r="AD28" s="225">
        <f t="shared" si="22"/>
        <v>2000</v>
      </c>
      <c r="AE28" s="238">
        <f t="shared" si="23"/>
        <v>100</v>
      </c>
      <c r="AF28" s="239">
        <f>(AD28/'Finance Only'!B31)*100</f>
        <v>7.5999392004863955</v>
      </c>
      <c r="AG28" s="224">
        <f t="shared" si="24"/>
        <v>853316</v>
      </c>
      <c r="AH28" s="224">
        <v>854064</v>
      </c>
      <c r="AI28" s="225">
        <f t="shared" si="25"/>
        <v>748</v>
      </c>
      <c r="AJ28" s="238">
        <f t="shared" si="26"/>
        <v>-22</v>
      </c>
      <c r="AK28" s="239">
        <f>(AI28/'Finance Only'!B31)*100</f>
        <v>2.842377260981912</v>
      </c>
      <c r="AL28" s="224">
        <f t="shared" si="27"/>
        <v>870770</v>
      </c>
      <c r="AM28" s="224">
        <v>871420</v>
      </c>
      <c r="AN28" s="225">
        <f t="shared" si="28"/>
        <v>650</v>
      </c>
      <c r="AO28" s="238">
        <f t="shared" si="29"/>
        <v>40</v>
      </c>
      <c r="AP28" s="239">
        <f>(AN28/'Finance Only'!B31)*100</f>
        <v>2.4699802401580784</v>
      </c>
      <c r="AQ28" s="224">
        <f t="shared" si="30"/>
        <v>1949700</v>
      </c>
      <c r="AR28" s="224">
        <v>1951400</v>
      </c>
      <c r="AS28" s="225">
        <f t="shared" si="31"/>
        <v>1700</v>
      </c>
      <c r="AT28" s="238">
        <f t="shared" si="32"/>
        <v>-200</v>
      </c>
      <c r="AU28" s="239">
        <f>(AS28/'Finance Only'!B31)*100</f>
        <v>6.459948320413436</v>
      </c>
      <c r="AV28" s="224">
        <f t="shared" si="33"/>
        <v>566327</v>
      </c>
      <c r="AW28" s="224">
        <v>566704</v>
      </c>
      <c r="AX28" s="225">
        <f t="shared" si="34"/>
        <v>377</v>
      </c>
      <c r="AY28" s="238">
        <f t="shared" si="35"/>
        <v>-25</v>
      </c>
      <c r="AZ28" s="239">
        <f>(AX28/'Finance Only'!B31)*100</f>
        <v>1.4325885392916857</v>
      </c>
      <c r="BA28" s="224">
        <f t="shared" si="36"/>
        <v>790490</v>
      </c>
      <c r="BB28" s="224">
        <v>791430</v>
      </c>
      <c r="BC28" s="225">
        <f t="shared" si="37"/>
        <v>940</v>
      </c>
      <c r="BD28" s="238">
        <f t="shared" si="38"/>
        <v>-20</v>
      </c>
      <c r="BE28" s="239">
        <f>(BC28/'Finance Only'!B31)*100</f>
        <v>3.571971424228606</v>
      </c>
      <c r="BF28" s="224">
        <f t="shared" si="39"/>
        <v>882060</v>
      </c>
      <c r="BG28" s="224">
        <v>882830</v>
      </c>
      <c r="BH28" s="225">
        <f t="shared" si="40"/>
        <v>770</v>
      </c>
      <c r="BI28" s="238">
        <f t="shared" si="41"/>
        <v>-20</v>
      </c>
      <c r="BJ28" s="239">
        <f>(BH28/'Finance Only'!B31)*100</f>
        <v>2.9259765921872622</v>
      </c>
      <c r="BK28" s="224">
        <f t="shared" si="42"/>
        <v>1377300</v>
      </c>
      <c r="BL28" s="224">
        <v>1378400</v>
      </c>
      <c r="BM28" s="225">
        <f t="shared" si="43"/>
        <v>1100</v>
      </c>
      <c r="BN28" s="238">
        <f t="shared" si="44"/>
        <v>100</v>
      </c>
      <c r="BO28" s="239">
        <f>(BM28/'Finance Only'!B31)*100</f>
        <v>4.179966560267518</v>
      </c>
      <c r="BP28" s="224">
        <f t="shared" si="45"/>
        <v>85541</v>
      </c>
      <c r="BQ28" s="224">
        <v>85689</v>
      </c>
      <c r="BR28" s="225">
        <f t="shared" si="46"/>
        <v>148</v>
      </c>
      <c r="BS28" s="238">
        <f t="shared" si="47"/>
        <v>15</v>
      </c>
      <c r="BT28" s="239">
        <f>(BR28/'Finance Only'!B31)*100</f>
        <v>0.56239550083599332</v>
      </c>
      <c r="BU28" s="224">
        <f t="shared" si="48"/>
        <v>428190</v>
      </c>
      <c r="BV28" s="224">
        <v>428640</v>
      </c>
      <c r="BW28" s="225">
        <f t="shared" si="49"/>
        <v>450</v>
      </c>
      <c r="BX28" s="238">
        <f t="shared" si="50"/>
        <v>-10</v>
      </c>
      <c r="BY28" s="239">
        <f>(BW28/'Finance Only'!B31)*100</f>
        <v>1.7099863201094392</v>
      </c>
      <c r="BZ28" s="224">
        <f t="shared" si="51"/>
        <v>672140</v>
      </c>
      <c r="CA28" s="224">
        <v>673340</v>
      </c>
      <c r="CB28" s="225">
        <f t="shared" si="52"/>
        <v>1200</v>
      </c>
      <c r="CC28" s="238">
        <f t="shared" si="53"/>
        <v>0</v>
      </c>
      <c r="CD28" s="239">
        <f>(CB28/'Finance Only'!B31)*100</f>
        <v>4.5599635202918378</v>
      </c>
      <c r="CE28" s="224">
        <f t="shared" si="54"/>
        <v>204360</v>
      </c>
      <c r="CF28" s="224">
        <v>204800</v>
      </c>
      <c r="CG28" s="225">
        <f t="shared" si="55"/>
        <v>440</v>
      </c>
      <c r="CH28" s="238">
        <f t="shared" si="56"/>
        <v>-90</v>
      </c>
      <c r="CI28" s="239">
        <f>(CG28/'Finance Only'!B31)*100</f>
        <v>1.6719866241070069</v>
      </c>
      <c r="CJ28" s="225">
        <f t="shared" si="57"/>
        <v>464300</v>
      </c>
      <c r="CK28" s="225">
        <v>465320</v>
      </c>
      <c r="CL28" s="225">
        <f t="shared" si="58"/>
        <v>1020</v>
      </c>
      <c r="CM28" s="238">
        <f t="shared" si="59"/>
        <v>-130</v>
      </c>
      <c r="CN28" s="239">
        <f>(CL28/'Finance Only'!B31)*100</f>
        <v>3.8759689922480618</v>
      </c>
      <c r="CO28" s="224">
        <f t="shared" si="60"/>
        <v>375790</v>
      </c>
      <c r="CP28" s="224">
        <v>376620</v>
      </c>
      <c r="CQ28" s="226">
        <f t="shared" si="61"/>
        <v>830</v>
      </c>
      <c r="CR28" s="238">
        <f t="shared" si="62"/>
        <v>70</v>
      </c>
      <c r="CS28" s="239">
        <f>(CQ28/'Finance Only'!B31)*100</f>
        <v>3.1539747682018544</v>
      </c>
      <c r="CT28" s="224">
        <f t="shared" si="63"/>
        <v>318650</v>
      </c>
      <c r="CU28" s="224">
        <v>319420</v>
      </c>
      <c r="CV28" s="225">
        <f t="shared" si="64"/>
        <v>770</v>
      </c>
      <c r="CW28" s="238">
        <f t="shared" si="65"/>
        <v>60</v>
      </c>
      <c r="CX28" s="239">
        <f>(CV28/'Finance Only'!B31)*100</f>
        <v>2.9259765921872622</v>
      </c>
      <c r="CY28" s="224">
        <f t="shared" si="66"/>
        <v>549420</v>
      </c>
      <c r="CZ28" s="224">
        <v>550470</v>
      </c>
      <c r="DA28" s="225">
        <f t="shared" si="67"/>
        <v>1050</v>
      </c>
      <c r="DB28" s="238">
        <f t="shared" si="68"/>
        <v>90</v>
      </c>
      <c r="DC28" s="239">
        <f>(DA28/'Finance Only'!B31)*100</f>
        <v>3.9899680802553581</v>
      </c>
      <c r="DD28" s="224">
        <f t="shared" si="69"/>
        <v>413720</v>
      </c>
      <c r="DE28" s="224">
        <v>414580</v>
      </c>
      <c r="DF28" s="225">
        <f t="shared" si="70"/>
        <v>860</v>
      </c>
      <c r="DG28" s="238">
        <f t="shared" si="71"/>
        <v>20</v>
      </c>
      <c r="DH28" s="239">
        <f>(DF28/'Finance Only'!B31)*100</f>
        <v>3.2679738562091507</v>
      </c>
      <c r="DI28" s="224">
        <f t="shared" si="72"/>
        <v>379250</v>
      </c>
      <c r="DJ28" s="224">
        <v>380130</v>
      </c>
      <c r="DK28" s="225">
        <f t="shared" si="73"/>
        <v>880</v>
      </c>
      <c r="DL28" s="238">
        <f t="shared" si="74"/>
        <v>20</v>
      </c>
      <c r="DM28" s="239">
        <f>(DK28/'Finance Only'!B31)*100</f>
        <v>3.3439732482140139</v>
      </c>
      <c r="DN28" s="224">
        <f t="shared" si="75"/>
        <v>232590</v>
      </c>
      <c r="DO28" s="224">
        <v>232770</v>
      </c>
      <c r="DP28" s="225">
        <f t="shared" si="76"/>
        <v>180</v>
      </c>
      <c r="DQ28" s="238">
        <f t="shared" si="77"/>
        <v>-20</v>
      </c>
      <c r="DR28" s="239">
        <f>(DP28/'Finance Only'!B31)*100</f>
        <v>0.68399452804377558</v>
      </c>
      <c r="DS28" s="224">
        <f t="shared" si="78"/>
        <v>65964</v>
      </c>
      <c r="DT28" s="224">
        <v>66102</v>
      </c>
      <c r="DU28" s="225">
        <f t="shared" si="79"/>
        <v>138</v>
      </c>
      <c r="DV28" s="238">
        <f t="shared" si="80"/>
        <v>-9</v>
      </c>
      <c r="DW28" s="239">
        <f>(DU28/'Finance Only'!B31)*100</f>
        <v>0.5243958048335613</v>
      </c>
      <c r="DX28" s="224">
        <f t="shared" si="81"/>
        <v>438440</v>
      </c>
      <c r="DY28" s="224">
        <v>439180</v>
      </c>
      <c r="DZ28" s="225">
        <f t="shared" si="82"/>
        <v>740</v>
      </c>
      <c r="EA28" s="238">
        <f t="shared" si="83"/>
        <v>80</v>
      </c>
      <c r="EB28" s="239">
        <f>(DZ28/'Finance Only'!B31)*100</f>
        <v>2.8119775041799664</v>
      </c>
      <c r="EC28" s="224">
        <f t="shared" si="84"/>
        <v>138820</v>
      </c>
      <c r="ED28" s="224">
        <v>139060</v>
      </c>
      <c r="EE28" s="225">
        <f t="shared" si="85"/>
        <v>240</v>
      </c>
      <c r="EF28" s="238">
        <f t="shared" si="86"/>
        <v>10</v>
      </c>
      <c r="EG28" s="239">
        <f>(EE28/'Finance Only'!B31)*100</f>
        <v>0.91199270405836752</v>
      </c>
      <c r="EH28" s="224">
        <f t="shared" si="87"/>
        <v>135920</v>
      </c>
      <c r="EI28" s="224">
        <v>136310</v>
      </c>
      <c r="EJ28" s="225">
        <f t="shared" si="88"/>
        <v>390</v>
      </c>
      <c r="EK28" s="238">
        <f t="shared" si="89"/>
        <v>100</v>
      </c>
      <c r="EL28" s="239">
        <f>(EJ28/'Finance Only'!B31)*100</f>
        <v>1.4819881440948472</v>
      </c>
      <c r="EM28" s="224">
        <f t="shared" si="90"/>
        <v>254530</v>
      </c>
      <c r="EN28" s="224">
        <v>255410</v>
      </c>
      <c r="EO28" s="225">
        <f t="shared" si="91"/>
        <v>880</v>
      </c>
      <c r="EP28" s="238">
        <f t="shared" si="92"/>
        <v>470</v>
      </c>
      <c r="EQ28" s="239">
        <f>(EO28/'Finance Only'!B31)*100</f>
        <v>3.3439732482140139</v>
      </c>
      <c r="ER28" s="224">
        <f t="shared" si="93"/>
        <v>0</v>
      </c>
      <c r="ES28" s="224"/>
      <c r="ET28" s="225">
        <f t="shared" si="94"/>
        <v>0</v>
      </c>
      <c r="EU28" s="238">
        <f t="shared" si="95"/>
        <v>0</v>
      </c>
      <c r="EV28" s="239">
        <f>(ET28/'Finance Only'!B31)*100</f>
        <v>0</v>
      </c>
      <c r="EW28" s="224">
        <f t="shared" si="96"/>
        <v>317770</v>
      </c>
      <c r="EX28" s="224">
        <v>329990</v>
      </c>
      <c r="EY28" s="225">
        <f t="shared" si="97"/>
        <v>12220</v>
      </c>
      <c r="EZ28" s="238">
        <f t="shared" si="98"/>
        <v>-150</v>
      </c>
      <c r="FA28" s="239">
        <f>(EY28/'Finance Only'!G31)*100</f>
        <v>507.26442507264426</v>
      </c>
      <c r="FB28" s="224">
        <f t="shared" si="99"/>
        <v>56910</v>
      </c>
      <c r="FC28" s="224">
        <v>57321</v>
      </c>
      <c r="FD28" s="225">
        <f t="shared" si="100"/>
        <v>411</v>
      </c>
      <c r="FE28" s="238">
        <f t="shared" si="101"/>
        <v>89</v>
      </c>
      <c r="FF28" s="239" t="e">
        <f>(FD28/'Finance Only'!M31)*100</f>
        <v>#DIV/0!</v>
      </c>
      <c r="FG28" s="289"/>
      <c r="FH28" s="295">
        <f t="shared" si="0"/>
        <v>7149</v>
      </c>
      <c r="FI28" s="293"/>
      <c r="FJ28" s="295">
        <f t="shared" si="1"/>
        <v>6804</v>
      </c>
      <c r="FK28" s="293"/>
      <c r="FL28" s="295">
        <f t="shared" si="2"/>
        <v>2350</v>
      </c>
      <c r="FM28" s="293"/>
      <c r="FN28" s="295">
        <f t="shared" si="3"/>
        <v>2087</v>
      </c>
      <c r="FO28" s="293"/>
      <c r="FP28" s="295">
        <f t="shared" si="4"/>
        <v>1248</v>
      </c>
      <c r="FQ28" s="293"/>
      <c r="FR28" s="295">
        <f t="shared" si="5"/>
        <v>12631</v>
      </c>
      <c r="FS28" s="293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</row>
    <row r="29" spans="1:1084" s="3" customFormat="1" ht="13.5" customHeight="1" x14ac:dyDescent="0.2">
      <c r="A29" s="280">
        <v>25</v>
      </c>
      <c r="B29" s="283">
        <f>'Finance Only'!G32</f>
        <v>0</v>
      </c>
      <c r="C29" s="278">
        <f t="shared" si="6"/>
        <v>25995179</v>
      </c>
      <c r="D29" s="222">
        <v>25997703</v>
      </c>
      <c r="E29" s="223">
        <f t="shared" si="7"/>
        <v>2524</v>
      </c>
      <c r="F29" s="234">
        <f t="shared" si="8"/>
        <v>-87</v>
      </c>
      <c r="G29" s="235">
        <f>(E29/'Finance Only'!B32)*100</f>
        <v>9.4915764139590859</v>
      </c>
      <c r="H29" s="246">
        <f t="shared" si="9"/>
        <v>23377294</v>
      </c>
      <c r="I29" s="222">
        <v>23381277</v>
      </c>
      <c r="J29" s="222">
        <f t="shared" si="10"/>
        <v>3983</v>
      </c>
      <c r="K29" s="247">
        <f t="shared" si="11"/>
        <v>-555</v>
      </c>
      <c r="L29" s="248">
        <f>(J29/'Finance Only'!B32)*100</f>
        <v>14.978188929001204</v>
      </c>
      <c r="M29" s="230">
        <f t="shared" si="12"/>
        <v>87868177</v>
      </c>
      <c r="N29" s="224">
        <v>87882512</v>
      </c>
      <c r="O29" s="225">
        <f t="shared" si="13"/>
        <v>14335</v>
      </c>
      <c r="P29" s="238">
        <f t="shared" si="14"/>
        <v>992</v>
      </c>
      <c r="Q29" s="239">
        <f>(O29/'Finance Only'!B32)*100</f>
        <v>53.907190132370644</v>
      </c>
      <c r="R29" s="229">
        <f t="shared" si="15"/>
        <v>2311100</v>
      </c>
      <c r="S29" s="224">
        <v>2312900</v>
      </c>
      <c r="T29" s="225">
        <f t="shared" si="16"/>
        <v>1800</v>
      </c>
      <c r="U29" s="238">
        <f t="shared" si="17"/>
        <v>100</v>
      </c>
      <c r="V29" s="239">
        <f>(T29/'Finance Only'!B32)*100</f>
        <v>6.768953068592058</v>
      </c>
      <c r="W29" s="224">
        <f t="shared" si="18"/>
        <v>3144310</v>
      </c>
      <c r="X29" s="224">
        <v>3147088</v>
      </c>
      <c r="Y29" s="225">
        <f t="shared" si="19"/>
        <v>2778</v>
      </c>
      <c r="Z29" s="238">
        <f t="shared" si="20"/>
        <v>-76</v>
      </c>
      <c r="AA29" s="239">
        <f>(Y29/'Finance Only'!B32)*100</f>
        <v>10.446750902527075</v>
      </c>
      <c r="AB29" s="224">
        <f t="shared" si="21"/>
        <v>1933300</v>
      </c>
      <c r="AC29" s="224">
        <v>1935300</v>
      </c>
      <c r="AD29" s="225">
        <f t="shared" si="22"/>
        <v>2000</v>
      </c>
      <c r="AE29" s="238">
        <f t="shared" si="23"/>
        <v>0</v>
      </c>
      <c r="AF29" s="239">
        <f>(AD29/'Finance Only'!B32)*100</f>
        <v>7.521058965102287</v>
      </c>
      <c r="AG29" s="224">
        <f t="shared" si="24"/>
        <v>854064</v>
      </c>
      <c r="AH29" s="224">
        <v>854858</v>
      </c>
      <c r="AI29" s="225">
        <f t="shared" si="25"/>
        <v>794</v>
      </c>
      <c r="AJ29" s="238">
        <f t="shared" si="26"/>
        <v>46</v>
      </c>
      <c r="AK29" s="239">
        <f>(AI29/'Finance Only'!B32)*100</f>
        <v>2.9858604091456078</v>
      </c>
      <c r="AL29" s="224">
        <f t="shared" si="27"/>
        <v>871420</v>
      </c>
      <c r="AM29" s="224">
        <v>872020</v>
      </c>
      <c r="AN29" s="225">
        <f t="shared" si="28"/>
        <v>600</v>
      </c>
      <c r="AO29" s="238">
        <f t="shared" si="29"/>
        <v>-50</v>
      </c>
      <c r="AP29" s="239">
        <f>(AN29/'Finance Only'!B32)*100</f>
        <v>2.256317689530686</v>
      </c>
      <c r="AQ29" s="224">
        <f t="shared" si="30"/>
        <v>1951400</v>
      </c>
      <c r="AR29" s="224">
        <v>1953400</v>
      </c>
      <c r="AS29" s="225">
        <f t="shared" si="31"/>
        <v>2000</v>
      </c>
      <c r="AT29" s="238">
        <f t="shared" si="32"/>
        <v>300</v>
      </c>
      <c r="AU29" s="239">
        <f>(AS29/'Finance Only'!B32)*100</f>
        <v>7.521058965102287</v>
      </c>
      <c r="AV29" s="224">
        <f t="shared" si="33"/>
        <v>566704</v>
      </c>
      <c r="AW29" s="224">
        <v>567131</v>
      </c>
      <c r="AX29" s="225">
        <f t="shared" si="34"/>
        <v>427</v>
      </c>
      <c r="AY29" s="238">
        <f t="shared" si="35"/>
        <v>50</v>
      </c>
      <c r="AZ29" s="239">
        <f>(AX29/'Finance Only'!B32)*100</f>
        <v>1.6057460890493382</v>
      </c>
      <c r="BA29" s="224">
        <f t="shared" si="36"/>
        <v>791430</v>
      </c>
      <c r="BB29" s="224">
        <v>792430</v>
      </c>
      <c r="BC29" s="225">
        <f t="shared" si="37"/>
        <v>1000</v>
      </c>
      <c r="BD29" s="238">
        <f t="shared" si="38"/>
        <v>60</v>
      </c>
      <c r="BE29" s="239">
        <f>(BC29/'Finance Only'!B32)*100</f>
        <v>3.7605294825511435</v>
      </c>
      <c r="BF29" s="224">
        <f t="shared" si="39"/>
        <v>882830</v>
      </c>
      <c r="BG29" s="224">
        <v>883670</v>
      </c>
      <c r="BH29" s="225">
        <f t="shared" si="40"/>
        <v>840</v>
      </c>
      <c r="BI29" s="238">
        <f t="shared" si="41"/>
        <v>70</v>
      </c>
      <c r="BJ29" s="239">
        <f>(BH29/'Finance Only'!B32)*100</f>
        <v>3.1588447653429599</v>
      </c>
      <c r="BK29" s="224">
        <f t="shared" si="42"/>
        <v>1378400</v>
      </c>
      <c r="BL29" s="224">
        <v>1379500</v>
      </c>
      <c r="BM29" s="225">
        <f t="shared" si="43"/>
        <v>1100</v>
      </c>
      <c r="BN29" s="238">
        <f t="shared" si="44"/>
        <v>0</v>
      </c>
      <c r="BO29" s="239">
        <f>(BM29/'Finance Only'!B32)*100</f>
        <v>4.136582430806258</v>
      </c>
      <c r="BP29" s="224">
        <f t="shared" si="45"/>
        <v>85689</v>
      </c>
      <c r="BQ29" s="224">
        <v>85836</v>
      </c>
      <c r="BR29" s="225">
        <f t="shared" si="46"/>
        <v>147</v>
      </c>
      <c r="BS29" s="238">
        <f t="shared" si="47"/>
        <v>-1</v>
      </c>
      <c r="BT29" s="239">
        <f>(BR29/'Finance Only'!B32)*100</f>
        <v>0.55279783393501802</v>
      </c>
      <c r="BU29" s="224">
        <f t="shared" si="48"/>
        <v>428640</v>
      </c>
      <c r="BV29" s="224">
        <v>429190</v>
      </c>
      <c r="BW29" s="225">
        <f t="shared" si="49"/>
        <v>550</v>
      </c>
      <c r="BX29" s="238">
        <f t="shared" si="50"/>
        <v>100</v>
      </c>
      <c r="BY29" s="239">
        <f>(BW29/'Finance Only'!B32)*100</f>
        <v>2.068291215403129</v>
      </c>
      <c r="BZ29" s="224">
        <f t="shared" si="51"/>
        <v>673340</v>
      </c>
      <c r="CA29" s="224">
        <v>674560</v>
      </c>
      <c r="CB29" s="225">
        <f t="shared" si="52"/>
        <v>1220</v>
      </c>
      <c r="CC29" s="238">
        <f t="shared" si="53"/>
        <v>20</v>
      </c>
      <c r="CD29" s="239">
        <f>(CB29/'Finance Only'!B32)*100</f>
        <v>4.5878459687123945</v>
      </c>
      <c r="CE29" s="224">
        <f t="shared" si="54"/>
        <v>204800</v>
      </c>
      <c r="CF29" s="224">
        <v>205300</v>
      </c>
      <c r="CG29" s="225">
        <f t="shared" si="55"/>
        <v>500</v>
      </c>
      <c r="CH29" s="238">
        <f t="shared" si="56"/>
        <v>60</v>
      </c>
      <c r="CI29" s="239">
        <f>(CG29/'Finance Only'!B32)*100</f>
        <v>1.8802647412755717</v>
      </c>
      <c r="CJ29" s="225">
        <f t="shared" si="57"/>
        <v>465320</v>
      </c>
      <c r="CK29" s="225">
        <v>466200</v>
      </c>
      <c r="CL29" s="225">
        <f t="shared" si="58"/>
        <v>880</v>
      </c>
      <c r="CM29" s="238">
        <f t="shared" si="59"/>
        <v>-140</v>
      </c>
      <c r="CN29" s="239">
        <f>(CL29/'Finance Only'!B32)*100</f>
        <v>3.3092659446450061</v>
      </c>
      <c r="CO29" s="224">
        <f t="shared" si="60"/>
        <v>376620</v>
      </c>
      <c r="CP29" s="224">
        <v>377310</v>
      </c>
      <c r="CQ29" s="226">
        <f t="shared" si="61"/>
        <v>690</v>
      </c>
      <c r="CR29" s="238">
        <f t="shared" si="62"/>
        <v>-140</v>
      </c>
      <c r="CS29" s="239">
        <f>(CQ29/'Finance Only'!B32)*100</f>
        <v>2.5947653429602888</v>
      </c>
      <c r="CT29" s="224">
        <f t="shared" si="63"/>
        <v>319420</v>
      </c>
      <c r="CU29" s="224">
        <v>320030</v>
      </c>
      <c r="CV29" s="225">
        <f t="shared" si="64"/>
        <v>610</v>
      </c>
      <c r="CW29" s="238">
        <f t="shared" si="65"/>
        <v>-160</v>
      </c>
      <c r="CX29" s="239">
        <f>(CV29/'Finance Only'!B32)*100</f>
        <v>2.2939229843561972</v>
      </c>
      <c r="CY29" s="224">
        <f t="shared" si="66"/>
        <v>550470</v>
      </c>
      <c r="CZ29" s="224">
        <v>551370</v>
      </c>
      <c r="DA29" s="225">
        <f t="shared" si="67"/>
        <v>900</v>
      </c>
      <c r="DB29" s="238">
        <f t="shared" si="68"/>
        <v>-150</v>
      </c>
      <c r="DC29" s="239">
        <f>(DA29/'Finance Only'!B32)*100</f>
        <v>3.384476534296029</v>
      </c>
      <c r="DD29" s="224">
        <f t="shared" si="69"/>
        <v>414580</v>
      </c>
      <c r="DE29" s="224">
        <v>415220</v>
      </c>
      <c r="DF29" s="225">
        <f t="shared" si="70"/>
        <v>640</v>
      </c>
      <c r="DG29" s="238">
        <f t="shared" si="71"/>
        <v>-220</v>
      </c>
      <c r="DH29" s="239">
        <f>(DF29/'Finance Only'!B32)*100</f>
        <v>2.4067388688327318</v>
      </c>
      <c r="DI29" s="224">
        <f t="shared" si="72"/>
        <v>380130</v>
      </c>
      <c r="DJ29" s="224">
        <v>380870</v>
      </c>
      <c r="DK29" s="225">
        <f t="shared" si="73"/>
        <v>740</v>
      </c>
      <c r="DL29" s="238">
        <f t="shared" si="74"/>
        <v>-140</v>
      </c>
      <c r="DM29" s="239">
        <f>(DK29/'Finance Only'!B32)*100</f>
        <v>2.7827918170878463</v>
      </c>
      <c r="DN29" s="224">
        <f t="shared" si="75"/>
        <v>232770</v>
      </c>
      <c r="DO29" s="224">
        <v>232940</v>
      </c>
      <c r="DP29" s="225">
        <f t="shared" si="76"/>
        <v>170</v>
      </c>
      <c r="DQ29" s="238">
        <f t="shared" si="77"/>
        <v>-10</v>
      </c>
      <c r="DR29" s="239">
        <f>(DP29/'Finance Only'!B32)*100</f>
        <v>0.6392900120336944</v>
      </c>
      <c r="DS29" s="224">
        <f t="shared" si="78"/>
        <v>66102</v>
      </c>
      <c r="DT29" s="224">
        <v>66239</v>
      </c>
      <c r="DU29" s="225">
        <f t="shared" si="79"/>
        <v>137</v>
      </c>
      <c r="DV29" s="238">
        <f t="shared" si="80"/>
        <v>-1</v>
      </c>
      <c r="DW29" s="239">
        <f>(DU29/'Finance Only'!B32)*100</f>
        <v>0.51519253910950658</v>
      </c>
      <c r="DX29" s="224">
        <f t="shared" si="81"/>
        <v>439180</v>
      </c>
      <c r="DY29" s="224">
        <v>439830</v>
      </c>
      <c r="DZ29" s="225">
        <f t="shared" si="82"/>
        <v>650</v>
      </c>
      <c r="EA29" s="238">
        <f t="shared" si="83"/>
        <v>-90</v>
      </c>
      <c r="EB29" s="239">
        <f>(DZ29/'Finance Only'!B32)*100</f>
        <v>2.444344163658243</v>
      </c>
      <c r="EC29" s="224">
        <f t="shared" si="84"/>
        <v>139060</v>
      </c>
      <c r="ED29" s="224">
        <v>139300</v>
      </c>
      <c r="EE29" s="225">
        <f t="shared" si="85"/>
        <v>240</v>
      </c>
      <c r="EF29" s="238">
        <f t="shared" si="86"/>
        <v>0</v>
      </c>
      <c r="EG29" s="239">
        <f>(EE29/'Finance Only'!B32)*100</f>
        <v>0.90252707581227432</v>
      </c>
      <c r="EH29" s="224">
        <f t="shared" si="87"/>
        <v>136310</v>
      </c>
      <c r="EI29" s="224">
        <v>136720</v>
      </c>
      <c r="EJ29" s="225">
        <f t="shared" si="88"/>
        <v>410</v>
      </c>
      <c r="EK29" s="238">
        <f t="shared" si="89"/>
        <v>20</v>
      </c>
      <c r="EL29" s="239">
        <f>(EJ29/'Finance Only'!B32)*100</f>
        <v>1.5418170878459687</v>
      </c>
      <c r="EM29" s="224">
        <f t="shared" si="90"/>
        <v>255410</v>
      </c>
      <c r="EN29" s="224">
        <v>255960</v>
      </c>
      <c r="EO29" s="225">
        <f t="shared" si="91"/>
        <v>550</v>
      </c>
      <c r="EP29" s="238">
        <f t="shared" si="92"/>
        <v>-330</v>
      </c>
      <c r="EQ29" s="239">
        <f>(EO29/'Finance Only'!B32)*100</f>
        <v>2.068291215403129</v>
      </c>
      <c r="ER29" s="224">
        <f t="shared" si="93"/>
        <v>0</v>
      </c>
      <c r="ES29" s="224"/>
      <c r="ET29" s="225">
        <f t="shared" si="94"/>
        <v>0</v>
      </c>
      <c r="EU29" s="238">
        <f t="shared" si="95"/>
        <v>0</v>
      </c>
      <c r="EV29" s="239">
        <f>(ET29/'Finance Only'!B32)*100</f>
        <v>0</v>
      </c>
      <c r="EW29" s="224">
        <f t="shared" si="96"/>
        <v>329990</v>
      </c>
      <c r="EX29" s="224">
        <v>340670</v>
      </c>
      <c r="EY29" s="225">
        <f t="shared" si="97"/>
        <v>10680</v>
      </c>
      <c r="EZ29" s="238">
        <f t="shared" si="98"/>
        <v>-1540</v>
      </c>
      <c r="FA29" s="239" t="e">
        <f>(EY29/'Finance Only'!G32)*100</f>
        <v>#DIV/0!</v>
      </c>
      <c r="FB29" s="224">
        <f t="shared" si="99"/>
        <v>57321</v>
      </c>
      <c r="FC29" s="224">
        <v>57587</v>
      </c>
      <c r="FD29" s="225">
        <f t="shared" si="100"/>
        <v>266</v>
      </c>
      <c r="FE29" s="238">
        <f t="shared" si="101"/>
        <v>-145</v>
      </c>
      <c r="FF29" s="239" t="e">
        <f>(FD29/'Finance Only'!M32)*100</f>
        <v>#DIV/0!</v>
      </c>
      <c r="FG29" s="289"/>
      <c r="FH29" s="295">
        <f t="shared" si="0"/>
        <v>6507</v>
      </c>
      <c r="FI29" s="292"/>
      <c r="FJ29" s="295">
        <f t="shared" si="1"/>
        <v>6428</v>
      </c>
      <c r="FK29" s="292"/>
      <c r="FL29" s="295">
        <f t="shared" si="2"/>
        <v>2600</v>
      </c>
      <c r="FM29" s="292"/>
      <c r="FN29" s="295">
        <f t="shared" si="3"/>
        <v>2267</v>
      </c>
      <c r="FO29" s="292"/>
      <c r="FP29" s="295">
        <f t="shared" si="4"/>
        <v>1247</v>
      </c>
      <c r="FQ29" s="292"/>
      <c r="FR29" s="295">
        <f t="shared" si="5"/>
        <v>10946</v>
      </c>
      <c r="FS29" s="292"/>
    </row>
    <row r="30" spans="1:1084" s="3" customFormat="1" ht="13.5" customHeight="1" x14ac:dyDescent="0.2">
      <c r="A30" s="280">
        <v>26</v>
      </c>
      <c r="B30" s="283">
        <f>'Finance Only'!G33</f>
        <v>5863</v>
      </c>
      <c r="C30" s="278">
        <f t="shared" si="6"/>
        <v>25997703</v>
      </c>
      <c r="D30" s="222">
        <v>26000240</v>
      </c>
      <c r="E30" s="223">
        <f t="shared" si="7"/>
        <v>2537</v>
      </c>
      <c r="F30" s="234">
        <f t="shared" si="8"/>
        <v>13</v>
      </c>
      <c r="G30" s="235">
        <f>(E30/'Finance Only'!B33)*100</f>
        <v>9.7708453687656451</v>
      </c>
      <c r="H30" s="246">
        <f t="shared" si="9"/>
        <v>23381277</v>
      </c>
      <c r="I30" s="222">
        <v>23385195</v>
      </c>
      <c r="J30" s="222">
        <f t="shared" si="10"/>
        <v>3918</v>
      </c>
      <c r="K30" s="247">
        <f t="shared" si="11"/>
        <v>-65</v>
      </c>
      <c r="L30" s="248">
        <f>(J30/'Finance Only'!B33)*100</f>
        <v>15.089543616406701</v>
      </c>
      <c r="M30" s="230">
        <f t="shared" si="12"/>
        <v>87882512</v>
      </c>
      <c r="N30" s="224">
        <v>87896336</v>
      </c>
      <c r="O30" s="225">
        <f t="shared" si="13"/>
        <v>13824</v>
      </c>
      <c r="P30" s="238">
        <f t="shared" si="14"/>
        <v>-511</v>
      </c>
      <c r="Q30" s="239">
        <f>(O30/'Finance Only'!B33)*100</f>
        <v>53.240901213171576</v>
      </c>
      <c r="R30" s="229">
        <f t="shared" si="15"/>
        <v>2312900</v>
      </c>
      <c r="S30" s="224">
        <v>2314700</v>
      </c>
      <c r="T30" s="225">
        <f t="shared" si="16"/>
        <v>1800</v>
      </c>
      <c r="U30" s="238">
        <f t="shared" si="17"/>
        <v>0</v>
      </c>
      <c r="V30" s="239">
        <f>(T30/'Finance Only'!B33)*100</f>
        <v>6.9324090121317159</v>
      </c>
      <c r="W30" s="224">
        <f t="shared" si="18"/>
        <v>3147088</v>
      </c>
      <c r="X30" s="224">
        <v>3149826</v>
      </c>
      <c r="Y30" s="225">
        <f t="shared" si="19"/>
        <v>2738</v>
      </c>
      <c r="Z30" s="238">
        <f t="shared" si="20"/>
        <v>-40</v>
      </c>
      <c r="AA30" s="239">
        <f>(Y30/'Finance Only'!B33)*100</f>
        <v>10.544964375120355</v>
      </c>
      <c r="AB30" s="224">
        <f t="shared" si="21"/>
        <v>1935300</v>
      </c>
      <c r="AC30" s="224">
        <v>1937400</v>
      </c>
      <c r="AD30" s="225">
        <f t="shared" si="22"/>
        <v>2100</v>
      </c>
      <c r="AE30" s="238">
        <f t="shared" si="23"/>
        <v>100</v>
      </c>
      <c r="AF30" s="239">
        <f>(AD30/'Finance Only'!B33)*100</f>
        <v>8.0878105141536683</v>
      </c>
      <c r="AG30" s="224">
        <f t="shared" si="24"/>
        <v>854858</v>
      </c>
      <c r="AH30" s="224">
        <v>855607</v>
      </c>
      <c r="AI30" s="225">
        <f t="shared" si="25"/>
        <v>749</v>
      </c>
      <c r="AJ30" s="238">
        <f t="shared" si="26"/>
        <v>-45</v>
      </c>
      <c r="AK30" s="239">
        <f>(AI30/'Finance Only'!B33)*100</f>
        <v>2.8846524167148084</v>
      </c>
      <c r="AL30" s="224">
        <f t="shared" si="27"/>
        <v>872020</v>
      </c>
      <c r="AM30" s="224">
        <v>872680</v>
      </c>
      <c r="AN30" s="225">
        <f t="shared" si="28"/>
        <v>660</v>
      </c>
      <c r="AO30" s="238">
        <f t="shared" si="29"/>
        <v>60</v>
      </c>
      <c r="AP30" s="239">
        <f>(AN30/'Finance Only'!B33)*100</f>
        <v>2.5418833044482958</v>
      </c>
      <c r="AQ30" s="224">
        <f t="shared" si="30"/>
        <v>1953400</v>
      </c>
      <c r="AR30" s="224">
        <v>1955100</v>
      </c>
      <c r="AS30" s="225">
        <f t="shared" si="31"/>
        <v>1700</v>
      </c>
      <c r="AT30" s="238">
        <f t="shared" si="32"/>
        <v>-300</v>
      </c>
      <c r="AU30" s="239">
        <f>(AS30/'Finance Only'!B33)*100</f>
        <v>6.5472751781243979</v>
      </c>
      <c r="AV30" s="224">
        <f t="shared" si="33"/>
        <v>567131</v>
      </c>
      <c r="AW30" s="224">
        <v>567521</v>
      </c>
      <c r="AX30" s="225">
        <f t="shared" si="34"/>
        <v>390</v>
      </c>
      <c r="AY30" s="238">
        <f t="shared" si="35"/>
        <v>-37</v>
      </c>
      <c r="AZ30" s="239">
        <f>(AX30/'Finance Only'!B33)*100</f>
        <v>1.5020219526285385</v>
      </c>
      <c r="BA30" s="224">
        <f t="shared" si="36"/>
        <v>792430</v>
      </c>
      <c r="BB30" s="224">
        <v>793380</v>
      </c>
      <c r="BC30" s="225">
        <f t="shared" si="37"/>
        <v>950</v>
      </c>
      <c r="BD30" s="238">
        <f t="shared" si="38"/>
        <v>-50</v>
      </c>
      <c r="BE30" s="239">
        <f>(BC30/'Finance Only'!B33)*100</f>
        <v>3.6587714230695165</v>
      </c>
      <c r="BF30" s="224">
        <f t="shared" si="39"/>
        <v>883670</v>
      </c>
      <c r="BG30" s="224">
        <v>884510</v>
      </c>
      <c r="BH30" s="225">
        <f t="shared" si="40"/>
        <v>840</v>
      </c>
      <c r="BI30" s="238">
        <f t="shared" si="41"/>
        <v>0</v>
      </c>
      <c r="BJ30" s="239">
        <f>(BH30/'Finance Only'!B33)*100</f>
        <v>3.2351242056614673</v>
      </c>
      <c r="BK30" s="224">
        <f t="shared" si="42"/>
        <v>1379500</v>
      </c>
      <c r="BL30" s="224">
        <v>1380500</v>
      </c>
      <c r="BM30" s="225">
        <f t="shared" si="43"/>
        <v>1000</v>
      </c>
      <c r="BN30" s="238">
        <f t="shared" si="44"/>
        <v>-100</v>
      </c>
      <c r="BO30" s="239">
        <f>(BM30/'Finance Only'!B33)*100</f>
        <v>3.8513383400731751</v>
      </c>
      <c r="BP30" s="224">
        <f t="shared" si="45"/>
        <v>85836</v>
      </c>
      <c r="BQ30" s="224">
        <v>85979</v>
      </c>
      <c r="BR30" s="225">
        <f t="shared" si="46"/>
        <v>143</v>
      </c>
      <c r="BS30" s="238">
        <f t="shared" si="47"/>
        <v>-4</v>
      </c>
      <c r="BT30" s="239">
        <f>(BR30/'Finance Only'!B33)*100</f>
        <v>0.55074138263046413</v>
      </c>
      <c r="BU30" s="224">
        <f t="shared" si="48"/>
        <v>429190</v>
      </c>
      <c r="BV30" s="224">
        <v>429650</v>
      </c>
      <c r="BW30" s="225">
        <f t="shared" si="49"/>
        <v>460</v>
      </c>
      <c r="BX30" s="238">
        <f t="shared" si="50"/>
        <v>-90</v>
      </c>
      <c r="BY30" s="239">
        <f>(BW30/'Finance Only'!B33)*100</f>
        <v>1.7716156364336606</v>
      </c>
      <c r="BZ30" s="224">
        <f t="shared" si="51"/>
        <v>674560</v>
      </c>
      <c r="CA30" s="224">
        <v>675800</v>
      </c>
      <c r="CB30" s="225">
        <f t="shared" si="52"/>
        <v>1240</v>
      </c>
      <c r="CC30" s="238">
        <f t="shared" si="53"/>
        <v>20</v>
      </c>
      <c r="CD30" s="239">
        <f>(CB30/'Finance Only'!B33)*100</f>
        <v>4.7756595416907377</v>
      </c>
      <c r="CE30" s="224">
        <f t="shared" si="54"/>
        <v>205300</v>
      </c>
      <c r="CF30" s="224">
        <v>205780</v>
      </c>
      <c r="CG30" s="225">
        <f t="shared" si="55"/>
        <v>480</v>
      </c>
      <c r="CH30" s="238">
        <f t="shared" si="56"/>
        <v>-20</v>
      </c>
      <c r="CI30" s="239">
        <f>(CG30/'Finance Only'!B33)*100</f>
        <v>1.8486424032351241</v>
      </c>
      <c r="CJ30" s="225">
        <f t="shared" si="57"/>
        <v>466200</v>
      </c>
      <c r="CK30" s="225">
        <v>467180</v>
      </c>
      <c r="CL30" s="225">
        <f t="shared" si="58"/>
        <v>980</v>
      </c>
      <c r="CM30" s="238">
        <f t="shared" si="59"/>
        <v>100</v>
      </c>
      <c r="CN30" s="239">
        <f>(CL30/'Finance Only'!B33)*100</f>
        <v>3.7743115732717119</v>
      </c>
      <c r="CO30" s="224">
        <f t="shared" si="60"/>
        <v>377310</v>
      </c>
      <c r="CP30" s="224">
        <v>378170</v>
      </c>
      <c r="CQ30" s="226">
        <f t="shared" si="61"/>
        <v>860</v>
      </c>
      <c r="CR30" s="238">
        <f t="shared" si="62"/>
        <v>170</v>
      </c>
      <c r="CS30" s="239">
        <f>(CQ30/'Finance Only'!B33)*100</f>
        <v>3.312150972462931</v>
      </c>
      <c r="CT30" s="224">
        <f t="shared" si="63"/>
        <v>320030</v>
      </c>
      <c r="CU30" s="224">
        <v>320680</v>
      </c>
      <c r="CV30" s="225">
        <f t="shared" si="64"/>
        <v>650</v>
      </c>
      <c r="CW30" s="238">
        <f t="shared" si="65"/>
        <v>40</v>
      </c>
      <c r="CX30" s="239">
        <f>(CV30/'Finance Only'!B33)*100</f>
        <v>2.5033699210475642</v>
      </c>
      <c r="CY30" s="224">
        <f t="shared" si="66"/>
        <v>551370</v>
      </c>
      <c r="CZ30" s="224">
        <v>552220</v>
      </c>
      <c r="DA30" s="225">
        <f t="shared" si="67"/>
        <v>850</v>
      </c>
      <c r="DB30" s="238">
        <f t="shared" si="68"/>
        <v>-50</v>
      </c>
      <c r="DC30" s="239">
        <f>(DA30/'Finance Only'!B33)*100</f>
        <v>3.2736375890621989</v>
      </c>
      <c r="DD30" s="224">
        <f t="shared" si="69"/>
        <v>415220</v>
      </c>
      <c r="DE30" s="224">
        <v>415920</v>
      </c>
      <c r="DF30" s="225">
        <f t="shared" si="70"/>
        <v>700</v>
      </c>
      <c r="DG30" s="238">
        <f t="shared" si="71"/>
        <v>60</v>
      </c>
      <c r="DH30" s="239">
        <f>(DF30/'Finance Only'!B33)*100</f>
        <v>2.6959368380512228</v>
      </c>
      <c r="DI30" s="224">
        <f t="shared" si="72"/>
        <v>380870</v>
      </c>
      <c r="DJ30" s="224">
        <v>381490</v>
      </c>
      <c r="DK30" s="225">
        <f t="shared" si="73"/>
        <v>620</v>
      </c>
      <c r="DL30" s="238">
        <f t="shared" si="74"/>
        <v>-120</v>
      </c>
      <c r="DM30" s="239">
        <f>(DK30/'Finance Only'!B33)*100</f>
        <v>2.3878297708453688</v>
      </c>
      <c r="DN30" s="224">
        <f t="shared" si="75"/>
        <v>232940</v>
      </c>
      <c r="DO30" s="224">
        <v>233140</v>
      </c>
      <c r="DP30" s="225">
        <f t="shared" si="76"/>
        <v>200</v>
      </c>
      <c r="DQ30" s="238">
        <f t="shared" si="77"/>
        <v>30</v>
      </c>
      <c r="DR30" s="239">
        <f>(DP30/'Finance Only'!B33)*100</f>
        <v>0.77026766801463509</v>
      </c>
      <c r="DS30" s="224">
        <f t="shared" si="78"/>
        <v>66239</v>
      </c>
      <c r="DT30" s="224">
        <v>66390</v>
      </c>
      <c r="DU30" s="225">
        <f t="shared" si="79"/>
        <v>151</v>
      </c>
      <c r="DV30" s="238">
        <f t="shared" si="80"/>
        <v>14</v>
      </c>
      <c r="DW30" s="239">
        <f>(DU30/'Finance Only'!B33)*100</f>
        <v>0.58155208935104952</v>
      </c>
      <c r="DX30" s="224">
        <f t="shared" si="81"/>
        <v>439830</v>
      </c>
      <c r="DY30" s="224">
        <v>440550</v>
      </c>
      <c r="DZ30" s="225">
        <f t="shared" si="82"/>
        <v>720</v>
      </c>
      <c r="EA30" s="238">
        <f t="shared" si="83"/>
        <v>70</v>
      </c>
      <c r="EB30" s="239">
        <f>(DZ30/'Finance Only'!B33)*100</f>
        <v>2.772963604852686</v>
      </c>
      <c r="EC30" s="224">
        <f t="shared" si="84"/>
        <v>139300</v>
      </c>
      <c r="ED30" s="224">
        <v>139550</v>
      </c>
      <c r="EE30" s="225">
        <f t="shared" si="85"/>
        <v>250</v>
      </c>
      <c r="EF30" s="238">
        <f t="shared" si="86"/>
        <v>10</v>
      </c>
      <c r="EG30" s="239">
        <f>(EE30/'Finance Only'!B33)*100</f>
        <v>0.96283458501829378</v>
      </c>
      <c r="EH30" s="224">
        <f t="shared" si="87"/>
        <v>136720</v>
      </c>
      <c r="EI30" s="224">
        <v>137020</v>
      </c>
      <c r="EJ30" s="225">
        <f t="shared" si="88"/>
        <v>300</v>
      </c>
      <c r="EK30" s="238">
        <f t="shared" si="89"/>
        <v>-110</v>
      </c>
      <c r="EL30" s="239">
        <f>(EJ30/'Finance Only'!B33)*100</f>
        <v>1.1554015020219526</v>
      </c>
      <c r="EM30" s="224">
        <f t="shared" si="90"/>
        <v>255960</v>
      </c>
      <c r="EN30" s="224">
        <v>256350</v>
      </c>
      <c r="EO30" s="225">
        <f t="shared" si="91"/>
        <v>390</v>
      </c>
      <c r="EP30" s="238">
        <f t="shared" si="92"/>
        <v>-160</v>
      </c>
      <c r="EQ30" s="239">
        <f>(EO30/'Finance Only'!B33)*100</f>
        <v>1.5020219526285385</v>
      </c>
      <c r="ER30" s="224">
        <f t="shared" si="93"/>
        <v>0</v>
      </c>
      <c r="ES30" s="224"/>
      <c r="ET30" s="225">
        <f t="shared" si="94"/>
        <v>0</v>
      </c>
      <c r="EU30" s="238">
        <f t="shared" si="95"/>
        <v>0</v>
      </c>
      <c r="EV30" s="239">
        <f>(ET30/'Finance Only'!B33)*100</f>
        <v>0</v>
      </c>
      <c r="EW30" s="224">
        <f t="shared" si="96"/>
        <v>340670</v>
      </c>
      <c r="EX30" s="224">
        <v>348530</v>
      </c>
      <c r="EY30" s="225">
        <f t="shared" si="97"/>
        <v>7860</v>
      </c>
      <c r="EZ30" s="238">
        <f t="shared" si="98"/>
        <v>-2820</v>
      </c>
      <c r="FA30" s="239">
        <f>(EY30/'Finance Only'!G33)*100</f>
        <v>134.06106089032917</v>
      </c>
      <c r="FB30" s="224">
        <f t="shared" si="99"/>
        <v>57587</v>
      </c>
      <c r="FC30" s="224">
        <v>57923</v>
      </c>
      <c r="FD30" s="225">
        <f t="shared" si="100"/>
        <v>336</v>
      </c>
      <c r="FE30" s="238">
        <f t="shared" si="101"/>
        <v>70</v>
      </c>
      <c r="FF30" s="239" t="e">
        <f>(FD30/'Finance Only'!M33)*100</f>
        <v>#DIV/0!</v>
      </c>
      <c r="FG30" s="289"/>
      <c r="FH30" s="295">
        <f t="shared" si="0"/>
        <v>6455</v>
      </c>
      <c r="FI30" s="292"/>
      <c r="FJ30" s="295">
        <f t="shared" si="1"/>
        <v>6198</v>
      </c>
      <c r="FK30" s="292"/>
      <c r="FL30" s="295">
        <f t="shared" si="2"/>
        <v>2360</v>
      </c>
      <c r="FM30" s="292"/>
      <c r="FN30" s="295">
        <f t="shared" si="3"/>
        <v>2180</v>
      </c>
      <c r="FO30" s="292"/>
      <c r="FP30" s="295">
        <f t="shared" si="4"/>
        <v>1143</v>
      </c>
      <c r="FQ30" s="292"/>
      <c r="FR30" s="295">
        <f t="shared" si="5"/>
        <v>8196</v>
      </c>
      <c r="FS30" s="292"/>
    </row>
    <row r="31" spans="1:1084" s="3" customFormat="1" ht="13.5" customHeight="1" x14ac:dyDescent="0.2">
      <c r="A31" s="280">
        <v>27</v>
      </c>
      <c r="B31" s="283">
        <f>'Finance Only'!G34</f>
        <v>1006</v>
      </c>
      <c r="C31" s="278">
        <f t="shared" si="6"/>
        <v>26000240</v>
      </c>
      <c r="D31" s="222">
        <v>26002726</v>
      </c>
      <c r="E31" s="223">
        <f t="shared" si="7"/>
        <v>2486</v>
      </c>
      <c r="F31" s="234">
        <f t="shared" si="8"/>
        <v>-51</v>
      </c>
      <c r="G31" s="235">
        <f>(E31/'Finance Only'!B34)*100</f>
        <v>9.6092149511035529</v>
      </c>
      <c r="H31" s="246">
        <f t="shared" si="9"/>
        <v>23385195</v>
      </c>
      <c r="I31" s="222">
        <v>23389276</v>
      </c>
      <c r="J31" s="222">
        <f t="shared" si="10"/>
        <v>4081</v>
      </c>
      <c r="K31" s="247">
        <f t="shared" si="11"/>
        <v>163</v>
      </c>
      <c r="L31" s="248">
        <f>(J31/'Finance Only'!B34)*100</f>
        <v>15.77441923389123</v>
      </c>
      <c r="M31" s="230">
        <f t="shared" si="12"/>
        <v>87896336</v>
      </c>
      <c r="N31" s="224">
        <v>87910193</v>
      </c>
      <c r="O31" s="225">
        <f t="shared" si="13"/>
        <v>13857</v>
      </c>
      <c r="P31" s="238">
        <f t="shared" si="14"/>
        <v>33</v>
      </c>
      <c r="Q31" s="239">
        <f>(O31/'Finance Only'!B34)*100</f>
        <v>53.561903289397392</v>
      </c>
      <c r="R31" s="229">
        <f t="shared" si="15"/>
        <v>2314700</v>
      </c>
      <c r="S31" s="224">
        <v>2316600</v>
      </c>
      <c r="T31" s="225">
        <f t="shared" si="16"/>
        <v>1900</v>
      </c>
      <c r="U31" s="238">
        <f t="shared" si="17"/>
        <v>100</v>
      </c>
      <c r="V31" s="239">
        <f>(T31/'Finance Only'!B34)*100</f>
        <v>7.3441304936028757</v>
      </c>
      <c r="W31" s="224">
        <f t="shared" si="18"/>
        <v>3149826</v>
      </c>
      <c r="X31" s="224">
        <v>3152523</v>
      </c>
      <c r="Y31" s="225">
        <f t="shared" si="19"/>
        <v>2697</v>
      </c>
      <c r="Z31" s="238">
        <f t="shared" si="20"/>
        <v>-41</v>
      </c>
      <c r="AA31" s="239">
        <f>(Y31/'Finance Only'!B34)*100</f>
        <v>10.424799969077345</v>
      </c>
      <c r="AB31" s="224">
        <f t="shared" si="21"/>
        <v>1937400</v>
      </c>
      <c r="AC31" s="224">
        <v>1939300</v>
      </c>
      <c r="AD31" s="225">
        <f t="shared" si="22"/>
        <v>1900</v>
      </c>
      <c r="AE31" s="238">
        <f t="shared" si="23"/>
        <v>-200</v>
      </c>
      <c r="AF31" s="239">
        <f>(AD31/'Finance Only'!B34)*100</f>
        <v>7.3441304936028757</v>
      </c>
      <c r="AG31" s="224">
        <f t="shared" si="24"/>
        <v>855607</v>
      </c>
      <c r="AH31" s="224">
        <v>856396</v>
      </c>
      <c r="AI31" s="225">
        <f t="shared" si="25"/>
        <v>789</v>
      </c>
      <c r="AJ31" s="238">
        <f t="shared" si="26"/>
        <v>40</v>
      </c>
      <c r="AK31" s="239">
        <f>(AI31/'Finance Only'!B34)*100</f>
        <v>3.0497468207645628</v>
      </c>
      <c r="AL31" s="224">
        <f t="shared" si="27"/>
        <v>872680</v>
      </c>
      <c r="AM31" s="224">
        <v>873380</v>
      </c>
      <c r="AN31" s="225">
        <f t="shared" si="28"/>
        <v>700</v>
      </c>
      <c r="AO31" s="238">
        <f t="shared" si="29"/>
        <v>40</v>
      </c>
      <c r="AP31" s="239">
        <f>(AN31/'Finance Only'!B34)*100</f>
        <v>2.7057322871168488</v>
      </c>
      <c r="AQ31" s="224">
        <f t="shared" si="30"/>
        <v>1955100</v>
      </c>
      <c r="AR31" s="224">
        <v>1956700</v>
      </c>
      <c r="AS31" s="225">
        <f t="shared" si="31"/>
        <v>1600</v>
      </c>
      <c r="AT31" s="238">
        <f t="shared" si="32"/>
        <v>-100</v>
      </c>
      <c r="AU31" s="239">
        <f>(AS31/'Finance Only'!B34)*100</f>
        <v>6.184530941981369</v>
      </c>
      <c r="AV31" s="224">
        <f t="shared" si="33"/>
        <v>567521</v>
      </c>
      <c r="AW31" s="224">
        <v>567924</v>
      </c>
      <c r="AX31" s="225">
        <f t="shared" si="34"/>
        <v>403</v>
      </c>
      <c r="AY31" s="238">
        <f t="shared" si="35"/>
        <v>13</v>
      </c>
      <c r="AZ31" s="239">
        <f>(AX31/'Finance Only'!B34)*100</f>
        <v>1.5577287310115575</v>
      </c>
      <c r="BA31" s="224">
        <f t="shared" si="36"/>
        <v>793380</v>
      </c>
      <c r="BB31" s="224">
        <v>794340</v>
      </c>
      <c r="BC31" s="225">
        <f t="shared" si="37"/>
        <v>960</v>
      </c>
      <c r="BD31" s="238">
        <f t="shared" si="38"/>
        <v>10</v>
      </c>
      <c r="BE31" s="239">
        <f>(BC31/'Finance Only'!B34)*100</f>
        <v>3.7107185651888219</v>
      </c>
      <c r="BF31" s="224">
        <f t="shared" si="39"/>
        <v>884510</v>
      </c>
      <c r="BG31" s="224">
        <v>885330</v>
      </c>
      <c r="BH31" s="225">
        <f t="shared" si="40"/>
        <v>820</v>
      </c>
      <c r="BI31" s="238">
        <f t="shared" si="41"/>
        <v>-20</v>
      </c>
      <c r="BJ31" s="239">
        <f>(BH31/'Finance Only'!B34)*100</f>
        <v>3.1695721077654517</v>
      </c>
      <c r="BK31" s="224">
        <f t="shared" si="42"/>
        <v>1380500</v>
      </c>
      <c r="BL31" s="224">
        <v>1381500</v>
      </c>
      <c r="BM31" s="225">
        <f t="shared" si="43"/>
        <v>1000</v>
      </c>
      <c r="BN31" s="238">
        <f t="shared" si="44"/>
        <v>0</v>
      </c>
      <c r="BO31" s="239">
        <f>(BM31/'Finance Only'!B34)*100</f>
        <v>3.8653318387383555</v>
      </c>
      <c r="BP31" s="224">
        <f t="shared" si="45"/>
        <v>85979</v>
      </c>
      <c r="BQ31" s="224">
        <v>86126</v>
      </c>
      <c r="BR31" s="225">
        <f t="shared" si="46"/>
        <v>147</v>
      </c>
      <c r="BS31" s="238">
        <f t="shared" si="47"/>
        <v>4</v>
      </c>
      <c r="BT31" s="239">
        <f>(BR31/'Finance Only'!B34)*100</f>
        <v>0.56820378029453833</v>
      </c>
      <c r="BU31" s="224">
        <f t="shared" si="48"/>
        <v>429650</v>
      </c>
      <c r="BV31" s="224">
        <v>430100</v>
      </c>
      <c r="BW31" s="225">
        <f t="shared" si="49"/>
        <v>450</v>
      </c>
      <c r="BX31" s="238">
        <f t="shared" si="50"/>
        <v>-10</v>
      </c>
      <c r="BY31" s="239">
        <f>(BW31/'Finance Only'!B34)*100</f>
        <v>1.7393993274322599</v>
      </c>
      <c r="BZ31" s="224">
        <f t="shared" si="51"/>
        <v>675800</v>
      </c>
      <c r="CA31" s="224">
        <v>677040</v>
      </c>
      <c r="CB31" s="225">
        <f t="shared" si="52"/>
        <v>1240</v>
      </c>
      <c r="CC31" s="238">
        <f t="shared" si="53"/>
        <v>0</v>
      </c>
      <c r="CD31" s="239">
        <f>(CB31/'Finance Only'!B34)*100</f>
        <v>4.7930114800355614</v>
      </c>
      <c r="CE31" s="224">
        <f t="shared" si="54"/>
        <v>205780</v>
      </c>
      <c r="CF31" s="224">
        <v>206170</v>
      </c>
      <c r="CG31" s="225">
        <f t="shared" si="55"/>
        <v>390</v>
      </c>
      <c r="CH31" s="238">
        <f t="shared" si="56"/>
        <v>-90</v>
      </c>
      <c r="CI31" s="239">
        <f>(CG31/'Finance Only'!B34)*100</f>
        <v>1.5074794171079586</v>
      </c>
      <c r="CJ31" s="225">
        <f t="shared" si="57"/>
        <v>467180</v>
      </c>
      <c r="CK31" s="225">
        <v>468120</v>
      </c>
      <c r="CL31" s="225">
        <f t="shared" si="58"/>
        <v>940</v>
      </c>
      <c r="CM31" s="238">
        <f t="shared" si="59"/>
        <v>-40</v>
      </c>
      <c r="CN31" s="239">
        <f>(CL31/'Finance Only'!B34)*100</f>
        <v>3.6334119284140542</v>
      </c>
      <c r="CO31" s="224">
        <f t="shared" si="60"/>
        <v>378170</v>
      </c>
      <c r="CP31" s="224">
        <v>378990</v>
      </c>
      <c r="CQ31" s="226">
        <f t="shared" si="61"/>
        <v>820</v>
      </c>
      <c r="CR31" s="238">
        <f t="shared" si="62"/>
        <v>-40</v>
      </c>
      <c r="CS31" s="239">
        <f>(CQ31/'Finance Only'!B34)*100</f>
        <v>3.1695721077654517</v>
      </c>
      <c r="CT31" s="224">
        <f t="shared" si="63"/>
        <v>320680</v>
      </c>
      <c r="CU31" s="224">
        <v>321420</v>
      </c>
      <c r="CV31" s="225">
        <f t="shared" si="64"/>
        <v>740</v>
      </c>
      <c r="CW31" s="238">
        <f t="shared" si="65"/>
        <v>90</v>
      </c>
      <c r="CX31" s="239">
        <f>(CV31/'Finance Only'!B34)*100</f>
        <v>2.8603455606663832</v>
      </c>
      <c r="CY31" s="224">
        <f t="shared" si="66"/>
        <v>552220</v>
      </c>
      <c r="CZ31" s="224">
        <v>553060</v>
      </c>
      <c r="DA31" s="225">
        <f t="shared" si="67"/>
        <v>840</v>
      </c>
      <c r="DB31" s="238">
        <f t="shared" si="68"/>
        <v>-10</v>
      </c>
      <c r="DC31" s="239">
        <f>(DA31/'Finance Only'!B34)*100</f>
        <v>3.2468787445402185</v>
      </c>
      <c r="DD31" s="224">
        <f t="shared" si="69"/>
        <v>415920</v>
      </c>
      <c r="DE31" s="224">
        <v>416640</v>
      </c>
      <c r="DF31" s="225">
        <f t="shared" si="70"/>
        <v>720</v>
      </c>
      <c r="DG31" s="238">
        <f t="shared" si="71"/>
        <v>20</v>
      </c>
      <c r="DH31" s="239">
        <f>(DF31/'Finance Only'!B34)*100</f>
        <v>2.783038923891616</v>
      </c>
      <c r="DI31" s="224">
        <f t="shared" si="72"/>
        <v>381490</v>
      </c>
      <c r="DJ31" s="224">
        <v>382140</v>
      </c>
      <c r="DK31" s="225">
        <f t="shared" si="73"/>
        <v>650</v>
      </c>
      <c r="DL31" s="238">
        <f t="shared" si="74"/>
        <v>30</v>
      </c>
      <c r="DM31" s="239">
        <f>(DK31/'Finance Only'!B34)*100</f>
        <v>2.5124656951799311</v>
      </c>
      <c r="DN31" s="224">
        <f t="shared" si="75"/>
        <v>233140</v>
      </c>
      <c r="DO31" s="224">
        <v>233360</v>
      </c>
      <c r="DP31" s="225">
        <f t="shared" si="76"/>
        <v>220</v>
      </c>
      <c r="DQ31" s="238">
        <f t="shared" si="77"/>
        <v>20</v>
      </c>
      <c r="DR31" s="239">
        <f>(DP31/'Finance Only'!B34)*100</f>
        <v>0.85037300452243825</v>
      </c>
      <c r="DS31" s="224">
        <f t="shared" si="78"/>
        <v>66390</v>
      </c>
      <c r="DT31" s="224">
        <v>66545</v>
      </c>
      <c r="DU31" s="225">
        <f t="shared" si="79"/>
        <v>155</v>
      </c>
      <c r="DV31" s="238">
        <f t="shared" si="80"/>
        <v>4</v>
      </c>
      <c r="DW31" s="239">
        <f>(DU31/'Finance Only'!B34)*100</f>
        <v>0.59912643500444518</v>
      </c>
      <c r="DX31" s="224">
        <f t="shared" si="81"/>
        <v>440550</v>
      </c>
      <c r="DY31" s="224">
        <v>441240</v>
      </c>
      <c r="DZ31" s="225">
        <f t="shared" si="82"/>
        <v>690</v>
      </c>
      <c r="EA31" s="238">
        <f t="shared" si="83"/>
        <v>-30</v>
      </c>
      <c r="EB31" s="239">
        <f>(DZ31/'Finance Only'!B34)*100</f>
        <v>2.6670789687294656</v>
      </c>
      <c r="EC31" s="224">
        <f t="shared" si="84"/>
        <v>139550</v>
      </c>
      <c r="ED31" s="224">
        <v>139790</v>
      </c>
      <c r="EE31" s="225">
        <f t="shared" si="85"/>
        <v>240</v>
      </c>
      <c r="EF31" s="238">
        <f t="shared" si="86"/>
        <v>-10</v>
      </c>
      <c r="EG31" s="239">
        <f>(EE31/'Finance Only'!B34)*100</f>
        <v>0.92767964129720548</v>
      </c>
      <c r="EH31" s="224">
        <f t="shared" si="87"/>
        <v>137020</v>
      </c>
      <c r="EI31" s="224">
        <v>137370</v>
      </c>
      <c r="EJ31" s="225">
        <f t="shared" si="88"/>
        <v>350</v>
      </c>
      <c r="EK31" s="238">
        <f t="shared" si="89"/>
        <v>50</v>
      </c>
      <c r="EL31" s="239">
        <f>(EJ31/'Finance Only'!B34)*100</f>
        <v>1.3528661435584244</v>
      </c>
      <c r="EM31" s="224">
        <f t="shared" si="90"/>
        <v>256350</v>
      </c>
      <c r="EN31" s="224">
        <v>256850</v>
      </c>
      <c r="EO31" s="225">
        <f t="shared" si="91"/>
        <v>500</v>
      </c>
      <c r="EP31" s="238">
        <f t="shared" si="92"/>
        <v>110</v>
      </c>
      <c r="EQ31" s="239">
        <f>(EO31/'Finance Only'!B34)*100</f>
        <v>1.9326659193691778</v>
      </c>
      <c r="ER31" s="224">
        <f t="shared" si="93"/>
        <v>0</v>
      </c>
      <c r="ES31" s="224"/>
      <c r="ET31" s="225">
        <f t="shared" si="94"/>
        <v>0</v>
      </c>
      <c r="EU31" s="238">
        <f t="shared" si="95"/>
        <v>0</v>
      </c>
      <c r="EV31" s="239">
        <f>(ET31/'Finance Only'!B34)*100</f>
        <v>0</v>
      </c>
      <c r="EW31" s="224">
        <f t="shared" si="96"/>
        <v>348530</v>
      </c>
      <c r="EX31" s="224">
        <v>356200</v>
      </c>
      <c r="EY31" s="225">
        <f t="shared" si="97"/>
        <v>7670</v>
      </c>
      <c r="EZ31" s="238">
        <f t="shared" si="98"/>
        <v>-190</v>
      </c>
      <c r="FA31" s="239">
        <f>(EY31/'Finance Only'!G34)*100</f>
        <v>762.42544731610337</v>
      </c>
      <c r="FB31" s="224">
        <f t="shared" si="99"/>
        <v>57923</v>
      </c>
      <c r="FC31" s="224">
        <v>58312</v>
      </c>
      <c r="FD31" s="225">
        <f t="shared" si="100"/>
        <v>389</v>
      </c>
      <c r="FE31" s="238">
        <f t="shared" si="101"/>
        <v>53</v>
      </c>
      <c r="FF31" s="239" t="e">
        <f>(FD31/'Finance Only'!M34)*100</f>
        <v>#DIV/0!</v>
      </c>
      <c r="FG31" s="289"/>
      <c r="FH31" s="295">
        <f t="shared" si="0"/>
        <v>6567</v>
      </c>
      <c r="FI31" s="292"/>
      <c r="FJ31" s="295">
        <f t="shared" si="1"/>
        <v>6377</v>
      </c>
      <c r="FK31" s="292"/>
      <c r="FL31" s="295">
        <f t="shared" si="2"/>
        <v>2300</v>
      </c>
      <c r="FM31" s="292"/>
      <c r="FN31" s="295">
        <f t="shared" si="3"/>
        <v>2183</v>
      </c>
      <c r="FO31" s="292"/>
      <c r="FP31" s="295">
        <f t="shared" si="4"/>
        <v>1147</v>
      </c>
      <c r="FQ31" s="292"/>
      <c r="FR31" s="295">
        <f t="shared" si="5"/>
        <v>8059</v>
      </c>
      <c r="FS31" s="292"/>
    </row>
    <row r="32" spans="1:1084" s="3" customFormat="1" ht="13.5" customHeight="1" x14ac:dyDescent="0.2">
      <c r="A32" s="280">
        <v>28</v>
      </c>
      <c r="B32" s="283">
        <f>'Finance Only'!G35</f>
        <v>5474</v>
      </c>
      <c r="C32" s="278">
        <f t="shared" si="6"/>
        <v>26002726</v>
      </c>
      <c r="D32" s="222">
        <v>26005321</v>
      </c>
      <c r="E32" s="223">
        <f t="shared" si="7"/>
        <v>2595</v>
      </c>
      <c r="F32" s="234">
        <f t="shared" si="8"/>
        <v>109</v>
      </c>
      <c r="G32" s="235">
        <f>(E32/'Finance Only'!B35)*100</f>
        <v>9.8098514346198922</v>
      </c>
      <c r="H32" s="246">
        <f t="shared" si="9"/>
        <v>23389276</v>
      </c>
      <c r="I32" s="222">
        <v>23393398</v>
      </c>
      <c r="J32" s="222">
        <f t="shared" si="10"/>
        <v>4122</v>
      </c>
      <c r="K32" s="247">
        <f t="shared" si="11"/>
        <v>41</v>
      </c>
      <c r="L32" s="248">
        <f>(J32/'Finance Only'!B35)*100</f>
        <v>15.582353608286395</v>
      </c>
      <c r="M32" s="230">
        <f t="shared" si="12"/>
        <v>87910193</v>
      </c>
      <c r="N32" s="224">
        <v>87924252</v>
      </c>
      <c r="O32" s="225">
        <f t="shared" si="13"/>
        <v>14059</v>
      </c>
      <c r="P32" s="238">
        <f t="shared" si="14"/>
        <v>202</v>
      </c>
      <c r="Q32" s="239">
        <f>(O32/'Finance Only'!B35)*100</f>
        <v>53.147091067175744</v>
      </c>
      <c r="R32" s="229">
        <f t="shared" si="15"/>
        <v>2316600</v>
      </c>
      <c r="S32" s="224">
        <v>2318400</v>
      </c>
      <c r="T32" s="225">
        <f t="shared" si="16"/>
        <v>1800</v>
      </c>
      <c r="U32" s="238">
        <f t="shared" si="17"/>
        <v>-100</v>
      </c>
      <c r="V32" s="239">
        <f>(T32/'Finance Only'!B35)*100</f>
        <v>6.8045212263259369</v>
      </c>
      <c r="W32" s="224">
        <f t="shared" si="18"/>
        <v>3152523</v>
      </c>
      <c r="X32" s="224">
        <v>3155170</v>
      </c>
      <c r="Y32" s="225">
        <f t="shared" si="19"/>
        <v>2647</v>
      </c>
      <c r="Z32" s="238">
        <f t="shared" si="20"/>
        <v>-50</v>
      </c>
      <c r="AA32" s="239">
        <f>(Y32/'Finance Only'!B35)*100</f>
        <v>10.006426492269307</v>
      </c>
      <c r="AB32" s="224">
        <f t="shared" si="21"/>
        <v>1939300</v>
      </c>
      <c r="AC32" s="224">
        <v>1941500</v>
      </c>
      <c r="AD32" s="225">
        <f t="shared" si="22"/>
        <v>2200</v>
      </c>
      <c r="AE32" s="238">
        <f t="shared" si="23"/>
        <v>300</v>
      </c>
      <c r="AF32" s="239">
        <f>(AD32/'Finance Only'!B35)*100</f>
        <v>8.3166370543983668</v>
      </c>
      <c r="AG32" s="224">
        <f t="shared" si="24"/>
        <v>856396</v>
      </c>
      <c r="AH32" s="224">
        <v>857211</v>
      </c>
      <c r="AI32" s="225">
        <f t="shared" si="25"/>
        <v>815</v>
      </c>
      <c r="AJ32" s="238">
        <f t="shared" si="26"/>
        <v>26</v>
      </c>
      <c r="AK32" s="239">
        <f>(AI32/'Finance Only'!B35)*100</f>
        <v>3.0809359996975769</v>
      </c>
      <c r="AL32" s="224">
        <f t="shared" si="27"/>
        <v>873380</v>
      </c>
      <c r="AM32" s="224">
        <v>874020</v>
      </c>
      <c r="AN32" s="225">
        <f t="shared" si="28"/>
        <v>640</v>
      </c>
      <c r="AO32" s="238">
        <f t="shared" si="29"/>
        <v>-60</v>
      </c>
      <c r="AP32" s="239">
        <f>(AN32/'Finance Only'!B35)*100</f>
        <v>2.4193853249158885</v>
      </c>
      <c r="AQ32" s="224">
        <f t="shared" si="30"/>
        <v>1956700</v>
      </c>
      <c r="AR32" s="224">
        <v>1958500</v>
      </c>
      <c r="AS32" s="225">
        <f t="shared" si="31"/>
        <v>1800</v>
      </c>
      <c r="AT32" s="238">
        <f t="shared" si="32"/>
        <v>200</v>
      </c>
      <c r="AU32" s="239">
        <f>(AS32/'Finance Only'!B35)*100</f>
        <v>6.8045212263259369</v>
      </c>
      <c r="AV32" s="224">
        <f t="shared" si="33"/>
        <v>567924</v>
      </c>
      <c r="AW32" s="224">
        <v>568327</v>
      </c>
      <c r="AX32" s="225">
        <f t="shared" si="34"/>
        <v>403</v>
      </c>
      <c r="AY32" s="238">
        <f t="shared" si="35"/>
        <v>0</v>
      </c>
      <c r="AZ32" s="239">
        <f>(AX32/'Finance Only'!B35)*100</f>
        <v>1.5234566967829737</v>
      </c>
      <c r="BA32" s="224">
        <f t="shared" si="36"/>
        <v>794340</v>
      </c>
      <c r="BB32" s="224">
        <v>795250</v>
      </c>
      <c r="BC32" s="225">
        <f t="shared" si="37"/>
        <v>910</v>
      </c>
      <c r="BD32" s="238">
        <f t="shared" si="38"/>
        <v>-50</v>
      </c>
      <c r="BE32" s="239">
        <f>(BC32/'Finance Only'!B35)*100</f>
        <v>3.4400635088647791</v>
      </c>
      <c r="BF32" s="224">
        <f t="shared" si="39"/>
        <v>885330</v>
      </c>
      <c r="BG32" s="224">
        <v>886160</v>
      </c>
      <c r="BH32" s="225">
        <f t="shared" si="40"/>
        <v>830</v>
      </c>
      <c r="BI32" s="238">
        <f t="shared" si="41"/>
        <v>10</v>
      </c>
      <c r="BJ32" s="239">
        <f>(BH32/'Finance Only'!B35)*100</f>
        <v>3.1376403432502928</v>
      </c>
      <c r="BK32" s="224">
        <f t="shared" si="42"/>
        <v>1381500</v>
      </c>
      <c r="BL32" s="224">
        <v>1382500</v>
      </c>
      <c r="BM32" s="225">
        <f t="shared" si="43"/>
        <v>1000</v>
      </c>
      <c r="BN32" s="238">
        <f t="shared" si="44"/>
        <v>0</v>
      </c>
      <c r="BO32" s="239">
        <f>(BM32/'Finance Only'!B35)*100</f>
        <v>3.7802895701810759</v>
      </c>
      <c r="BP32" s="224">
        <f t="shared" si="45"/>
        <v>86126</v>
      </c>
      <c r="BQ32" s="224">
        <v>86268</v>
      </c>
      <c r="BR32" s="225">
        <f t="shared" si="46"/>
        <v>142</v>
      </c>
      <c r="BS32" s="238">
        <f t="shared" si="47"/>
        <v>-5</v>
      </c>
      <c r="BT32" s="239">
        <f>(BR32/'Finance Only'!B35)*100</f>
        <v>0.5368011189657127</v>
      </c>
      <c r="BU32" s="224">
        <f t="shared" si="48"/>
        <v>430100</v>
      </c>
      <c r="BV32" s="224">
        <v>430560</v>
      </c>
      <c r="BW32" s="225">
        <f t="shared" si="49"/>
        <v>460</v>
      </c>
      <c r="BX32" s="238">
        <f t="shared" si="50"/>
        <v>10</v>
      </c>
      <c r="BY32" s="239">
        <f>(BW32/'Finance Only'!B35)*100</f>
        <v>1.7389332022832948</v>
      </c>
      <c r="BZ32" s="224">
        <f t="shared" si="51"/>
        <v>677040</v>
      </c>
      <c r="CA32" s="224">
        <v>678280</v>
      </c>
      <c r="CB32" s="225">
        <f t="shared" si="52"/>
        <v>1240</v>
      </c>
      <c r="CC32" s="238">
        <f t="shared" si="53"/>
        <v>0</v>
      </c>
      <c r="CD32" s="239">
        <f>(CB32/'Finance Only'!B35)*100</f>
        <v>4.6875590670245337</v>
      </c>
      <c r="CE32" s="224">
        <f t="shared" si="54"/>
        <v>206170</v>
      </c>
      <c r="CF32" s="224">
        <v>206580</v>
      </c>
      <c r="CG32" s="225">
        <f t="shared" si="55"/>
        <v>410</v>
      </c>
      <c r="CH32" s="238">
        <f t="shared" si="56"/>
        <v>20</v>
      </c>
      <c r="CI32" s="239">
        <f>(CG32/'Finance Only'!B35)*100</f>
        <v>1.5499187237742411</v>
      </c>
      <c r="CJ32" s="225">
        <f t="shared" si="57"/>
        <v>468120</v>
      </c>
      <c r="CK32" s="225">
        <v>469080</v>
      </c>
      <c r="CL32" s="225">
        <f t="shared" si="58"/>
        <v>960</v>
      </c>
      <c r="CM32" s="238">
        <f t="shared" si="59"/>
        <v>20</v>
      </c>
      <c r="CN32" s="239">
        <f>(CL32/'Finance Only'!B35)*100</f>
        <v>3.6290779873738326</v>
      </c>
      <c r="CO32" s="224">
        <f t="shared" si="60"/>
        <v>378990</v>
      </c>
      <c r="CP32" s="224">
        <v>379830</v>
      </c>
      <c r="CQ32" s="226">
        <f t="shared" si="61"/>
        <v>840</v>
      </c>
      <c r="CR32" s="238">
        <f t="shared" si="62"/>
        <v>20</v>
      </c>
      <c r="CS32" s="239">
        <f>(CQ32/'Finance Only'!B35)*100</f>
        <v>3.1754432389521039</v>
      </c>
      <c r="CT32" s="224">
        <f t="shared" si="63"/>
        <v>321420</v>
      </c>
      <c r="CU32" s="224">
        <v>322180</v>
      </c>
      <c r="CV32" s="225">
        <f t="shared" si="64"/>
        <v>760</v>
      </c>
      <c r="CW32" s="238">
        <f t="shared" si="65"/>
        <v>20</v>
      </c>
      <c r="CX32" s="239">
        <f>(CV32/'Finance Only'!B35)*100</f>
        <v>2.8730200733376177</v>
      </c>
      <c r="CY32" s="224">
        <f t="shared" si="66"/>
        <v>553060</v>
      </c>
      <c r="CZ32" s="224">
        <v>553990</v>
      </c>
      <c r="DA32" s="225">
        <f t="shared" si="67"/>
        <v>930</v>
      </c>
      <c r="DB32" s="238">
        <f t="shared" si="68"/>
        <v>90</v>
      </c>
      <c r="DC32" s="239">
        <f>(DA32/'Finance Only'!B35)*100</f>
        <v>3.5156693002684007</v>
      </c>
      <c r="DD32" s="224">
        <f t="shared" si="69"/>
        <v>416640</v>
      </c>
      <c r="DE32" s="224">
        <v>417330</v>
      </c>
      <c r="DF32" s="225">
        <f t="shared" si="70"/>
        <v>690</v>
      </c>
      <c r="DG32" s="238">
        <f t="shared" si="71"/>
        <v>-30</v>
      </c>
      <c r="DH32" s="239">
        <f>(DF32/'Finance Only'!B35)*100</f>
        <v>2.6083998034249425</v>
      </c>
      <c r="DI32" s="224">
        <f t="shared" si="72"/>
        <v>382140</v>
      </c>
      <c r="DJ32" s="224">
        <v>382840</v>
      </c>
      <c r="DK32" s="225">
        <f t="shared" si="73"/>
        <v>700</v>
      </c>
      <c r="DL32" s="238">
        <f t="shared" si="74"/>
        <v>50</v>
      </c>
      <c r="DM32" s="239">
        <f>(DK32/'Finance Only'!B35)*100</f>
        <v>2.6462026991267531</v>
      </c>
      <c r="DN32" s="224">
        <f t="shared" si="75"/>
        <v>233360</v>
      </c>
      <c r="DO32" s="224">
        <v>233550</v>
      </c>
      <c r="DP32" s="225">
        <f t="shared" si="76"/>
        <v>190</v>
      </c>
      <c r="DQ32" s="238">
        <f t="shared" si="77"/>
        <v>-30</v>
      </c>
      <c r="DR32" s="239">
        <f>(DP32/'Finance Only'!B35)*100</f>
        <v>0.71825501833440442</v>
      </c>
      <c r="DS32" s="224">
        <f t="shared" si="78"/>
        <v>66545</v>
      </c>
      <c r="DT32" s="224">
        <v>66701</v>
      </c>
      <c r="DU32" s="225">
        <f t="shared" si="79"/>
        <v>156</v>
      </c>
      <c r="DV32" s="238">
        <f t="shared" si="80"/>
        <v>1</v>
      </c>
      <c r="DW32" s="239">
        <f>(DU32/'Finance Only'!B35)*100</f>
        <v>0.58972517294824778</v>
      </c>
      <c r="DX32" s="224">
        <f t="shared" si="81"/>
        <v>441240</v>
      </c>
      <c r="DY32" s="224">
        <v>442000</v>
      </c>
      <c r="DZ32" s="225">
        <f t="shared" si="82"/>
        <v>760</v>
      </c>
      <c r="EA32" s="238">
        <f t="shared" si="83"/>
        <v>70</v>
      </c>
      <c r="EB32" s="239">
        <f>(DZ32/'Finance Only'!B35)*100</f>
        <v>2.8730200733376177</v>
      </c>
      <c r="EC32" s="224">
        <f t="shared" si="84"/>
        <v>139790</v>
      </c>
      <c r="ED32" s="224">
        <v>140020</v>
      </c>
      <c r="EE32" s="225">
        <f t="shared" si="85"/>
        <v>230</v>
      </c>
      <c r="EF32" s="238">
        <f t="shared" si="86"/>
        <v>-10</v>
      </c>
      <c r="EG32" s="239">
        <f>(EE32/'Finance Only'!B35)*100</f>
        <v>0.86946660114164742</v>
      </c>
      <c r="EH32" s="224">
        <f t="shared" si="87"/>
        <v>137370</v>
      </c>
      <c r="EI32" s="224">
        <v>137770</v>
      </c>
      <c r="EJ32" s="225">
        <f t="shared" si="88"/>
        <v>400</v>
      </c>
      <c r="EK32" s="238">
        <f t="shared" si="89"/>
        <v>50</v>
      </c>
      <c r="EL32" s="239">
        <f>(EJ32/'Finance Only'!B35)*100</f>
        <v>1.5121158280724305</v>
      </c>
      <c r="EM32" s="224">
        <f t="shared" si="90"/>
        <v>256850</v>
      </c>
      <c r="EN32" s="224">
        <v>257330</v>
      </c>
      <c r="EO32" s="225">
        <f t="shared" si="91"/>
        <v>480</v>
      </c>
      <c r="EP32" s="238">
        <f t="shared" si="92"/>
        <v>-20</v>
      </c>
      <c r="EQ32" s="239">
        <f>(EO32/'Finance Only'!B35)*100</f>
        <v>1.8145389936869163</v>
      </c>
      <c r="ER32" s="224">
        <f t="shared" si="93"/>
        <v>0</v>
      </c>
      <c r="ES32" s="224"/>
      <c r="ET32" s="225">
        <f t="shared" si="94"/>
        <v>0</v>
      </c>
      <c r="EU32" s="238">
        <f t="shared" si="95"/>
        <v>0</v>
      </c>
      <c r="EV32" s="239">
        <f>(ET32/'Finance Only'!B35)*100</f>
        <v>0</v>
      </c>
      <c r="EW32" s="224">
        <f t="shared" si="96"/>
        <v>356200</v>
      </c>
      <c r="EX32" s="224">
        <v>364080</v>
      </c>
      <c r="EY32" s="225">
        <f t="shared" si="97"/>
        <v>7880</v>
      </c>
      <c r="EZ32" s="238">
        <f t="shared" si="98"/>
        <v>210</v>
      </c>
      <c r="FA32" s="239">
        <f>(EY32/'Finance Only'!G35)*100</f>
        <v>143.95323346729995</v>
      </c>
      <c r="FB32" s="224">
        <f t="shared" si="99"/>
        <v>58312</v>
      </c>
      <c r="FC32" s="224">
        <v>58759</v>
      </c>
      <c r="FD32" s="225">
        <f t="shared" si="100"/>
        <v>447</v>
      </c>
      <c r="FE32" s="238">
        <f t="shared" si="101"/>
        <v>58</v>
      </c>
      <c r="FF32" s="239" t="e">
        <f>(FD32/'Finance Only'!M35)*100</f>
        <v>#DIV/0!</v>
      </c>
      <c r="FG32" s="289"/>
      <c r="FH32" s="295">
        <f t="shared" si="0"/>
        <v>6717</v>
      </c>
      <c r="FI32" s="292"/>
      <c r="FJ32" s="295">
        <f t="shared" si="1"/>
        <v>6317</v>
      </c>
      <c r="FK32" s="292"/>
      <c r="FL32" s="295">
        <f t="shared" si="2"/>
        <v>2440</v>
      </c>
      <c r="FM32" s="292"/>
      <c r="FN32" s="295">
        <f t="shared" si="3"/>
        <v>2143</v>
      </c>
      <c r="FO32" s="292"/>
      <c r="FP32" s="295">
        <f t="shared" si="4"/>
        <v>1142</v>
      </c>
      <c r="FQ32" s="292"/>
      <c r="FR32" s="295">
        <f t="shared" si="5"/>
        <v>8327</v>
      </c>
      <c r="FS32" s="292"/>
    </row>
    <row r="33" spans="1:175" s="3" customFormat="1" ht="13.5" customHeight="1" x14ac:dyDescent="0.2">
      <c r="A33" s="280">
        <v>29</v>
      </c>
      <c r="B33" s="283">
        <f>'Finance Only'!G36</f>
        <v>1831</v>
      </c>
      <c r="C33" s="278">
        <f t="shared" si="6"/>
        <v>26005321</v>
      </c>
      <c r="D33" s="222">
        <v>26008018</v>
      </c>
      <c r="E33" s="223">
        <f t="shared" si="7"/>
        <v>2697</v>
      </c>
      <c r="F33" s="234">
        <f t="shared" si="8"/>
        <v>102</v>
      </c>
      <c r="G33" s="235">
        <f>(E33/'Finance Only'!B36)*100</f>
        <v>9.9755881047492245</v>
      </c>
      <c r="H33" s="246">
        <f t="shared" si="9"/>
        <v>23393398</v>
      </c>
      <c r="I33" s="222">
        <v>23397749</v>
      </c>
      <c r="J33" s="222">
        <f t="shared" si="10"/>
        <v>4351</v>
      </c>
      <c r="K33" s="247">
        <f t="shared" si="11"/>
        <v>229</v>
      </c>
      <c r="L33" s="248">
        <f>(J33/'Finance Only'!B36)*100</f>
        <v>16.093357005474182</v>
      </c>
      <c r="M33" s="230">
        <f t="shared" si="12"/>
        <v>87924252</v>
      </c>
      <c r="N33" s="224">
        <v>87938610</v>
      </c>
      <c r="O33" s="225">
        <f t="shared" si="13"/>
        <v>14358</v>
      </c>
      <c r="P33" s="238">
        <f t="shared" si="14"/>
        <v>299</v>
      </c>
      <c r="Q33" s="239">
        <f>(O33/'Finance Only'!B36)*100</f>
        <v>53.106968486462492</v>
      </c>
      <c r="R33" s="229">
        <f t="shared" si="15"/>
        <v>2318400</v>
      </c>
      <c r="S33" s="224">
        <v>2320000</v>
      </c>
      <c r="T33" s="225">
        <f t="shared" si="16"/>
        <v>1600</v>
      </c>
      <c r="U33" s="238">
        <f t="shared" si="17"/>
        <v>-200</v>
      </c>
      <c r="V33" s="239">
        <f>(T33/'Finance Only'!B36)*100</f>
        <v>5.9180352123095128</v>
      </c>
      <c r="W33" s="224">
        <f t="shared" si="18"/>
        <v>3155170</v>
      </c>
      <c r="X33" s="224">
        <v>3157879</v>
      </c>
      <c r="Y33" s="225">
        <f t="shared" si="19"/>
        <v>2709</v>
      </c>
      <c r="Z33" s="238">
        <f t="shared" si="20"/>
        <v>62</v>
      </c>
      <c r="AA33" s="239">
        <f>(Y33/'Finance Only'!B36)*100</f>
        <v>10.019973368841544</v>
      </c>
      <c r="AB33" s="224">
        <f t="shared" si="21"/>
        <v>1941500</v>
      </c>
      <c r="AC33" s="225">
        <v>1943700</v>
      </c>
      <c r="AD33" s="225">
        <f t="shared" si="22"/>
        <v>2200</v>
      </c>
      <c r="AE33" s="238">
        <f t="shared" si="23"/>
        <v>0</v>
      </c>
      <c r="AF33" s="239">
        <f>(AD33/'Finance Only'!B36)*100</f>
        <v>8.1372984169255815</v>
      </c>
      <c r="AG33" s="224">
        <f t="shared" si="24"/>
        <v>857211</v>
      </c>
      <c r="AH33" s="224">
        <v>858022</v>
      </c>
      <c r="AI33" s="225">
        <f t="shared" si="25"/>
        <v>811</v>
      </c>
      <c r="AJ33" s="238">
        <f t="shared" si="26"/>
        <v>-4</v>
      </c>
      <c r="AK33" s="239">
        <f>(AI33/'Finance Only'!B36)*100</f>
        <v>2.9997040982393846</v>
      </c>
      <c r="AL33" s="224">
        <f t="shared" si="27"/>
        <v>874020</v>
      </c>
      <c r="AM33" s="224">
        <v>874750</v>
      </c>
      <c r="AN33" s="225">
        <f t="shared" si="28"/>
        <v>730</v>
      </c>
      <c r="AO33" s="238">
        <f t="shared" si="29"/>
        <v>90</v>
      </c>
      <c r="AP33" s="239">
        <f>(AN33/'Finance Only'!B36)*100</f>
        <v>2.7001035656162156</v>
      </c>
      <c r="AQ33" s="224">
        <f t="shared" si="30"/>
        <v>1958500</v>
      </c>
      <c r="AR33" s="224">
        <v>1960100</v>
      </c>
      <c r="AS33" s="225">
        <f t="shared" si="31"/>
        <v>1600</v>
      </c>
      <c r="AT33" s="238">
        <f t="shared" si="32"/>
        <v>-200</v>
      </c>
      <c r="AU33" s="239">
        <f>(AS33/'Finance Only'!B36)*100</f>
        <v>5.9180352123095128</v>
      </c>
      <c r="AV33" s="224">
        <f t="shared" si="33"/>
        <v>568327</v>
      </c>
      <c r="AW33" s="224">
        <v>568734</v>
      </c>
      <c r="AX33" s="225">
        <f t="shared" si="34"/>
        <v>407</v>
      </c>
      <c r="AY33" s="238">
        <f t="shared" si="35"/>
        <v>4</v>
      </c>
      <c r="AZ33" s="239">
        <f>(AX33/'Finance Only'!B36)*100</f>
        <v>1.5054002071312325</v>
      </c>
      <c r="BA33" s="224">
        <f t="shared" si="36"/>
        <v>795250</v>
      </c>
      <c r="BB33" s="224">
        <v>796140</v>
      </c>
      <c r="BC33" s="225">
        <f t="shared" si="37"/>
        <v>890</v>
      </c>
      <c r="BD33" s="238">
        <f t="shared" si="38"/>
        <v>-20</v>
      </c>
      <c r="BE33" s="239">
        <f>(BC33/'Finance Only'!B36)*100</f>
        <v>3.2919070868471665</v>
      </c>
      <c r="BF33" s="224">
        <f t="shared" si="39"/>
        <v>886160</v>
      </c>
      <c r="BG33" s="224">
        <v>887030</v>
      </c>
      <c r="BH33" s="225">
        <f t="shared" si="40"/>
        <v>870</v>
      </c>
      <c r="BI33" s="238">
        <f t="shared" si="41"/>
        <v>40</v>
      </c>
      <c r="BJ33" s="239">
        <f>(BH33/'Finance Only'!B36)*100</f>
        <v>3.2179316466932977</v>
      </c>
      <c r="BK33" s="224">
        <f t="shared" si="42"/>
        <v>1382500</v>
      </c>
      <c r="BL33" s="224">
        <v>1383600</v>
      </c>
      <c r="BM33" s="225">
        <f t="shared" si="43"/>
        <v>1100</v>
      </c>
      <c r="BN33" s="238">
        <f t="shared" si="44"/>
        <v>100</v>
      </c>
      <c r="BO33" s="239">
        <f>(BM33/'Finance Only'!B36)*100</f>
        <v>4.0686492084627908</v>
      </c>
      <c r="BP33" s="224">
        <f t="shared" si="45"/>
        <v>86268</v>
      </c>
      <c r="BQ33" s="224">
        <v>86419</v>
      </c>
      <c r="BR33" s="225">
        <f t="shared" si="46"/>
        <v>151</v>
      </c>
      <c r="BS33" s="238">
        <f t="shared" si="47"/>
        <v>9</v>
      </c>
      <c r="BT33" s="239">
        <f>(BR33/'Finance Only'!B36)*100</f>
        <v>0.55851457316171038</v>
      </c>
      <c r="BU33" s="224">
        <f t="shared" si="48"/>
        <v>430560</v>
      </c>
      <c r="BV33" s="224">
        <v>431020</v>
      </c>
      <c r="BW33" s="225">
        <f t="shared" si="49"/>
        <v>460</v>
      </c>
      <c r="BX33" s="238">
        <f t="shared" si="50"/>
        <v>0</v>
      </c>
      <c r="BY33" s="239">
        <f>(BW33/'Finance Only'!B36)*100</f>
        <v>1.7014351235389851</v>
      </c>
      <c r="BZ33" s="224">
        <f t="shared" si="51"/>
        <v>678280</v>
      </c>
      <c r="CA33" s="224">
        <v>679530</v>
      </c>
      <c r="CB33" s="225">
        <f t="shared" si="52"/>
        <v>1250</v>
      </c>
      <c r="CC33" s="238">
        <f t="shared" si="53"/>
        <v>10</v>
      </c>
      <c r="CD33" s="239">
        <f>(CB33/'Finance Only'!B36)*100</f>
        <v>4.6234650096168073</v>
      </c>
      <c r="CE33" s="224">
        <f t="shared" si="54"/>
        <v>206580</v>
      </c>
      <c r="CF33" s="224">
        <v>207040</v>
      </c>
      <c r="CG33" s="225">
        <f t="shared" si="55"/>
        <v>460</v>
      </c>
      <c r="CH33" s="238">
        <f t="shared" si="56"/>
        <v>50</v>
      </c>
      <c r="CI33" s="239">
        <f>(CG33/'Finance Only'!B36)*100</f>
        <v>1.7014351235389851</v>
      </c>
      <c r="CJ33" s="225">
        <f t="shared" si="57"/>
        <v>469080</v>
      </c>
      <c r="CK33" s="225">
        <v>470170</v>
      </c>
      <c r="CL33" s="225">
        <f t="shared" si="58"/>
        <v>1090</v>
      </c>
      <c r="CM33" s="238">
        <f t="shared" si="59"/>
        <v>130</v>
      </c>
      <c r="CN33" s="239">
        <f>(CL33/'Finance Only'!B36)*100</f>
        <v>4.0316614883858559</v>
      </c>
      <c r="CO33" s="224">
        <f t="shared" si="60"/>
        <v>379830</v>
      </c>
      <c r="CP33" s="224">
        <v>380730</v>
      </c>
      <c r="CQ33" s="226">
        <f t="shared" si="61"/>
        <v>900</v>
      </c>
      <c r="CR33" s="238">
        <f t="shared" si="62"/>
        <v>60</v>
      </c>
      <c r="CS33" s="239">
        <f>(CQ33/'Finance Only'!B36)*100</f>
        <v>3.3288948069241013</v>
      </c>
      <c r="CT33" s="224">
        <f t="shared" si="63"/>
        <v>322180</v>
      </c>
      <c r="CU33" s="224">
        <v>322870</v>
      </c>
      <c r="CV33" s="225">
        <f t="shared" si="64"/>
        <v>690</v>
      </c>
      <c r="CW33" s="238">
        <f t="shared" si="65"/>
        <v>-70</v>
      </c>
      <c r="CX33" s="239">
        <f>(CV33/'Finance Only'!B36)*100</f>
        <v>2.5521526853084775</v>
      </c>
      <c r="CY33" s="224">
        <f t="shared" si="66"/>
        <v>553990</v>
      </c>
      <c r="CZ33" s="224">
        <v>555020</v>
      </c>
      <c r="DA33" s="225">
        <f t="shared" si="67"/>
        <v>1030</v>
      </c>
      <c r="DB33" s="238">
        <f t="shared" si="68"/>
        <v>100</v>
      </c>
      <c r="DC33" s="239">
        <f>(DA33/'Finance Only'!B36)*100</f>
        <v>3.809735167924249</v>
      </c>
      <c r="DD33" s="224">
        <f t="shared" si="69"/>
        <v>417330</v>
      </c>
      <c r="DE33" s="224">
        <v>418200</v>
      </c>
      <c r="DF33" s="225">
        <f t="shared" si="70"/>
        <v>870</v>
      </c>
      <c r="DG33" s="238">
        <f t="shared" si="71"/>
        <v>180</v>
      </c>
      <c r="DH33" s="239">
        <f>(DF33/'Finance Only'!B36)*100</f>
        <v>3.2179316466932977</v>
      </c>
      <c r="DI33" s="224">
        <f t="shared" si="72"/>
        <v>382840</v>
      </c>
      <c r="DJ33" s="224">
        <v>383560</v>
      </c>
      <c r="DK33" s="225">
        <f t="shared" si="73"/>
        <v>720</v>
      </c>
      <c r="DL33" s="238">
        <f t="shared" si="74"/>
        <v>20</v>
      </c>
      <c r="DM33" s="239">
        <f>(DK33/'Finance Only'!B36)*100</f>
        <v>2.6631158455392807</v>
      </c>
      <c r="DN33" s="224">
        <f t="shared" si="75"/>
        <v>233550</v>
      </c>
      <c r="DO33" s="224">
        <v>233750</v>
      </c>
      <c r="DP33" s="225">
        <f t="shared" si="76"/>
        <v>200</v>
      </c>
      <c r="DQ33" s="238">
        <f t="shared" si="77"/>
        <v>10</v>
      </c>
      <c r="DR33" s="239">
        <f>(DP33/'Finance Only'!B36)*100</f>
        <v>0.7397544015386891</v>
      </c>
      <c r="DS33" s="224">
        <f t="shared" si="78"/>
        <v>66701</v>
      </c>
      <c r="DT33" s="224">
        <v>66891</v>
      </c>
      <c r="DU33" s="225">
        <f t="shared" si="79"/>
        <v>190</v>
      </c>
      <c r="DV33" s="238">
        <f t="shared" si="80"/>
        <v>34</v>
      </c>
      <c r="DW33" s="239">
        <f>(DU33/'Finance Only'!B36)*100</f>
        <v>0.70276668146175469</v>
      </c>
      <c r="DX33" s="224">
        <f t="shared" si="81"/>
        <v>442000</v>
      </c>
      <c r="DY33" s="224">
        <v>442770</v>
      </c>
      <c r="DZ33" s="225">
        <f t="shared" si="82"/>
        <v>770</v>
      </c>
      <c r="EA33" s="238">
        <f t="shared" si="83"/>
        <v>10</v>
      </c>
      <c r="EB33" s="239">
        <f>(DZ33/'Finance Only'!B36)*100</f>
        <v>2.8480544459239532</v>
      </c>
      <c r="EC33" s="224">
        <f t="shared" si="84"/>
        <v>140020</v>
      </c>
      <c r="ED33" s="224">
        <v>140270</v>
      </c>
      <c r="EE33" s="225">
        <f t="shared" si="85"/>
        <v>250</v>
      </c>
      <c r="EF33" s="238">
        <f t="shared" si="86"/>
        <v>20</v>
      </c>
      <c r="EG33" s="239">
        <f>(EE33/'Finance Only'!B36)*100</f>
        <v>0.92469300192336146</v>
      </c>
      <c r="EH33" s="224">
        <f t="shared" si="87"/>
        <v>137770</v>
      </c>
      <c r="EI33" s="224">
        <v>138030</v>
      </c>
      <c r="EJ33" s="225">
        <f t="shared" si="88"/>
        <v>260</v>
      </c>
      <c r="EK33" s="238">
        <f t="shared" si="89"/>
        <v>-140</v>
      </c>
      <c r="EL33" s="239">
        <f>(EJ33/'Finance Only'!B36)*100</f>
        <v>0.96168072200029586</v>
      </c>
      <c r="EM33" s="224">
        <f t="shared" si="90"/>
        <v>257330</v>
      </c>
      <c r="EN33" s="224">
        <v>257810</v>
      </c>
      <c r="EO33" s="225">
        <f t="shared" si="91"/>
        <v>480</v>
      </c>
      <c r="EP33" s="238">
        <f t="shared" si="92"/>
        <v>0</v>
      </c>
      <c r="EQ33" s="239">
        <f>(EO33/'Finance Only'!B36)*100</f>
        <v>1.7754105636928541</v>
      </c>
      <c r="ER33" s="224">
        <f t="shared" si="93"/>
        <v>0</v>
      </c>
      <c r="ES33" s="224"/>
      <c r="ET33" s="225">
        <f t="shared" si="94"/>
        <v>0</v>
      </c>
      <c r="EU33" s="238">
        <f t="shared" si="95"/>
        <v>0</v>
      </c>
      <c r="EV33" s="239">
        <f>(ET33/'Finance Only'!B36)*100</f>
        <v>0</v>
      </c>
      <c r="EW33" s="224">
        <f t="shared" si="96"/>
        <v>364080</v>
      </c>
      <c r="EX33" s="224">
        <v>369220</v>
      </c>
      <c r="EY33" s="225">
        <f t="shared" si="97"/>
        <v>5140</v>
      </c>
      <c r="EZ33" s="238">
        <f t="shared" si="98"/>
        <v>-2740</v>
      </c>
      <c r="FA33" s="239">
        <f>(EY33/'Finance Only'!G36)*100</f>
        <v>280.72091753140359</v>
      </c>
      <c r="FB33" s="224">
        <f t="shared" si="99"/>
        <v>58759</v>
      </c>
      <c r="FC33" s="224">
        <v>59048</v>
      </c>
      <c r="FD33" s="225">
        <f t="shared" si="100"/>
        <v>289</v>
      </c>
      <c r="FE33" s="238">
        <f t="shared" si="101"/>
        <v>-158</v>
      </c>
      <c r="FF33" s="239" t="e">
        <f>(FD33/'Finance Only'!M36)*100</f>
        <v>#DIV/0!</v>
      </c>
      <c r="FG33" s="289"/>
      <c r="FH33" s="295">
        <f t="shared" si="0"/>
        <v>7048</v>
      </c>
      <c r="FI33" s="292"/>
      <c r="FJ33" s="295">
        <f t="shared" si="1"/>
        <v>6069</v>
      </c>
      <c r="FK33" s="292"/>
      <c r="FL33" s="295">
        <f t="shared" si="2"/>
        <v>2330</v>
      </c>
      <c r="FM33" s="292"/>
      <c r="FN33" s="295">
        <f t="shared" si="3"/>
        <v>2167</v>
      </c>
      <c r="FO33" s="292"/>
      <c r="FP33" s="295">
        <f t="shared" si="4"/>
        <v>1251</v>
      </c>
      <c r="FQ33" s="292"/>
      <c r="FR33" s="295">
        <f t="shared" si="5"/>
        <v>5429</v>
      </c>
      <c r="FS33" s="292"/>
    </row>
    <row r="34" spans="1:175" s="3" customFormat="1" ht="13.5" customHeight="1" x14ac:dyDescent="0.2">
      <c r="A34" s="280">
        <v>30</v>
      </c>
      <c r="B34" s="283">
        <f>'Finance Only'!G37</f>
        <v>0</v>
      </c>
      <c r="C34" s="278">
        <f t="shared" si="6"/>
        <v>26008018</v>
      </c>
      <c r="D34" s="222">
        <v>26010720</v>
      </c>
      <c r="E34" s="223">
        <f t="shared" si="7"/>
        <v>2702</v>
      </c>
      <c r="F34" s="234">
        <f t="shared" si="8"/>
        <v>5</v>
      </c>
      <c r="G34" s="235">
        <f>(E34/'Finance Only'!B37)*100</f>
        <v>10.10017942583732</v>
      </c>
      <c r="H34" s="246">
        <f t="shared" si="9"/>
        <v>23397749</v>
      </c>
      <c r="I34" s="249">
        <v>23402126</v>
      </c>
      <c r="J34" s="222">
        <f t="shared" si="10"/>
        <v>4377</v>
      </c>
      <c r="K34" s="247">
        <f t="shared" si="11"/>
        <v>26</v>
      </c>
      <c r="L34" s="248">
        <f>(J34/'Finance Only'!B37)*100</f>
        <v>16.361393540669855</v>
      </c>
      <c r="M34" s="230">
        <f t="shared" si="12"/>
        <v>87938610</v>
      </c>
      <c r="N34" s="224">
        <v>87952564</v>
      </c>
      <c r="O34" s="225">
        <f t="shared" si="13"/>
        <v>13954</v>
      </c>
      <c r="P34" s="238">
        <f t="shared" si="14"/>
        <v>-404</v>
      </c>
      <c r="Q34" s="239">
        <f>(O34/'Finance Only'!B37)*100</f>
        <v>52.16058612440191</v>
      </c>
      <c r="R34" s="229">
        <f t="shared" si="15"/>
        <v>2320000</v>
      </c>
      <c r="S34" s="224">
        <v>2321800</v>
      </c>
      <c r="T34" s="225">
        <f t="shared" si="16"/>
        <v>1800</v>
      </c>
      <c r="U34" s="238">
        <f t="shared" si="17"/>
        <v>200</v>
      </c>
      <c r="V34" s="239">
        <f>(T34/'Finance Only'!B37)*100</f>
        <v>6.7284688995215305</v>
      </c>
      <c r="W34" s="224">
        <f t="shared" si="18"/>
        <v>3157879</v>
      </c>
      <c r="X34" s="224">
        <v>3160687</v>
      </c>
      <c r="Y34" s="225">
        <f t="shared" si="19"/>
        <v>2808</v>
      </c>
      <c r="Z34" s="238">
        <f t="shared" si="20"/>
        <v>99</v>
      </c>
      <c r="AA34" s="239">
        <f>(Y34/'Finance Only'!B37)*100</f>
        <v>10.496411483253588</v>
      </c>
      <c r="AB34" s="224">
        <f t="shared" si="21"/>
        <v>1943700</v>
      </c>
      <c r="AC34" s="225">
        <v>1945700</v>
      </c>
      <c r="AD34" s="225">
        <f t="shared" si="22"/>
        <v>2000</v>
      </c>
      <c r="AE34" s="238">
        <f t="shared" si="23"/>
        <v>-200</v>
      </c>
      <c r="AF34" s="239">
        <f>(AD34/'Finance Only'!B37)*100</f>
        <v>7.4760765550239237</v>
      </c>
      <c r="AG34" s="224">
        <f t="shared" si="24"/>
        <v>858022</v>
      </c>
      <c r="AH34" s="224">
        <v>858881</v>
      </c>
      <c r="AI34" s="225">
        <f t="shared" si="25"/>
        <v>859</v>
      </c>
      <c r="AJ34" s="238">
        <f t="shared" si="26"/>
        <v>48</v>
      </c>
      <c r="AK34" s="239">
        <f>(AI34/'Finance Only'!B37)*100</f>
        <v>3.2109748803827749</v>
      </c>
      <c r="AL34" s="224">
        <f t="shared" si="27"/>
        <v>874750</v>
      </c>
      <c r="AM34" s="224">
        <v>875430</v>
      </c>
      <c r="AN34" s="225">
        <f t="shared" si="28"/>
        <v>680</v>
      </c>
      <c r="AO34" s="238">
        <f t="shared" si="29"/>
        <v>-50</v>
      </c>
      <c r="AP34" s="239">
        <f>(AN34/'Finance Only'!B37)*100</f>
        <v>2.5418660287081343</v>
      </c>
      <c r="AQ34" s="224">
        <f t="shared" si="30"/>
        <v>1960100</v>
      </c>
      <c r="AR34" s="224">
        <v>1961800</v>
      </c>
      <c r="AS34" s="225">
        <f t="shared" si="31"/>
        <v>1700</v>
      </c>
      <c r="AT34" s="238">
        <f t="shared" si="32"/>
        <v>100</v>
      </c>
      <c r="AU34" s="239">
        <f>(AS34/'Finance Only'!B37)*100</f>
        <v>6.3546650717703352</v>
      </c>
      <c r="AV34" s="224">
        <f t="shared" si="33"/>
        <v>568734</v>
      </c>
      <c r="AW34" s="224">
        <v>569126</v>
      </c>
      <c r="AX34" s="225">
        <f t="shared" si="34"/>
        <v>392</v>
      </c>
      <c r="AY34" s="238">
        <f t="shared" si="35"/>
        <v>-15</v>
      </c>
      <c r="AZ34" s="239">
        <f>(AX34/'Finance Only'!B37)*100</f>
        <v>1.4653110047846889</v>
      </c>
      <c r="BA34" s="224">
        <f t="shared" si="36"/>
        <v>796140</v>
      </c>
      <c r="BB34" s="224">
        <v>797030</v>
      </c>
      <c r="BC34" s="225">
        <f t="shared" si="37"/>
        <v>890</v>
      </c>
      <c r="BD34" s="238">
        <f t="shared" si="38"/>
        <v>0</v>
      </c>
      <c r="BE34" s="239">
        <f>(BC34/'Finance Only'!B37)*100</f>
        <v>3.3268540669856463</v>
      </c>
      <c r="BF34" s="224">
        <f t="shared" si="39"/>
        <v>887030</v>
      </c>
      <c r="BG34" s="224">
        <v>887860</v>
      </c>
      <c r="BH34" s="225">
        <f t="shared" si="40"/>
        <v>830</v>
      </c>
      <c r="BI34" s="238">
        <f t="shared" si="41"/>
        <v>-40</v>
      </c>
      <c r="BJ34" s="239">
        <f>(BH34/'Finance Only'!B37)*100</f>
        <v>3.1025717703349285</v>
      </c>
      <c r="BK34" s="224">
        <f t="shared" si="42"/>
        <v>1383600</v>
      </c>
      <c r="BL34" s="224">
        <v>1384700</v>
      </c>
      <c r="BM34" s="225">
        <f t="shared" si="43"/>
        <v>1100</v>
      </c>
      <c r="BN34" s="238">
        <f t="shared" si="44"/>
        <v>0</v>
      </c>
      <c r="BO34" s="239">
        <f>(BM34/'Finance Only'!B37)*100</f>
        <v>4.1118421052631584</v>
      </c>
      <c r="BP34" s="224">
        <f t="shared" si="45"/>
        <v>86419</v>
      </c>
      <c r="BQ34" s="224">
        <v>86571</v>
      </c>
      <c r="BR34" s="225">
        <f t="shared" si="46"/>
        <v>152</v>
      </c>
      <c r="BS34" s="238">
        <f t="shared" si="47"/>
        <v>1</v>
      </c>
      <c r="BT34" s="239">
        <f>(BR34/'Finance Only'!B37)*100</f>
        <v>0.56818181818181823</v>
      </c>
      <c r="BU34" s="224">
        <f t="shared" si="48"/>
        <v>431020</v>
      </c>
      <c r="BV34" s="224">
        <v>431450</v>
      </c>
      <c r="BW34" s="225">
        <f t="shared" si="49"/>
        <v>430</v>
      </c>
      <c r="BX34" s="238">
        <f t="shared" si="50"/>
        <v>-30</v>
      </c>
      <c r="BY34" s="239">
        <f>(BW34/'Finance Only'!B37)*100</f>
        <v>1.6073564593301435</v>
      </c>
      <c r="BZ34" s="224">
        <f t="shared" si="51"/>
        <v>679530</v>
      </c>
      <c r="CA34" s="224">
        <v>680780</v>
      </c>
      <c r="CB34" s="225">
        <f t="shared" si="52"/>
        <v>1250</v>
      </c>
      <c r="CC34" s="238">
        <f t="shared" si="53"/>
        <v>0</v>
      </c>
      <c r="CD34" s="239">
        <f>(CB34/'Finance Only'!B37)*100</f>
        <v>4.6725478468899526</v>
      </c>
      <c r="CE34" s="224">
        <f t="shared" si="54"/>
        <v>207040</v>
      </c>
      <c r="CF34" s="224">
        <v>207420</v>
      </c>
      <c r="CG34" s="225">
        <f t="shared" si="55"/>
        <v>380</v>
      </c>
      <c r="CH34" s="238">
        <f t="shared" si="56"/>
        <v>-80</v>
      </c>
      <c r="CI34" s="239">
        <f>(CG34/'Finance Only'!B37)*100</f>
        <v>1.4204545454545454</v>
      </c>
      <c r="CJ34" s="225">
        <f t="shared" si="57"/>
        <v>470170</v>
      </c>
      <c r="CK34" s="225">
        <v>471150</v>
      </c>
      <c r="CL34" s="225">
        <f t="shared" si="58"/>
        <v>980</v>
      </c>
      <c r="CM34" s="238">
        <f t="shared" si="59"/>
        <v>-110</v>
      </c>
      <c r="CN34" s="239">
        <f>(CL34/'Finance Only'!B37)*100</f>
        <v>3.6632775119617227</v>
      </c>
      <c r="CO34" s="224">
        <f t="shared" si="60"/>
        <v>380730</v>
      </c>
      <c r="CP34" s="224">
        <v>381540</v>
      </c>
      <c r="CQ34" s="226">
        <f t="shared" si="61"/>
        <v>810</v>
      </c>
      <c r="CR34" s="238">
        <f t="shared" si="62"/>
        <v>-90</v>
      </c>
      <c r="CS34" s="239">
        <f>(CQ34/'Finance Only'!B37)*100</f>
        <v>3.0278110047846889</v>
      </c>
      <c r="CT34" s="224">
        <f t="shared" si="63"/>
        <v>322870</v>
      </c>
      <c r="CU34" s="224">
        <v>323470</v>
      </c>
      <c r="CV34" s="225">
        <f t="shared" si="64"/>
        <v>600</v>
      </c>
      <c r="CW34" s="238">
        <f t="shared" si="65"/>
        <v>-90</v>
      </c>
      <c r="CX34" s="239">
        <f>(CV34/'Finance Only'!B37)*100</f>
        <v>2.2428229665071768</v>
      </c>
      <c r="CY34" s="224">
        <f t="shared" si="66"/>
        <v>555020</v>
      </c>
      <c r="CZ34" s="224">
        <v>556280</v>
      </c>
      <c r="DA34" s="225">
        <f t="shared" si="67"/>
        <v>1260</v>
      </c>
      <c r="DB34" s="238">
        <f t="shared" si="68"/>
        <v>230</v>
      </c>
      <c r="DC34" s="239">
        <f>(DA34/'Finance Only'!B37)*100</f>
        <v>4.7099282296650715</v>
      </c>
      <c r="DD34" s="224">
        <f t="shared" si="69"/>
        <v>418200</v>
      </c>
      <c r="DE34" s="224">
        <v>419070</v>
      </c>
      <c r="DF34" s="225">
        <f t="shared" si="70"/>
        <v>870</v>
      </c>
      <c r="DG34" s="238">
        <f t="shared" si="71"/>
        <v>0</v>
      </c>
      <c r="DH34" s="239">
        <f>(DF34/'Finance Only'!B37)*100</f>
        <v>3.2520933014354068</v>
      </c>
      <c r="DI34" s="224">
        <f t="shared" si="72"/>
        <v>383560</v>
      </c>
      <c r="DJ34" s="224">
        <v>384250</v>
      </c>
      <c r="DK34" s="225">
        <f t="shared" si="73"/>
        <v>690</v>
      </c>
      <c r="DL34" s="238">
        <f t="shared" si="74"/>
        <v>-30</v>
      </c>
      <c r="DM34" s="239">
        <f>(DK34/'Finance Only'!B37)*100</f>
        <v>2.5792464114832536</v>
      </c>
      <c r="DN34" s="224">
        <f t="shared" si="75"/>
        <v>233750</v>
      </c>
      <c r="DO34" s="224">
        <v>233930</v>
      </c>
      <c r="DP34" s="225">
        <f t="shared" si="76"/>
        <v>180</v>
      </c>
      <c r="DQ34" s="238">
        <f t="shared" si="77"/>
        <v>-20</v>
      </c>
      <c r="DR34" s="239">
        <f>(DP34/'Finance Only'!B37)*100</f>
        <v>0.67284688995215314</v>
      </c>
      <c r="DS34" s="224">
        <f t="shared" si="78"/>
        <v>66891</v>
      </c>
      <c r="DT34" s="224">
        <v>67826</v>
      </c>
      <c r="DU34" s="225">
        <f t="shared" si="79"/>
        <v>935</v>
      </c>
      <c r="DV34" s="238">
        <f t="shared" si="80"/>
        <v>745</v>
      </c>
      <c r="DW34" s="239">
        <f>(DU34/'Finance Only'!B37)*100</f>
        <v>3.4950657894736845</v>
      </c>
      <c r="DX34" s="224">
        <f t="shared" si="81"/>
        <v>442770</v>
      </c>
      <c r="DY34" s="224">
        <v>443470</v>
      </c>
      <c r="DZ34" s="225">
        <f t="shared" si="82"/>
        <v>700</v>
      </c>
      <c r="EA34" s="238">
        <f t="shared" si="83"/>
        <v>-70</v>
      </c>
      <c r="EB34" s="239">
        <f>(DZ34/'Finance Only'!B37)*100</f>
        <v>2.6166267942583734</v>
      </c>
      <c r="EC34" s="224">
        <f t="shared" si="84"/>
        <v>140270</v>
      </c>
      <c r="ED34" s="224">
        <v>140510</v>
      </c>
      <c r="EE34" s="225">
        <f t="shared" si="85"/>
        <v>240</v>
      </c>
      <c r="EF34" s="238">
        <f t="shared" si="86"/>
        <v>-10</v>
      </c>
      <c r="EG34" s="239">
        <f>(EE34/'Finance Only'!B37)*100</f>
        <v>0.89712918660287078</v>
      </c>
      <c r="EH34" s="224">
        <f t="shared" si="87"/>
        <v>138030</v>
      </c>
      <c r="EI34" s="224">
        <v>138370</v>
      </c>
      <c r="EJ34" s="225">
        <f t="shared" si="88"/>
        <v>340</v>
      </c>
      <c r="EK34" s="238">
        <f t="shared" si="89"/>
        <v>80</v>
      </c>
      <c r="EL34" s="239">
        <f>(EJ34/'Finance Only'!B37)*100</f>
        <v>1.2709330143540671</v>
      </c>
      <c r="EM34" s="224">
        <f t="shared" si="90"/>
        <v>257810</v>
      </c>
      <c r="EN34" s="224">
        <v>258300</v>
      </c>
      <c r="EO34" s="225">
        <f t="shared" si="91"/>
        <v>490</v>
      </c>
      <c r="EP34" s="238">
        <f t="shared" si="92"/>
        <v>10</v>
      </c>
      <c r="EQ34" s="239">
        <f>(EO34/'Finance Only'!B37)*100</f>
        <v>1.8316387559808613</v>
      </c>
      <c r="ER34" s="224">
        <f t="shared" si="93"/>
        <v>0</v>
      </c>
      <c r="ES34" s="224"/>
      <c r="ET34" s="225">
        <f t="shared" si="94"/>
        <v>0</v>
      </c>
      <c r="EU34" s="238">
        <f t="shared" si="95"/>
        <v>0</v>
      </c>
      <c r="EV34" s="239">
        <f>(ET34/'Finance Only'!B37)*100</f>
        <v>0</v>
      </c>
      <c r="EW34" s="224">
        <f t="shared" si="96"/>
        <v>369220</v>
      </c>
      <c r="EX34" s="224">
        <v>378450</v>
      </c>
      <c r="EY34" s="225">
        <f t="shared" si="97"/>
        <v>9230</v>
      </c>
      <c r="EZ34" s="238">
        <f t="shared" si="98"/>
        <v>4090</v>
      </c>
      <c r="FA34" s="239" t="e">
        <f>(EY34/'Finance Only'!G37)*100</f>
        <v>#DIV/0!</v>
      </c>
      <c r="FB34" s="224">
        <f t="shared" si="99"/>
        <v>59048</v>
      </c>
      <c r="FC34" s="224">
        <v>59404</v>
      </c>
      <c r="FD34" s="225">
        <f t="shared" si="100"/>
        <v>356</v>
      </c>
      <c r="FE34" s="238">
        <f t="shared" si="101"/>
        <v>67</v>
      </c>
      <c r="FF34" s="239" t="e">
        <f>(FD34/'Finance Only'!M37)*100</f>
        <v>#DIV/0!</v>
      </c>
      <c r="FG34" s="289"/>
      <c r="FH34" s="295">
        <f t="shared" si="0"/>
        <v>7079</v>
      </c>
      <c r="FI34" s="292"/>
      <c r="FJ34" s="295">
        <f t="shared" si="1"/>
        <v>6378</v>
      </c>
      <c r="FK34" s="292"/>
      <c r="FL34" s="295">
        <f t="shared" si="2"/>
        <v>2380</v>
      </c>
      <c r="FM34" s="292"/>
      <c r="FN34" s="295">
        <f t="shared" si="3"/>
        <v>2112</v>
      </c>
      <c r="FO34" s="292"/>
      <c r="FP34" s="295">
        <f t="shared" si="4"/>
        <v>1252</v>
      </c>
      <c r="FQ34" s="292"/>
      <c r="FR34" s="295">
        <f t="shared" si="5"/>
        <v>9586</v>
      </c>
      <c r="FS34" s="292"/>
    </row>
    <row r="35" spans="1:175" s="3" customFormat="1" ht="13.5" customHeight="1" thickBot="1" x14ac:dyDescent="0.25">
      <c r="A35" s="280">
        <v>31</v>
      </c>
      <c r="B35" s="283">
        <f>'Finance Only'!G38</f>
        <v>4461</v>
      </c>
      <c r="C35" s="278">
        <f t="shared" si="6"/>
        <v>26010720</v>
      </c>
      <c r="D35" s="222">
        <v>26013441</v>
      </c>
      <c r="E35" s="223">
        <f t="shared" si="7"/>
        <v>2721</v>
      </c>
      <c r="F35" s="234">
        <f t="shared" ref="F35" si="102">E35-E34</f>
        <v>19</v>
      </c>
      <c r="G35" s="235">
        <f>(E35/'Finance Only'!B39)*100</f>
        <v>0.34803407433936201</v>
      </c>
      <c r="H35" s="246">
        <f t="shared" si="9"/>
        <v>23402126</v>
      </c>
      <c r="I35" s="249">
        <v>23406631</v>
      </c>
      <c r="J35" s="222">
        <f t="shared" si="10"/>
        <v>4505</v>
      </c>
      <c r="K35" s="247">
        <f t="shared" ref="K35" si="103">J35-J34</f>
        <v>128</v>
      </c>
      <c r="L35" s="248">
        <f>(J35/'Finance Only'!B39)*100</f>
        <v>0.57621959018699953</v>
      </c>
      <c r="M35" s="230">
        <f t="shared" si="12"/>
        <v>87952564</v>
      </c>
      <c r="N35" s="224">
        <v>87966458</v>
      </c>
      <c r="O35" s="225">
        <f t="shared" si="13"/>
        <v>13894</v>
      </c>
      <c r="P35" s="238">
        <f t="shared" ref="P35" si="104">O35-O34</f>
        <v>-60</v>
      </c>
      <c r="Q35" s="239">
        <f>(O35/'Finance Only'!B39)*100</f>
        <v>1.7771354020106929</v>
      </c>
      <c r="R35" s="229">
        <f t="shared" si="15"/>
        <v>2321800</v>
      </c>
      <c r="S35" s="224">
        <v>2323400</v>
      </c>
      <c r="T35" s="225">
        <f t="shared" si="16"/>
        <v>1600</v>
      </c>
      <c r="U35" s="238">
        <f t="shared" ref="U35" si="105">T35-T34</f>
        <v>-200</v>
      </c>
      <c r="V35" s="239">
        <f>(T35/'Finance Only'!B39)*100</f>
        <v>0.20465068685886775</v>
      </c>
      <c r="W35" s="224">
        <f t="shared" si="18"/>
        <v>3160687</v>
      </c>
      <c r="X35" s="224">
        <v>3163584</v>
      </c>
      <c r="Y35" s="225">
        <f t="shared" si="19"/>
        <v>2897</v>
      </c>
      <c r="Z35" s="238">
        <f t="shared" ref="Z35" si="106">Y35-Y34</f>
        <v>89</v>
      </c>
      <c r="AA35" s="239">
        <f>(Y35/'Finance Only'!B39)*100</f>
        <v>0.37054564989383748</v>
      </c>
      <c r="AB35" s="224">
        <f t="shared" si="21"/>
        <v>1945700</v>
      </c>
      <c r="AC35" s="225">
        <v>1947900</v>
      </c>
      <c r="AD35" s="225">
        <f t="shared" si="22"/>
        <v>2200</v>
      </c>
      <c r="AE35" s="238">
        <f t="shared" ref="AE35" si="107">AD35-AD34</f>
        <v>200</v>
      </c>
      <c r="AF35" s="239">
        <f>(AD35/'Finance Only'!B39)*100</f>
        <v>0.28139469443094317</v>
      </c>
      <c r="AG35" s="224">
        <f t="shared" si="24"/>
        <v>858881</v>
      </c>
      <c r="AH35" s="224">
        <v>859762</v>
      </c>
      <c r="AI35" s="225">
        <f t="shared" si="25"/>
        <v>881</v>
      </c>
      <c r="AJ35" s="238">
        <f t="shared" ref="AJ35" si="108">AI35-AI34</f>
        <v>22</v>
      </c>
      <c r="AK35" s="239">
        <f>(AI35/'Finance Only'!B39)*100</f>
        <v>0.11268578445166406</v>
      </c>
      <c r="AL35" s="224">
        <f t="shared" si="27"/>
        <v>875430</v>
      </c>
      <c r="AM35" s="224">
        <v>876160</v>
      </c>
      <c r="AN35" s="225">
        <f t="shared" si="28"/>
        <v>730</v>
      </c>
      <c r="AO35" s="238">
        <f t="shared" ref="AO35" si="109">AN35-AN34</f>
        <v>50</v>
      </c>
      <c r="AP35" s="239">
        <f>(AN35/'Finance Only'!B39)*100</f>
        <v>9.3371875879358426E-2</v>
      </c>
      <c r="AQ35" s="224">
        <f t="shared" si="30"/>
        <v>1961800</v>
      </c>
      <c r="AR35" s="224">
        <v>1963400</v>
      </c>
      <c r="AS35" s="225">
        <f t="shared" si="31"/>
        <v>1600</v>
      </c>
      <c r="AT35" s="238">
        <f t="shared" ref="AT35" si="110">AS35-AS34</f>
        <v>-100</v>
      </c>
      <c r="AU35" s="239">
        <f>(AS35/'Finance Only'!B39)*100</f>
        <v>0.20465068685886775</v>
      </c>
      <c r="AV35" s="224">
        <f t="shared" si="33"/>
        <v>569126</v>
      </c>
      <c r="AW35" s="224">
        <v>569568</v>
      </c>
      <c r="AX35" s="225">
        <f t="shared" si="34"/>
        <v>442</v>
      </c>
      <c r="AY35" s="238">
        <f t="shared" ref="AY35" si="111">AX35-AX34</f>
        <v>50</v>
      </c>
      <c r="AZ35" s="239">
        <f>(AX35/'Finance Only'!B39)*100</f>
        <v>5.6534752244762218E-2</v>
      </c>
      <c r="BA35" s="224">
        <f t="shared" si="36"/>
        <v>797030</v>
      </c>
      <c r="BB35" s="224">
        <v>797960</v>
      </c>
      <c r="BC35" s="225">
        <f t="shared" si="37"/>
        <v>930</v>
      </c>
      <c r="BD35" s="238">
        <f t="shared" ref="BD35" si="112">BC35-BC34</f>
        <v>40</v>
      </c>
      <c r="BE35" s="239">
        <f>(BC35/'Finance Only'!B39)*100</f>
        <v>0.11895321173671689</v>
      </c>
      <c r="BF35" s="224">
        <f t="shared" si="39"/>
        <v>887860</v>
      </c>
      <c r="BG35" s="224">
        <v>888760</v>
      </c>
      <c r="BH35" s="225">
        <f t="shared" si="40"/>
        <v>900</v>
      </c>
      <c r="BI35" s="238">
        <f t="shared" ref="BI35" si="113">BH35-BH34</f>
        <v>70</v>
      </c>
      <c r="BJ35" s="239">
        <f>(BH35/'Finance Only'!B39)*100</f>
        <v>0.11511601135811313</v>
      </c>
      <c r="BK35" s="224">
        <f t="shared" si="42"/>
        <v>1384700</v>
      </c>
      <c r="BL35" s="224">
        <v>1385700</v>
      </c>
      <c r="BM35" s="225">
        <f t="shared" si="43"/>
        <v>1000</v>
      </c>
      <c r="BN35" s="238">
        <f t="shared" ref="BN35" si="114">BM35-BM34</f>
        <v>-100</v>
      </c>
      <c r="BO35" s="239">
        <f>(BM35/'Finance Only'!B39)*100</f>
        <v>0.12790667928679236</v>
      </c>
      <c r="BP35" s="224">
        <f t="shared" si="45"/>
        <v>86571</v>
      </c>
      <c r="BQ35" s="224">
        <v>86741</v>
      </c>
      <c r="BR35" s="225">
        <f t="shared" si="46"/>
        <v>170</v>
      </c>
      <c r="BS35" s="238">
        <f t="shared" ref="BS35" si="115">BR35-BR34</f>
        <v>18</v>
      </c>
      <c r="BT35" s="239">
        <f>(BR35/'Finance Only'!B39)*100</f>
        <v>2.17441354787547E-2</v>
      </c>
      <c r="BU35" s="224">
        <f t="shared" si="48"/>
        <v>431450</v>
      </c>
      <c r="BV35" s="224">
        <v>431890</v>
      </c>
      <c r="BW35" s="225">
        <f t="shared" si="49"/>
        <v>440</v>
      </c>
      <c r="BX35" s="238">
        <f t="shared" ref="BX35" si="116">BW35-BW34</f>
        <v>10</v>
      </c>
      <c r="BY35" s="239">
        <f>(BW35/'Finance Only'!B39)*100</f>
        <v>5.627893888618863E-2</v>
      </c>
      <c r="BZ35" s="224">
        <f t="shared" si="51"/>
        <v>680780</v>
      </c>
      <c r="CA35" s="224">
        <v>682020</v>
      </c>
      <c r="CB35" s="225">
        <f t="shared" si="52"/>
        <v>1240</v>
      </c>
      <c r="CC35" s="238">
        <f t="shared" ref="CC35" si="117">CB35-CB34</f>
        <v>-10</v>
      </c>
      <c r="CD35" s="239">
        <f>(CB35/'Finance Only'!B39)*100</f>
        <v>0.15860428231562251</v>
      </c>
      <c r="CE35" s="224">
        <f t="shared" si="54"/>
        <v>207420</v>
      </c>
      <c r="CF35" s="224">
        <v>207840</v>
      </c>
      <c r="CG35" s="225">
        <f t="shared" si="55"/>
        <v>420</v>
      </c>
      <c r="CH35" s="238">
        <f t="shared" ref="CH35" si="118">CG35-CG34</f>
        <v>40</v>
      </c>
      <c r="CI35" s="239">
        <f>(CG35/'Finance Only'!B39)*100</f>
        <v>5.3720805300452791E-2</v>
      </c>
      <c r="CJ35" s="225">
        <f t="shared" si="57"/>
        <v>471150</v>
      </c>
      <c r="CK35" s="225">
        <v>472130</v>
      </c>
      <c r="CL35" s="225">
        <f t="shared" si="58"/>
        <v>980</v>
      </c>
      <c r="CM35" s="238">
        <f t="shared" ref="CM35" si="119">CL35-CL34</f>
        <v>0</v>
      </c>
      <c r="CN35" s="239">
        <f>(CL35/'Finance Only'!B39)*100</f>
        <v>0.12534854570105652</v>
      </c>
      <c r="CO35" s="224">
        <f t="shared" si="60"/>
        <v>381540</v>
      </c>
      <c r="CP35" s="224">
        <v>382340</v>
      </c>
      <c r="CQ35" s="226">
        <f t="shared" si="61"/>
        <v>800</v>
      </c>
      <c r="CR35" s="238">
        <f t="shared" ref="CR35" si="120">CQ35-CQ34</f>
        <v>-10</v>
      </c>
      <c r="CS35" s="239">
        <f>(CQ35/'Finance Only'!B39)*100</f>
        <v>0.10232534342943388</v>
      </c>
      <c r="CT35" s="224">
        <f t="shared" si="63"/>
        <v>323470</v>
      </c>
      <c r="CU35" s="224">
        <v>324080</v>
      </c>
      <c r="CV35" s="225">
        <f t="shared" si="64"/>
        <v>610</v>
      </c>
      <c r="CW35" s="238">
        <f t="shared" ref="CW35" si="121">CV35-CV34</f>
        <v>10</v>
      </c>
      <c r="CX35" s="239">
        <f>(CV35/'Finance Only'!B39)*100</f>
        <v>7.8023074364943337E-2</v>
      </c>
      <c r="CY35" s="224">
        <f t="shared" si="66"/>
        <v>556280</v>
      </c>
      <c r="CZ35" s="224">
        <v>557580</v>
      </c>
      <c r="DA35" s="225">
        <f t="shared" si="67"/>
        <v>1300</v>
      </c>
      <c r="DB35" s="238">
        <f t="shared" ref="DB35" si="122">DA35-DA34</f>
        <v>40</v>
      </c>
      <c r="DC35" s="239">
        <f>(DA35/'Finance Only'!B39)*100</f>
        <v>0.16627868307283006</v>
      </c>
      <c r="DD35" s="224">
        <f t="shared" si="69"/>
        <v>419070</v>
      </c>
      <c r="DE35" s="224">
        <v>419860</v>
      </c>
      <c r="DF35" s="225">
        <f t="shared" si="70"/>
        <v>790</v>
      </c>
      <c r="DG35" s="238">
        <f t="shared" ref="DG35" si="123">DF35-DF34</f>
        <v>-80</v>
      </c>
      <c r="DH35" s="239">
        <f>(DF35/'Finance Only'!B39)*100</f>
        <v>0.10104627663656597</v>
      </c>
      <c r="DI35" s="224">
        <f t="shared" si="72"/>
        <v>384250</v>
      </c>
      <c r="DJ35" s="224">
        <v>385020</v>
      </c>
      <c r="DK35" s="225">
        <f t="shared" si="73"/>
        <v>770</v>
      </c>
      <c r="DL35" s="238">
        <f t="shared" ref="DL35" si="124">DK35-DK34</f>
        <v>80</v>
      </c>
      <c r="DM35" s="239">
        <f>(DK35/'Finance Only'!B39)*100</f>
        <v>9.8488143050830104E-2</v>
      </c>
      <c r="DN35" s="224">
        <f t="shared" si="75"/>
        <v>233930</v>
      </c>
      <c r="DO35" s="224">
        <v>234110</v>
      </c>
      <c r="DP35" s="225">
        <f t="shared" si="76"/>
        <v>180</v>
      </c>
      <c r="DQ35" s="238">
        <f t="shared" ref="DQ35" si="125">DP35-DP34</f>
        <v>0</v>
      </c>
      <c r="DR35" s="239">
        <f>(DP35/'Finance Only'!B39)*100</f>
        <v>2.3023202271622627E-2</v>
      </c>
      <c r="DS35" s="224">
        <f t="shared" si="78"/>
        <v>67826</v>
      </c>
      <c r="DT35" s="224">
        <v>67152</v>
      </c>
      <c r="DU35" s="225">
        <f t="shared" si="79"/>
        <v>0</v>
      </c>
      <c r="DV35" s="238">
        <f t="shared" ref="DV35" si="126">DU35-DU34</f>
        <v>-935</v>
      </c>
      <c r="DW35" s="239">
        <f>(DU35/'Finance Only'!B39)*100</f>
        <v>0</v>
      </c>
      <c r="DX35" s="224">
        <f t="shared" si="81"/>
        <v>443470</v>
      </c>
      <c r="DY35" s="224">
        <v>444200</v>
      </c>
      <c r="DZ35" s="225">
        <f t="shared" si="82"/>
        <v>730</v>
      </c>
      <c r="EA35" s="238">
        <f t="shared" ref="EA35" si="127">DZ35-DZ34</f>
        <v>30</v>
      </c>
      <c r="EB35" s="239">
        <f>(DZ35/'Finance Only'!B39)*100</f>
        <v>9.3371875879358426E-2</v>
      </c>
      <c r="EC35" s="224">
        <f t="shared" si="84"/>
        <v>140510</v>
      </c>
      <c r="ED35" s="224">
        <v>140750</v>
      </c>
      <c r="EE35" s="225">
        <f t="shared" si="85"/>
        <v>240</v>
      </c>
      <c r="EF35" s="238">
        <f t="shared" ref="EF35" si="128">EE35-EE34</f>
        <v>0</v>
      </c>
      <c r="EG35" s="239">
        <f>(EE35/'Finance Only'!B39)*100</f>
        <v>3.0697603028830164E-2</v>
      </c>
      <c r="EH35" s="224">
        <f t="shared" si="87"/>
        <v>138370</v>
      </c>
      <c r="EI35" s="224">
        <v>138710</v>
      </c>
      <c r="EJ35" s="225">
        <f t="shared" si="88"/>
        <v>340</v>
      </c>
      <c r="EK35" s="238">
        <f t="shared" ref="EK35" si="129">EJ35-EJ34</f>
        <v>0</v>
      </c>
      <c r="EL35" s="239">
        <f>(EJ35/'Finance Only'!B39)*100</f>
        <v>4.3488270957509401E-2</v>
      </c>
      <c r="EM35" s="224">
        <f t="shared" si="90"/>
        <v>258300</v>
      </c>
      <c r="EN35" s="224">
        <v>258830</v>
      </c>
      <c r="EO35" s="225">
        <f t="shared" si="91"/>
        <v>530</v>
      </c>
      <c r="EP35" s="238">
        <f t="shared" ref="EP35" si="130">EO35-EO34</f>
        <v>40</v>
      </c>
      <c r="EQ35" s="239">
        <f>(EO35/'Finance Only'!B39)*100</f>
        <v>6.7790540021999954E-2</v>
      </c>
      <c r="ER35" s="224">
        <f t="shared" si="93"/>
        <v>0</v>
      </c>
      <c r="ES35" s="224"/>
      <c r="ET35" s="225">
        <f t="shared" si="94"/>
        <v>0</v>
      </c>
      <c r="EU35" s="238">
        <f t="shared" ref="EU35" si="131">ET35-ET34</f>
        <v>0</v>
      </c>
      <c r="EV35" s="239">
        <f>(ET35/'Finance Only'!B39)*100</f>
        <v>0</v>
      </c>
      <c r="EW35" s="224">
        <f t="shared" si="96"/>
        <v>378450</v>
      </c>
      <c r="EX35" s="224">
        <v>386130</v>
      </c>
      <c r="EY35" s="225">
        <f t="shared" si="97"/>
        <v>7680</v>
      </c>
      <c r="EZ35" s="238">
        <f t="shared" si="98"/>
        <v>-1550</v>
      </c>
      <c r="FA35" s="239">
        <f>(EY35/'Finance Only'!G39)*100</f>
        <v>266.21373357828696</v>
      </c>
      <c r="FB35" s="224">
        <f t="shared" si="99"/>
        <v>59404</v>
      </c>
      <c r="FC35" s="224">
        <v>59819</v>
      </c>
      <c r="FD35" s="225">
        <f t="shared" si="100"/>
        <v>415</v>
      </c>
      <c r="FE35" s="238">
        <f t="shared" si="101"/>
        <v>59</v>
      </c>
      <c r="FF35" s="239" t="e">
        <f>(FD35/'Finance Only'!M39)*100</f>
        <v>#DIV/0!</v>
      </c>
      <c r="FG35" s="289"/>
      <c r="FH35" s="295">
        <f t="shared" si="0"/>
        <v>7226</v>
      </c>
      <c r="FI35" s="294"/>
      <c r="FJ35" s="295">
        <f t="shared" si="1"/>
        <v>6337</v>
      </c>
      <c r="FK35" s="294"/>
      <c r="FL35" s="295">
        <f t="shared" si="2"/>
        <v>2330</v>
      </c>
      <c r="FM35" s="294"/>
      <c r="FN35" s="295">
        <f t="shared" si="3"/>
        <v>2272</v>
      </c>
      <c r="FO35" s="294"/>
      <c r="FP35" s="295">
        <f t="shared" si="4"/>
        <v>1170</v>
      </c>
      <c r="FQ35" s="294"/>
      <c r="FR35" s="295">
        <f t="shared" si="5"/>
        <v>8095</v>
      </c>
      <c r="FS35" s="294"/>
    </row>
    <row r="36" spans="1:175" s="3" customFormat="1" ht="13.5" thickBot="1" x14ac:dyDescent="0.25">
      <c r="A36" s="3" t="s">
        <v>7</v>
      </c>
      <c r="C36" s="77"/>
      <c r="D36" s="77"/>
      <c r="E36" s="297">
        <f>SUM(E5:E34)</f>
        <v>73138</v>
      </c>
      <c r="F36" s="78"/>
      <c r="G36" s="78"/>
      <c r="H36" s="78"/>
      <c r="I36" s="78"/>
      <c r="J36" s="78">
        <f>SUM(J5:J34)</f>
        <v>125982</v>
      </c>
      <c r="K36" s="78"/>
      <c r="L36" s="78"/>
      <c r="M36" s="78"/>
      <c r="N36" s="78"/>
      <c r="O36" s="78">
        <f>SUM(O5:O34)</f>
        <v>402055</v>
      </c>
      <c r="P36" s="78"/>
      <c r="Q36" s="78"/>
      <c r="R36" s="78"/>
      <c r="S36" s="78"/>
      <c r="T36" s="78">
        <f>SUM(T5:T34)</f>
        <v>50100</v>
      </c>
      <c r="U36" s="78"/>
      <c r="V36" s="78"/>
      <c r="W36" s="78"/>
      <c r="X36" s="78"/>
      <c r="Y36" s="78">
        <f>SUM(Y5:Y34)</f>
        <v>81441</v>
      </c>
      <c r="Z36" s="78"/>
      <c r="AA36" s="78"/>
      <c r="AB36" s="78"/>
      <c r="AC36" s="78"/>
      <c r="AD36" s="78">
        <f>SUM(AD5:AD34)</f>
        <v>53100</v>
      </c>
      <c r="AE36" s="78"/>
      <c r="AF36" s="78"/>
      <c r="AG36" s="78"/>
      <c r="AH36" s="78"/>
      <c r="AI36" s="78">
        <f>SUM(AI5:AI34)</f>
        <v>24288</v>
      </c>
      <c r="AJ36" s="78"/>
      <c r="AK36" s="78"/>
      <c r="AL36" s="78"/>
      <c r="AM36" s="78"/>
      <c r="AN36" s="78">
        <f>SUM(AN5:AN34)</f>
        <v>18300</v>
      </c>
      <c r="AO36" s="78"/>
      <c r="AP36" s="78"/>
      <c r="AQ36" s="78"/>
      <c r="AR36" s="78"/>
      <c r="AS36" s="78">
        <f>SUM(AS5:AS34)</f>
        <v>39485</v>
      </c>
      <c r="AT36" s="78"/>
      <c r="AU36" s="78"/>
      <c r="AV36" s="78"/>
      <c r="AW36" s="78"/>
      <c r="AX36" s="78">
        <f>SUM(AX5:AX34)</f>
        <v>12130</v>
      </c>
      <c r="AY36" s="78"/>
      <c r="AZ36" s="78"/>
      <c r="BA36" s="78"/>
      <c r="BB36" s="78"/>
      <c r="BC36" s="78">
        <f>SUM(BC5:BC34)</f>
        <v>28181</v>
      </c>
      <c r="BD36" s="78"/>
      <c r="BE36" s="78"/>
      <c r="BF36" s="78"/>
      <c r="BG36" s="78"/>
      <c r="BH36" s="78">
        <f>SUM(BH5:BH34)</f>
        <v>24185</v>
      </c>
      <c r="BI36" s="78"/>
      <c r="BJ36" s="78"/>
      <c r="BK36" s="78"/>
      <c r="BL36" s="78"/>
      <c r="BM36" s="78">
        <f>SUM(BM5:BM34)</f>
        <v>34805</v>
      </c>
      <c r="BN36" s="78"/>
      <c r="BO36" s="78"/>
      <c r="BP36" s="78"/>
      <c r="BQ36" s="78"/>
      <c r="BR36" s="78">
        <f>SUM(BR5:BR34)</f>
        <v>5198</v>
      </c>
      <c r="BS36" s="78"/>
      <c r="BT36" s="78"/>
      <c r="BU36" s="78"/>
      <c r="BV36" s="78"/>
      <c r="BW36" s="78">
        <f>SUM(BW5:BW34)</f>
        <v>12785</v>
      </c>
      <c r="BX36" s="78"/>
      <c r="BY36" s="78"/>
      <c r="BZ36" s="78"/>
      <c r="CA36" s="78"/>
      <c r="CB36" s="78">
        <f>SUM(CB5:CB34)</f>
        <v>36320</v>
      </c>
      <c r="CC36" s="78"/>
      <c r="CD36" s="78"/>
      <c r="CE36" s="78"/>
      <c r="CF36" s="78"/>
      <c r="CG36" s="78">
        <f>SUM(CG5:CG34)</f>
        <v>12490</v>
      </c>
      <c r="CH36" s="78"/>
      <c r="CI36" s="78"/>
      <c r="CJ36" s="78"/>
      <c r="CK36" s="78"/>
      <c r="CL36" s="78">
        <f>SUM(CL5:CL34)</f>
        <v>27040</v>
      </c>
      <c r="CM36" s="78"/>
      <c r="CN36" s="78"/>
      <c r="CO36" s="78"/>
      <c r="CP36" s="78"/>
      <c r="CQ36" s="122">
        <f>SUM(CQ5:CQ34)</f>
        <v>23090</v>
      </c>
      <c r="CR36" s="78"/>
      <c r="CS36" s="78"/>
      <c r="CT36" s="78"/>
      <c r="CU36" s="78"/>
      <c r="CV36" s="88">
        <f>SUM(CV5:CV34)</f>
        <v>17510</v>
      </c>
      <c r="CW36" s="78"/>
      <c r="CX36" s="78"/>
      <c r="CY36" s="78"/>
      <c r="CZ36" s="78"/>
      <c r="DA36" s="298">
        <f>SUM(DA5:DA34)</f>
        <v>33810</v>
      </c>
      <c r="DB36" s="78"/>
      <c r="DC36" s="78"/>
      <c r="DD36" s="78"/>
      <c r="DE36" s="78"/>
      <c r="DF36" s="298">
        <f>SUM(DF5:DF34)</f>
        <v>25980</v>
      </c>
      <c r="DG36" s="78"/>
      <c r="DH36" s="78"/>
      <c r="DI36" s="78"/>
      <c r="DJ36" s="78"/>
      <c r="DK36" s="298">
        <f>SUM(DK5:DK34)</f>
        <v>22100</v>
      </c>
      <c r="DL36" s="78"/>
      <c r="DM36" s="78"/>
      <c r="DN36" s="78"/>
      <c r="DO36" s="78"/>
      <c r="DP36" s="298">
        <f>SUM(DP5:DP34)</f>
        <v>5800</v>
      </c>
      <c r="DQ36" s="78"/>
      <c r="DR36" s="78"/>
      <c r="DS36" s="78"/>
      <c r="DT36" s="78"/>
      <c r="DU36" s="298">
        <f>SUM(DU5:DU34)</f>
        <v>5004</v>
      </c>
      <c r="DV36" s="78"/>
      <c r="DW36" s="78"/>
      <c r="DX36" s="78"/>
      <c r="DY36" s="78"/>
      <c r="DZ36" s="298">
        <f>SUM(DZ5:DZ34)</f>
        <v>20270</v>
      </c>
      <c r="EA36" s="78"/>
      <c r="EB36" s="78"/>
      <c r="EC36" s="78"/>
      <c r="ED36" s="78"/>
      <c r="EE36" s="298">
        <f>SUM(EE5:EE34)</f>
        <v>6970</v>
      </c>
      <c r="EF36" s="78"/>
      <c r="EG36" s="78"/>
      <c r="EH36" s="78"/>
      <c r="EI36" s="78"/>
      <c r="EJ36" s="298">
        <f>SUM(EJ5:EJ34)</f>
        <v>9680</v>
      </c>
      <c r="EK36" s="78"/>
      <c r="EL36" s="78"/>
      <c r="EM36" s="78"/>
      <c r="EN36" s="78"/>
      <c r="EO36" s="298">
        <f>SUM(EO5:EO34)</f>
        <v>14680</v>
      </c>
      <c r="EP36" s="78"/>
      <c r="EQ36" s="78"/>
      <c r="ER36" s="78"/>
      <c r="ES36" s="78"/>
      <c r="ET36" s="298">
        <f>SUM(ET5:ET34)</f>
        <v>0</v>
      </c>
      <c r="EU36" s="78"/>
      <c r="EV36" s="78"/>
      <c r="EW36" s="78"/>
      <c r="EX36" s="78"/>
      <c r="EY36" s="298">
        <f>SUM(EY5:EY34)</f>
        <v>236200</v>
      </c>
      <c r="EZ36" s="78"/>
      <c r="FA36" s="78"/>
      <c r="FB36" s="78"/>
      <c r="FC36" s="78"/>
      <c r="FD36" s="298">
        <f>SUM(FD5:FD34)</f>
        <v>11937</v>
      </c>
      <c r="FE36" s="78"/>
      <c r="FF36" s="78"/>
      <c r="FG36" s="289"/>
      <c r="FH36" s="296"/>
      <c r="FN36" s="296"/>
      <c r="FP36" s="296"/>
    </row>
    <row r="37" spans="1:175" ht="13.5" thickTop="1" x14ac:dyDescent="0.2"/>
  </sheetData>
  <mergeCells count="42">
    <mergeCell ref="FR3:FS3"/>
    <mergeCell ref="FH1:FS2"/>
    <mergeCell ref="FN3:FO3"/>
    <mergeCell ref="FP3:FQ3"/>
    <mergeCell ref="FL3:FM3"/>
    <mergeCell ref="FJ3:FK3"/>
    <mergeCell ref="FG3:FG4"/>
    <mergeCell ref="FH3:FI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P38"/>
  <sheetViews>
    <sheetView zoomScale="85" zoomScaleNormal="85" workbookViewId="0">
      <pane xSplit="1" ySplit="5" topLeftCell="CT6" activePane="bottomRight" state="frozen"/>
      <selection pane="topRight" activeCell="B1" sqref="B1"/>
      <selection pane="bottomLeft" activeCell="A6" sqref="A6"/>
      <selection pane="bottomRight" activeCell="DY6" activeCellId="6" sqref="CU6:CU36 CZ6:CZ36 DE6:DE36 DJ6:DJ36 DO6:DO36 DT6:DT36 DY6:DY36"/>
    </sheetView>
  </sheetViews>
  <sheetFormatPr defaultColWidth="9.140625" defaultRowHeight="12.75" x14ac:dyDescent="0.2"/>
  <cols>
    <col min="1" max="1" width="4.7109375" style="155" customWidth="1"/>
    <col min="2" max="2" width="13.5703125" style="155" customWidth="1"/>
    <col min="3" max="3" width="11.42578125" style="155" customWidth="1"/>
    <col min="4" max="4" width="10.5703125" style="155" customWidth="1"/>
    <col min="5" max="5" width="2" style="158" customWidth="1"/>
    <col min="6" max="6" width="5.140625" style="155" customWidth="1"/>
    <col min="7" max="7" width="13.5703125" style="155" customWidth="1"/>
    <col min="8" max="8" width="10" style="155" customWidth="1"/>
    <col min="9" max="9" width="14" style="155" customWidth="1"/>
    <col min="10" max="10" width="2.85546875" style="158" customWidth="1"/>
    <col min="11" max="11" width="5.42578125" style="155" customWidth="1"/>
    <col min="12" max="13" width="13.5703125" style="155" customWidth="1"/>
    <col min="14" max="14" width="12.140625" style="155" customWidth="1"/>
    <col min="15" max="15" width="2.85546875" style="158" customWidth="1"/>
    <col min="16" max="16" width="5.85546875" style="155" customWidth="1"/>
    <col min="17" max="17" width="13.5703125" style="155" customWidth="1"/>
    <col min="18" max="18" width="10.7109375" style="155" customWidth="1"/>
    <col min="19" max="19" width="11.140625" style="155" customWidth="1"/>
    <col min="20" max="20" width="2.42578125" style="158" customWidth="1"/>
    <col min="21" max="21" width="6.42578125" style="132" customWidth="1"/>
    <col min="22" max="22" width="10.85546875" style="155" customWidth="1"/>
    <col min="23" max="23" width="13" style="132" bestFit="1" customWidth="1"/>
    <col min="24" max="24" width="11.85546875" style="132" customWidth="1"/>
    <col min="25" max="25" width="9.140625" style="132"/>
    <col min="26" max="26" width="7.7109375" style="132" customWidth="1"/>
    <col min="27" max="27" width="11.140625" style="174" customWidth="1"/>
    <col min="28" max="28" width="9.140625" style="174"/>
    <col min="29" max="29" width="11.42578125" style="174" customWidth="1"/>
    <col min="30" max="30" width="10.140625" style="174" customWidth="1"/>
    <col min="31" max="31" width="7.42578125" style="174" customWidth="1"/>
    <col min="32" max="32" width="10.85546875" style="174" bestFit="1" customWidth="1"/>
    <col min="33" max="34" width="9.140625" style="174"/>
    <col min="35" max="35" width="10.140625" style="174" customWidth="1"/>
    <col min="36" max="36" width="7.42578125" style="174" customWidth="1"/>
    <col min="37" max="39" width="9.140625" style="174"/>
    <col min="40" max="40" width="10.140625" style="174" customWidth="1"/>
    <col min="41" max="41" width="7.42578125" style="174" customWidth="1"/>
    <col min="42" max="44" width="9.140625" style="174"/>
    <col min="45" max="45" width="10.140625" style="174" customWidth="1"/>
    <col min="46" max="46" width="7.42578125" style="174" customWidth="1"/>
    <col min="47" max="49" width="9.140625" style="174"/>
    <col min="50" max="50" width="10.140625" style="174" customWidth="1"/>
    <col min="51" max="51" width="7.42578125" style="174" customWidth="1"/>
    <col min="52" max="54" width="9.140625" style="174"/>
    <col min="55" max="55" width="10.140625" style="174" customWidth="1"/>
    <col min="56" max="56" width="7.42578125" style="174" customWidth="1"/>
    <col min="57" max="59" width="9.140625" style="174"/>
    <col min="60" max="60" width="10.140625" style="174" customWidth="1"/>
    <col min="61" max="61" width="7.42578125" style="174" customWidth="1"/>
    <col min="62" max="64" width="9.140625" style="174"/>
    <col min="65" max="65" width="10.140625" style="174" customWidth="1"/>
    <col min="66" max="66" width="7.42578125" style="174" customWidth="1"/>
    <col min="67" max="69" width="9.140625" style="174"/>
    <col min="70" max="70" width="10.140625" style="174" customWidth="1"/>
    <col min="71" max="71" width="7.42578125" style="174" customWidth="1"/>
    <col min="72" max="74" width="9.140625" style="174"/>
    <col min="75" max="75" width="10.140625" style="174" customWidth="1"/>
    <col min="76" max="76" width="7.42578125" style="174" customWidth="1"/>
    <col min="77" max="79" width="9.140625" style="174"/>
    <col min="80" max="80" width="10.140625" style="174" customWidth="1"/>
    <col min="81" max="81" width="7.42578125" style="174" customWidth="1"/>
    <col min="82" max="84" width="9.140625" style="174"/>
    <col min="85" max="85" width="10.140625" style="174" customWidth="1"/>
    <col min="86" max="86" width="7.42578125" style="174" customWidth="1"/>
    <col min="87" max="89" width="9.140625" style="174"/>
    <col min="90" max="90" width="10.140625" style="174" customWidth="1"/>
    <col min="91" max="91" width="7.42578125" style="174" customWidth="1"/>
    <col min="92" max="94" width="9.140625" style="174"/>
    <col min="95" max="95" width="10.140625" style="174" customWidth="1"/>
    <col min="96" max="96" width="7.42578125" style="174" customWidth="1"/>
    <col min="97" max="99" width="9.140625" style="174"/>
    <col min="100" max="100" width="10.140625" style="174" customWidth="1"/>
    <col min="101" max="101" width="7.42578125" style="174" customWidth="1"/>
    <col min="102" max="104" width="9.140625" style="174"/>
    <col min="105" max="105" width="10.140625" style="174" customWidth="1"/>
    <col min="106" max="106" width="7.42578125" style="174" customWidth="1"/>
    <col min="107" max="109" width="9.140625" style="174"/>
    <col min="110" max="110" width="10.140625" style="174" customWidth="1"/>
    <col min="111" max="111" width="7.42578125" style="174" customWidth="1"/>
    <col min="112" max="114" width="9.140625" style="174"/>
    <col min="115" max="115" width="10.140625" style="174" customWidth="1"/>
    <col min="116" max="116" width="7.42578125" style="174" customWidth="1"/>
    <col min="117" max="119" width="9.140625" style="174"/>
    <col min="120" max="120" width="10.140625" style="174" customWidth="1"/>
    <col min="121" max="121" width="7.42578125" style="174" customWidth="1"/>
    <col min="122" max="124" width="9.140625" style="174"/>
    <col min="125" max="125" width="10.140625" style="174" customWidth="1"/>
    <col min="126" max="126" width="7.42578125" style="174" customWidth="1"/>
    <col min="127" max="128" width="9.140625" style="174"/>
    <col min="129" max="129" width="9.140625" style="132"/>
    <col min="130" max="130" width="10.140625" style="174" customWidth="1"/>
    <col min="131" max="131" width="7.42578125" style="174" customWidth="1"/>
    <col min="132" max="16384" width="9.140625" style="132"/>
  </cols>
  <sheetData>
    <row r="1" spans="1:146" ht="12.75" customHeight="1" x14ac:dyDescent="0.2">
      <c r="A1" s="385" t="s">
        <v>110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Z1" s="310" t="s">
        <v>148</v>
      </c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  <c r="BZ1" s="310"/>
      <c r="CA1" s="310"/>
      <c r="CB1" s="310"/>
      <c r="CC1" s="310"/>
      <c r="CD1" s="310"/>
      <c r="CE1" s="310"/>
      <c r="CF1" s="310"/>
      <c r="CG1" s="310"/>
      <c r="CH1" s="310"/>
      <c r="CI1" s="310"/>
      <c r="CJ1" s="310"/>
      <c r="CK1" s="310"/>
      <c r="CL1" s="310"/>
      <c r="CM1" s="310"/>
      <c r="CN1" s="310"/>
      <c r="CO1" s="310"/>
      <c r="CP1" s="310"/>
      <c r="CQ1" s="310"/>
      <c r="CR1" s="310"/>
      <c r="CS1" s="310"/>
      <c r="CT1" s="310"/>
      <c r="CU1" s="310"/>
      <c r="CV1" s="310"/>
      <c r="CW1" s="310"/>
      <c r="CX1" s="310"/>
      <c r="CY1" s="310"/>
      <c r="CZ1" s="310"/>
      <c r="DA1" s="310"/>
      <c r="DB1" s="310"/>
      <c r="DC1" s="310"/>
      <c r="DD1" s="310"/>
      <c r="DE1" s="310"/>
      <c r="DF1" s="310"/>
      <c r="DG1" s="310"/>
      <c r="DH1" s="310"/>
      <c r="DI1" s="310"/>
      <c r="DJ1" s="310"/>
      <c r="DK1" s="310"/>
      <c r="DL1" s="310"/>
      <c r="DM1" s="310"/>
      <c r="DN1" s="310"/>
      <c r="DO1" s="310"/>
      <c r="DP1" s="310"/>
      <c r="DQ1" s="310"/>
      <c r="DR1" s="310"/>
      <c r="DS1" s="310"/>
      <c r="DT1" s="310"/>
      <c r="DU1" s="310"/>
      <c r="DV1" s="310"/>
      <c r="DW1" s="310"/>
      <c r="DX1" s="310"/>
      <c r="DY1" s="310"/>
      <c r="DZ1" s="310"/>
      <c r="EA1" s="310"/>
      <c r="EB1" s="301"/>
      <c r="EC1" s="301"/>
      <c r="ED1" s="301"/>
      <c r="EE1" s="301"/>
      <c r="EF1" s="301"/>
      <c r="EG1" s="301"/>
      <c r="EH1" s="301"/>
      <c r="EI1" s="301"/>
      <c r="EJ1" s="301"/>
      <c r="EK1" s="301"/>
      <c r="EL1" s="301"/>
      <c r="EM1" s="301"/>
    </row>
    <row r="2" spans="1:146" s="133" customFormat="1" ht="24" customHeight="1" x14ac:dyDescent="0.2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O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U2" s="310"/>
      <c r="CV2" s="310"/>
      <c r="CW2" s="310"/>
      <c r="CX2" s="310"/>
      <c r="CY2" s="310"/>
      <c r="CZ2" s="310"/>
      <c r="DA2" s="310"/>
      <c r="DB2" s="310"/>
      <c r="DC2" s="310"/>
      <c r="DD2" s="310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DZ2" s="310"/>
      <c r="EA2" s="310"/>
      <c r="EB2" s="301"/>
      <c r="EC2" s="301"/>
      <c r="ED2" s="301"/>
      <c r="EE2" s="301"/>
      <c r="EF2" s="301"/>
      <c r="EG2" s="301"/>
      <c r="EH2" s="301"/>
      <c r="EI2" s="301"/>
      <c r="EJ2" s="301"/>
      <c r="EK2" s="301"/>
      <c r="EL2" s="301"/>
      <c r="EM2" s="301"/>
    </row>
    <row r="3" spans="1:146" s="155" customFormat="1" ht="24.75" customHeight="1" thickBot="1" x14ac:dyDescent="0.25">
      <c r="A3" s="386" t="s">
        <v>3</v>
      </c>
      <c r="B3" s="386"/>
      <c r="C3" s="208">
        <v>44471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Z3" s="381" t="s">
        <v>149</v>
      </c>
      <c r="AA3" s="381"/>
      <c r="AB3" s="381"/>
      <c r="AC3" s="381"/>
      <c r="AD3" s="304"/>
      <c r="AE3" s="304"/>
      <c r="AF3" s="209">
        <v>44360</v>
      </c>
      <c r="AG3" s="210"/>
      <c r="AH3" s="210"/>
      <c r="AI3" s="304"/>
      <c r="AJ3" s="304"/>
      <c r="AK3" s="210"/>
      <c r="AL3" s="210"/>
      <c r="AM3" s="210"/>
      <c r="AN3" s="304"/>
      <c r="AO3" s="304"/>
      <c r="AP3" s="210"/>
      <c r="AQ3" s="210"/>
      <c r="AR3" s="210"/>
      <c r="AS3" s="304"/>
      <c r="AT3" s="304"/>
      <c r="AU3" s="210"/>
      <c r="AV3" s="210"/>
      <c r="AW3" s="210"/>
      <c r="AX3" s="304"/>
      <c r="AY3" s="304"/>
      <c r="AZ3" s="210"/>
      <c r="BA3" s="210"/>
      <c r="BB3" s="210"/>
      <c r="BC3" s="304"/>
      <c r="BD3" s="304"/>
      <c r="BE3" s="210"/>
      <c r="BF3" s="210"/>
      <c r="BG3" s="210"/>
      <c r="BH3" s="304"/>
      <c r="BI3" s="304"/>
      <c r="BJ3" s="210"/>
      <c r="BK3" s="210"/>
      <c r="BL3" s="210"/>
      <c r="BM3" s="304"/>
      <c r="BN3" s="304"/>
      <c r="BO3" s="210"/>
      <c r="BP3" s="210"/>
      <c r="BQ3" s="210"/>
      <c r="BR3" s="304"/>
      <c r="BS3" s="304"/>
      <c r="BT3" s="210"/>
      <c r="BU3" s="210"/>
      <c r="BV3" s="210"/>
      <c r="BW3" s="304"/>
      <c r="BX3" s="304"/>
      <c r="BY3" s="210"/>
      <c r="BZ3" s="210"/>
      <c r="CA3" s="210"/>
      <c r="CB3" s="304"/>
      <c r="CC3" s="304"/>
      <c r="CD3" s="210"/>
      <c r="CE3" s="210"/>
      <c r="CF3" s="210"/>
      <c r="CG3" s="304"/>
      <c r="CH3" s="304"/>
      <c r="CI3" s="210"/>
      <c r="CJ3" s="210"/>
      <c r="CK3" s="210"/>
      <c r="CL3" s="304"/>
      <c r="CM3" s="304"/>
      <c r="CN3" s="210"/>
      <c r="CO3" s="210"/>
      <c r="CP3" s="210"/>
      <c r="CQ3" s="304"/>
      <c r="CR3" s="304"/>
      <c r="CS3" s="210"/>
      <c r="CT3" s="210"/>
      <c r="CU3" s="210"/>
      <c r="CV3" s="304"/>
      <c r="CW3" s="304"/>
      <c r="CX3" s="210"/>
      <c r="CY3" s="210"/>
      <c r="CZ3" s="210"/>
      <c r="DA3" s="304"/>
      <c r="DB3" s="304"/>
      <c r="DC3" s="210"/>
      <c r="DD3" s="210"/>
      <c r="DE3" s="210"/>
      <c r="DF3" s="304"/>
      <c r="DG3" s="304"/>
      <c r="DH3" s="210"/>
      <c r="DI3" s="210"/>
      <c r="DJ3" s="210"/>
      <c r="DK3" s="304"/>
      <c r="DL3" s="304"/>
      <c r="DM3" s="210"/>
      <c r="DN3" s="210"/>
      <c r="DO3" s="210"/>
      <c r="DP3" s="304"/>
      <c r="DQ3" s="304"/>
      <c r="DR3" s="210"/>
      <c r="DS3" s="210"/>
      <c r="DT3" s="210"/>
      <c r="DU3" s="304"/>
      <c r="DV3" s="304"/>
      <c r="DW3" s="210"/>
      <c r="DX3" s="210"/>
      <c r="DY3" s="210"/>
      <c r="DZ3" s="304"/>
      <c r="EA3" s="304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</row>
    <row r="4" spans="1:146" ht="15" customHeight="1" x14ac:dyDescent="0.2">
      <c r="A4" s="387" t="s">
        <v>111</v>
      </c>
      <c r="B4" s="388"/>
      <c r="C4" s="388"/>
      <c r="D4" s="389"/>
      <c r="E4" s="135"/>
      <c r="F4" s="387" t="s">
        <v>112</v>
      </c>
      <c r="G4" s="388"/>
      <c r="H4" s="388"/>
      <c r="I4" s="389"/>
      <c r="J4" s="135"/>
      <c r="K4" s="387" t="s">
        <v>113</v>
      </c>
      <c r="L4" s="388"/>
      <c r="M4" s="388"/>
      <c r="N4" s="389"/>
      <c r="O4" s="135"/>
      <c r="P4" s="387" t="s">
        <v>114</v>
      </c>
      <c r="Q4" s="388"/>
      <c r="R4" s="388"/>
      <c r="S4" s="389"/>
      <c r="T4" s="135"/>
      <c r="U4" s="390" t="s">
        <v>115</v>
      </c>
      <c r="V4" s="391"/>
      <c r="W4" s="391"/>
      <c r="X4" s="392"/>
      <c r="Z4" s="382" t="s">
        <v>126</v>
      </c>
      <c r="AA4" s="383"/>
      <c r="AB4" s="383"/>
      <c r="AC4" s="383"/>
      <c r="AD4" s="383"/>
      <c r="AE4" s="384"/>
      <c r="AF4" s="382" t="s">
        <v>128</v>
      </c>
      <c r="AG4" s="383"/>
      <c r="AH4" s="383"/>
      <c r="AI4" s="383"/>
      <c r="AJ4" s="383"/>
      <c r="AK4" s="382" t="s">
        <v>129</v>
      </c>
      <c r="AL4" s="383"/>
      <c r="AM4" s="383"/>
      <c r="AN4" s="383"/>
      <c r="AO4" s="383"/>
      <c r="AP4" s="382" t="s">
        <v>130</v>
      </c>
      <c r="AQ4" s="383"/>
      <c r="AR4" s="383"/>
      <c r="AS4" s="383"/>
      <c r="AT4" s="383"/>
      <c r="AU4" s="382" t="s">
        <v>131</v>
      </c>
      <c r="AV4" s="383"/>
      <c r="AW4" s="383"/>
      <c r="AX4" s="383"/>
      <c r="AY4" s="383"/>
      <c r="AZ4" s="382" t="s">
        <v>132</v>
      </c>
      <c r="BA4" s="383"/>
      <c r="BB4" s="383"/>
      <c r="BC4" s="383"/>
      <c r="BD4" s="383"/>
      <c r="BE4" s="382" t="s">
        <v>133</v>
      </c>
      <c r="BF4" s="383"/>
      <c r="BG4" s="383"/>
      <c r="BH4" s="383"/>
      <c r="BI4" s="383"/>
      <c r="BJ4" s="382" t="s">
        <v>134</v>
      </c>
      <c r="BK4" s="383"/>
      <c r="BL4" s="383"/>
      <c r="BM4" s="383"/>
      <c r="BN4" s="383"/>
      <c r="BO4" s="382" t="s">
        <v>135</v>
      </c>
      <c r="BP4" s="383"/>
      <c r="BQ4" s="383"/>
      <c r="BR4" s="383"/>
      <c r="BS4" s="383"/>
      <c r="BT4" s="382" t="s">
        <v>136</v>
      </c>
      <c r="BU4" s="383"/>
      <c r="BV4" s="383"/>
      <c r="BW4" s="383"/>
      <c r="BX4" s="383"/>
      <c r="BY4" s="382" t="s">
        <v>137</v>
      </c>
      <c r="BZ4" s="383"/>
      <c r="CA4" s="383"/>
      <c r="CB4" s="383"/>
      <c r="CC4" s="384"/>
      <c r="CD4" s="382" t="s">
        <v>138</v>
      </c>
      <c r="CE4" s="383"/>
      <c r="CF4" s="383"/>
      <c r="CG4" s="383"/>
      <c r="CH4" s="384"/>
      <c r="CI4" s="382" t="s">
        <v>139</v>
      </c>
      <c r="CJ4" s="383"/>
      <c r="CK4" s="383"/>
      <c r="CL4" s="383"/>
      <c r="CM4" s="384"/>
      <c r="CN4" s="382" t="s">
        <v>140</v>
      </c>
      <c r="CO4" s="383"/>
      <c r="CP4" s="383"/>
      <c r="CQ4" s="383"/>
      <c r="CR4" s="384"/>
      <c r="CS4" s="382" t="s">
        <v>141</v>
      </c>
      <c r="CT4" s="383"/>
      <c r="CU4" s="383"/>
      <c r="CV4" s="383"/>
      <c r="CW4" s="384"/>
      <c r="CX4" s="382" t="s">
        <v>142</v>
      </c>
      <c r="CY4" s="383"/>
      <c r="CZ4" s="383"/>
      <c r="DA4" s="383"/>
      <c r="DB4" s="384"/>
      <c r="DC4" s="382" t="s">
        <v>143</v>
      </c>
      <c r="DD4" s="383"/>
      <c r="DE4" s="383"/>
      <c r="DF4" s="383"/>
      <c r="DG4" s="384"/>
      <c r="DH4" s="382" t="s">
        <v>144</v>
      </c>
      <c r="DI4" s="383"/>
      <c r="DJ4" s="383"/>
      <c r="DK4" s="383"/>
      <c r="DL4" s="384"/>
      <c r="DM4" s="382" t="s">
        <v>145</v>
      </c>
      <c r="DN4" s="383"/>
      <c r="DO4" s="383"/>
      <c r="DP4" s="383"/>
      <c r="DQ4" s="384"/>
      <c r="DR4" s="382" t="s">
        <v>146</v>
      </c>
      <c r="DS4" s="383"/>
      <c r="DT4" s="383"/>
      <c r="DU4" s="383"/>
      <c r="DV4" s="384"/>
      <c r="DW4" s="382" t="s">
        <v>147</v>
      </c>
      <c r="DX4" s="383"/>
      <c r="DY4" s="383"/>
      <c r="DZ4" s="383"/>
      <c r="EA4" s="384"/>
      <c r="EB4" s="382" t="s">
        <v>171</v>
      </c>
      <c r="EC4" s="383"/>
      <c r="ED4" s="384"/>
      <c r="EE4" s="382" t="s">
        <v>172</v>
      </c>
      <c r="EF4" s="383"/>
      <c r="EG4" s="384"/>
      <c r="EH4" s="382" t="s">
        <v>173</v>
      </c>
      <c r="EI4" s="383"/>
      <c r="EJ4" s="384"/>
      <c r="EK4" s="382" t="s">
        <v>174</v>
      </c>
      <c r="EL4" s="383"/>
      <c r="EM4" s="384"/>
      <c r="EN4" s="382" t="s">
        <v>164</v>
      </c>
      <c r="EO4" s="383"/>
      <c r="EP4" s="384"/>
    </row>
    <row r="5" spans="1:146" ht="36" customHeight="1" x14ac:dyDescent="0.2">
      <c r="A5" s="136" t="s">
        <v>5</v>
      </c>
      <c r="B5" s="136" t="s">
        <v>19</v>
      </c>
      <c r="C5" s="136" t="s">
        <v>20</v>
      </c>
      <c r="D5" s="137" t="s">
        <v>116</v>
      </c>
      <c r="E5" s="137"/>
      <c r="F5" s="136" t="s">
        <v>5</v>
      </c>
      <c r="G5" s="136" t="s">
        <v>19</v>
      </c>
      <c r="H5" s="136" t="s">
        <v>20</v>
      </c>
      <c r="I5" s="137" t="s">
        <v>116</v>
      </c>
      <c r="J5" s="137"/>
      <c r="K5" s="136" t="s">
        <v>5</v>
      </c>
      <c r="L5" s="136" t="s">
        <v>19</v>
      </c>
      <c r="M5" s="136" t="s">
        <v>20</v>
      </c>
      <c r="N5" s="137" t="s">
        <v>116</v>
      </c>
      <c r="O5" s="137"/>
      <c r="P5" s="136" t="s">
        <v>5</v>
      </c>
      <c r="Q5" s="136" t="s">
        <v>19</v>
      </c>
      <c r="R5" s="136" t="s">
        <v>20</v>
      </c>
      <c r="S5" s="137" t="s">
        <v>116</v>
      </c>
      <c r="T5" s="137"/>
      <c r="U5" s="138" t="s">
        <v>42</v>
      </c>
      <c r="V5" s="139" t="s">
        <v>13</v>
      </c>
      <c r="W5" s="140" t="s">
        <v>117</v>
      </c>
      <c r="X5" s="138" t="s">
        <v>68</v>
      </c>
      <c r="Z5" s="202" t="s">
        <v>5</v>
      </c>
      <c r="AA5" s="201" t="s">
        <v>49</v>
      </c>
      <c r="AB5" s="201" t="s">
        <v>50</v>
      </c>
      <c r="AC5" s="201" t="s">
        <v>191</v>
      </c>
      <c r="AD5" s="309" t="s">
        <v>190</v>
      </c>
      <c r="AE5" s="305" t="s">
        <v>151</v>
      </c>
      <c r="AF5" s="202" t="s">
        <v>49</v>
      </c>
      <c r="AG5" s="201" t="s">
        <v>50</v>
      </c>
      <c r="AH5" s="309" t="s">
        <v>191</v>
      </c>
      <c r="AI5" s="309" t="s">
        <v>190</v>
      </c>
      <c r="AJ5" s="309" t="s">
        <v>151</v>
      </c>
      <c r="AK5" s="202" t="s">
        <v>49</v>
      </c>
      <c r="AL5" s="201" t="s">
        <v>50</v>
      </c>
      <c r="AM5" s="309" t="s">
        <v>191</v>
      </c>
      <c r="AN5" s="309" t="s">
        <v>190</v>
      </c>
      <c r="AO5" s="309" t="s">
        <v>151</v>
      </c>
      <c r="AP5" s="202" t="s">
        <v>49</v>
      </c>
      <c r="AQ5" s="201" t="s">
        <v>50</v>
      </c>
      <c r="AR5" s="309" t="s">
        <v>191</v>
      </c>
      <c r="AS5" s="309" t="s">
        <v>190</v>
      </c>
      <c r="AT5" s="309" t="s">
        <v>151</v>
      </c>
      <c r="AU5" s="202" t="s">
        <v>49</v>
      </c>
      <c r="AV5" s="201" t="s">
        <v>50</v>
      </c>
      <c r="AW5" s="309" t="s">
        <v>191</v>
      </c>
      <c r="AX5" s="309" t="s">
        <v>190</v>
      </c>
      <c r="AY5" s="309" t="s">
        <v>151</v>
      </c>
      <c r="AZ5" s="202" t="s">
        <v>49</v>
      </c>
      <c r="BA5" s="201" t="s">
        <v>50</v>
      </c>
      <c r="BB5" s="309" t="s">
        <v>191</v>
      </c>
      <c r="BC5" s="309" t="s">
        <v>190</v>
      </c>
      <c r="BD5" s="309" t="s">
        <v>151</v>
      </c>
      <c r="BE5" s="202" t="s">
        <v>49</v>
      </c>
      <c r="BF5" s="201" t="s">
        <v>50</v>
      </c>
      <c r="BG5" s="309" t="s">
        <v>191</v>
      </c>
      <c r="BH5" s="309" t="s">
        <v>190</v>
      </c>
      <c r="BI5" s="309" t="s">
        <v>151</v>
      </c>
      <c r="BJ5" s="202" t="s">
        <v>49</v>
      </c>
      <c r="BK5" s="201" t="s">
        <v>50</v>
      </c>
      <c r="BL5" s="309" t="s">
        <v>191</v>
      </c>
      <c r="BM5" s="309" t="s">
        <v>190</v>
      </c>
      <c r="BN5" s="309" t="s">
        <v>151</v>
      </c>
      <c r="BO5" s="202" t="s">
        <v>49</v>
      </c>
      <c r="BP5" s="201" t="s">
        <v>50</v>
      </c>
      <c r="BQ5" s="309" t="s">
        <v>191</v>
      </c>
      <c r="BR5" s="309" t="s">
        <v>190</v>
      </c>
      <c r="BS5" s="309" t="s">
        <v>151</v>
      </c>
      <c r="BT5" s="202" t="s">
        <v>49</v>
      </c>
      <c r="BU5" s="201" t="s">
        <v>50</v>
      </c>
      <c r="BV5" s="309" t="s">
        <v>191</v>
      </c>
      <c r="BW5" s="309" t="s">
        <v>190</v>
      </c>
      <c r="BX5" s="309" t="s">
        <v>151</v>
      </c>
      <c r="BY5" s="202" t="s">
        <v>49</v>
      </c>
      <c r="BZ5" s="201" t="s">
        <v>50</v>
      </c>
      <c r="CA5" s="309" t="s">
        <v>127</v>
      </c>
      <c r="CB5" s="309" t="s">
        <v>190</v>
      </c>
      <c r="CC5" s="203" t="s">
        <v>151</v>
      </c>
      <c r="CD5" s="202" t="s">
        <v>49</v>
      </c>
      <c r="CE5" s="201" t="s">
        <v>50</v>
      </c>
      <c r="CF5" s="309" t="s">
        <v>191</v>
      </c>
      <c r="CG5" s="309" t="s">
        <v>190</v>
      </c>
      <c r="CH5" s="203" t="s">
        <v>151</v>
      </c>
      <c r="CI5" s="202" t="s">
        <v>49</v>
      </c>
      <c r="CJ5" s="201" t="s">
        <v>50</v>
      </c>
      <c r="CK5" s="309" t="s">
        <v>191</v>
      </c>
      <c r="CL5" s="309" t="s">
        <v>190</v>
      </c>
      <c r="CM5" s="203" t="s">
        <v>151</v>
      </c>
      <c r="CN5" s="202" t="s">
        <v>49</v>
      </c>
      <c r="CO5" s="201" t="s">
        <v>50</v>
      </c>
      <c r="CP5" s="309" t="s">
        <v>191</v>
      </c>
      <c r="CQ5" s="309" t="s">
        <v>190</v>
      </c>
      <c r="CR5" s="203" t="s">
        <v>151</v>
      </c>
      <c r="CS5" s="202" t="s">
        <v>49</v>
      </c>
      <c r="CT5" s="201" t="s">
        <v>50</v>
      </c>
      <c r="CU5" s="309" t="s">
        <v>127</v>
      </c>
      <c r="CV5" s="309" t="s">
        <v>190</v>
      </c>
      <c r="CW5" s="203" t="s">
        <v>151</v>
      </c>
      <c r="CX5" s="202" t="s">
        <v>49</v>
      </c>
      <c r="CY5" s="201" t="s">
        <v>50</v>
      </c>
      <c r="CZ5" s="309" t="s">
        <v>191</v>
      </c>
      <c r="DA5" s="309" t="s">
        <v>190</v>
      </c>
      <c r="DB5" s="203" t="s">
        <v>151</v>
      </c>
      <c r="DC5" s="202" t="s">
        <v>49</v>
      </c>
      <c r="DD5" s="201" t="s">
        <v>50</v>
      </c>
      <c r="DE5" s="309" t="s">
        <v>127</v>
      </c>
      <c r="DF5" s="309" t="s">
        <v>190</v>
      </c>
      <c r="DG5" s="203" t="s">
        <v>151</v>
      </c>
      <c r="DH5" s="202" t="s">
        <v>49</v>
      </c>
      <c r="DI5" s="201" t="s">
        <v>50</v>
      </c>
      <c r="DJ5" s="309" t="s">
        <v>191</v>
      </c>
      <c r="DK5" s="309" t="s">
        <v>190</v>
      </c>
      <c r="DL5" s="203" t="s">
        <v>151</v>
      </c>
      <c r="DM5" s="202" t="s">
        <v>49</v>
      </c>
      <c r="DN5" s="201" t="s">
        <v>50</v>
      </c>
      <c r="DO5" s="309" t="s">
        <v>191</v>
      </c>
      <c r="DP5" s="309" t="s">
        <v>190</v>
      </c>
      <c r="DQ5" s="203" t="s">
        <v>151</v>
      </c>
      <c r="DR5" s="202" t="s">
        <v>49</v>
      </c>
      <c r="DS5" s="201" t="s">
        <v>50</v>
      </c>
      <c r="DT5" s="309" t="s">
        <v>127</v>
      </c>
      <c r="DU5" s="309" t="s">
        <v>190</v>
      </c>
      <c r="DV5" s="203" t="s">
        <v>151</v>
      </c>
      <c r="DW5" s="202" t="s">
        <v>49</v>
      </c>
      <c r="DX5" s="201" t="s">
        <v>50</v>
      </c>
      <c r="DY5" s="309" t="s">
        <v>191</v>
      </c>
      <c r="DZ5" s="309" t="s">
        <v>190</v>
      </c>
      <c r="EA5" s="203" t="s">
        <v>151</v>
      </c>
      <c r="EB5" s="202" t="s">
        <v>49</v>
      </c>
      <c r="EC5" s="201" t="s">
        <v>50</v>
      </c>
      <c r="ED5" s="203" t="s">
        <v>191</v>
      </c>
      <c r="EE5" s="202" t="s">
        <v>49</v>
      </c>
      <c r="EF5" s="201" t="s">
        <v>50</v>
      </c>
      <c r="EG5" s="203" t="s">
        <v>191</v>
      </c>
      <c r="EH5" s="202" t="s">
        <v>49</v>
      </c>
      <c r="EI5" s="201" t="s">
        <v>50</v>
      </c>
      <c r="EJ5" s="203" t="s">
        <v>191</v>
      </c>
      <c r="EK5" s="202" t="s">
        <v>49</v>
      </c>
      <c r="EL5" s="201" t="s">
        <v>50</v>
      </c>
      <c r="EM5" s="203" t="s">
        <v>191</v>
      </c>
      <c r="EN5" s="202"/>
      <c r="EO5" s="201"/>
      <c r="EP5" s="203"/>
    </row>
    <row r="6" spans="1:146" ht="15" customHeight="1" x14ac:dyDescent="0.2">
      <c r="A6" s="148">
        <v>1</v>
      </c>
      <c r="B6" s="149">
        <v>15396</v>
      </c>
      <c r="C6" s="141">
        <v>15396</v>
      </c>
      <c r="D6" s="142">
        <f>MAX(0,C6-B6)</f>
        <v>0</v>
      </c>
      <c r="E6" s="197"/>
      <c r="F6" s="148">
        <v>1</v>
      </c>
      <c r="G6" s="149">
        <v>13176</v>
      </c>
      <c r="H6" s="141">
        <v>13190</v>
      </c>
      <c r="I6" s="142">
        <f>MAX(0,H6-G6)</f>
        <v>14</v>
      </c>
      <c r="J6" s="197"/>
      <c r="K6" s="148">
        <v>1</v>
      </c>
      <c r="L6" s="149">
        <v>764213</v>
      </c>
      <c r="M6" s="141">
        <v>764462</v>
      </c>
      <c r="N6" s="142">
        <f>MAX(0,M6-L6)</f>
        <v>249</v>
      </c>
      <c r="O6" s="144"/>
      <c r="P6" s="148">
        <v>1</v>
      </c>
      <c r="Q6" s="149">
        <v>210737</v>
      </c>
      <c r="R6" s="141">
        <v>210814</v>
      </c>
      <c r="S6" s="142">
        <f>MAX(0,R6-Q6)</f>
        <v>77</v>
      </c>
      <c r="T6" s="143"/>
      <c r="U6" s="145">
        <v>1</v>
      </c>
      <c r="V6" s="213">
        <f>SUM(S6+N6+I6+D6)</f>
        <v>340</v>
      </c>
      <c r="W6" s="146">
        <f>'Maldives at LG Daily'!I5</f>
        <v>0</v>
      </c>
      <c r="X6" s="147"/>
      <c r="Z6" s="206">
        <v>1</v>
      </c>
      <c r="AA6" s="150">
        <v>38757</v>
      </c>
      <c r="AB6" s="150">
        <v>38773</v>
      </c>
      <c r="AC6" s="150">
        <f>AB6-AA6</f>
        <v>16</v>
      </c>
      <c r="AD6" s="150"/>
      <c r="AE6" s="306"/>
      <c r="AF6" s="206">
        <v>8385</v>
      </c>
      <c r="AG6" s="150">
        <v>8390</v>
      </c>
      <c r="AH6" s="150">
        <f>AG6-AF6</f>
        <v>5</v>
      </c>
      <c r="AI6" s="150"/>
      <c r="AJ6" s="150"/>
      <c r="AK6" s="206">
        <v>6304</v>
      </c>
      <c r="AL6" s="150">
        <v>6310</v>
      </c>
      <c r="AM6" s="150">
        <f>AL6-AK6</f>
        <v>6</v>
      </c>
      <c r="AN6" s="150"/>
      <c r="AO6" s="150"/>
      <c r="AP6" s="206">
        <v>14824</v>
      </c>
      <c r="AQ6" s="150">
        <v>14833</v>
      </c>
      <c r="AR6" s="150">
        <f t="shared" ref="AR6:AR36" si="0">AQ6-AP6</f>
        <v>9</v>
      </c>
      <c r="AS6" s="150"/>
      <c r="AT6" s="150"/>
      <c r="AU6" s="206">
        <v>32465</v>
      </c>
      <c r="AV6" s="150">
        <v>32471</v>
      </c>
      <c r="AW6" s="150">
        <f t="shared" ref="AW6:AW36" si="1">AV6-AU6</f>
        <v>6</v>
      </c>
      <c r="AX6" s="150"/>
      <c r="AY6" s="150"/>
      <c r="AZ6" s="206">
        <v>6582</v>
      </c>
      <c r="BA6" s="150">
        <v>6589</v>
      </c>
      <c r="BB6" s="150">
        <f t="shared" ref="BB6:BB36" si="2">BA6-AZ6</f>
        <v>7</v>
      </c>
      <c r="BC6" s="150"/>
      <c r="BD6" s="150"/>
      <c r="BE6" s="206">
        <v>22798</v>
      </c>
      <c r="BF6" s="150">
        <v>22805</v>
      </c>
      <c r="BG6" s="150">
        <f t="shared" ref="BG6:BG36" si="3">BF6-BE6</f>
        <v>7</v>
      </c>
      <c r="BH6" s="150"/>
      <c r="BI6" s="150"/>
      <c r="BJ6" s="206">
        <v>6899</v>
      </c>
      <c r="BK6" s="150">
        <v>6909</v>
      </c>
      <c r="BL6" s="150">
        <f t="shared" ref="BL6:BL36" si="4">BK6-BJ6</f>
        <v>10</v>
      </c>
      <c r="BM6" s="150"/>
      <c r="BN6" s="150"/>
      <c r="BO6" s="206">
        <v>3478</v>
      </c>
      <c r="BP6" s="150">
        <v>3480</v>
      </c>
      <c r="BQ6" s="150">
        <f t="shared" ref="BQ6:BQ36" si="5">BP6-BO6</f>
        <v>2</v>
      </c>
      <c r="BR6" s="150"/>
      <c r="BS6" s="150"/>
      <c r="BT6" s="206">
        <v>1551</v>
      </c>
      <c r="BU6" s="150">
        <v>1551</v>
      </c>
      <c r="BV6" s="150">
        <f t="shared" ref="BV6:BV36" si="6">BU6-BT6</f>
        <v>0</v>
      </c>
      <c r="BW6" s="150"/>
      <c r="BX6" s="150"/>
      <c r="BY6" s="212">
        <v>26808</v>
      </c>
      <c r="BZ6" s="150">
        <v>26812</v>
      </c>
      <c r="CA6" s="150">
        <f t="shared" ref="CA6:CA36" si="7">BZ6-BY6</f>
        <v>4</v>
      </c>
      <c r="CB6" s="150"/>
      <c r="CC6" s="204"/>
      <c r="CD6" s="212">
        <v>2588</v>
      </c>
      <c r="CE6" s="150">
        <v>2597</v>
      </c>
      <c r="CF6" s="150">
        <f t="shared" ref="CF6:CF36" si="8">CE6-CD6</f>
        <v>9</v>
      </c>
      <c r="CG6" s="150"/>
      <c r="CH6" s="204"/>
      <c r="CI6" s="212">
        <v>73602</v>
      </c>
      <c r="CJ6" s="150">
        <v>73624</v>
      </c>
      <c r="CK6" s="150">
        <f t="shared" ref="CK6:CK36" si="9">CJ6-CI6</f>
        <v>22</v>
      </c>
      <c r="CL6" s="150"/>
      <c r="CM6" s="204"/>
      <c r="CN6" s="212">
        <v>23489</v>
      </c>
      <c r="CO6" s="150">
        <v>23494</v>
      </c>
      <c r="CP6" s="150">
        <f t="shared" ref="CP6:CP36" si="10">CO6-CN6</f>
        <v>5</v>
      </c>
      <c r="CQ6" s="150"/>
      <c r="CR6" s="204"/>
      <c r="CS6" s="212">
        <v>12476</v>
      </c>
      <c r="CT6" s="150">
        <v>12477</v>
      </c>
      <c r="CU6" s="150">
        <f t="shared" ref="CU6:CU36" si="11">CT6-CS6</f>
        <v>1</v>
      </c>
      <c r="CV6" s="150"/>
      <c r="CW6" s="204"/>
      <c r="CX6" s="212">
        <v>17587</v>
      </c>
      <c r="CY6" s="150">
        <v>17610</v>
      </c>
      <c r="CZ6" s="150">
        <f t="shared" ref="CZ6:CZ36" si="12">CY6-CX6</f>
        <v>23</v>
      </c>
      <c r="DA6" s="150"/>
      <c r="DB6" s="204"/>
      <c r="DC6" s="212">
        <v>19705</v>
      </c>
      <c r="DD6" s="150">
        <v>19708</v>
      </c>
      <c r="DE6" s="150">
        <f t="shared" ref="DE6:DE36" si="13">DD6-DC6</f>
        <v>3</v>
      </c>
      <c r="DF6" s="150"/>
      <c r="DG6" s="204"/>
      <c r="DH6" s="212">
        <v>8633</v>
      </c>
      <c r="DI6" s="150">
        <v>8634</v>
      </c>
      <c r="DJ6" s="150">
        <f t="shared" ref="DJ6:DJ36" si="14">DI6-DH6</f>
        <v>1</v>
      </c>
      <c r="DK6" s="150"/>
      <c r="DL6" s="204"/>
      <c r="DM6" s="212">
        <v>19392</v>
      </c>
      <c r="DN6" s="150">
        <v>19418</v>
      </c>
      <c r="DO6" s="150">
        <f t="shared" ref="DO6:DO36" si="15">DN6-DM6</f>
        <v>26</v>
      </c>
      <c r="DP6" s="150"/>
      <c r="DQ6" s="204"/>
      <c r="DR6" s="212">
        <v>1974</v>
      </c>
      <c r="DS6" s="150">
        <v>1975</v>
      </c>
      <c r="DT6" s="150">
        <f t="shared" ref="DT6:DT36" si="16">DS6-DR6</f>
        <v>1</v>
      </c>
      <c r="DU6" s="150"/>
      <c r="DV6" s="204"/>
      <c r="DW6" s="212">
        <v>9700</v>
      </c>
      <c r="DX6" s="150">
        <v>9700</v>
      </c>
      <c r="DY6" s="150">
        <f>DX6-DW6</f>
        <v>0</v>
      </c>
      <c r="DZ6" s="150"/>
      <c r="EA6" s="204"/>
      <c r="EB6" s="212">
        <v>341</v>
      </c>
      <c r="EC6" s="150">
        <v>349</v>
      </c>
      <c r="ED6" s="204">
        <f>EC6-EB6</f>
        <v>8</v>
      </c>
      <c r="EE6" s="212">
        <v>114</v>
      </c>
      <c r="EF6" s="150">
        <v>120</v>
      </c>
      <c r="EG6" s="204">
        <f>EF6-EE6</f>
        <v>6</v>
      </c>
      <c r="EH6" s="212">
        <v>71</v>
      </c>
      <c r="EI6" s="150">
        <v>75</v>
      </c>
      <c r="EJ6" s="204">
        <f>EI6-EH6</f>
        <v>4</v>
      </c>
      <c r="EK6" s="212">
        <v>100</v>
      </c>
      <c r="EL6" s="150">
        <v>104</v>
      </c>
      <c r="EM6" s="204">
        <f>EL6-EK6</f>
        <v>4</v>
      </c>
      <c r="EN6" s="212">
        <f t="shared" ref="EN6:EN36" si="17">AH6+AM6+AR6+AW6+BB6+BG6+BL6+BQ6+BV6</f>
        <v>52</v>
      </c>
      <c r="EO6" s="150">
        <f t="shared" ref="EO6:EO36" si="18">(EN6/V6)*100</f>
        <v>15.294117647058824</v>
      </c>
      <c r="EP6" s="204"/>
    </row>
    <row r="7" spans="1:146" ht="15" customHeight="1" x14ac:dyDescent="0.2">
      <c r="A7" s="148">
        <v>2</v>
      </c>
      <c r="B7" s="148">
        <f>C6</f>
        <v>15396</v>
      </c>
      <c r="C7" s="149">
        <v>15466</v>
      </c>
      <c r="D7" s="142">
        <f t="shared" ref="D7:D36" si="19">MAX(0,C7-B7)</f>
        <v>70</v>
      </c>
      <c r="E7" s="197"/>
      <c r="F7" s="148">
        <v>2</v>
      </c>
      <c r="G7" s="148">
        <f>H6</f>
        <v>13190</v>
      </c>
      <c r="H7" s="141">
        <v>13198</v>
      </c>
      <c r="I7" s="142">
        <f t="shared" ref="I7:I36" si="20">MAX(0,H7-G7)</f>
        <v>8</v>
      </c>
      <c r="J7" s="197"/>
      <c r="K7" s="148">
        <v>2</v>
      </c>
      <c r="L7" s="148">
        <f>M6</f>
        <v>764462</v>
      </c>
      <c r="M7" s="149">
        <v>764718</v>
      </c>
      <c r="N7" s="142">
        <f t="shared" ref="N7:N36" si="21">MAX(0,M7-L7)</f>
        <v>256</v>
      </c>
      <c r="O7" s="144"/>
      <c r="P7" s="148">
        <v>2</v>
      </c>
      <c r="Q7" s="148">
        <f>R6</f>
        <v>210814</v>
      </c>
      <c r="R7" s="149">
        <v>210829</v>
      </c>
      <c r="S7" s="142">
        <f t="shared" ref="S7:S36" si="22">MAX(0,R7-Q7)</f>
        <v>15</v>
      </c>
      <c r="T7" s="143"/>
      <c r="U7" s="148">
        <v>2</v>
      </c>
      <c r="V7" s="214">
        <f t="shared" ref="V7:V36" si="23">SUM(S7+N7+I7+D7)</f>
        <v>349</v>
      </c>
      <c r="W7" s="146">
        <f>'Maldives at LG Daily'!I6</f>
        <v>5275</v>
      </c>
      <c r="X7" s="151"/>
      <c r="Z7" s="206">
        <v>2</v>
      </c>
      <c r="AA7" s="150">
        <f>AB6</f>
        <v>38773</v>
      </c>
      <c r="AB7" s="150">
        <f>38773+15</f>
        <v>38788</v>
      </c>
      <c r="AC7" s="150">
        <f t="shared" ref="AC7:AC36" si="24">AB7-AA7</f>
        <v>15</v>
      </c>
      <c r="AD7" s="150">
        <f>AC7-AC6</f>
        <v>-1</v>
      </c>
      <c r="AE7" s="307"/>
      <c r="AF7" s="206">
        <f>AG6</f>
        <v>8390</v>
      </c>
      <c r="AG7" s="150">
        <f>8390+4</f>
        <v>8394</v>
      </c>
      <c r="AH7" s="150">
        <f t="shared" ref="AH7:AH36" si="25">AG7-AF7</f>
        <v>4</v>
      </c>
      <c r="AI7" s="150">
        <f>AH7-AH6</f>
        <v>-1</v>
      </c>
      <c r="AJ7" s="150"/>
      <c r="AK7" s="206">
        <f>AL6</f>
        <v>6310</v>
      </c>
      <c r="AL7" s="150">
        <v>6315</v>
      </c>
      <c r="AM7" s="150">
        <f t="shared" ref="AM7:AM36" si="26">AL7-AK7</f>
        <v>5</v>
      </c>
      <c r="AN7" s="150">
        <f>AM7-AM6</f>
        <v>-1</v>
      </c>
      <c r="AO7" s="150"/>
      <c r="AP7" s="206">
        <f>AQ6</f>
        <v>14833</v>
      </c>
      <c r="AQ7" s="150">
        <f>14833+10</f>
        <v>14843</v>
      </c>
      <c r="AR7" s="150">
        <f t="shared" si="0"/>
        <v>10</v>
      </c>
      <c r="AS7" s="150">
        <f>AR7-AR6</f>
        <v>1</v>
      </c>
      <c r="AT7" s="150"/>
      <c r="AU7" s="206">
        <f>AV6</f>
        <v>32471</v>
      </c>
      <c r="AV7" s="150">
        <f>32471+6</f>
        <v>32477</v>
      </c>
      <c r="AW7" s="150">
        <f t="shared" si="1"/>
        <v>6</v>
      </c>
      <c r="AX7" s="150">
        <f>AW7-AW6</f>
        <v>0</v>
      </c>
      <c r="AY7" s="150"/>
      <c r="AZ7" s="206">
        <f>BA6</f>
        <v>6589</v>
      </c>
      <c r="BA7" s="150">
        <f>6589+6</f>
        <v>6595</v>
      </c>
      <c r="BB7" s="150">
        <f t="shared" si="2"/>
        <v>6</v>
      </c>
      <c r="BC7" s="150">
        <f>BB7-BB6</f>
        <v>-1</v>
      </c>
      <c r="BD7" s="150"/>
      <c r="BE7" s="206">
        <f>BF6</f>
        <v>22805</v>
      </c>
      <c r="BF7" s="150">
        <f>22805+7</f>
        <v>22812</v>
      </c>
      <c r="BG7" s="150">
        <f t="shared" si="3"/>
        <v>7</v>
      </c>
      <c r="BH7" s="150">
        <f>BG7-BG6</f>
        <v>0</v>
      </c>
      <c r="BI7" s="150"/>
      <c r="BJ7" s="206">
        <f>BK6</f>
        <v>6909</v>
      </c>
      <c r="BK7" s="150">
        <f>6909+10</f>
        <v>6919</v>
      </c>
      <c r="BL7" s="150">
        <f t="shared" si="4"/>
        <v>10</v>
      </c>
      <c r="BM7" s="150">
        <f>BL7-BL6</f>
        <v>0</v>
      </c>
      <c r="BN7" s="150"/>
      <c r="BO7" s="206">
        <f>BP6</f>
        <v>3480</v>
      </c>
      <c r="BP7" s="150">
        <v>3482</v>
      </c>
      <c r="BQ7" s="150">
        <f t="shared" si="5"/>
        <v>2</v>
      </c>
      <c r="BR7" s="150">
        <f>BQ7-BQ6</f>
        <v>0</v>
      </c>
      <c r="BS7" s="150"/>
      <c r="BT7" s="206">
        <f>BU6</f>
        <v>1551</v>
      </c>
      <c r="BU7" s="150">
        <v>1551</v>
      </c>
      <c r="BV7" s="150">
        <f t="shared" si="6"/>
        <v>0</v>
      </c>
      <c r="BW7" s="150">
        <f>BV7-BV6</f>
        <v>0</v>
      </c>
      <c r="BX7" s="150"/>
      <c r="BY7" s="212">
        <f>BZ6</f>
        <v>26812</v>
      </c>
      <c r="BZ7" s="150">
        <f>26812+3</f>
        <v>26815</v>
      </c>
      <c r="CA7" s="150">
        <f t="shared" si="7"/>
        <v>3</v>
      </c>
      <c r="CB7" s="150">
        <f>CA7-CA6</f>
        <v>-1</v>
      </c>
      <c r="CC7" s="204"/>
      <c r="CD7" s="212">
        <f>CE6</f>
        <v>2597</v>
      </c>
      <c r="CE7" s="150">
        <v>2600</v>
      </c>
      <c r="CF7" s="150">
        <f t="shared" si="8"/>
        <v>3</v>
      </c>
      <c r="CG7" s="150">
        <f>CF7-CF6</f>
        <v>-6</v>
      </c>
      <c r="CH7" s="204"/>
      <c r="CI7" s="212">
        <f>CJ6</f>
        <v>73624</v>
      </c>
      <c r="CJ7" s="150">
        <f>73624+21</f>
        <v>73645</v>
      </c>
      <c r="CK7" s="150">
        <f t="shared" si="9"/>
        <v>21</v>
      </c>
      <c r="CL7" s="150">
        <f>CK7-CK6</f>
        <v>-1</v>
      </c>
      <c r="CM7" s="204"/>
      <c r="CN7" s="212">
        <f>CO6</f>
        <v>23494</v>
      </c>
      <c r="CO7" s="150">
        <f>23494+4</f>
        <v>23498</v>
      </c>
      <c r="CP7" s="150">
        <f t="shared" si="10"/>
        <v>4</v>
      </c>
      <c r="CQ7" s="150">
        <f>CP7-CP6</f>
        <v>-1</v>
      </c>
      <c r="CR7" s="204"/>
      <c r="CS7" s="212">
        <f>CT6</f>
        <v>12477</v>
      </c>
      <c r="CT7" s="150">
        <f>12477+1</f>
        <v>12478</v>
      </c>
      <c r="CU7" s="150">
        <f t="shared" si="11"/>
        <v>1</v>
      </c>
      <c r="CV7" s="150">
        <f>CU7-CU6</f>
        <v>0</v>
      </c>
      <c r="CW7" s="204"/>
      <c r="CX7" s="212">
        <f>CY6</f>
        <v>17610</v>
      </c>
      <c r="CY7" s="150">
        <v>17615</v>
      </c>
      <c r="CZ7" s="150">
        <f t="shared" si="12"/>
        <v>5</v>
      </c>
      <c r="DA7" s="150">
        <f>CZ7-CZ6</f>
        <v>-18</v>
      </c>
      <c r="DB7" s="204"/>
      <c r="DC7" s="212">
        <f>DD6</f>
        <v>19708</v>
      </c>
      <c r="DD7" s="150">
        <v>19709</v>
      </c>
      <c r="DE7" s="150">
        <f t="shared" si="13"/>
        <v>1</v>
      </c>
      <c r="DF7" s="150">
        <f>DE7-DE6</f>
        <v>-2</v>
      </c>
      <c r="DG7" s="204"/>
      <c r="DH7" s="212">
        <f>DI6</f>
        <v>8634</v>
      </c>
      <c r="DI7" s="150">
        <f>8634+2</f>
        <v>8636</v>
      </c>
      <c r="DJ7" s="150">
        <f t="shared" si="14"/>
        <v>2</v>
      </c>
      <c r="DK7" s="150">
        <f>DJ7-DJ6</f>
        <v>1</v>
      </c>
      <c r="DL7" s="204"/>
      <c r="DM7" s="212">
        <f>DN6</f>
        <v>19418</v>
      </c>
      <c r="DN7" s="150">
        <f>19418+22</f>
        <v>19440</v>
      </c>
      <c r="DO7" s="150">
        <f t="shared" si="15"/>
        <v>22</v>
      </c>
      <c r="DP7" s="150">
        <f>DO7-DO6</f>
        <v>-4</v>
      </c>
      <c r="DQ7" s="204"/>
      <c r="DR7" s="212">
        <f>DS6</f>
        <v>1975</v>
      </c>
      <c r="DS7" s="150">
        <v>1976</v>
      </c>
      <c r="DT7" s="150">
        <f t="shared" si="16"/>
        <v>1</v>
      </c>
      <c r="DU7" s="150">
        <f>DT7-DT6</f>
        <v>0</v>
      </c>
      <c r="DV7" s="204"/>
      <c r="DW7" s="212">
        <f>DX6</f>
        <v>9700</v>
      </c>
      <c r="DX7" s="150">
        <v>9701</v>
      </c>
      <c r="DY7" s="150">
        <f>DX7-DW7</f>
        <v>1</v>
      </c>
      <c r="DZ7" s="150">
        <f>DY7-DY6</f>
        <v>1</v>
      </c>
      <c r="EA7" s="204"/>
      <c r="EB7" s="212">
        <f>EC6</f>
        <v>349</v>
      </c>
      <c r="EC7" s="150">
        <f>349+7</f>
        <v>356</v>
      </c>
      <c r="ED7" s="204">
        <f t="shared" ref="ED7:ED36" si="27">EC7-EB7</f>
        <v>7</v>
      </c>
      <c r="EE7" s="212">
        <f>EF6</f>
        <v>120</v>
      </c>
      <c r="EF7" s="150">
        <f>120+6</f>
        <v>126</v>
      </c>
      <c r="EG7" s="204">
        <f t="shared" ref="EG7:EG36" si="28">EF7-EE7</f>
        <v>6</v>
      </c>
      <c r="EH7" s="212">
        <f>EI6</f>
        <v>75</v>
      </c>
      <c r="EI7" s="150">
        <f>75+4</f>
        <v>79</v>
      </c>
      <c r="EJ7" s="204">
        <f t="shared" ref="EJ7:EJ36" si="29">EI7-EH7</f>
        <v>4</v>
      </c>
      <c r="EK7" s="212">
        <f>EL6</f>
        <v>104</v>
      </c>
      <c r="EL7" s="150">
        <f>104+4</f>
        <v>108</v>
      </c>
      <c r="EM7" s="204">
        <f t="shared" ref="EM7:EM36" si="30">EL7-EK7</f>
        <v>4</v>
      </c>
      <c r="EN7" s="212">
        <f t="shared" si="17"/>
        <v>50</v>
      </c>
      <c r="EO7" s="150">
        <f t="shared" si="18"/>
        <v>14.326647564469914</v>
      </c>
      <c r="EP7" s="204"/>
    </row>
    <row r="8" spans="1:146" ht="15" customHeight="1" x14ac:dyDescent="0.2">
      <c r="A8" s="148">
        <v>3</v>
      </c>
      <c r="B8" s="148">
        <f t="shared" ref="B8:B36" si="31">C7</f>
        <v>15466</v>
      </c>
      <c r="C8" s="149">
        <v>15491</v>
      </c>
      <c r="D8" s="142">
        <f t="shared" si="19"/>
        <v>25</v>
      </c>
      <c r="E8" s="197"/>
      <c r="F8" s="148">
        <v>3</v>
      </c>
      <c r="G8" s="148">
        <f t="shared" ref="G8:G36" si="32">H7</f>
        <v>13198</v>
      </c>
      <c r="H8" s="141">
        <v>13208</v>
      </c>
      <c r="I8" s="142">
        <f t="shared" si="20"/>
        <v>10</v>
      </c>
      <c r="J8" s="197"/>
      <c r="K8" s="148">
        <v>3</v>
      </c>
      <c r="L8" s="148">
        <f t="shared" ref="L8:L36" si="33">M7</f>
        <v>764718</v>
      </c>
      <c r="M8" s="149">
        <v>764967</v>
      </c>
      <c r="N8" s="142">
        <f t="shared" si="21"/>
        <v>249</v>
      </c>
      <c r="O8" s="144"/>
      <c r="P8" s="148">
        <v>3</v>
      </c>
      <c r="Q8" s="148">
        <f t="shared" ref="Q8:Q36" si="34">R7</f>
        <v>210829</v>
      </c>
      <c r="R8" s="149">
        <v>210891</v>
      </c>
      <c r="S8" s="142">
        <f t="shared" si="22"/>
        <v>62</v>
      </c>
      <c r="T8" s="143"/>
      <c r="U8" s="145">
        <v>3</v>
      </c>
      <c r="V8" s="214">
        <f t="shared" si="23"/>
        <v>346</v>
      </c>
      <c r="W8" s="146">
        <f>'Maldives at LG Daily'!I7</f>
        <v>3209</v>
      </c>
      <c r="X8" s="151"/>
      <c r="Z8" s="206">
        <v>3</v>
      </c>
      <c r="AA8" s="150">
        <f t="shared" ref="AA8:AA36" si="35">AB7</f>
        <v>38788</v>
      </c>
      <c r="AB8" s="150">
        <v>38804</v>
      </c>
      <c r="AC8" s="150">
        <f t="shared" si="24"/>
        <v>16</v>
      </c>
      <c r="AD8" s="150">
        <f>AC8-AC7</f>
        <v>1</v>
      </c>
      <c r="AE8" s="307"/>
      <c r="AF8" s="206">
        <f t="shared" ref="AF8:AF36" si="36">AG7</f>
        <v>8394</v>
      </c>
      <c r="AG8" s="150">
        <v>8401</v>
      </c>
      <c r="AH8" s="150">
        <f t="shared" si="25"/>
        <v>7</v>
      </c>
      <c r="AI8" s="150">
        <f>AH8-AH7</f>
        <v>3</v>
      </c>
      <c r="AJ8" s="150"/>
      <c r="AK8" s="206">
        <f t="shared" ref="AK8:AK36" si="37">AL7</f>
        <v>6315</v>
      </c>
      <c r="AL8" s="150">
        <v>6322</v>
      </c>
      <c r="AM8" s="150">
        <f t="shared" si="26"/>
        <v>7</v>
      </c>
      <c r="AN8" s="150">
        <f t="shared" ref="AN8:AN36" si="38">AM8-AM7</f>
        <v>2</v>
      </c>
      <c r="AO8" s="150"/>
      <c r="AP8" s="206">
        <f t="shared" ref="AP8:AP36" si="39">AQ7</f>
        <v>14843</v>
      </c>
      <c r="AQ8" s="150">
        <v>14853</v>
      </c>
      <c r="AR8" s="150">
        <f t="shared" si="0"/>
        <v>10</v>
      </c>
      <c r="AS8" s="150">
        <f t="shared" ref="AS8:AS36" si="40">AR8-AR7</f>
        <v>0</v>
      </c>
      <c r="AT8" s="150"/>
      <c r="AU8" s="206">
        <f t="shared" ref="AU8:AU36" si="41">AV7</f>
        <v>32477</v>
      </c>
      <c r="AV8" s="150">
        <v>32484</v>
      </c>
      <c r="AW8" s="150">
        <f t="shared" si="1"/>
        <v>7</v>
      </c>
      <c r="AX8" s="150">
        <f t="shared" ref="AX8:AX36" si="42">AW8-AW7</f>
        <v>1</v>
      </c>
      <c r="AY8" s="150"/>
      <c r="AZ8" s="206">
        <f t="shared" ref="AZ8:AZ36" si="43">BA7</f>
        <v>6595</v>
      </c>
      <c r="BA8" s="150">
        <v>6604</v>
      </c>
      <c r="BB8" s="150">
        <f t="shared" si="2"/>
        <v>9</v>
      </c>
      <c r="BC8" s="150">
        <f t="shared" ref="BC8:BC36" si="44">BB8-BB7</f>
        <v>3</v>
      </c>
      <c r="BD8" s="150"/>
      <c r="BE8" s="206">
        <f t="shared" ref="BE8:BE36" si="45">BF7</f>
        <v>22812</v>
      </c>
      <c r="BF8" s="150">
        <v>22819</v>
      </c>
      <c r="BG8" s="150">
        <f t="shared" si="3"/>
        <v>7</v>
      </c>
      <c r="BH8" s="150">
        <f t="shared" ref="BH8:BH36" si="46">BG8-BG7</f>
        <v>0</v>
      </c>
      <c r="BI8" s="150"/>
      <c r="BJ8" s="206">
        <f t="shared" ref="BJ8:BJ36" si="47">BK7</f>
        <v>6919</v>
      </c>
      <c r="BK8" s="150">
        <v>6930</v>
      </c>
      <c r="BL8" s="150">
        <f t="shared" si="4"/>
        <v>11</v>
      </c>
      <c r="BM8" s="150">
        <f t="shared" ref="BM8:BM36" si="48">BL8-BL7</f>
        <v>1</v>
      </c>
      <c r="BN8" s="150"/>
      <c r="BO8" s="206">
        <f t="shared" ref="BO8:BO36" si="49">BP7</f>
        <v>3482</v>
      </c>
      <c r="BP8" s="150">
        <v>3485</v>
      </c>
      <c r="BQ8" s="150">
        <f t="shared" si="5"/>
        <v>3</v>
      </c>
      <c r="BR8" s="150">
        <f t="shared" ref="BR8:BR36" si="50">BQ8-BQ7</f>
        <v>1</v>
      </c>
      <c r="BS8" s="150"/>
      <c r="BT8" s="206">
        <f t="shared" ref="BT8:BT36" si="51">BU7</f>
        <v>1551</v>
      </c>
      <c r="BU8" s="150">
        <v>1552</v>
      </c>
      <c r="BV8" s="150">
        <f t="shared" si="6"/>
        <v>1</v>
      </c>
      <c r="BW8" s="150">
        <f t="shared" ref="BW8:BW36" si="52">BV8-BV7</f>
        <v>1</v>
      </c>
      <c r="BX8" s="150"/>
      <c r="BY8" s="212">
        <f t="shared" ref="BY8:BY36" si="53">BZ7</f>
        <v>26815</v>
      </c>
      <c r="BZ8" s="150">
        <v>26819</v>
      </c>
      <c r="CA8" s="150">
        <f t="shared" si="7"/>
        <v>4</v>
      </c>
      <c r="CB8" s="150">
        <f t="shared" ref="CB8:CB36" si="54">CA8-CA7</f>
        <v>1</v>
      </c>
      <c r="CC8" s="204"/>
      <c r="CD8" s="212">
        <f t="shared" ref="CD8:CD36" si="55">CE7</f>
        <v>2600</v>
      </c>
      <c r="CE8" s="150">
        <v>2600</v>
      </c>
      <c r="CF8" s="150">
        <f t="shared" si="8"/>
        <v>0</v>
      </c>
      <c r="CG8" s="150">
        <f t="shared" ref="CG8:CG36" si="56">CF8-CF7</f>
        <v>-3</v>
      </c>
      <c r="CH8" s="204"/>
      <c r="CI8" s="212">
        <f t="shared" ref="CI8:CI36" si="57">CJ7</f>
        <v>73645</v>
      </c>
      <c r="CJ8" s="150">
        <v>73669</v>
      </c>
      <c r="CK8" s="150">
        <f t="shared" si="9"/>
        <v>24</v>
      </c>
      <c r="CL8" s="150">
        <f t="shared" ref="CL8:CL36" si="58">CK8-CK7</f>
        <v>3</v>
      </c>
      <c r="CM8" s="204"/>
      <c r="CN8" s="212">
        <f t="shared" ref="CN8:CN36" si="59">CO7</f>
        <v>23498</v>
      </c>
      <c r="CO8" s="150">
        <v>23505</v>
      </c>
      <c r="CP8" s="150">
        <f t="shared" si="10"/>
        <v>7</v>
      </c>
      <c r="CQ8" s="150">
        <f t="shared" ref="CQ8:CQ36" si="60">CP8-CP7</f>
        <v>3</v>
      </c>
      <c r="CR8" s="204"/>
      <c r="CS8" s="212">
        <f t="shared" ref="CS8:CS36" si="61">CT7</f>
        <v>12478</v>
      </c>
      <c r="CT8" s="150">
        <v>12478</v>
      </c>
      <c r="CU8" s="150">
        <f t="shared" si="11"/>
        <v>0</v>
      </c>
      <c r="CV8" s="150">
        <f t="shared" ref="CV8:CV36" si="62">CU8-CU7</f>
        <v>-1</v>
      </c>
      <c r="CW8" s="204"/>
      <c r="CX8" s="212">
        <f t="shared" ref="CX8:CX36" si="63">CY7</f>
        <v>17615</v>
      </c>
      <c r="CY8" s="150">
        <v>17622</v>
      </c>
      <c r="CZ8" s="150">
        <f t="shared" si="12"/>
        <v>7</v>
      </c>
      <c r="DA8" s="150">
        <f t="shared" ref="DA8:DA36" si="64">CZ8-CZ7</f>
        <v>2</v>
      </c>
      <c r="DB8" s="204"/>
      <c r="DC8" s="212">
        <f t="shared" ref="DC8:DC36" si="65">DD7</f>
        <v>19709</v>
      </c>
      <c r="DD8" s="150">
        <v>19710</v>
      </c>
      <c r="DE8" s="150">
        <f t="shared" si="13"/>
        <v>1</v>
      </c>
      <c r="DF8" s="150">
        <f t="shared" ref="DF8:DF36" si="66">DE8-DE7</f>
        <v>0</v>
      </c>
      <c r="DG8" s="204"/>
      <c r="DH8" s="212">
        <f t="shared" ref="DH8:DH36" si="67">DI7</f>
        <v>8636</v>
      </c>
      <c r="DI8" s="150">
        <v>8637</v>
      </c>
      <c r="DJ8" s="150">
        <f t="shared" si="14"/>
        <v>1</v>
      </c>
      <c r="DK8" s="150">
        <f t="shared" ref="DK8:DK36" si="68">DJ8-DJ7</f>
        <v>-1</v>
      </c>
      <c r="DL8" s="204"/>
      <c r="DM8" s="212">
        <f t="shared" ref="DM8:DM36" si="69">DN7</f>
        <v>19440</v>
      </c>
      <c r="DN8" s="150">
        <v>19440</v>
      </c>
      <c r="DO8" s="150">
        <f t="shared" si="15"/>
        <v>0</v>
      </c>
      <c r="DP8" s="150">
        <f t="shared" ref="DP8:DP36" si="70">DO8-DO7</f>
        <v>-22</v>
      </c>
      <c r="DQ8" s="204"/>
      <c r="DR8" s="212">
        <f t="shared" ref="DR8:DR36" si="71">DS7</f>
        <v>1976</v>
      </c>
      <c r="DS8" s="150">
        <v>1978</v>
      </c>
      <c r="DT8" s="150">
        <f t="shared" si="16"/>
        <v>2</v>
      </c>
      <c r="DU8" s="150">
        <f t="shared" ref="DU8:DU36" si="72">DT8-DT7</f>
        <v>1</v>
      </c>
      <c r="DV8" s="204"/>
      <c r="DW8" s="212">
        <f t="shared" ref="DW8:DW36" si="73">DX7</f>
        <v>9701</v>
      </c>
      <c r="DX8" s="150">
        <v>9709</v>
      </c>
      <c r="DY8" s="150">
        <f t="shared" ref="DY8:DY36" si="74">DX8-DW8</f>
        <v>8</v>
      </c>
      <c r="DZ8" s="150">
        <f t="shared" ref="DZ8:DZ36" si="75">DY8-DY7</f>
        <v>7</v>
      </c>
      <c r="EA8" s="204"/>
      <c r="EB8" s="212">
        <f t="shared" ref="EB8:EB18" si="76">EC7</f>
        <v>356</v>
      </c>
      <c r="EC8" s="150">
        <v>367</v>
      </c>
      <c r="ED8" s="204">
        <f t="shared" si="27"/>
        <v>11</v>
      </c>
      <c r="EE8" s="212">
        <f t="shared" ref="EE8:EE14" si="77">EF7</f>
        <v>126</v>
      </c>
      <c r="EF8" s="150">
        <v>133</v>
      </c>
      <c r="EG8" s="204">
        <f t="shared" si="28"/>
        <v>7</v>
      </c>
      <c r="EH8" s="212">
        <f t="shared" ref="EH8:EH14" si="78">EI7</f>
        <v>79</v>
      </c>
      <c r="EI8" s="150">
        <v>82</v>
      </c>
      <c r="EJ8" s="204">
        <f t="shared" si="29"/>
        <v>3</v>
      </c>
      <c r="EK8" s="212">
        <f t="shared" ref="EK8:EK16" si="79">EL7</f>
        <v>108</v>
      </c>
      <c r="EL8" s="150">
        <v>110</v>
      </c>
      <c r="EM8" s="204">
        <f t="shared" si="30"/>
        <v>2</v>
      </c>
      <c r="EN8" s="212">
        <f t="shared" si="17"/>
        <v>62</v>
      </c>
      <c r="EO8" s="150">
        <f t="shared" si="18"/>
        <v>17.919075144508671</v>
      </c>
      <c r="EP8" s="204"/>
    </row>
    <row r="9" spans="1:146" ht="15" customHeight="1" x14ac:dyDescent="0.2">
      <c r="A9" s="148">
        <v>4</v>
      </c>
      <c r="B9" s="148">
        <f t="shared" si="31"/>
        <v>15491</v>
      </c>
      <c r="C9" s="149">
        <v>15502</v>
      </c>
      <c r="D9" s="142">
        <f t="shared" si="19"/>
        <v>11</v>
      </c>
      <c r="E9" s="197"/>
      <c r="F9" s="148">
        <v>4</v>
      </c>
      <c r="G9" s="148">
        <f t="shared" si="32"/>
        <v>13208</v>
      </c>
      <c r="H9" s="141">
        <v>13270</v>
      </c>
      <c r="I9" s="142">
        <f t="shared" si="20"/>
        <v>62</v>
      </c>
      <c r="J9" s="197"/>
      <c r="K9" s="148">
        <v>4</v>
      </c>
      <c r="L9" s="148">
        <f t="shared" si="33"/>
        <v>764967</v>
      </c>
      <c r="M9" s="149">
        <v>765189</v>
      </c>
      <c r="N9" s="142">
        <f t="shared" si="21"/>
        <v>222</v>
      </c>
      <c r="O9" s="144"/>
      <c r="P9" s="148">
        <v>4</v>
      </c>
      <c r="Q9" s="148">
        <f t="shared" si="34"/>
        <v>210891</v>
      </c>
      <c r="R9" s="149">
        <v>210936</v>
      </c>
      <c r="S9" s="142">
        <f t="shared" si="22"/>
        <v>45</v>
      </c>
      <c r="T9" s="143"/>
      <c r="U9" s="145">
        <v>4</v>
      </c>
      <c r="V9" s="214">
        <f>SUM(S9+N9+I9+D9)</f>
        <v>340</v>
      </c>
      <c r="W9" s="146">
        <f>'Maldives at LG Daily'!I8</f>
        <v>7157</v>
      </c>
      <c r="X9" s="151"/>
      <c r="Z9" s="206">
        <v>4</v>
      </c>
      <c r="AA9" s="150">
        <f t="shared" si="35"/>
        <v>38804</v>
      </c>
      <c r="AB9" s="150">
        <v>38820</v>
      </c>
      <c r="AC9" s="150">
        <f t="shared" si="24"/>
        <v>16</v>
      </c>
      <c r="AD9" s="150">
        <f t="shared" ref="AD9:AD36" si="80">AC9-AC8</f>
        <v>0</v>
      </c>
      <c r="AE9" s="307"/>
      <c r="AF9" s="206">
        <f t="shared" si="36"/>
        <v>8401</v>
      </c>
      <c r="AG9" s="150">
        <v>8407</v>
      </c>
      <c r="AH9" s="150">
        <f t="shared" si="25"/>
        <v>6</v>
      </c>
      <c r="AI9" s="150">
        <f t="shared" ref="AI9:AI36" si="81">AH9-AH8</f>
        <v>-1</v>
      </c>
      <c r="AJ9" s="150"/>
      <c r="AK9" s="206">
        <f t="shared" si="37"/>
        <v>6322</v>
      </c>
      <c r="AL9" s="150">
        <v>6328</v>
      </c>
      <c r="AM9" s="150">
        <f t="shared" si="26"/>
        <v>6</v>
      </c>
      <c r="AN9" s="150">
        <f t="shared" si="38"/>
        <v>-1</v>
      </c>
      <c r="AO9" s="150"/>
      <c r="AP9" s="206">
        <f t="shared" si="39"/>
        <v>14853</v>
      </c>
      <c r="AQ9" s="150">
        <v>14861</v>
      </c>
      <c r="AR9" s="150">
        <f t="shared" si="0"/>
        <v>8</v>
      </c>
      <c r="AS9" s="150">
        <f t="shared" si="40"/>
        <v>-2</v>
      </c>
      <c r="AT9" s="150"/>
      <c r="AU9" s="206">
        <f t="shared" si="41"/>
        <v>32484</v>
      </c>
      <c r="AV9" s="150">
        <v>32491</v>
      </c>
      <c r="AW9" s="150">
        <f t="shared" si="1"/>
        <v>7</v>
      </c>
      <c r="AX9" s="150">
        <f t="shared" si="42"/>
        <v>0</v>
      </c>
      <c r="AY9" s="150"/>
      <c r="AZ9" s="206">
        <f t="shared" si="43"/>
        <v>6604</v>
      </c>
      <c r="BA9" s="150">
        <v>6611</v>
      </c>
      <c r="BB9" s="150">
        <f t="shared" si="2"/>
        <v>7</v>
      </c>
      <c r="BC9" s="150">
        <f t="shared" si="44"/>
        <v>-2</v>
      </c>
      <c r="BD9" s="150"/>
      <c r="BE9" s="206">
        <f t="shared" si="45"/>
        <v>22819</v>
      </c>
      <c r="BF9" s="150">
        <v>22826</v>
      </c>
      <c r="BG9" s="150">
        <f t="shared" si="3"/>
        <v>7</v>
      </c>
      <c r="BH9" s="150">
        <f t="shared" si="46"/>
        <v>0</v>
      </c>
      <c r="BI9" s="150"/>
      <c r="BJ9" s="206">
        <f t="shared" si="47"/>
        <v>6930</v>
      </c>
      <c r="BK9" s="150">
        <v>6938</v>
      </c>
      <c r="BL9" s="150">
        <f t="shared" si="4"/>
        <v>8</v>
      </c>
      <c r="BM9" s="150">
        <f t="shared" si="48"/>
        <v>-3</v>
      </c>
      <c r="BN9" s="150"/>
      <c r="BO9" s="206">
        <f t="shared" si="49"/>
        <v>3485</v>
      </c>
      <c r="BP9" s="150">
        <v>3487</v>
      </c>
      <c r="BQ9" s="150">
        <f t="shared" si="5"/>
        <v>2</v>
      </c>
      <c r="BR9" s="150">
        <f t="shared" si="50"/>
        <v>-1</v>
      </c>
      <c r="BS9" s="150"/>
      <c r="BT9" s="206">
        <f t="shared" si="51"/>
        <v>1552</v>
      </c>
      <c r="BU9" s="150">
        <v>1552</v>
      </c>
      <c r="BV9" s="150">
        <f t="shared" si="6"/>
        <v>0</v>
      </c>
      <c r="BW9" s="150">
        <f t="shared" si="52"/>
        <v>-1</v>
      </c>
      <c r="BX9" s="150"/>
      <c r="BY9" s="212">
        <f t="shared" si="53"/>
        <v>26819</v>
      </c>
      <c r="BZ9" s="150">
        <v>26829</v>
      </c>
      <c r="CA9" s="150">
        <f t="shared" si="7"/>
        <v>10</v>
      </c>
      <c r="CB9" s="150">
        <f t="shared" si="54"/>
        <v>6</v>
      </c>
      <c r="CC9" s="204"/>
      <c r="CD9" s="212">
        <f t="shared" si="55"/>
        <v>2600</v>
      </c>
      <c r="CE9" s="150">
        <v>2603</v>
      </c>
      <c r="CF9" s="150">
        <f t="shared" si="8"/>
        <v>3</v>
      </c>
      <c r="CG9" s="150">
        <f t="shared" si="56"/>
        <v>3</v>
      </c>
      <c r="CH9" s="204"/>
      <c r="CI9" s="212">
        <f t="shared" si="57"/>
        <v>73669</v>
      </c>
      <c r="CJ9" s="150">
        <v>73689</v>
      </c>
      <c r="CK9" s="150">
        <f t="shared" si="9"/>
        <v>20</v>
      </c>
      <c r="CL9" s="150">
        <f t="shared" si="58"/>
        <v>-4</v>
      </c>
      <c r="CM9" s="204"/>
      <c r="CN9" s="212">
        <f t="shared" si="59"/>
        <v>23505</v>
      </c>
      <c r="CO9" s="150">
        <v>23509</v>
      </c>
      <c r="CP9" s="150">
        <f t="shared" si="10"/>
        <v>4</v>
      </c>
      <c r="CQ9" s="150">
        <f t="shared" si="60"/>
        <v>-3</v>
      </c>
      <c r="CR9" s="204"/>
      <c r="CS9" s="212">
        <f t="shared" si="61"/>
        <v>12478</v>
      </c>
      <c r="CT9" s="150">
        <v>12479</v>
      </c>
      <c r="CU9" s="150">
        <f t="shared" si="11"/>
        <v>1</v>
      </c>
      <c r="CV9" s="150">
        <f t="shared" si="62"/>
        <v>1</v>
      </c>
      <c r="CW9" s="204"/>
      <c r="CX9" s="212">
        <f t="shared" si="63"/>
        <v>17622</v>
      </c>
      <c r="CY9" s="150">
        <v>17631</v>
      </c>
      <c r="CZ9" s="150">
        <f t="shared" si="12"/>
        <v>9</v>
      </c>
      <c r="DA9" s="150">
        <f t="shared" si="64"/>
        <v>2</v>
      </c>
      <c r="DB9" s="204"/>
      <c r="DC9" s="212">
        <f t="shared" si="65"/>
        <v>19710</v>
      </c>
      <c r="DD9" s="150">
        <v>19712</v>
      </c>
      <c r="DE9" s="150">
        <f t="shared" si="13"/>
        <v>2</v>
      </c>
      <c r="DF9" s="150">
        <f t="shared" si="66"/>
        <v>1</v>
      </c>
      <c r="DG9" s="204"/>
      <c r="DH9" s="212">
        <f t="shared" si="67"/>
        <v>8637</v>
      </c>
      <c r="DI9" s="150">
        <v>8639</v>
      </c>
      <c r="DJ9" s="150">
        <f t="shared" si="14"/>
        <v>2</v>
      </c>
      <c r="DK9" s="150">
        <f t="shared" si="68"/>
        <v>1</v>
      </c>
      <c r="DL9" s="204"/>
      <c r="DM9" s="212">
        <f t="shared" si="69"/>
        <v>19440</v>
      </c>
      <c r="DN9" s="150">
        <v>19440</v>
      </c>
      <c r="DO9" s="150">
        <f t="shared" si="15"/>
        <v>0</v>
      </c>
      <c r="DP9" s="150">
        <f t="shared" si="70"/>
        <v>0</v>
      </c>
      <c r="DQ9" s="204"/>
      <c r="DR9" s="212">
        <f t="shared" si="71"/>
        <v>1978</v>
      </c>
      <c r="DS9" s="150">
        <v>1981</v>
      </c>
      <c r="DT9" s="150">
        <f t="shared" si="16"/>
        <v>3</v>
      </c>
      <c r="DU9" s="150">
        <f t="shared" si="72"/>
        <v>1</v>
      </c>
      <c r="DV9" s="204"/>
      <c r="DW9" s="212">
        <f t="shared" si="73"/>
        <v>9709</v>
      </c>
      <c r="DX9" s="150">
        <v>9720</v>
      </c>
      <c r="DY9" s="150">
        <f t="shared" si="74"/>
        <v>11</v>
      </c>
      <c r="DZ9" s="150">
        <f t="shared" si="75"/>
        <v>3</v>
      </c>
      <c r="EA9" s="204"/>
      <c r="EB9" s="212">
        <f t="shared" si="76"/>
        <v>367</v>
      </c>
      <c r="EC9" s="150">
        <v>377</v>
      </c>
      <c r="ED9" s="204">
        <f t="shared" si="27"/>
        <v>10</v>
      </c>
      <c r="EE9" s="212">
        <f t="shared" si="77"/>
        <v>133</v>
      </c>
      <c r="EF9" s="150">
        <v>140</v>
      </c>
      <c r="EG9" s="204">
        <f t="shared" si="28"/>
        <v>7</v>
      </c>
      <c r="EH9" s="212">
        <f t="shared" si="78"/>
        <v>82</v>
      </c>
      <c r="EI9" s="150">
        <v>86</v>
      </c>
      <c r="EJ9" s="204">
        <f t="shared" si="29"/>
        <v>4</v>
      </c>
      <c r="EK9" s="212">
        <f t="shared" si="79"/>
        <v>110</v>
      </c>
      <c r="EL9" s="150">
        <v>114</v>
      </c>
      <c r="EM9" s="204">
        <f t="shared" si="30"/>
        <v>4</v>
      </c>
      <c r="EN9" s="212">
        <f t="shared" si="17"/>
        <v>51</v>
      </c>
      <c r="EO9" s="150">
        <f t="shared" si="18"/>
        <v>15</v>
      </c>
      <c r="EP9" s="204"/>
    </row>
    <row r="10" spans="1:146" ht="15" customHeight="1" x14ac:dyDescent="0.2">
      <c r="A10" s="148">
        <v>5</v>
      </c>
      <c r="B10" s="148">
        <f t="shared" si="31"/>
        <v>15502</v>
      </c>
      <c r="C10" s="149">
        <v>15503</v>
      </c>
      <c r="D10" s="142">
        <f t="shared" si="19"/>
        <v>1</v>
      </c>
      <c r="E10" s="197"/>
      <c r="F10" s="148">
        <v>5</v>
      </c>
      <c r="G10" s="148">
        <f t="shared" si="32"/>
        <v>13270</v>
      </c>
      <c r="H10" s="141">
        <v>13270</v>
      </c>
      <c r="I10" s="142">
        <f t="shared" si="20"/>
        <v>0</v>
      </c>
      <c r="J10" s="197"/>
      <c r="K10" s="148">
        <v>5</v>
      </c>
      <c r="L10" s="148">
        <f t="shared" si="33"/>
        <v>765189</v>
      </c>
      <c r="M10" s="149">
        <v>765406</v>
      </c>
      <c r="N10" s="142">
        <f t="shared" si="21"/>
        <v>217</v>
      </c>
      <c r="O10" s="144"/>
      <c r="P10" s="148">
        <v>5</v>
      </c>
      <c r="Q10" s="148">
        <f t="shared" si="34"/>
        <v>210936</v>
      </c>
      <c r="R10" s="149">
        <v>210993</v>
      </c>
      <c r="S10" s="142">
        <f t="shared" si="22"/>
        <v>57</v>
      </c>
      <c r="T10" s="143"/>
      <c r="U10" s="148">
        <v>5</v>
      </c>
      <c r="V10" s="214">
        <f t="shared" si="23"/>
        <v>275</v>
      </c>
      <c r="W10" s="146">
        <f>'Maldives at LG Daily'!I9</f>
        <v>2548</v>
      </c>
      <c r="X10" s="151"/>
      <c r="Z10" s="206">
        <v>5</v>
      </c>
      <c r="AA10" s="150">
        <f t="shared" si="35"/>
        <v>38820</v>
      </c>
      <c r="AB10" s="150">
        <v>38841</v>
      </c>
      <c r="AC10" s="150">
        <f t="shared" si="24"/>
        <v>21</v>
      </c>
      <c r="AD10" s="150">
        <f t="shared" si="80"/>
        <v>5</v>
      </c>
      <c r="AE10" s="307"/>
      <c r="AF10" s="206">
        <f t="shared" si="36"/>
        <v>8407</v>
      </c>
      <c r="AG10" s="150">
        <v>8413</v>
      </c>
      <c r="AH10" s="150">
        <f t="shared" si="25"/>
        <v>6</v>
      </c>
      <c r="AI10" s="150">
        <f t="shared" si="81"/>
        <v>0</v>
      </c>
      <c r="AJ10" s="150"/>
      <c r="AK10" s="206">
        <f t="shared" si="37"/>
        <v>6328</v>
      </c>
      <c r="AL10" s="150">
        <v>6336</v>
      </c>
      <c r="AM10" s="150">
        <f t="shared" si="26"/>
        <v>8</v>
      </c>
      <c r="AN10" s="150">
        <f t="shared" si="38"/>
        <v>2</v>
      </c>
      <c r="AO10" s="150"/>
      <c r="AP10" s="206">
        <f t="shared" si="39"/>
        <v>14861</v>
      </c>
      <c r="AQ10" s="150">
        <v>14870</v>
      </c>
      <c r="AR10" s="150">
        <f t="shared" si="0"/>
        <v>9</v>
      </c>
      <c r="AS10" s="150">
        <f t="shared" si="40"/>
        <v>1</v>
      </c>
      <c r="AT10" s="150"/>
      <c r="AU10" s="206">
        <f t="shared" si="41"/>
        <v>32491</v>
      </c>
      <c r="AV10" s="150">
        <v>32496</v>
      </c>
      <c r="AW10" s="150">
        <f t="shared" si="1"/>
        <v>5</v>
      </c>
      <c r="AX10" s="150">
        <f t="shared" si="42"/>
        <v>-2</v>
      </c>
      <c r="AY10" s="150"/>
      <c r="AZ10" s="206">
        <f t="shared" si="43"/>
        <v>6611</v>
      </c>
      <c r="BA10" s="150">
        <v>6615</v>
      </c>
      <c r="BB10" s="150">
        <f t="shared" si="2"/>
        <v>4</v>
      </c>
      <c r="BC10" s="150">
        <f t="shared" si="44"/>
        <v>-3</v>
      </c>
      <c r="BD10" s="150"/>
      <c r="BE10" s="206">
        <f t="shared" si="45"/>
        <v>22826</v>
      </c>
      <c r="BF10" s="150">
        <v>22835</v>
      </c>
      <c r="BG10" s="150">
        <f t="shared" si="3"/>
        <v>9</v>
      </c>
      <c r="BH10" s="150">
        <f t="shared" si="46"/>
        <v>2</v>
      </c>
      <c r="BI10" s="150"/>
      <c r="BJ10" s="206">
        <f t="shared" si="47"/>
        <v>6938</v>
      </c>
      <c r="BK10" s="150">
        <v>6946</v>
      </c>
      <c r="BL10" s="150">
        <f t="shared" si="4"/>
        <v>8</v>
      </c>
      <c r="BM10" s="150">
        <f t="shared" si="48"/>
        <v>0</v>
      </c>
      <c r="BN10" s="150"/>
      <c r="BO10" s="206">
        <f t="shared" si="49"/>
        <v>3487</v>
      </c>
      <c r="BP10" s="150">
        <v>3488</v>
      </c>
      <c r="BQ10" s="150">
        <f t="shared" si="5"/>
        <v>1</v>
      </c>
      <c r="BR10" s="150">
        <f t="shared" si="50"/>
        <v>-1</v>
      </c>
      <c r="BS10" s="150"/>
      <c r="BT10" s="206">
        <f t="shared" si="51"/>
        <v>1552</v>
      </c>
      <c r="BU10" s="150">
        <v>1552</v>
      </c>
      <c r="BV10" s="150">
        <f t="shared" si="6"/>
        <v>0</v>
      </c>
      <c r="BW10" s="150">
        <f t="shared" si="52"/>
        <v>0</v>
      </c>
      <c r="BX10" s="150"/>
      <c r="BY10" s="212">
        <f t="shared" si="53"/>
        <v>26829</v>
      </c>
      <c r="BZ10" s="150">
        <v>26831</v>
      </c>
      <c r="CA10" s="150">
        <f t="shared" si="7"/>
        <v>2</v>
      </c>
      <c r="CB10" s="150">
        <f t="shared" si="54"/>
        <v>-8</v>
      </c>
      <c r="CC10" s="204"/>
      <c r="CD10" s="212">
        <f t="shared" si="55"/>
        <v>2603</v>
      </c>
      <c r="CE10" s="150">
        <v>2608</v>
      </c>
      <c r="CF10" s="150">
        <f t="shared" si="8"/>
        <v>5</v>
      </c>
      <c r="CG10" s="150">
        <f t="shared" si="56"/>
        <v>2</v>
      </c>
      <c r="CH10" s="204"/>
      <c r="CI10" s="212">
        <f t="shared" si="57"/>
        <v>73689</v>
      </c>
      <c r="CJ10" s="150">
        <v>73710</v>
      </c>
      <c r="CK10" s="150">
        <f t="shared" si="9"/>
        <v>21</v>
      </c>
      <c r="CL10" s="150">
        <f t="shared" si="58"/>
        <v>1</v>
      </c>
      <c r="CM10" s="204"/>
      <c r="CN10" s="212">
        <f t="shared" si="59"/>
        <v>23509</v>
      </c>
      <c r="CO10" s="150">
        <v>23512</v>
      </c>
      <c r="CP10" s="150">
        <f t="shared" si="10"/>
        <v>3</v>
      </c>
      <c r="CQ10" s="150">
        <f t="shared" si="60"/>
        <v>-1</v>
      </c>
      <c r="CR10" s="204"/>
      <c r="CS10" s="212">
        <f t="shared" si="61"/>
        <v>12479</v>
      </c>
      <c r="CT10" s="150">
        <v>12480</v>
      </c>
      <c r="CU10" s="150">
        <f t="shared" si="11"/>
        <v>1</v>
      </c>
      <c r="CV10" s="150">
        <f t="shared" si="62"/>
        <v>0</v>
      </c>
      <c r="CW10" s="204"/>
      <c r="CX10" s="212">
        <f t="shared" si="63"/>
        <v>17631</v>
      </c>
      <c r="CY10" s="150">
        <v>17634</v>
      </c>
      <c r="CZ10" s="150">
        <f t="shared" si="12"/>
        <v>3</v>
      </c>
      <c r="DA10" s="150">
        <f t="shared" si="64"/>
        <v>-6</v>
      </c>
      <c r="DB10" s="204"/>
      <c r="DC10" s="212">
        <f t="shared" si="65"/>
        <v>19712</v>
      </c>
      <c r="DD10" s="150">
        <v>19714</v>
      </c>
      <c r="DE10" s="150">
        <f t="shared" si="13"/>
        <v>2</v>
      </c>
      <c r="DF10" s="150">
        <f t="shared" si="66"/>
        <v>0</v>
      </c>
      <c r="DG10" s="204"/>
      <c r="DH10" s="212">
        <f t="shared" si="67"/>
        <v>8639</v>
      </c>
      <c r="DI10" s="150">
        <v>8642</v>
      </c>
      <c r="DJ10" s="150">
        <f t="shared" si="14"/>
        <v>3</v>
      </c>
      <c r="DK10" s="150">
        <f t="shared" si="68"/>
        <v>1</v>
      </c>
      <c r="DL10" s="204"/>
      <c r="DM10" s="212">
        <f t="shared" si="69"/>
        <v>19440</v>
      </c>
      <c r="DN10" s="150">
        <v>19440</v>
      </c>
      <c r="DO10" s="150">
        <f t="shared" si="15"/>
        <v>0</v>
      </c>
      <c r="DP10" s="150">
        <f t="shared" si="70"/>
        <v>0</v>
      </c>
      <c r="DQ10" s="204"/>
      <c r="DR10" s="212">
        <f t="shared" si="71"/>
        <v>1981</v>
      </c>
      <c r="DS10" s="150">
        <v>1983</v>
      </c>
      <c r="DT10" s="150">
        <f t="shared" si="16"/>
        <v>2</v>
      </c>
      <c r="DU10" s="150">
        <f t="shared" si="72"/>
        <v>-1</v>
      </c>
      <c r="DV10" s="204"/>
      <c r="DW10" s="212">
        <f t="shared" si="73"/>
        <v>9720</v>
      </c>
      <c r="DX10" s="150">
        <v>9720</v>
      </c>
      <c r="DY10" s="150">
        <f t="shared" si="74"/>
        <v>0</v>
      </c>
      <c r="DZ10" s="150">
        <f t="shared" si="75"/>
        <v>-11</v>
      </c>
      <c r="EA10" s="204"/>
      <c r="EB10" s="212">
        <f t="shared" si="76"/>
        <v>377</v>
      </c>
      <c r="EC10" s="150">
        <v>385</v>
      </c>
      <c r="ED10" s="204">
        <f t="shared" si="27"/>
        <v>8</v>
      </c>
      <c r="EE10" s="212">
        <f t="shared" si="77"/>
        <v>140</v>
      </c>
      <c r="EF10" s="150">
        <v>148</v>
      </c>
      <c r="EG10" s="204">
        <f t="shared" si="28"/>
        <v>8</v>
      </c>
      <c r="EH10" s="212">
        <f t="shared" si="78"/>
        <v>86</v>
      </c>
      <c r="EI10" s="150">
        <v>89</v>
      </c>
      <c r="EJ10" s="204">
        <f t="shared" si="29"/>
        <v>3</v>
      </c>
      <c r="EK10" s="212">
        <f t="shared" si="79"/>
        <v>114</v>
      </c>
      <c r="EL10" s="150">
        <v>117</v>
      </c>
      <c r="EM10" s="204">
        <f t="shared" si="30"/>
        <v>3</v>
      </c>
      <c r="EN10" s="212">
        <f t="shared" si="17"/>
        <v>50</v>
      </c>
      <c r="EO10" s="150">
        <f t="shared" si="18"/>
        <v>18.181818181818183</v>
      </c>
      <c r="EP10" s="204"/>
    </row>
    <row r="11" spans="1:146" ht="15" customHeight="1" x14ac:dyDescent="0.2">
      <c r="A11" s="148">
        <v>6</v>
      </c>
      <c r="B11" s="148">
        <f t="shared" si="31"/>
        <v>15503</v>
      </c>
      <c r="C11" s="149">
        <v>15506</v>
      </c>
      <c r="D11" s="142">
        <f t="shared" si="19"/>
        <v>3</v>
      </c>
      <c r="E11" s="197"/>
      <c r="F11" s="148">
        <v>6</v>
      </c>
      <c r="G11" s="148">
        <f t="shared" si="32"/>
        <v>13270</v>
      </c>
      <c r="H11" s="141">
        <v>13331</v>
      </c>
      <c r="I11" s="142">
        <f t="shared" si="20"/>
        <v>61</v>
      </c>
      <c r="J11" s="197"/>
      <c r="K11" s="148">
        <v>6</v>
      </c>
      <c r="L11" s="148">
        <f t="shared" si="33"/>
        <v>765406</v>
      </c>
      <c r="M11" s="149">
        <v>765631</v>
      </c>
      <c r="N11" s="142">
        <f t="shared" si="21"/>
        <v>225</v>
      </c>
      <c r="O11" s="144"/>
      <c r="P11" s="148">
        <v>6</v>
      </c>
      <c r="Q11" s="148">
        <f t="shared" si="34"/>
        <v>210993</v>
      </c>
      <c r="R11" s="149">
        <v>211068</v>
      </c>
      <c r="S11" s="142">
        <f t="shared" si="22"/>
        <v>75</v>
      </c>
      <c r="T11" s="143"/>
      <c r="U11" s="145">
        <v>6</v>
      </c>
      <c r="V11" s="214">
        <f t="shared" si="23"/>
        <v>364</v>
      </c>
      <c r="W11" s="146">
        <f>'Maldives at LG Daily'!I10</f>
        <v>6770</v>
      </c>
      <c r="X11" s="151"/>
      <c r="Z11" s="206">
        <v>6</v>
      </c>
      <c r="AA11" s="150">
        <f t="shared" si="35"/>
        <v>38841</v>
      </c>
      <c r="AB11" s="150">
        <v>38851</v>
      </c>
      <c r="AC11" s="150">
        <f t="shared" si="24"/>
        <v>10</v>
      </c>
      <c r="AD11" s="150">
        <f t="shared" si="80"/>
        <v>-11</v>
      </c>
      <c r="AE11" s="307"/>
      <c r="AF11" s="206">
        <f t="shared" si="36"/>
        <v>8413</v>
      </c>
      <c r="AG11" s="150">
        <v>8418</v>
      </c>
      <c r="AH11" s="150">
        <f t="shared" si="25"/>
        <v>5</v>
      </c>
      <c r="AI11" s="150">
        <f t="shared" si="81"/>
        <v>-1</v>
      </c>
      <c r="AJ11" s="150"/>
      <c r="AK11" s="206">
        <f t="shared" si="37"/>
        <v>6336</v>
      </c>
      <c r="AL11" s="150">
        <v>6344</v>
      </c>
      <c r="AM11" s="150">
        <f t="shared" si="26"/>
        <v>8</v>
      </c>
      <c r="AN11" s="150">
        <f t="shared" si="38"/>
        <v>0</v>
      </c>
      <c r="AO11" s="150"/>
      <c r="AP11" s="206">
        <f t="shared" si="39"/>
        <v>14870</v>
      </c>
      <c r="AQ11" s="150">
        <v>14878</v>
      </c>
      <c r="AR11" s="150">
        <f t="shared" si="0"/>
        <v>8</v>
      </c>
      <c r="AS11" s="150">
        <f t="shared" si="40"/>
        <v>-1</v>
      </c>
      <c r="AT11" s="150"/>
      <c r="AU11" s="206">
        <f t="shared" si="41"/>
        <v>32496</v>
      </c>
      <c r="AV11" s="150">
        <v>32503</v>
      </c>
      <c r="AW11" s="150">
        <f t="shared" si="1"/>
        <v>7</v>
      </c>
      <c r="AX11" s="150">
        <f t="shared" si="42"/>
        <v>2</v>
      </c>
      <c r="AY11" s="150"/>
      <c r="AZ11" s="206">
        <f t="shared" si="43"/>
        <v>6615</v>
      </c>
      <c r="BA11" s="150">
        <v>6624</v>
      </c>
      <c r="BB11" s="150">
        <f t="shared" si="2"/>
        <v>9</v>
      </c>
      <c r="BC11" s="150">
        <f t="shared" si="44"/>
        <v>5</v>
      </c>
      <c r="BD11" s="150"/>
      <c r="BE11" s="206">
        <f t="shared" si="45"/>
        <v>22835</v>
      </c>
      <c r="BF11" s="150">
        <v>22839</v>
      </c>
      <c r="BG11" s="150">
        <f t="shared" si="3"/>
        <v>4</v>
      </c>
      <c r="BH11" s="150">
        <f t="shared" si="46"/>
        <v>-5</v>
      </c>
      <c r="BI11" s="150"/>
      <c r="BJ11" s="206">
        <f t="shared" si="47"/>
        <v>6946</v>
      </c>
      <c r="BK11" s="150">
        <v>6958</v>
      </c>
      <c r="BL11" s="150">
        <f t="shared" si="4"/>
        <v>12</v>
      </c>
      <c r="BM11" s="150">
        <f t="shared" si="48"/>
        <v>4</v>
      </c>
      <c r="BN11" s="150"/>
      <c r="BO11" s="206">
        <f t="shared" si="49"/>
        <v>3488</v>
      </c>
      <c r="BP11" s="150">
        <v>3491</v>
      </c>
      <c r="BQ11" s="150">
        <f t="shared" si="5"/>
        <v>3</v>
      </c>
      <c r="BR11" s="150">
        <f t="shared" si="50"/>
        <v>2</v>
      </c>
      <c r="BS11" s="150"/>
      <c r="BT11" s="206">
        <f t="shared" si="51"/>
        <v>1552</v>
      </c>
      <c r="BU11" s="150">
        <v>1552</v>
      </c>
      <c r="BV11" s="150">
        <f t="shared" si="6"/>
        <v>0</v>
      </c>
      <c r="BW11" s="150">
        <f t="shared" si="52"/>
        <v>0</v>
      </c>
      <c r="BX11" s="150"/>
      <c r="BY11" s="212">
        <f t="shared" si="53"/>
        <v>26831</v>
      </c>
      <c r="BZ11" s="150">
        <v>26836</v>
      </c>
      <c r="CA11" s="150">
        <f t="shared" si="7"/>
        <v>5</v>
      </c>
      <c r="CB11" s="150">
        <f t="shared" si="54"/>
        <v>3</v>
      </c>
      <c r="CC11" s="204"/>
      <c r="CD11" s="212">
        <f t="shared" si="55"/>
        <v>2608</v>
      </c>
      <c r="CE11" s="150">
        <v>2608</v>
      </c>
      <c r="CF11" s="150">
        <f t="shared" si="8"/>
        <v>0</v>
      </c>
      <c r="CG11" s="150">
        <f t="shared" si="56"/>
        <v>-5</v>
      </c>
      <c r="CH11" s="204"/>
      <c r="CI11" s="212">
        <f t="shared" si="57"/>
        <v>73710</v>
      </c>
      <c r="CJ11" s="150">
        <v>73731</v>
      </c>
      <c r="CK11" s="150">
        <f t="shared" si="9"/>
        <v>21</v>
      </c>
      <c r="CL11" s="150">
        <f t="shared" si="58"/>
        <v>0</v>
      </c>
      <c r="CM11" s="204"/>
      <c r="CN11" s="212">
        <f t="shared" si="59"/>
        <v>23512</v>
      </c>
      <c r="CO11" s="150">
        <v>23519</v>
      </c>
      <c r="CP11" s="150">
        <f t="shared" si="10"/>
        <v>7</v>
      </c>
      <c r="CQ11" s="150">
        <f t="shared" si="60"/>
        <v>4</v>
      </c>
      <c r="CR11" s="204"/>
      <c r="CS11" s="212">
        <f t="shared" si="61"/>
        <v>12480</v>
      </c>
      <c r="CT11" s="150">
        <v>12480</v>
      </c>
      <c r="CU11" s="150">
        <f t="shared" si="11"/>
        <v>0</v>
      </c>
      <c r="CV11" s="150">
        <f t="shared" si="62"/>
        <v>-1</v>
      </c>
      <c r="CW11" s="204"/>
      <c r="CX11" s="212">
        <f t="shared" si="63"/>
        <v>17634</v>
      </c>
      <c r="CY11" s="150">
        <v>17636</v>
      </c>
      <c r="CZ11" s="150">
        <f t="shared" si="12"/>
        <v>2</v>
      </c>
      <c r="DA11" s="150">
        <f t="shared" si="64"/>
        <v>-1</v>
      </c>
      <c r="DB11" s="204"/>
      <c r="DC11" s="212">
        <f t="shared" si="65"/>
        <v>19714</v>
      </c>
      <c r="DD11" s="150">
        <v>19715</v>
      </c>
      <c r="DE11" s="150">
        <f t="shared" si="13"/>
        <v>1</v>
      </c>
      <c r="DF11" s="150">
        <f t="shared" si="66"/>
        <v>-1</v>
      </c>
      <c r="DG11" s="204"/>
      <c r="DH11" s="212">
        <f t="shared" si="67"/>
        <v>8642</v>
      </c>
      <c r="DI11" s="150">
        <v>8643</v>
      </c>
      <c r="DJ11" s="150">
        <f t="shared" si="14"/>
        <v>1</v>
      </c>
      <c r="DK11" s="150">
        <f t="shared" si="68"/>
        <v>-2</v>
      </c>
      <c r="DL11" s="204"/>
      <c r="DM11" s="212">
        <f t="shared" si="69"/>
        <v>19440</v>
      </c>
      <c r="DN11" s="150">
        <v>19440</v>
      </c>
      <c r="DO11" s="150">
        <f t="shared" si="15"/>
        <v>0</v>
      </c>
      <c r="DP11" s="150">
        <f t="shared" si="70"/>
        <v>0</v>
      </c>
      <c r="DQ11" s="204"/>
      <c r="DR11" s="212">
        <f t="shared" si="71"/>
        <v>1983</v>
      </c>
      <c r="DS11" s="150">
        <v>1985</v>
      </c>
      <c r="DT11" s="150">
        <f t="shared" si="16"/>
        <v>2</v>
      </c>
      <c r="DU11" s="150">
        <f t="shared" si="72"/>
        <v>0</v>
      </c>
      <c r="DV11" s="204"/>
      <c r="DW11" s="212">
        <f t="shared" si="73"/>
        <v>9720</v>
      </c>
      <c r="DX11" s="150">
        <v>9725</v>
      </c>
      <c r="DY11" s="150">
        <f t="shared" si="74"/>
        <v>5</v>
      </c>
      <c r="DZ11" s="150">
        <f t="shared" si="75"/>
        <v>5</v>
      </c>
      <c r="EA11" s="204"/>
      <c r="EB11" s="212">
        <f t="shared" si="76"/>
        <v>385</v>
      </c>
      <c r="EC11" s="150">
        <v>393</v>
      </c>
      <c r="ED11" s="204">
        <f t="shared" si="27"/>
        <v>8</v>
      </c>
      <c r="EE11" s="212">
        <f t="shared" si="77"/>
        <v>148</v>
      </c>
      <c r="EF11" s="150">
        <v>155</v>
      </c>
      <c r="EG11" s="204">
        <f t="shared" si="28"/>
        <v>7</v>
      </c>
      <c r="EH11" s="212">
        <f t="shared" si="78"/>
        <v>89</v>
      </c>
      <c r="EI11" s="150">
        <v>92</v>
      </c>
      <c r="EJ11" s="204">
        <f t="shared" si="29"/>
        <v>3</v>
      </c>
      <c r="EK11" s="212">
        <f t="shared" si="79"/>
        <v>117</v>
      </c>
      <c r="EL11" s="150">
        <v>121</v>
      </c>
      <c r="EM11" s="204">
        <f t="shared" si="30"/>
        <v>4</v>
      </c>
      <c r="EN11" s="212">
        <f t="shared" si="17"/>
        <v>56</v>
      </c>
      <c r="EO11" s="150">
        <f t="shared" si="18"/>
        <v>15.384615384615385</v>
      </c>
      <c r="EP11" s="204"/>
    </row>
    <row r="12" spans="1:146" ht="15" customHeight="1" x14ac:dyDescent="0.2">
      <c r="A12" s="148">
        <v>7</v>
      </c>
      <c r="B12" s="148">
        <f t="shared" si="31"/>
        <v>15506</v>
      </c>
      <c r="C12" s="149">
        <v>15506</v>
      </c>
      <c r="D12" s="142">
        <f t="shared" si="19"/>
        <v>0</v>
      </c>
      <c r="E12" s="197"/>
      <c r="F12" s="148">
        <v>7</v>
      </c>
      <c r="G12" s="148">
        <f t="shared" si="32"/>
        <v>13331</v>
      </c>
      <c r="H12" s="141">
        <v>13384</v>
      </c>
      <c r="I12" s="142">
        <f t="shared" si="20"/>
        <v>53</v>
      </c>
      <c r="J12" s="197"/>
      <c r="K12" s="148">
        <v>7</v>
      </c>
      <c r="L12" s="148">
        <f t="shared" si="33"/>
        <v>765631</v>
      </c>
      <c r="M12" s="149">
        <v>765849</v>
      </c>
      <c r="N12" s="142">
        <f t="shared" si="21"/>
        <v>218</v>
      </c>
      <c r="O12" s="144"/>
      <c r="P12" s="148">
        <v>7</v>
      </c>
      <c r="Q12" s="148">
        <f t="shared" si="34"/>
        <v>211068</v>
      </c>
      <c r="R12" s="149">
        <v>211120</v>
      </c>
      <c r="S12" s="142">
        <f>MAX(0,R12-Q12)</f>
        <v>52</v>
      </c>
      <c r="T12" s="143"/>
      <c r="U12" s="145">
        <v>7</v>
      </c>
      <c r="V12" s="214">
        <f>SUM(S12+N12+I12+D12)</f>
        <v>323</v>
      </c>
      <c r="W12" s="146">
        <f>'Maldives at LG Daily'!I11</f>
        <v>2259</v>
      </c>
      <c r="X12" s="151"/>
      <c r="Z12" s="206">
        <v>7</v>
      </c>
      <c r="AA12" s="150">
        <f t="shared" si="35"/>
        <v>38851</v>
      </c>
      <c r="AB12" s="150">
        <v>38866</v>
      </c>
      <c r="AC12" s="150">
        <f t="shared" si="24"/>
        <v>15</v>
      </c>
      <c r="AD12" s="150">
        <f t="shared" si="80"/>
        <v>5</v>
      </c>
      <c r="AE12" s="307"/>
      <c r="AF12" s="206">
        <f t="shared" si="36"/>
        <v>8418</v>
      </c>
      <c r="AG12" s="150">
        <v>8424</v>
      </c>
      <c r="AH12" s="150">
        <f t="shared" si="25"/>
        <v>6</v>
      </c>
      <c r="AI12" s="150">
        <f t="shared" si="81"/>
        <v>1</v>
      </c>
      <c r="AJ12" s="150"/>
      <c r="AK12" s="206">
        <f t="shared" si="37"/>
        <v>6344</v>
      </c>
      <c r="AL12" s="150">
        <v>6349</v>
      </c>
      <c r="AM12" s="150">
        <f t="shared" si="26"/>
        <v>5</v>
      </c>
      <c r="AN12" s="150">
        <f t="shared" si="38"/>
        <v>-3</v>
      </c>
      <c r="AO12" s="150"/>
      <c r="AP12" s="206">
        <f t="shared" si="39"/>
        <v>14878</v>
      </c>
      <c r="AQ12" s="150">
        <v>14888</v>
      </c>
      <c r="AR12" s="150">
        <f t="shared" si="0"/>
        <v>10</v>
      </c>
      <c r="AS12" s="150">
        <f t="shared" si="40"/>
        <v>2</v>
      </c>
      <c r="AT12" s="150"/>
      <c r="AU12" s="206">
        <f t="shared" si="41"/>
        <v>32503</v>
      </c>
      <c r="AV12" s="150">
        <v>32510</v>
      </c>
      <c r="AW12" s="150">
        <f t="shared" si="1"/>
        <v>7</v>
      </c>
      <c r="AX12" s="150">
        <f t="shared" si="42"/>
        <v>0</v>
      </c>
      <c r="AY12" s="150"/>
      <c r="AZ12" s="206">
        <f t="shared" si="43"/>
        <v>6624</v>
      </c>
      <c r="BA12" s="150">
        <v>6631</v>
      </c>
      <c r="BB12" s="150">
        <f t="shared" si="2"/>
        <v>7</v>
      </c>
      <c r="BC12" s="150">
        <f t="shared" si="44"/>
        <v>-2</v>
      </c>
      <c r="BD12" s="150"/>
      <c r="BE12" s="206">
        <f t="shared" si="45"/>
        <v>22839</v>
      </c>
      <c r="BF12" s="150">
        <v>22846</v>
      </c>
      <c r="BG12" s="150">
        <f t="shared" si="3"/>
        <v>7</v>
      </c>
      <c r="BH12" s="150">
        <f t="shared" si="46"/>
        <v>3</v>
      </c>
      <c r="BI12" s="150"/>
      <c r="BJ12" s="206">
        <f t="shared" si="47"/>
        <v>6958</v>
      </c>
      <c r="BK12" s="150">
        <v>6969</v>
      </c>
      <c r="BL12" s="150">
        <f t="shared" si="4"/>
        <v>11</v>
      </c>
      <c r="BM12" s="150">
        <f t="shared" si="48"/>
        <v>-1</v>
      </c>
      <c r="BN12" s="150"/>
      <c r="BO12" s="206">
        <f t="shared" si="49"/>
        <v>3491</v>
      </c>
      <c r="BP12" s="150">
        <v>3492</v>
      </c>
      <c r="BQ12" s="150">
        <f t="shared" si="5"/>
        <v>1</v>
      </c>
      <c r="BR12" s="150">
        <f t="shared" si="50"/>
        <v>-2</v>
      </c>
      <c r="BS12" s="150"/>
      <c r="BT12" s="206">
        <f t="shared" si="51"/>
        <v>1552</v>
      </c>
      <c r="BU12" s="150">
        <v>1552</v>
      </c>
      <c r="BV12" s="150">
        <f t="shared" si="6"/>
        <v>0</v>
      </c>
      <c r="BW12" s="150">
        <f t="shared" si="52"/>
        <v>0</v>
      </c>
      <c r="BX12" s="150"/>
      <c r="BY12" s="212">
        <f t="shared" si="53"/>
        <v>26836</v>
      </c>
      <c r="BZ12" s="150">
        <v>26838</v>
      </c>
      <c r="CA12" s="150">
        <f t="shared" si="7"/>
        <v>2</v>
      </c>
      <c r="CB12" s="150">
        <f t="shared" si="54"/>
        <v>-3</v>
      </c>
      <c r="CC12" s="204"/>
      <c r="CD12" s="212">
        <f t="shared" si="55"/>
        <v>2608</v>
      </c>
      <c r="CE12" s="150">
        <v>2610</v>
      </c>
      <c r="CF12" s="150">
        <f t="shared" si="8"/>
        <v>2</v>
      </c>
      <c r="CG12" s="150">
        <f t="shared" si="56"/>
        <v>2</v>
      </c>
      <c r="CH12" s="204"/>
      <c r="CI12" s="212">
        <f t="shared" si="57"/>
        <v>73731</v>
      </c>
      <c r="CJ12" s="150">
        <v>73751</v>
      </c>
      <c r="CK12" s="150">
        <f t="shared" si="9"/>
        <v>20</v>
      </c>
      <c r="CL12" s="150">
        <f t="shared" si="58"/>
        <v>-1</v>
      </c>
      <c r="CM12" s="204"/>
      <c r="CN12" s="212">
        <f t="shared" si="59"/>
        <v>23519</v>
      </c>
      <c r="CO12" s="150">
        <v>23525</v>
      </c>
      <c r="CP12" s="150">
        <f t="shared" si="10"/>
        <v>6</v>
      </c>
      <c r="CQ12" s="150">
        <f t="shared" si="60"/>
        <v>-1</v>
      </c>
      <c r="CR12" s="204"/>
      <c r="CS12" s="212">
        <f t="shared" si="61"/>
        <v>12480</v>
      </c>
      <c r="CT12" s="150">
        <v>12481</v>
      </c>
      <c r="CU12" s="150">
        <f t="shared" si="11"/>
        <v>1</v>
      </c>
      <c r="CV12" s="150">
        <f t="shared" si="62"/>
        <v>1</v>
      </c>
      <c r="CW12" s="204"/>
      <c r="CX12" s="212">
        <f t="shared" si="63"/>
        <v>17636</v>
      </c>
      <c r="CY12" s="150">
        <v>17640</v>
      </c>
      <c r="CZ12" s="150">
        <f t="shared" si="12"/>
        <v>4</v>
      </c>
      <c r="DA12" s="150">
        <f t="shared" si="64"/>
        <v>2</v>
      </c>
      <c r="DB12" s="204"/>
      <c r="DC12" s="212">
        <f t="shared" si="65"/>
        <v>19715</v>
      </c>
      <c r="DD12" s="150">
        <v>19717</v>
      </c>
      <c r="DE12" s="150">
        <f t="shared" si="13"/>
        <v>2</v>
      </c>
      <c r="DF12" s="150">
        <f t="shared" si="66"/>
        <v>1</v>
      </c>
      <c r="DG12" s="204"/>
      <c r="DH12" s="212">
        <f t="shared" si="67"/>
        <v>8643</v>
      </c>
      <c r="DI12" s="150">
        <v>8645</v>
      </c>
      <c r="DJ12" s="150">
        <f t="shared" si="14"/>
        <v>2</v>
      </c>
      <c r="DK12" s="150">
        <f t="shared" si="68"/>
        <v>1</v>
      </c>
      <c r="DL12" s="204"/>
      <c r="DM12" s="212">
        <f t="shared" si="69"/>
        <v>19440</v>
      </c>
      <c r="DN12" s="150">
        <v>19502</v>
      </c>
      <c r="DO12" s="150">
        <f t="shared" si="15"/>
        <v>62</v>
      </c>
      <c r="DP12" s="150">
        <f t="shared" si="70"/>
        <v>62</v>
      </c>
      <c r="DQ12" s="204"/>
      <c r="DR12" s="212">
        <f t="shared" si="71"/>
        <v>1985</v>
      </c>
      <c r="DS12" s="150">
        <v>1986</v>
      </c>
      <c r="DT12" s="150">
        <f t="shared" si="16"/>
        <v>1</v>
      </c>
      <c r="DU12" s="150">
        <f t="shared" si="72"/>
        <v>-1</v>
      </c>
      <c r="DV12" s="204"/>
      <c r="DW12" s="212">
        <f t="shared" si="73"/>
        <v>9725</v>
      </c>
      <c r="DX12" s="150">
        <v>9728</v>
      </c>
      <c r="DY12" s="150">
        <f t="shared" si="74"/>
        <v>3</v>
      </c>
      <c r="DZ12" s="150">
        <f t="shared" si="75"/>
        <v>-2</v>
      </c>
      <c r="EA12" s="204"/>
      <c r="EB12" s="212">
        <f t="shared" si="76"/>
        <v>393</v>
      </c>
      <c r="EC12" s="150">
        <v>400</v>
      </c>
      <c r="ED12" s="204">
        <f t="shared" si="27"/>
        <v>7</v>
      </c>
      <c r="EE12" s="212">
        <f t="shared" si="77"/>
        <v>155</v>
      </c>
      <c r="EF12" s="150">
        <v>162</v>
      </c>
      <c r="EG12" s="204">
        <f t="shared" si="28"/>
        <v>7</v>
      </c>
      <c r="EH12" s="212">
        <f t="shared" si="78"/>
        <v>92</v>
      </c>
      <c r="EI12" s="150">
        <v>95</v>
      </c>
      <c r="EJ12" s="204">
        <f t="shared" si="29"/>
        <v>3</v>
      </c>
      <c r="EK12" s="212">
        <f t="shared" si="79"/>
        <v>121</v>
      </c>
      <c r="EL12" s="150">
        <v>126</v>
      </c>
      <c r="EM12" s="204">
        <f t="shared" si="30"/>
        <v>5</v>
      </c>
      <c r="EN12" s="212">
        <f t="shared" si="17"/>
        <v>54</v>
      </c>
      <c r="EO12" s="150">
        <f t="shared" si="18"/>
        <v>16.718266253869967</v>
      </c>
      <c r="EP12" s="204"/>
    </row>
    <row r="13" spans="1:146" ht="15" customHeight="1" x14ac:dyDescent="0.2">
      <c r="A13" s="148">
        <v>8</v>
      </c>
      <c r="B13" s="148">
        <f t="shared" si="31"/>
        <v>15506</v>
      </c>
      <c r="C13" s="149">
        <v>15506</v>
      </c>
      <c r="D13" s="142">
        <f t="shared" si="19"/>
        <v>0</v>
      </c>
      <c r="E13" s="197"/>
      <c r="F13" s="148">
        <v>8</v>
      </c>
      <c r="G13" s="148">
        <f t="shared" si="32"/>
        <v>13384</v>
      </c>
      <c r="H13" s="141">
        <v>13428</v>
      </c>
      <c r="I13" s="142">
        <f t="shared" si="20"/>
        <v>44</v>
      </c>
      <c r="J13" s="197"/>
      <c r="K13" s="148">
        <v>8</v>
      </c>
      <c r="L13" s="148">
        <f t="shared" si="33"/>
        <v>765849</v>
      </c>
      <c r="M13" s="149">
        <v>766060</v>
      </c>
      <c r="N13" s="142">
        <f t="shared" si="21"/>
        <v>211</v>
      </c>
      <c r="O13" s="144"/>
      <c r="P13" s="148">
        <v>8</v>
      </c>
      <c r="Q13" s="148">
        <f t="shared" si="34"/>
        <v>211120</v>
      </c>
      <c r="R13" s="149">
        <v>211202</v>
      </c>
      <c r="S13" s="142">
        <f t="shared" si="22"/>
        <v>82</v>
      </c>
      <c r="T13" s="143"/>
      <c r="U13" s="148">
        <v>8</v>
      </c>
      <c r="V13" s="214">
        <f t="shared" si="23"/>
        <v>337</v>
      </c>
      <c r="W13" s="146">
        <f>'Maldives at LG Daily'!I12</f>
        <v>1552</v>
      </c>
      <c r="X13" s="151"/>
      <c r="Z13" s="206">
        <v>8</v>
      </c>
      <c r="AA13" s="150">
        <f t="shared" si="35"/>
        <v>38866</v>
      </c>
      <c r="AB13" s="150">
        <v>38883</v>
      </c>
      <c r="AC13" s="150">
        <f>AB13-AA13</f>
        <v>17</v>
      </c>
      <c r="AD13" s="150">
        <f t="shared" si="80"/>
        <v>2</v>
      </c>
      <c r="AE13" s="307"/>
      <c r="AF13" s="206">
        <f t="shared" si="36"/>
        <v>8424</v>
      </c>
      <c r="AG13" s="150">
        <v>8428</v>
      </c>
      <c r="AH13" s="150">
        <f>AG13-AF13</f>
        <v>4</v>
      </c>
      <c r="AI13" s="150">
        <f t="shared" si="81"/>
        <v>-2</v>
      </c>
      <c r="AJ13" s="150"/>
      <c r="AK13" s="206">
        <f t="shared" si="37"/>
        <v>6349</v>
      </c>
      <c r="AL13" s="150">
        <v>6351</v>
      </c>
      <c r="AM13" s="150">
        <f t="shared" si="26"/>
        <v>2</v>
      </c>
      <c r="AN13" s="150">
        <f t="shared" si="38"/>
        <v>-3</v>
      </c>
      <c r="AO13" s="150"/>
      <c r="AP13" s="206">
        <f t="shared" si="39"/>
        <v>14888</v>
      </c>
      <c r="AQ13" s="150">
        <v>14898</v>
      </c>
      <c r="AR13" s="150">
        <f t="shared" si="0"/>
        <v>10</v>
      </c>
      <c r="AS13" s="150">
        <f t="shared" si="40"/>
        <v>0</v>
      </c>
      <c r="AT13" s="150"/>
      <c r="AU13" s="206">
        <f t="shared" si="41"/>
        <v>32510</v>
      </c>
      <c r="AV13" s="150">
        <v>32515</v>
      </c>
      <c r="AW13" s="150">
        <f t="shared" si="1"/>
        <v>5</v>
      </c>
      <c r="AX13" s="150">
        <f t="shared" si="42"/>
        <v>-2</v>
      </c>
      <c r="AY13" s="150"/>
      <c r="AZ13" s="206">
        <f t="shared" si="43"/>
        <v>6631</v>
      </c>
      <c r="BA13" s="150">
        <v>6637</v>
      </c>
      <c r="BB13" s="150">
        <f t="shared" si="2"/>
        <v>6</v>
      </c>
      <c r="BC13" s="150">
        <f t="shared" si="44"/>
        <v>-1</v>
      </c>
      <c r="BD13" s="150"/>
      <c r="BE13" s="206">
        <f t="shared" si="45"/>
        <v>22846</v>
      </c>
      <c r="BF13" s="150">
        <v>22853</v>
      </c>
      <c r="BG13" s="150">
        <f t="shared" si="3"/>
        <v>7</v>
      </c>
      <c r="BH13" s="150">
        <f t="shared" si="46"/>
        <v>0</v>
      </c>
      <c r="BI13" s="150"/>
      <c r="BJ13" s="206">
        <f t="shared" si="47"/>
        <v>6969</v>
      </c>
      <c r="BK13" s="150">
        <v>6978</v>
      </c>
      <c r="BL13" s="150">
        <f t="shared" si="4"/>
        <v>9</v>
      </c>
      <c r="BM13" s="150">
        <f t="shared" si="48"/>
        <v>-2</v>
      </c>
      <c r="BN13" s="150"/>
      <c r="BO13" s="206">
        <f t="shared" si="49"/>
        <v>3492</v>
      </c>
      <c r="BP13" s="150">
        <v>3494</v>
      </c>
      <c r="BQ13" s="150">
        <f t="shared" si="5"/>
        <v>2</v>
      </c>
      <c r="BR13" s="150">
        <f t="shared" si="50"/>
        <v>1</v>
      </c>
      <c r="BS13" s="150"/>
      <c r="BT13" s="206">
        <f t="shared" si="51"/>
        <v>1552</v>
      </c>
      <c r="BU13" s="150">
        <v>1553</v>
      </c>
      <c r="BV13" s="150">
        <f t="shared" si="6"/>
        <v>1</v>
      </c>
      <c r="BW13" s="150">
        <f t="shared" si="52"/>
        <v>1</v>
      </c>
      <c r="BX13" s="150"/>
      <c r="BY13" s="212">
        <f t="shared" si="53"/>
        <v>26838</v>
      </c>
      <c r="BZ13" s="150">
        <v>26840</v>
      </c>
      <c r="CA13" s="150">
        <f t="shared" si="7"/>
        <v>2</v>
      </c>
      <c r="CB13" s="150">
        <f t="shared" si="54"/>
        <v>0</v>
      </c>
      <c r="CC13" s="204"/>
      <c r="CD13" s="212">
        <f t="shared" si="55"/>
        <v>2610</v>
      </c>
      <c r="CE13" s="150">
        <v>2617</v>
      </c>
      <c r="CF13" s="150">
        <f t="shared" si="8"/>
        <v>7</v>
      </c>
      <c r="CG13" s="150">
        <f t="shared" si="56"/>
        <v>5</v>
      </c>
      <c r="CH13" s="204"/>
      <c r="CI13" s="212">
        <f t="shared" si="57"/>
        <v>73751</v>
      </c>
      <c r="CJ13" s="150">
        <v>73773</v>
      </c>
      <c r="CK13" s="150">
        <f t="shared" si="9"/>
        <v>22</v>
      </c>
      <c r="CL13" s="150">
        <f t="shared" si="58"/>
        <v>2</v>
      </c>
      <c r="CM13" s="204"/>
      <c r="CN13" s="212">
        <f t="shared" si="59"/>
        <v>23525</v>
      </c>
      <c r="CO13" s="150">
        <v>23530</v>
      </c>
      <c r="CP13" s="150">
        <f t="shared" si="10"/>
        <v>5</v>
      </c>
      <c r="CQ13" s="150">
        <f t="shared" si="60"/>
        <v>-1</v>
      </c>
      <c r="CR13" s="204"/>
      <c r="CS13" s="212">
        <f t="shared" si="61"/>
        <v>12481</v>
      </c>
      <c r="CT13" s="150">
        <v>12482</v>
      </c>
      <c r="CU13" s="150">
        <f t="shared" si="11"/>
        <v>1</v>
      </c>
      <c r="CV13" s="150">
        <f t="shared" si="62"/>
        <v>0</v>
      </c>
      <c r="CW13" s="204"/>
      <c r="CX13" s="212">
        <f t="shared" si="63"/>
        <v>17640</v>
      </c>
      <c r="CY13" s="150">
        <v>17642</v>
      </c>
      <c r="CZ13" s="150">
        <f t="shared" si="12"/>
        <v>2</v>
      </c>
      <c r="DA13" s="150">
        <f t="shared" si="64"/>
        <v>-2</v>
      </c>
      <c r="DB13" s="204"/>
      <c r="DC13" s="212">
        <f t="shared" si="65"/>
        <v>19717</v>
      </c>
      <c r="DD13" s="150">
        <v>19718</v>
      </c>
      <c r="DE13" s="150">
        <f t="shared" si="13"/>
        <v>1</v>
      </c>
      <c r="DF13" s="150">
        <f t="shared" si="66"/>
        <v>-1</v>
      </c>
      <c r="DG13" s="204"/>
      <c r="DH13" s="212">
        <f t="shared" si="67"/>
        <v>8645</v>
      </c>
      <c r="DI13" s="150">
        <v>8645</v>
      </c>
      <c r="DJ13" s="150">
        <f t="shared" si="14"/>
        <v>0</v>
      </c>
      <c r="DK13" s="150">
        <f t="shared" si="68"/>
        <v>-2</v>
      </c>
      <c r="DL13" s="204"/>
      <c r="DM13" s="212">
        <f t="shared" si="69"/>
        <v>19502</v>
      </c>
      <c r="DN13" s="150">
        <v>19502</v>
      </c>
      <c r="DO13" s="150">
        <f t="shared" si="15"/>
        <v>0</v>
      </c>
      <c r="DP13" s="150">
        <f t="shared" si="70"/>
        <v>-62</v>
      </c>
      <c r="DQ13" s="204"/>
      <c r="DR13" s="212">
        <f t="shared" si="71"/>
        <v>1986</v>
      </c>
      <c r="DS13" s="150">
        <v>1988</v>
      </c>
      <c r="DT13" s="150">
        <f t="shared" si="16"/>
        <v>2</v>
      </c>
      <c r="DU13" s="150">
        <f t="shared" si="72"/>
        <v>1</v>
      </c>
      <c r="DV13" s="204"/>
      <c r="DW13" s="212">
        <f t="shared" si="73"/>
        <v>9728</v>
      </c>
      <c r="DX13" s="150">
        <v>9732</v>
      </c>
      <c r="DY13" s="150">
        <f t="shared" si="74"/>
        <v>4</v>
      </c>
      <c r="DZ13" s="150">
        <f t="shared" si="75"/>
        <v>1</v>
      </c>
      <c r="EA13" s="204"/>
      <c r="EB13" s="212">
        <f t="shared" si="76"/>
        <v>400</v>
      </c>
      <c r="EC13" s="150">
        <v>408</v>
      </c>
      <c r="ED13" s="204">
        <f t="shared" si="27"/>
        <v>8</v>
      </c>
      <c r="EE13" s="212">
        <f t="shared" si="77"/>
        <v>162</v>
      </c>
      <c r="EF13" s="150">
        <v>169</v>
      </c>
      <c r="EG13" s="204">
        <f t="shared" si="28"/>
        <v>7</v>
      </c>
      <c r="EH13" s="212">
        <f t="shared" si="78"/>
        <v>95</v>
      </c>
      <c r="EI13" s="150">
        <v>98</v>
      </c>
      <c r="EJ13" s="204">
        <f t="shared" si="29"/>
        <v>3</v>
      </c>
      <c r="EK13" s="212">
        <f t="shared" si="79"/>
        <v>126</v>
      </c>
      <c r="EL13" s="150">
        <v>127</v>
      </c>
      <c r="EM13" s="204">
        <f t="shared" si="30"/>
        <v>1</v>
      </c>
      <c r="EN13" s="212">
        <f t="shared" si="17"/>
        <v>46</v>
      </c>
      <c r="EO13" s="150">
        <f t="shared" si="18"/>
        <v>13.649851632047477</v>
      </c>
      <c r="EP13" s="204"/>
    </row>
    <row r="14" spans="1:146" ht="15" customHeight="1" x14ac:dyDescent="0.2">
      <c r="A14" s="148">
        <v>9</v>
      </c>
      <c r="B14" s="148">
        <f t="shared" si="31"/>
        <v>15506</v>
      </c>
      <c r="C14" s="149">
        <v>15509</v>
      </c>
      <c r="D14" s="142">
        <f t="shared" si="19"/>
        <v>3</v>
      </c>
      <c r="E14" s="197"/>
      <c r="F14" s="148">
        <v>9</v>
      </c>
      <c r="G14" s="148">
        <f t="shared" si="32"/>
        <v>13428</v>
      </c>
      <c r="H14" s="141">
        <v>13534</v>
      </c>
      <c r="I14" s="142">
        <f t="shared" si="20"/>
        <v>106</v>
      </c>
      <c r="J14" s="197"/>
      <c r="K14" s="148">
        <v>9</v>
      </c>
      <c r="L14" s="148">
        <f t="shared" si="33"/>
        <v>766060</v>
      </c>
      <c r="M14" s="149">
        <v>766272</v>
      </c>
      <c r="N14" s="142">
        <f t="shared" si="21"/>
        <v>212</v>
      </c>
      <c r="O14" s="144"/>
      <c r="P14" s="148">
        <v>9</v>
      </c>
      <c r="Q14" s="148">
        <f t="shared" si="34"/>
        <v>211202</v>
      </c>
      <c r="R14" s="149">
        <v>211228</v>
      </c>
      <c r="S14" s="142">
        <f t="shared" si="22"/>
        <v>26</v>
      </c>
      <c r="T14" s="143"/>
      <c r="U14" s="145">
        <v>9</v>
      </c>
      <c r="V14" s="214">
        <f t="shared" si="23"/>
        <v>347</v>
      </c>
      <c r="W14" s="146">
        <f>'Maldives at LG Daily'!I13</f>
        <v>3348</v>
      </c>
      <c r="X14" s="151"/>
      <c r="Z14" s="206">
        <v>9</v>
      </c>
      <c r="AA14" s="150">
        <f t="shared" si="35"/>
        <v>38883</v>
      </c>
      <c r="AB14" s="150">
        <v>38897</v>
      </c>
      <c r="AC14" s="150">
        <f t="shared" si="24"/>
        <v>14</v>
      </c>
      <c r="AD14" s="150">
        <f t="shared" si="80"/>
        <v>-3</v>
      </c>
      <c r="AE14" s="307"/>
      <c r="AF14" s="206">
        <f t="shared" si="36"/>
        <v>8428</v>
      </c>
      <c r="AG14" s="150">
        <v>8433</v>
      </c>
      <c r="AH14" s="150">
        <f t="shared" si="25"/>
        <v>5</v>
      </c>
      <c r="AI14" s="150">
        <f t="shared" si="81"/>
        <v>1</v>
      </c>
      <c r="AJ14" s="150"/>
      <c r="AK14" s="206">
        <f t="shared" si="37"/>
        <v>6351</v>
      </c>
      <c r="AL14" s="150">
        <v>6353</v>
      </c>
      <c r="AM14" s="150">
        <f t="shared" si="26"/>
        <v>2</v>
      </c>
      <c r="AN14" s="150">
        <f t="shared" si="38"/>
        <v>0</v>
      </c>
      <c r="AO14" s="150"/>
      <c r="AP14" s="206">
        <f t="shared" si="39"/>
        <v>14898</v>
      </c>
      <c r="AQ14" s="150">
        <v>14909</v>
      </c>
      <c r="AR14" s="150">
        <f t="shared" si="0"/>
        <v>11</v>
      </c>
      <c r="AS14" s="150">
        <f t="shared" si="40"/>
        <v>1</v>
      </c>
      <c r="AT14" s="150"/>
      <c r="AU14" s="206">
        <f t="shared" si="41"/>
        <v>32515</v>
      </c>
      <c r="AV14" s="150">
        <v>32523</v>
      </c>
      <c r="AW14" s="150">
        <f t="shared" si="1"/>
        <v>8</v>
      </c>
      <c r="AX14" s="150">
        <f t="shared" si="42"/>
        <v>3</v>
      </c>
      <c r="AY14" s="150"/>
      <c r="AZ14" s="206">
        <f t="shared" si="43"/>
        <v>6637</v>
      </c>
      <c r="BA14" s="150">
        <v>6644</v>
      </c>
      <c r="BB14" s="150">
        <f t="shared" si="2"/>
        <v>7</v>
      </c>
      <c r="BC14" s="150">
        <f t="shared" si="44"/>
        <v>1</v>
      </c>
      <c r="BD14" s="150"/>
      <c r="BE14" s="206">
        <f t="shared" si="45"/>
        <v>22853</v>
      </c>
      <c r="BF14" s="150">
        <v>22862</v>
      </c>
      <c r="BG14" s="150">
        <f t="shared" si="3"/>
        <v>9</v>
      </c>
      <c r="BH14" s="150">
        <f t="shared" si="46"/>
        <v>2</v>
      </c>
      <c r="BI14" s="150"/>
      <c r="BJ14" s="206">
        <f t="shared" si="47"/>
        <v>6978</v>
      </c>
      <c r="BK14" s="150">
        <v>6987</v>
      </c>
      <c r="BL14" s="150">
        <f>BK14-BJ14</f>
        <v>9</v>
      </c>
      <c r="BM14" s="150">
        <f t="shared" si="48"/>
        <v>0</v>
      </c>
      <c r="BN14" s="150"/>
      <c r="BO14" s="206">
        <f t="shared" si="49"/>
        <v>3494</v>
      </c>
      <c r="BP14" s="150">
        <v>3495</v>
      </c>
      <c r="BQ14" s="150">
        <f t="shared" si="5"/>
        <v>1</v>
      </c>
      <c r="BR14" s="150">
        <f t="shared" si="50"/>
        <v>-1</v>
      </c>
      <c r="BS14" s="150"/>
      <c r="BT14" s="206">
        <f t="shared" si="51"/>
        <v>1553</v>
      </c>
      <c r="BU14" s="150">
        <v>1555</v>
      </c>
      <c r="BV14" s="150">
        <f t="shared" si="6"/>
        <v>2</v>
      </c>
      <c r="BW14" s="150">
        <f t="shared" si="52"/>
        <v>1</v>
      </c>
      <c r="BX14" s="150"/>
      <c r="BY14" s="212">
        <f t="shared" si="53"/>
        <v>26840</v>
      </c>
      <c r="BZ14" s="150">
        <v>26847</v>
      </c>
      <c r="CA14" s="150">
        <f t="shared" si="7"/>
        <v>7</v>
      </c>
      <c r="CB14" s="150">
        <f t="shared" si="54"/>
        <v>5</v>
      </c>
      <c r="CC14" s="204"/>
      <c r="CD14" s="212">
        <f t="shared" si="55"/>
        <v>2617</v>
      </c>
      <c r="CE14" s="150">
        <v>2617</v>
      </c>
      <c r="CF14" s="150">
        <f t="shared" si="8"/>
        <v>0</v>
      </c>
      <c r="CG14" s="150">
        <f t="shared" si="56"/>
        <v>-7</v>
      </c>
      <c r="CH14" s="204"/>
      <c r="CI14" s="212">
        <f t="shared" si="57"/>
        <v>73773</v>
      </c>
      <c r="CJ14" s="150">
        <v>73796</v>
      </c>
      <c r="CK14" s="150">
        <f t="shared" si="9"/>
        <v>23</v>
      </c>
      <c r="CL14" s="150">
        <f t="shared" si="58"/>
        <v>1</v>
      </c>
      <c r="CM14" s="204"/>
      <c r="CN14" s="212">
        <f t="shared" si="59"/>
        <v>23530</v>
      </c>
      <c r="CO14" s="150">
        <v>23536</v>
      </c>
      <c r="CP14" s="150">
        <f t="shared" si="10"/>
        <v>6</v>
      </c>
      <c r="CQ14" s="150">
        <f t="shared" si="60"/>
        <v>1</v>
      </c>
      <c r="CR14" s="204"/>
      <c r="CS14" s="212">
        <f t="shared" si="61"/>
        <v>12482</v>
      </c>
      <c r="CT14" s="150">
        <v>12482</v>
      </c>
      <c r="CU14" s="150">
        <f t="shared" si="11"/>
        <v>0</v>
      </c>
      <c r="CV14" s="150">
        <f t="shared" si="62"/>
        <v>-1</v>
      </c>
      <c r="CW14" s="204"/>
      <c r="CX14" s="212">
        <f t="shared" si="63"/>
        <v>17642</v>
      </c>
      <c r="CY14" s="150">
        <v>17646</v>
      </c>
      <c r="CZ14" s="150">
        <f t="shared" si="12"/>
        <v>4</v>
      </c>
      <c r="DA14" s="150">
        <f t="shared" si="64"/>
        <v>2</v>
      </c>
      <c r="DB14" s="204"/>
      <c r="DC14" s="212">
        <f t="shared" si="65"/>
        <v>19718</v>
      </c>
      <c r="DD14" s="150">
        <v>19720</v>
      </c>
      <c r="DE14" s="150">
        <f t="shared" si="13"/>
        <v>2</v>
      </c>
      <c r="DF14" s="150">
        <f t="shared" si="66"/>
        <v>1</v>
      </c>
      <c r="DG14" s="204"/>
      <c r="DH14" s="212">
        <f t="shared" si="67"/>
        <v>8645</v>
      </c>
      <c r="DI14" s="150">
        <v>8646</v>
      </c>
      <c r="DJ14" s="150">
        <f t="shared" si="14"/>
        <v>1</v>
      </c>
      <c r="DK14" s="150">
        <f t="shared" si="68"/>
        <v>1</v>
      </c>
      <c r="DL14" s="204"/>
      <c r="DM14" s="212">
        <f t="shared" si="69"/>
        <v>19502</v>
      </c>
      <c r="DN14" s="150">
        <v>19502</v>
      </c>
      <c r="DO14" s="150">
        <f t="shared" si="15"/>
        <v>0</v>
      </c>
      <c r="DP14" s="150">
        <f t="shared" si="70"/>
        <v>0</v>
      </c>
      <c r="DQ14" s="204"/>
      <c r="DR14" s="212">
        <f t="shared" si="71"/>
        <v>1988</v>
      </c>
      <c r="DS14" s="150">
        <v>1990</v>
      </c>
      <c r="DT14" s="150">
        <f t="shared" si="16"/>
        <v>2</v>
      </c>
      <c r="DU14" s="150">
        <f t="shared" si="72"/>
        <v>0</v>
      </c>
      <c r="DV14" s="204"/>
      <c r="DW14" s="212">
        <f t="shared" si="73"/>
        <v>9732</v>
      </c>
      <c r="DX14" s="150">
        <v>9743</v>
      </c>
      <c r="DY14" s="150">
        <f t="shared" si="74"/>
        <v>11</v>
      </c>
      <c r="DZ14" s="150">
        <f t="shared" si="75"/>
        <v>7</v>
      </c>
      <c r="EA14" s="204"/>
      <c r="EB14" s="212">
        <f t="shared" si="76"/>
        <v>408</v>
      </c>
      <c r="EC14" s="150">
        <v>408</v>
      </c>
      <c r="ED14" s="204">
        <f t="shared" si="27"/>
        <v>0</v>
      </c>
      <c r="EE14" s="212">
        <f t="shared" si="77"/>
        <v>169</v>
      </c>
      <c r="EF14" s="150">
        <v>176</v>
      </c>
      <c r="EG14" s="204">
        <f t="shared" si="28"/>
        <v>7</v>
      </c>
      <c r="EH14" s="212">
        <f t="shared" si="78"/>
        <v>98</v>
      </c>
      <c r="EI14" s="150">
        <v>100</v>
      </c>
      <c r="EJ14" s="204">
        <f t="shared" si="29"/>
        <v>2</v>
      </c>
      <c r="EK14" s="212">
        <f t="shared" si="79"/>
        <v>127</v>
      </c>
      <c r="EL14" s="150">
        <v>127</v>
      </c>
      <c r="EM14" s="204">
        <f t="shared" si="30"/>
        <v>0</v>
      </c>
      <c r="EN14" s="212">
        <f t="shared" si="17"/>
        <v>54</v>
      </c>
      <c r="EO14" s="150">
        <f t="shared" si="18"/>
        <v>15.561959654178676</v>
      </c>
      <c r="EP14" s="204"/>
    </row>
    <row r="15" spans="1:146" ht="15" customHeight="1" x14ac:dyDescent="0.2">
      <c r="A15" s="148">
        <v>10</v>
      </c>
      <c r="B15" s="148">
        <f t="shared" si="31"/>
        <v>15509</v>
      </c>
      <c r="C15" s="149">
        <v>15509</v>
      </c>
      <c r="D15" s="142">
        <f t="shared" si="19"/>
        <v>0</v>
      </c>
      <c r="E15" s="197"/>
      <c r="F15" s="148">
        <v>10</v>
      </c>
      <c r="G15" s="148">
        <f t="shared" si="32"/>
        <v>13534</v>
      </c>
      <c r="H15" s="141">
        <v>13599</v>
      </c>
      <c r="I15" s="142">
        <f t="shared" si="20"/>
        <v>65</v>
      </c>
      <c r="J15" s="197"/>
      <c r="K15" s="148">
        <v>10</v>
      </c>
      <c r="L15" s="148">
        <f t="shared" si="33"/>
        <v>766272</v>
      </c>
      <c r="M15" s="149">
        <v>766491</v>
      </c>
      <c r="N15" s="142">
        <f t="shared" si="21"/>
        <v>219</v>
      </c>
      <c r="O15" s="144"/>
      <c r="P15" s="148">
        <v>10</v>
      </c>
      <c r="Q15" s="148">
        <f t="shared" si="34"/>
        <v>211228</v>
      </c>
      <c r="R15" s="149">
        <v>211318</v>
      </c>
      <c r="S15" s="142">
        <f t="shared" si="22"/>
        <v>90</v>
      </c>
      <c r="T15" s="143"/>
      <c r="U15" s="145">
        <v>10</v>
      </c>
      <c r="V15" s="214">
        <f t="shared" si="23"/>
        <v>374</v>
      </c>
      <c r="W15" s="146">
        <f>'Maldives at LG Daily'!I14</f>
        <v>5298</v>
      </c>
      <c r="X15" s="151"/>
      <c r="Z15" s="206">
        <v>10</v>
      </c>
      <c r="AA15" s="150">
        <f t="shared" si="35"/>
        <v>38897</v>
      </c>
      <c r="AB15" s="150">
        <v>38913</v>
      </c>
      <c r="AC15" s="150">
        <f t="shared" si="24"/>
        <v>16</v>
      </c>
      <c r="AD15" s="150">
        <f t="shared" si="80"/>
        <v>2</v>
      </c>
      <c r="AE15" s="307"/>
      <c r="AF15" s="206">
        <f t="shared" si="36"/>
        <v>8433</v>
      </c>
      <c r="AG15" s="150">
        <v>8438</v>
      </c>
      <c r="AH15" s="150">
        <f t="shared" si="25"/>
        <v>5</v>
      </c>
      <c r="AI15" s="150">
        <f t="shared" si="81"/>
        <v>0</v>
      </c>
      <c r="AJ15" s="150"/>
      <c r="AK15" s="206">
        <f t="shared" si="37"/>
        <v>6353</v>
      </c>
      <c r="AL15" s="150">
        <v>6370</v>
      </c>
      <c r="AM15" s="150">
        <f t="shared" si="26"/>
        <v>17</v>
      </c>
      <c r="AN15" s="150">
        <f t="shared" si="38"/>
        <v>15</v>
      </c>
      <c r="AO15" s="150"/>
      <c r="AP15" s="206">
        <f t="shared" si="39"/>
        <v>14909</v>
      </c>
      <c r="AQ15" s="150">
        <v>14917</v>
      </c>
      <c r="AR15" s="150">
        <f t="shared" si="0"/>
        <v>8</v>
      </c>
      <c r="AS15" s="150">
        <f t="shared" si="40"/>
        <v>-3</v>
      </c>
      <c r="AT15" s="150"/>
      <c r="AU15" s="206">
        <f t="shared" si="41"/>
        <v>32523</v>
      </c>
      <c r="AV15" s="150">
        <v>32528</v>
      </c>
      <c r="AW15" s="150">
        <f t="shared" si="1"/>
        <v>5</v>
      </c>
      <c r="AX15" s="150">
        <f t="shared" si="42"/>
        <v>-3</v>
      </c>
      <c r="AY15" s="150"/>
      <c r="AZ15" s="206">
        <f t="shared" si="43"/>
        <v>6644</v>
      </c>
      <c r="BA15" s="150">
        <v>6650</v>
      </c>
      <c r="BB15" s="150">
        <f t="shared" si="2"/>
        <v>6</v>
      </c>
      <c r="BC15" s="150">
        <f t="shared" si="44"/>
        <v>-1</v>
      </c>
      <c r="BD15" s="150"/>
      <c r="BE15" s="206">
        <f t="shared" si="45"/>
        <v>22862</v>
      </c>
      <c r="BF15" s="150">
        <v>22871</v>
      </c>
      <c r="BG15" s="150">
        <f t="shared" si="3"/>
        <v>9</v>
      </c>
      <c r="BH15" s="150">
        <f t="shared" si="46"/>
        <v>0</v>
      </c>
      <c r="BI15" s="150"/>
      <c r="BJ15" s="206">
        <f t="shared" si="47"/>
        <v>6987</v>
      </c>
      <c r="BK15" s="150">
        <v>6994</v>
      </c>
      <c r="BL15" s="150">
        <f t="shared" si="4"/>
        <v>7</v>
      </c>
      <c r="BM15" s="150">
        <f t="shared" si="48"/>
        <v>-2</v>
      </c>
      <c r="BN15" s="150"/>
      <c r="BO15" s="206">
        <f t="shared" si="49"/>
        <v>3495</v>
      </c>
      <c r="BP15" s="150">
        <v>3496</v>
      </c>
      <c r="BQ15" s="150">
        <f t="shared" si="5"/>
        <v>1</v>
      </c>
      <c r="BR15" s="150">
        <f t="shared" si="50"/>
        <v>0</v>
      </c>
      <c r="BS15" s="150"/>
      <c r="BT15" s="206">
        <f t="shared" si="51"/>
        <v>1555</v>
      </c>
      <c r="BU15" s="150">
        <v>1555</v>
      </c>
      <c r="BV15" s="150">
        <f t="shared" si="6"/>
        <v>0</v>
      </c>
      <c r="BW15" s="150">
        <f t="shared" si="52"/>
        <v>-2</v>
      </c>
      <c r="BX15" s="150"/>
      <c r="BY15" s="212">
        <f t="shared" si="53"/>
        <v>26847</v>
      </c>
      <c r="BZ15" s="150">
        <v>26849</v>
      </c>
      <c r="CA15" s="150">
        <f t="shared" si="7"/>
        <v>2</v>
      </c>
      <c r="CB15" s="150">
        <f t="shared" si="54"/>
        <v>-5</v>
      </c>
      <c r="CC15" s="204"/>
      <c r="CD15" s="212">
        <f t="shared" si="55"/>
        <v>2617</v>
      </c>
      <c r="CE15" s="150">
        <v>2618</v>
      </c>
      <c r="CF15" s="150">
        <f t="shared" si="8"/>
        <v>1</v>
      </c>
      <c r="CG15" s="150">
        <f t="shared" si="56"/>
        <v>1</v>
      </c>
      <c r="CH15" s="204"/>
      <c r="CI15" s="212">
        <f t="shared" si="57"/>
        <v>73796</v>
      </c>
      <c r="CJ15" s="150">
        <v>73819</v>
      </c>
      <c r="CK15" s="150">
        <f t="shared" si="9"/>
        <v>23</v>
      </c>
      <c r="CL15" s="150">
        <f t="shared" si="58"/>
        <v>0</v>
      </c>
      <c r="CM15" s="204"/>
      <c r="CN15" s="212">
        <f t="shared" si="59"/>
        <v>23536</v>
      </c>
      <c r="CO15" s="150">
        <v>23541</v>
      </c>
      <c r="CP15" s="150">
        <v>0</v>
      </c>
      <c r="CQ15" s="150">
        <f t="shared" si="60"/>
        <v>-6</v>
      </c>
      <c r="CR15" s="204"/>
      <c r="CS15" s="212">
        <f t="shared" si="61"/>
        <v>12482</v>
      </c>
      <c r="CT15" s="150">
        <v>12483</v>
      </c>
      <c r="CU15" s="150">
        <f t="shared" si="11"/>
        <v>1</v>
      </c>
      <c r="CV15" s="150">
        <f t="shared" si="62"/>
        <v>1</v>
      </c>
      <c r="CW15" s="204"/>
      <c r="CX15" s="212">
        <f t="shared" si="63"/>
        <v>17646</v>
      </c>
      <c r="CY15" s="150">
        <v>17650</v>
      </c>
      <c r="CZ15" s="150">
        <f t="shared" si="12"/>
        <v>4</v>
      </c>
      <c r="DA15" s="150">
        <f t="shared" si="64"/>
        <v>0</v>
      </c>
      <c r="DB15" s="204"/>
      <c r="DC15" s="212">
        <f t="shared" si="65"/>
        <v>19720</v>
      </c>
      <c r="DD15" s="150">
        <v>19722</v>
      </c>
      <c r="DE15" s="150">
        <f t="shared" si="13"/>
        <v>2</v>
      </c>
      <c r="DF15" s="150">
        <f t="shared" si="66"/>
        <v>0</v>
      </c>
      <c r="DG15" s="204"/>
      <c r="DH15" s="212">
        <f t="shared" si="67"/>
        <v>8646</v>
      </c>
      <c r="DI15" s="150">
        <v>8649</v>
      </c>
      <c r="DJ15" s="150">
        <f t="shared" si="14"/>
        <v>3</v>
      </c>
      <c r="DK15" s="150">
        <f t="shared" si="68"/>
        <v>2</v>
      </c>
      <c r="DL15" s="204"/>
      <c r="DM15" s="212">
        <f t="shared" si="69"/>
        <v>19502</v>
      </c>
      <c r="DN15" s="150">
        <v>19547</v>
      </c>
      <c r="DO15" s="150">
        <f t="shared" si="15"/>
        <v>45</v>
      </c>
      <c r="DP15" s="150">
        <f t="shared" si="70"/>
        <v>45</v>
      </c>
      <c r="DQ15" s="204"/>
      <c r="DR15" s="212">
        <f t="shared" si="71"/>
        <v>1990</v>
      </c>
      <c r="DS15" s="150">
        <v>1992</v>
      </c>
      <c r="DT15" s="150">
        <f t="shared" si="16"/>
        <v>2</v>
      </c>
      <c r="DU15" s="150">
        <f t="shared" si="72"/>
        <v>0</v>
      </c>
      <c r="DV15" s="204"/>
      <c r="DW15" s="212">
        <f t="shared" si="73"/>
        <v>9743</v>
      </c>
      <c r="DX15" s="150">
        <v>9747</v>
      </c>
      <c r="DY15" s="150">
        <f t="shared" si="74"/>
        <v>4</v>
      </c>
      <c r="DZ15" s="150">
        <f t="shared" si="75"/>
        <v>-7</v>
      </c>
      <c r="EA15" s="204"/>
      <c r="EB15" s="212">
        <f t="shared" si="76"/>
        <v>408</v>
      </c>
      <c r="EC15" s="150">
        <v>425</v>
      </c>
      <c r="ED15" s="204">
        <f t="shared" si="27"/>
        <v>17</v>
      </c>
      <c r="EE15" s="212">
        <f t="shared" ref="EE15:EE36" si="82">EF14</f>
        <v>176</v>
      </c>
      <c r="EF15" s="150">
        <v>185</v>
      </c>
      <c r="EG15" s="204">
        <f t="shared" si="28"/>
        <v>9</v>
      </c>
      <c r="EH15" s="212">
        <f t="shared" ref="EH15:EH36" si="83">EI14</f>
        <v>100</v>
      </c>
      <c r="EI15" s="150">
        <v>103</v>
      </c>
      <c r="EJ15" s="204">
        <f t="shared" si="29"/>
        <v>3</v>
      </c>
      <c r="EK15" s="212">
        <f t="shared" si="79"/>
        <v>127</v>
      </c>
      <c r="EL15" s="150">
        <v>135</v>
      </c>
      <c r="EM15" s="204">
        <f t="shared" si="30"/>
        <v>8</v>
      </c>
      <c r="EN15" s="212">
        <f t="shared" si="17"/>
        <v>58</v>
      </c>
      <c r="EO15" s="150">
        <f t="shared" si="18"/>
        <v>15.508021390374333</v>
      </c>
      <c r="EP15" s="204"/>
    </row>
    <row r="16" spans="1:146" ht="15" customHeight="1" x14ac:dyDescent="0.2">
      <c r="A16" s="148">
        <v>11</v>
      </c>
      <c r="B16" s="148">
        <f t="shared" si="31"/>
        <v>15509</v>
      </c>
      <c r="C16" s="149">
        <v>15509</v>
      </c>
      <c r="D16" s="142">
        <f t="shared" si="19"/>
        <v>0</v>
      </c>
      <c r="E16" s="197"/>
      <c r="F16" s="148">
        <v>11</v>
      </c>
      <c r="G16" s="148">
        <f t="shared" si="32"/>
        <v>13599</v>
      </c>
      <c r="H16" s="141">
        <v>13690</v>
      </c>
      <c r="I16" s="142">
        <f t="shared" si="20"/>
        <v>91</v>
      </c>
      <c r="J16" s="197"/>
      <c r="K16" s="148">
        <v>11</v>
      </c>
      <c r="L16" s="148">
        <f t="shared" si="33"/>
        <v>766491</v>
      </c>
      <c r="M16" s="149">
        <v>766700</v>
      </c>
      <c r="N16" s="142">
        <f t="shared" si="21"/>
        <v>209</v>
      </c>
      <c r="O16" s="144"/>
      <c r="P16" s="148">
        <v>11</v>
      </c>
      <c r="Q16" s="148">
        <f t="shared" si="34"/>
        <v>211318</v>
      </c>
      <c r="R16" s="149">
        <v>211390</v>
      </c>
      <c r="S16" s="142">
        <f t="shared" si="22"/>
        <v>72</v>
      </c>
      <c r="T16" s="143"/>
      <c r="U16" s="148">
        <v>11</v>
      </c>
      <c r="V16" s="214">
        <f t="shared" si="23"/>
        <v>372</v>
      </c>
      <c r="W16" s="146">
        <f>'Maldives at LG Daily'!I15</f>
        <v>422</v>
      </c>
      <c r="X16" s="151"/>
      <c r="Z16" s="206">
        <v>11</v>
      </c>
      <c r="AA16" s="150">
        <f t="shared" si="35"/>
        <v>38913</v>
      </c>
      <c r="AB16" s="150">
        <v>38928</v>
      </c>
      <c r="AC16" s="150">
        <f t="shared" si="24"/>
        <v>15</v>
      </c>
      <c r="AD16" s="150">
        <f t="shared" si="80"/>
        <v>-1</v>
      </c>
      <c r="AE16" s="307"/>
      <c r="AF16" s="206">
        <f t="shared" si="36"/>
        <v>8438</v>
      </c>
      <c r="AG16" s="150">
        <v>8444</v>
      </c>
      <c r="AH16" s="150">
        <f t="shared" si="25"/>
        <v>6</v>
      </c>
      <c r="AI16" s="150">
        <f t="shared" si="81"/>
        <v>1</v>
      </c>
      <c r="AJ16" s="150"/>
      <c r="AK16" s="206">
        <f t="shared" si="37"/>
        <v>6370</v>
      </c>
      <c r="AL16" s="150">
        <v>6384</v>
      </c>
      <c r="AM16" s="150">
        <f t="shared" si="26"/>
        <v>14</v>
      </c>
      <c r="AN16" s="150">
        <f t="shared" si="38"/>
        <v>-3</v>
      </c>
      <c r="AO16" s="150"/>
      <c r="AP16" s="206">
        <f t="shared" si="39"/>
        <v>14917</v>
      </c>
      <c r="AQ16" s="150">
        <v>14931</v>
      </c>
      <c r="AR16" s="150">
        <f t="shared" si="0"/>
        <v>14</v>
      </c>
      <c r="AS16" s="150">
        <f t="shared" si="40"/>
        <v>6</v>
      </c>
      <c r="AT16" s="150"/>
      <c r="AU16" s="206">
        <f t="shared" si="41"/>
        <v>32528</v>
      </c>
      <c r="AV16" s="150">
        <v>32532</v>
      </c>
      <c r="AW16" s="150">
        <f t="shared" si="1"/>
        <v>4</v>
      </c>
      <c r="AX16" s="150">
        <f t="shared" si="42"/>
        <v>-1</v>
      </c>
      <c r="AY16" s="150"/>
      <c r="AZ16" s="206">
        <f t="shared" si="43"/>
        <v>6650</v>
      </c>
      <c r="BA16" s="150">
        <v>6658</v>
      </c>
      <c r="BB16" s="150">
        <f t="shared" si="2"/>
        <v>8</v>
      </c>
      <c r="BC16" s="150">
        <f t="shared" si="44"/>
        <v>2</v>
      </c>
      <c r="BD16" s="150"/>
      <c r="BE16" s="206">
        <f t="shared" si="45"/>
        <v>22871</v>
      </c>
      <c r="BF16" s="150">
        <v>22879</v>
      </c>
      <c r="BG16" s="150">
        <f t="shared" si="3"/>
        <v>8</v>
      </c>
      <c r="BH16" s="150">
        <f t="shared" si="46"/>
        <v>-1</v>
      </c>
      <c r="BI16" s="150"/>
      <c r="BJ16" s="206">
        <f t="shared" si="47"/>
        <v>6994</v>
      </c>
      <c r="BK16" s="150">
        <v>7002</v>
      </c>
      <c r="BL16" s="150">
        <f t="shared" si="4"/>
        <v>8</v>
      </c>
      <c r="BM16" s="150">
        <f t="shared" si="48"/>
        <v>1</v>
      </c>
      <c r="BN16" s="150"/>
      <c r="BO16" s="206">
        <f t="shared" si="49"/>
        <v>3496</v>
      </c>
      <c r="BP16" s="150">
        <v>3499</v>
      </c>
      <c r="BQ16" s="150">
        <f t="shared" si="5"/>
        <v>3</v>
      </c>
      <c r="BR16" s="150">
        <f t="shared" si="50"/>
        <v>2</v>
      </c>
      <c r="BS16" s="150"/>
      <c r="BT16" s="206">
        <f t="shared" si="51"/>
        <v>1555</v>
      </c>
      <c r="BU16" s="150">
        <v>1558</v>
      </c>
      <c r="BV16" s="150">
        <f t="shared" si="6"/>
        <v>3</v>
      </c>
      <c r="BW16" s="150">
        <f t="shared" si="52"/>
        <v>3</v>
      </c>
      <c r="BX16" s="150"/>
      <c r="BY16" s="212">
        <f t="shared" si="53"/>
        <v>26849</v>
      </c>
      <c r="BZ16" s="150">
        <v>26857</v>
      </c>
      <c r="CA16" s="150">
        <f t="shared" si="7"/>
        <v>8</v>
      </c>
      <c r="CB16" s="150">
        <f t="shared" si="54"/>
        <v>6</v>
      </c>
      <c r="CC16" s="204"/>
      <c r="CD16" s="212">
        <f t="shared" si="55"/>
        <v>2618</v>
      </c>
      <c r="CE16" s="150">
        <v>2621</v>
      </c>
      <c r="CF16" s="150">
        <f t="shared" si="8"/>
        <v>3</v>
      </c>
      <c r="CG16" s="150">
        <f t="shared" si="56"/>
        <v>2</v>
      </c>
      <c r="CH16" s="204"/>
      <c r="CI16" s="212">
        <f t="shared" si="57"/>
        <v>73819</v>
      </c>
      <c r="CJ16" s="150">
        <v>73844</v>
      </c>
      <c r="CK16" s="150">
        <f t="shared" si="9"/>
        <v>25</v>
      </c>
      <c r="CL16" s="150">
        <f t="shared" si="58"/>
        <v>2</v>
      </c>
      <c r="CM16" s="204"/>
      <c r="CN16" s="212">
        <f t="shared" si="59"/>
        <v>23541</v>
      </c>
      <c r="CO16" s="150">
        <v>23545</v>
      </c>
      <c r="CP16" s="150">
        <f t="shared" si="10"/>
        <v>4</v>
      </c>
      <c r="CQ16" s="150">
        <f t="shared" si="60"/>
        <v>4</v>
      </c>
      <c r="CR16" s="204"/>
      <c r="CS16" s="212">
        <f t="shared" si="61"/>
        <v>12483</v>
      </c>
      <c r="CT16" s="150">
        <v>12483</v>
      </c>
      <c r="CU16" s="150">
        <f t="shared" si="11"/>
        <v>0</v>
      </c>
      <c r="CV16" s="150">
        <f t="shared" si="62"/>
        <v>-1</v>
      </c>
      <c r="CW16" s="204"/>
      <c r="CX16" s="212">
        <f t="shared" si="63"/>
        <v>17650</v>
      </c>
      <c r="CY16" s="150">
        <v>17657</v>
      </c>
      <c r="CZ16" s="150">
        <f t="shared" si="12"/>
        <v>7</v>
      </c>
      <c r="DA16" s="150">
        <f t="shared" si="64"/>
        <v>3</v>
      </c>
      <c r="DB16" s="204"/>
      <c r="DC16" s="212">
        <f t="shared" si="65"/>
        <v>19722</v>
      </c>
      <c r="DD16" s="150">
        <v>19725</v>
      </c>
      <c r="DE16" s="150">
        <f t="shared" si="13"/>
        <v>3</v>
      </c>
      <c r="DF16" s="150">
        <f t="shared" si="66"/>
        <v>1</v>
      </c>
      <c r="DG16" s="204"/>
      <c r="DH16" s="212">
        <f t="shared" si="67"/>
        <v>8649</v>
      </c>
      <c r="DI16" s="150">
        <v>8650</v>
      </c>
      <c r="DJ16" s="150">
        <f t="shared" si="14"/>
        <v>1</v>
      </c>
      <c r="DK16" s="150">
        <f t="shared" si="68"/>
        <v>-2</v>
      </c>
      <c r="DL16" s="204"/>
      <c r="DM16" s="212">
        <f t="shared" si="69"/>
        <v>19547</v>
      </c>
      <c r="DN16" s="150">
        <v>19559</v>
      </c>
      <c r="DO16" s="150">
        <f t="shared" si="15"/>
        <v>12</v>
      </c>
      <c r="DP16" s="150">
        <f t="shared" si="70"/>
        <v>-33</v>
      </c>
      <c r="DQ16" s="204"/>
      <c r="DR16" s="212">
        <f t="shared" si="71"/>
        <v>1992</v>
      </c>
      <c r="DS16" s="150">
        <v>1993</v>
      </c>
      <c r="DT16" s="150">
        <f t="shared" si="16"/>
        <v>1</v>
      </c>
      <c r="DU16" s="150">
        <f t="shared" si="72"/>
        <v>-1</v>
      </c>
      <c r="DV16" s="204"/>
      <c r="DW16" s="212">
        <f t="shared" si="73"/>
        <v>9747</v>
      </c>
      <c r="DX16" s="150">
        <v>9784</v>
      </c>
      <c r="DY16" s="150">
        <f t="shared" si="74"/>
        <v>37</v>
      </c>
      <c r="DZ16" s="150">
        <f t="shared" si="75"/>
        <v>33</v>
      </c>
      <c r="EA16" s="204"/>
      <c r="EB16" s="212">
        <f t="shared" si="76"/>
        <v>425</v>
      </c>
      <c r="EC16" s="150">
        <v>433</v>
      </c>
      <c r="ED16" s="204">
        <f t="shared" si="27"/>
        <v>8</v>
      </c>
      <c r="EE16" s="212">
        <f t="shared" si="82"/>
        <v>185</v>
      </c>
      <c r="EF16" s="150">
        <v>191</v>
      </c>
      <c r="EG16" s="204">
        <f t="shared" si="28"/>
        <v>6</v>
      </c>
      <c r="EH16" s="212">
        <f t="shared" si="83"/>
        <v>103</v>
      </c>
      <c r="EI16" s="150">
        <v>107</v>
      </c>
      <c r="EJ16" s="204">
        <f t="shared" si="29"/>
        <v>4</v>
      </c>
      <c r="EK16" s="212">
        <f t="shared" si="79"/>
        <v>135</v>
      </c>
      <c r="EL16" s="150">
        <v>138</v>
      </c>
      <c r="EM16" s="204">
        <f t="shared" si="30"/>
        <v>3</v>
      </c>
      <c r="EN16" s="212">
        <f t="shared" si="17"/>
        <v>68</v>
      </c>
      <c r="EO16" s="150">
        <f t="shared" si="18"/>
        <v>18.27956989247312</v>
      </c>
      <c r="EP16" s="204"/>
    </row>
    <row r="17" spans="1:146" ht="15" customHeight="1" x14ac:dyDescent="0.2">
      <c r="A17" s="148">
        <v>12</v>
      </c>
      <c r="B17" s="148">
        <f t="shared" si="31"/>
        <v>15509</v>
      </c>
      <c r="C17" s="149">
        <v>15509</v>
      </c>
      <c r="D17" s="142">
        <f t="shared" si="19"/>
        <v>0</v>
      </c>
      <c r="E17" s="197"/>
      <c r="F17" s="148">
        <v>12</v>
      </c>
      <c r="G17" s="148">
        <f t="shared" si="32"/>
        <v>13690</v>
      </c>
      <c r="H17" s="149">
        <v>13751</v>
      </c>
      <c r="I17" s="142">
        <f t="shared" si="20"/>
        <v>61</v>
      </c>
      <c r="J17" s="197"/>
      <c r="K17" s="148">
        <v>12</v>
      </c>
      <c r="L17" s="148">
        <f t="shared" si="33"/>
        <v>766700</v>
      </c>
      <c r="M17" s="149">
        <v>766975</v>
      </c>
      <c r="N17" s="142">
        <f t="shared" si="21"/>
        <v>275</v>
      </c>
      <c r="O17" s="144"/>
      <c r="P17" s="148">
        <v>12</v>
      </c>
      <c r="Q17" s="148">
        <f t="shared" si="34"/>
        <v>211390</v>
      </c>
      <c r="R17" s="149">
        <v>211470</v>
      </c>
      <c r="S17" s="142">
        <f t="shared" si="22"/>
        <v>80</v>
      </c>
      <c r="T17" s="143"/>
      <c r="U17" s="145">
        <v>12</v>
      </c>
      <c r="V17" s="214">
        <f t="shared" si="23"/>
        <v>416</v>
      </c>
      <c r="W17" s="146">
        <f>'Maldives at LG Daily'!I16</f>
        <v>0</v>
      </c>
      <c r="X17" s="151"/>
      <c r="Z17" s="206">
        <v>12</v>
      </c>
      <c r="AA17" s="150">
        <f t="shared" si="35"/>
        <v>38928</v>
      </c>
      <c r="AB17" s="150">
        <v>38944</v>
      </c>
      <c r="AC17" s="150">
        <f t="shared" si="24"/>
        <v>16</v>
      </c>
      <c r="AD17" s="150">
        <f t="shared" si="80"/>
        <v>1</v>
      </c>
      <c r="AE17" s="307"/>
      <c r="AF17" s="206">
        <f t="shared" si="36"/>
        <v>8444</v>
      </c>
      <c r="AG17" s="150">
        <v>8450</v>
      </c>
      <c r="AH17" s="150">
        <f t="shared" si="25"/>
        <v>6</v>
      </c>
      <c r="AI17" s="150">
        <f t="shared" si="81"/>
        <v>0</v>
      </c>
      <c r="AJ17" s="150"/>
      <c r="AK17" s="206">
        <f t="shared" si="37"/>
        <v>6384</v>
      </c>
      <c r="AL17" s="150">
        <v>6391</v>
      </c>
      <c r="AM17" s="150">
        <f t="shared" si="26"/>
        <v>7</v>
      </c>
      <c r="AN17" s="150">
        <f t="shared" si="38"/>
        <v>-7</v>
      </c>
      <c r="AO17" s="150"/>
      <c r="AP17" s="206">
        <f t="shared" si="39"/>
        <v>14931</v>
      </c>
      <c r="AQ17" s="150">
        <v>14941</v>
      </c>
      <c r="AR17" s="150">
        <f t="shared" si="0"/>
        <v>10</v>
      </c>
      <c r="AS17" s="150">
        <f t="shared" si="40"/>
        <v>-4</v>
      </c>
      <c r="AT17" s="150"/>
      <c r="AU17" s="206">
        <f t="shared" si="41"/>
        <v>32532</v>
      </c>
      <c r="AV17" s="150">
        <v>32541</v>
      </c>
      <c r="AW17" s="150">
        <f t="shared" si="1"/>
        <v>9</v>
      </c>
      <c r="AX17" s="150">
        <f t="shared" si="42"/>
        <v>5</v>
      </c>
      <c r="AY17" s="150"/>
      <c r="AZ17" s="206">
        <f t="shared" si="43"/>
        <v>6658</v>
      </c>
      <c r="BA17" s="150">
        <v>6664</v>
      </c>
      <c r="BB17" s="150">
        <f t="shared" si="2"/>
        <v>6</v>
      </c>
      <c r="BC17" s="150">
        <f t="shared" si="44"/>
        <v>-2</v>
      </c>
      <c r="BD17" s="150"/>
      <c r="BE17" s="206">
        <f t="shared" si="45"/>
        <v>22879</v>
      </c>
      <c r="BF17" s="150">
        <f>22879+8</f>
        <v>22887</v>
      </c>
      <c r="BG17" s="150">
        <f t="shared" si="3"/>
        <v>8</v>
      </c>
      <c r="BH17" s="150">
        <f t="shared" si="46"/>
        <v>0</v>
      </c>
      <c r="BI17" s="150"/>
      <c r="BJ17" s="206">
        <f t="shared" si="47"/>
        <v>7002</v>
      </c>
      <c r="BK17" s="150">
        <v>7009</v>
      </c>
      <c r="BL17" s="150">
        <f t="shared" si="4"/>
        <v>7</v>
      </c>
      <c r="BM17" s="150">
        <f t="shared" si="48"/>
        <v>-1</v>
      </c>
      <c r="BN17" s="150"/>
      <c r="BO17" s="206">
        <f t="shared" si="49"/>
        <v>3499</v>
      </c>
      <c r="BP17" s="150">
        <v>3500</v>
      </c>
      <c r="BQ17" s="150">
        <f t="shared" si="5"/>
        <v>1</v>
      </c>
      <c r="BR17" s="150">
        <f t="shared" si="50"/>
        <v>-2</v>
      </c>
      <c r="BS17" s="150"/>
      <c r="BT17" s="206">
        <f t="shared" si="51"/>
        <v>1558</v>
      </c>
      <c r="BU17" s="150">
        <v>1558</v>
      </c>
      <c r="BV17" s="150">
        <f t="shared" si="6"/>
        <v>0</v>
      </c>
      <c r="BW17" s="150">
        <f t="shared" si="52"/>
        <v>-3</v>
      </c>
      <c r="BX17" s="150"/>
      <c r="BY17" s="212">
        <f t="shared" si="53"/>
        <v>26857</v>
      </c>
      <c r="BZ17" s="150">
        <v>26865</v>
      </c>
      <c r="CA17" s="150">
        <f t="shared" si="7"/>
        <v>8</v>
      </c>
      <c r="CB17" s="150">
        <f t="shared" si="54"/>
        <v>0</v>
      </c>
      <c r="CC17" s="204"/>
      <c r="CD17" s="212">
        <f t="shared" si="55"/>
        <v>2621</v>
      </c>
      <c r="CE17" s="150">
        <v>2627</v>
      </c>
      <c r="CF17" s="150">
        <f t="shared" si="8"/>
        <v>6</v>
      </c>
      <c r="CG17" s="150">
        <f t="shared" si="56"/>
        <v>3</v>
      </c>
      <c r="CH17" s="204"/>
      <c r="CI17" s="212">
        <f t="shared" si="57"/>
        <v>73844</v>
      </c>
      <c r="CJ17" s="150">
        <v>73868</v>
      </c>
      <c r="CK17" s="150">
        <f t="shared" si="9"/>
        <v>24</v>
      </c>
      <c r="CL17" s="150">
        <f t="shared" si="58"/>
        <v>-1</v>
      </c>
      <c r="CM17" s="204"/>
      <c r="CN17" s="212">
        <f t="shared" si="59"/>
        <v>23545</v>
      </c>
      <c r="CO17" s="150">
        <v>23550</v>
      </c>
      <c r="CP17" s="150">
        <f t="shared" si="10"/>
        <v>5</v>
      </c>
      <c r="CQ17" s="150">
        <f t="shared" si="60"/>
        <v>1</v>
      </c>
      <c r="CR17" s="204"/>
      <c r="CS17" s="212">
        <f t="shared" si="61"/>
        <v>12483</v>
      </c>
      <c r="CT17" s="150">
        <v>12484</v>
      </c>
      <c r="CU17" s="150">
        <f t="shared" si="11"/>
        <v>1</v>
      </c>
      <c r="CV17" s="150">
        <f t="shared" si="62"/>
        <v>1</v>
      </c>
      <c r="CW17" s="204"/>
      <c r="CX17" s="212">
        <f t="shared" si="63"/>
        <v>17657</v>
      </c>
      <c r="CY17" s="150">
        <v>17665</v>
      </c>
      <c r="CZ17" s="150">
        <f t="shared" si="12"/>
        <v>8</v>
      </c>
      <c r="DA17" s="150">
        <f t="shared" si="64"/>
        <v>1</v>
      </c>
      <c r="DB17" s="204"/>
      <c r="DC17" s="212">
        <f t="shared" si="65"/>
        <v>19725</v>
      </c>
      <c r="DD17" s="150">
        <v>19727</v>
      </c>
      <c r="DE17" s="150">
        <f t="shared" si="13"/>
        <v>2</v>
      </c>
      <c r="DF17" s="150">
        <f t="shared" si="66"/>
        <v>-1</v>
      </c>
      <c r="DG17" s="204"/>
      <c r="DH17" s="212">
        <f t="shared" si="67"/>
        <v>8650</v>
      </c>
      <c r="DI17" s="150">
        <v>8652</v>
      </c>
      <c r="DJ17" s="150">
        <f t="shared" si="14"/>
        <v>2</v>
      </c>
      <c r="DK17" s="150">
        <f t="shared" si="68"/>
        <v>1</v>
      </c>
      <c r="DL17" s="204"/>
      <c r="DM17" s="212">
        <f t="shared" si="69"/>
        <v>19559</v>
      </c>
      <c r="DN17" s="150">
        <v>19571</v>
      </c>
      <c r="DO17" s="150">
        <f t="shared" si="15"/>
        <v>12</v>
      </c>
      <c r="DP17" s="150">
        <f t="shared" si="70"/>
        <v>0</v>
      </c>
      <c r="DQ17" s="204"/>
      <c r="DR17" s="212">
        <f t="shared" si="71"/>
        <v>1993</v>
      </c>
      <c r="DS17" s="150">
        <v>1996</v>
      </c>
      <c r="DT17" s="150">
        <f t="shared" si="16"/>
        <v>3</v>
      </c>
      <c r="DU17" s="150">
        <f t="shared" si="72"/>
        <v>2</v>
      </c>
      <c r="DV17" s="204"/>
      <c r="DW17" s="212">
        <f t="shared" si="73"/>
        <v>9784</v>
      </c>
      <c r="DX17" s="150">
        <v>9801</v>
      </c>
      <c r="DY17" s="150">
        <f t="shared" si="74"/>
        <v>17</v>
      </c>
      <c r="DZ17" s="150">
        <f t="shared" si="75"/>
        <v>-20</v>
      </c>
      <c r="EA17" s="204"/>
      <c r="EB17" s="212">
        <f t="shared" si="76"/>
        <v>433</v>
      </c>
      <c r="EC17" s="150">
        <v>442</v>
      </c>
      <c r="ED17" s="204">
        <f t="shared" si="27"/>
        <v>9</v>
      </c>
      <c r="EE17" s="212">
        <f t="shared" si="82"/>
        <v>191</v>
      </c>
      <c r="EF17" s="150">
        <v>198</v>
      </c>
      <c r="EG17" s="204">
        <f t="shared" si="28"/>
        <v>7</v>
      </c>
      <c r="EH17" s="212">
        <f t="shared" si="83"/>
        <v>107</v>
      </c>
      <c r="EI17" s="150">
        <v>109</v>
      </c>
      <c r="EJ17" s="204">
        <f t="shared" si="29"/>
        <v>2</v>
      </c>
      <c r="EK17" s="212">
        <f t="shared" ref="EK17:EK36" si="84">EL16</f>
        <v>138</v>
      </c>
      <c r="EL17" s="150">
        <v>142</v>
      </c>
      <c r="EM17" s="204">
        <f t="shared" si="30"/>
        <v>4</v>
      </c>
      <c r="EN17" s="212">
        <f t="shared" si="17"/>
        <v>54</v>
      </c>
      <c r="EO17" s="150">
        <f t="shared" si="18"/>
        <v>12.980769230769232</v>
      </c>
      <c r="EP17" s="204"/>
    </row>
    <row r="18" spans="1:146" ht="15" customHeight="1" x14ac:dyDescent="0.2">
      <c r="A18" s="148">
        <v>13</v>
      </c>
      <c r="B18" s="148">
        <f t="shared" si="31"/>
        <v>15509</v>
      </c>
      <c r="C18" s="149">
        <v>15509</v>
      </c>
      <c r="D18" s="142">
        <f t="shared" si="19"/>
        <v>0</v>
      </c>
      <c r="E18" s="197"/>
      <c r="F18" s="148">
        <v>13</v>
      </c>
      <c r="G18" s="148">
        <f t="shared" si="32"/>
        <v>13751</v>
      </c>
      <c r="H18" s="149">
        <v>13859</v>
      </c>
      <c r="I18" s="142">
        <f t="shared" si="20"/>
        <v>108</v>
      </c>
      <c r="J18" s="197"/>
      <c r="K18" s="148">
        <v>13</v>
      </c>
      <c r="L18" s="148">
        <f t="shared" si="33"/>
        <v>766975</v>
      </c>
      <c r="M18" s="149">
        <v>767242</v>
      </c>
      <c r="N18" s="142">
        <f t="shared" si="21"/>
        <v>267</v>
      </c>
      <c r="O18" s="144"/>
      <c r="P18" s="148">
        <v>13</v>
      </c>
      <c r="Q18" s="148">
        <f t="shared" si="34"/>
        <v>211470</v>
      </c>
      <c r="R18" s="149">
        <v>211471</v>
      </c>
      <c r="S18" s="142">
        <f t="shared" si="22"/>
        <v>1</v>
      </c>
      <c r="T18" s="143"/>
      <c r="U18" s="145">
        <v>13</v>
      </c>
      <c r="V18" s="214">
        <f t="shared" si="23"/>
        <v>376</v>
      </c>
      <c r="W18" s="146">
        <f>'Maldives at LG Daily'!I17</f>
        <v>4600</v>
      </c>
      <c r="X18" s="151"/>
      <c r="Z18" s="206">
        <v>13</v>
      </c>
      <c r="AA18" s="150">
        <f t="shared" si="35"/>
        <v>38944</v>
      </c>
      <c r="AB18" s="150">
        <v>38959</v>
      </c>
      <c r="AC18" s="150">
        <f t="shared" si="24"/>
        <v>15</v>
      </c>
      <c r="AD18" s="150">
        <f t="shared" si="80"/>
        <v>-1</v>
      </c>
      <c r="AE18" s="307"/>
      <c r="AF18" s="206">
        <f t="shared" si="36"/>
        <v>8450</v>
      </c>
      <c r="AG18" s="150">
        <v>8454</v>
      </c>
      <c r="AH18" s="150">
        <f t="shared" si="25"/>
        <v>4</v>
      </c>
      <c r="AI18" s="150">
        <f t="shared" si="81"/>
        <v>-2</v>
      </c>
      <c r="AJ18" s="150"/>
      <c r="AK18" s="206">
        <f t="shared" si="37"/>
        <v>6391</v>
      </c>
      <c r="AL18" s="150">
        <v>6398</v>
      </c>
      <c r="AM18" s="150">
        <f t="shared" si="26"/>
        <v>7</v>
      </c>
      <c r="AN18" s="150">
        <f t="shared" si="38"/>
        <v>0</v>
      </c>
      <c r="AO18" s="150"/>
      <c r="AP18" s="206">
        <f t="shared" si="39"/>
        <v>14941</v>
      </c>
      <c r="AQ18" s="150">
        <v>14956</v>
      </c>
      <c r="AR18" s="150">
        <f t="shared" si="0"/>
        <v>15</v>
      </c>
      <c r="AS18" s="150">
        <f t="shared" si="40"/>
        <v>5</v>
      </c>
      <c r="AT18" s="150"/>
      <c r="AU18" s="206">
        <f t="shared" si="41"/>
        <v>32541</v>
      </c>
      <c r="AV18" s="150">
        <v>32549</v>
      </c>
      <c r="AW18" s="150">
        <f t="shared" si="1"/>
        <v>8</v>
      </c>
      <c r="AX18" s="150">
        <f t="shared" si="42"/>
        <v>-1</v>
      </c>
      <c r="AY18" s="150"/>
      <c r="AZ18" s="206">
        <f t="shared" si="43"/>
        <v>6664</v>
      </c>
      <c r="BA18" s="150">
        <v>6670</v>
      </c>
      <c r="BB18" s="150">
        <f t="shared" si="2"/>
        <v>6</v>
      </c>
      <c r="BC18" s="150">
        <f t="shared" si="44"/>
        <v>0</v>
      </c>
      <c r="BD18" s="150"/>
      <c r="BE18" s="206">
        <f t="shared" si="45"/>
        <v>22887</v>
      </c>
      <c r="BF18" s="150">
        <f>22887+9</f>
        <v>22896</v>
      </c>
      <c r="BG18" s="150">
        <f t="shared" si="3"/>
        <v>9</v>
      </c>
      <c r="BH18" s="150">
        <f t="shared" si="46"/>
        <v>1</v>
      </c>
      <c r="BI18" s="150"/>
      <c r="BJ18" s="206">
        <f t="shared" si="47"/>
        <v>7009</v>
      </c>
      <c r="BK18" s="150">
        <v>7018</v>
      </c>
      <c r="BL18" s="150">
        <f t="shared" si="4"/>
        <v>9</v>
      </c>
      <c r="BM18" s="150">
        <f t="shared" si="48"/>
        <v>2</v>
      </c>
      <c r="BN18" s="150"/>
      <c r="BO18" s="206">
        <f t="shared" si="49"/>
        <v>3500</v>
      </c>
      <c r="BP18" s="150">
        <v>3502</v>
      </c>
      <c r="BQ18" s="150">
        <f t="shared" si="5"/>
        <v>2</v>
      </c>
      <c r="BR18" s="150">
        <f t="shared" si="50"/>
        <v>1</v>
      </c>
      <c r="BS18" s="150"/>
      <c r="BT18" s="206">
        <f t="shared" si="51"/>
        <v>1558</v>
      </c>
      <c r="BU18" s="150">
        <v>1559</v>
      </c>
      <c r="BV18" s="150">
        <f t="shared" si="6"/>
        <v>1</v>
      </c>
      <c r="BW18" s="150">
        <f t="shared" si="52"/>
        <v>1</v>
      </c>
      <c r="BX18" s="150"/>
      <c r="BY18" s="212">
        <f t="shared" si="53"/>
        <v>26865</v>
      </c>
      <c r="BZ18" s="150">
        <v>26868</v>
      </c>
      <c r="CA18" s="150">
        <f t="shared" si="7"/>
        <v>3</v>
      </c>
      <c r="CB18" s="150">
        <f t="shared" si="54"/>
        <v>-5</v>
      </c>
      <c r="CC18" s="204"/>
      <c r="CD18" s="212">
        <f t="shared" si="55"/>
        <v>2627</v>
      </c>
      <c r="CE18" s="150">
        <v>2630</v>
      </c>
      <c r="CF18" s="150">
        <f t="shared" si="8"/>
        <v>3</v>
      </c>
      <c r="CG18" s="150">
        <f t="shared" si="56"/>
        <v>-3</v>
      </c>
      <c r="CH18" s="204"/>
      <c r="CI18" s="212">
        <f t="shared" si="57"/>
        <v>73868</v>
      </c>
      <c r="CJ18" s="150">
        <v>73891</v>
      </c>
      <c r="CK18" s="150">
        <f t="shared" si="9"/>
        <v>23</v>
      </c>
      <c r="CL18" s="150">
        <f t="shared" si="58"/>
        <v>-1</v>
      </c>
      <c r="CM18" s="204"/>
      <c r="CN18" s="212">
        <f t="shared" si="59"/>
        <v>23550</v>
      </c>
      <c r="CO18" s="150">
        <v>23554</v>
      </c>
      <c r="CP18" s="150">
        <f t="shared" si="10"/>
        <v>4</v>
      </c>
      <c r="CQ18" s="150">
        <f t="shared" si="60"/>
        <v>-1</v>
      </c>
      <c r="CR18" s="204"/>
      <c r="CS18" s="212">
        <f t="shared" si="61"/>
        <v>12484</v>
      </c>
      <c r="CT18" s="150">
        <v>12484</v>
      </c>
      <c r="CU18" s="150">
        <f t="shared" si="11"/>
        <v>0</v>
      </c>
      <c r="CV18" s="150">
        <f t="shared" si="62"/>
        <v>-1</v>
      </c>
      <c r="CW18" s="204"/>
      <c r="CX18" s="212">
        <f t="shared" si="63"/>
        <v>17665</v>
      </c>
      <c r="CY18" s="150">
        <v>17677</v>
      </c>
      <c r="CZ18" s="150">
        <f t="shared" si="12"/>
        <v>12</v>
      </c>
      <c r="DA18" s="150">
        <f t="shared" si="64"/>
        <v>4</v>
      </c>
      <c r="DB18" s="204"/>
      <c r="DC18" s="212">
        <f t="shared" si="65"/>
        <v>19727</v>
      </c>
      <c r="DD18" s="150">
        <v>19729</v>
      </c>
      <c r="DE18" s="150">
        <f t="shared" si="13"/>
        <v>2</v>
      </c>
      <c r="DF18" s="150">
        <f t="shared" si="66"/>
        <v>0</v>
      </c>
      <c r="DG18" s="204"/>
      <c r="DH18" s="212">
        <f t="shared" si="67"/>
        <v>8652</v>
      </c>
      <c r="DI18" s="150">
        <v>8654</v>
      </c>
      <c r="DJ18" s="150">
        <f t="shared" si="14"/>
        <v>2</v>
      </c>
      <c r="DK18" s="150">
        <f t="shared" si="68"/>
        <v>0</v>
      </c>
      <c r="DL18" s="204"/>
      <c r="DM18" s="212">
        <f t="shared" si="69"/>
        <v>19571</v>
      </c>
      <c r="DN18" s="150">
        <v>19586</v>
      </c>
      <c r="DO18" s="150">
        <f t="shared" si="15"/>
        <v>15</v>
      </c>
      <c r="DP18" s="150">
        <f t="shared" si="70"/>
        <v>3</v>
      </c>
      <c r="DQ18" s="204"/>
      <c r="DR18" s="212">
        <f t="shared" si="71"/>
        <v>1996</v>
      </c>
      <c r="DS18" s="150">
        <v>1998</v>
      </c>
      <c r="DT18" s="150">
        <f t="shared" si="16"/>
        <v>2</v>
      </c>
      <c r="DU18" s="150">
        <f t="shared" si="72"/>
        <v>-1</v>
      </c>
      <c r="DV18" s="204"/>
      <c r="DW18" s="212">
        <f t="shared" si="73"/>
        <v>9801</v>
      </c>
      <c r="DX18" s="150">
        <v>9802</v>
      </c>
      <c r="DY18" s="150">
        <f t="shared" si="74"/>
        <v>1</v>
      </c>
      <c r="DZ18" s="150">
        <f t="shared" si="75"/>
        <v>-16</v>
      </c>
      <c r="EA18" s="204"/>
      <c r="EB18" s="212">
        <f t="shared" si="76"/>
        <v>442</v>
      </c>
      <c r="EC18" s="150">
        <v>451</v>
      </c>
      <c r="ED18" s="204">
        <f t="shared" si="27"/>
        <v>9</v>
      </c>
      <c r="EE18" s="212">
        <f t="shared" si="82"/>
        <v>198</v>
      </c>
      <c r="EF18" s="150">
        <v>205</v>
      </c>
      <c r="EG18" s="204">
        <f t="shared" si="28"/>
        <v>7</v>
      </c>
      <c r="EH18" s="212">
        <f t="shared" si="83"/>
        <v>109</v>
      </c>
      <c r="EI18" s="150">
        <v>112</v>
      </c>
      <c r="EJ18" s="204">
        <f t="shared" si="29"/>
        <v>3</v>
      </c>
      <c r="EK18" s="212">
        <f t="shared" si="84"/>
        <v>142</v>
      </c>
      <c r="EL18" s="150">
        <v>146</v>
      </c>
      <c r="EM18" s="204">
        <f t="shared" si="30"/>
        <v>4</v>
      </c>
      <c r="EN18" s="212">
        <f t="shared" si="17"/>
        <v>61</v>
      </c>
      <c r="EO18" s="150">
        <f t="shared" si="18"/>
        <v>16.223404255319149</v>
      </c>
      <c r="EP18" s="204"/>
    </row>
    <row r="19" spans="1:146" ht="15" customHeight="1" x14ac:dyDescent="0.2">
      <c r="A19" s="148">
        <v>14</v>
      </c>
      <c r="B19" s="148">
        <f t="shared" si="31"/>
        <v>15509</v>
      </c>
      <c r="C19" s="149">
        <v>15509</v>
      </c>
      <c r="D19" s="142">
        <f t="shared" si="19"/>
        <v>0</v>
      </c>
      <c r="E19" s="197"/>
      <c r="F19" s="148">
        <v>14</v>
      </c>
      <c r="G19" s="148">
        <f t="shared" si="32"/>
        <v>13859</v>
      </c>
      <c r="H19" s="149">
        <v>13921</v>
      </c>
      <c r="I19" s="142">
        <f t="shared" si="20"/>
        <v>62</v>
      </c>
      <c r="J19" s="197"/>
      <c r="K19" s="148">
        <v>14</v>
      </c>
      <c r="L19" s="148">
        <f t="shared" si="33"/>
        <v>767242</v>
      </c>
      <c r="M19" s="149">
        <v>767480</v>
      </c>
      <c r="N19" s="142">
        <f t="shared" si="21"/>
        <v>238</v>
      </c>
      <c r="O19" s="144"/>
      <c r="P19" s="148">
        <v>14</v>
      </c>
      <c r="Q19" s="148">
        <f t="shared" si="34"/>
        <v>211471</v>
      </c>
      <c r="R19" s="149">
        <v>211547</v>
      </c>
      <c r="S19" s="142">
        <f t="shared" si="22"/>
        <v>76</v>
      </c>
      <c r="T19" s="143"/>
      <c r="U19" s="148">
        <v>14</v>
      </c>
      <c r="V19" s="214">
        <f t="shared" si="23"/>
        <v>376</v>
      </c>
      <c r="W19" s="146">
        <f>'Maldives at LG Daily'!I18</f>
        <v>2029</v>
      </c>
      <c r="X19" s="151"/>
      <c r="Z19" s="206">
        <v>14</v>
      </c>
      <c r="AA19" s="150">
        <f t="shared" si="35"/>
        <v>38959</v>
      </c>
      <c r="AB19" s="150">
        <v>38976</v>
      </c>
      <c r="AC19" s="150">
        <f t="shared" si="24"/>
        <v>17</v>
      </c>
      <c r="AD19" s="150">
        <f t="shared" si="80"/>
        <v>2</v>
      </c>
      <c r="AE19" s="307"/>
      <c r="AF19" s="206">
        <f t="shared" si="36"/>
        <v>8454</v>
      </c>
      <c r="AG19" s="150">
        <v>8460</v>
      </c>
      <c r="AH19" s="150">
        <f t="shared" si="25"/>
        <v>6</v>
      </c>
      <c r="AI19" s="150">
        <f t="shared" si="81"/>
        <v>2</v>
      </c>
      <c r="AJ19" s="150"/>
      <c r="AK19" s="206">
        <f t="shared" si="37"/>
        <v>6398</v>
      </c>
      <c r="AL19" s="150">
        <v>6409</v>
      </c>
      <c r="AM19" s="150">
        <f t="shared" si="26"/>
        <v>11</v>
      </c>
      <c r="AN19" s="150">
        <f t="shared" si="38"/>
        <v>4</v>
      </c>
      <c r="AO19" s="150"/>
      <c r="AP19" s="206">
        <f t="shared" si="39"/>
        <v>14956</v>
      </c>
      <c r="AQ19" s="150">
        <v>14967</v>
      </c>
      <c r="AR19" s="150">
        <f t="shared" si="0"/>
        <v>11</v>
      </c>
      <c r="AS19" s="150">
        <f t="shared" si="40"/>
        <v>-4</v>
      </c>
      <c r="AT19" s="150"/>
      <c r="AU19" s="206">
        <f t="shared" si="41"/>
        <v>32549</v>
      </c>
      <c r="AV19" s="150">
        <v>32555</v>
      </c>
      <c r="AW19" s="150">
        <f t="shared" si="1"/>
        <v>6</v>
      </c>
      <c r="AX19" s="150">
        <f t="shared" si="42"/>
        <v>-2</v>
      </c>
      <c r="AY19" s="150"/>
      <c r="AZ19" s="206">
        <f t="shared" si="43"/>
        <v>6670</v>
      </c>
      <c r="BA19" s="150">
        <v>6677</v>
      </c>
      <c r="BB19" s="150">
        <f t="shared" si="2"/>
        <v>7</v>
      </c>
      <c r="BC19" s="150">
        <f t="shared" si="44"/>
        <v>1</v>
      </c>
      <c r="BD19" s="150"/>
      <c r="BE19" s="206">
        <f t="shared" si="45"/>
        <v>22896</v>
      </c>
      <c r="BF19" s="150">
        <v>22912</v>
      </c>
      <c r="BG19" s="150">
        <f t="shared" si="3"/>
        <v>16</v>
      </c>
      <c r="BH19" s="150">
        <f t="shared" si="46"/>
        <v>7</v>
      </c>
      <c r="BI19" s="150"/>
      <c r="BJ19" s="206">
        <f t="shared" si="47"/>
        <v>7018</v>
      </c>
      <c r="BK19" s="150">
        <v>7028</v>
      </c>
      <c r="BL19" s="150">
        <f t="shared" si="4"/>
        <v>10</v>
      </c>
      <c r="BM19" s="150">
        <f t="shared" si="48"/>
        <v>1</v>
      </c>
      <c r="BN19" s="150"/>
      <c r="BO19" s="206">
        <f t="shared" si="49"/>
        <v>3502</v>
      </c>
      <c r="BP19" s="150">
        <v>3503</v>
      </c>
      <c r="BQ19" s="150">
        <f t="shared" si="5"/>
        <v>1</v>
      </c>
      <c r="BR19" s="150">
        <f t="shared" si="50"/>
        <v>-1</v>
      </c>
      <c r="BS19" s="150"/>
      <c r="BT19" s="206">
        <f t="shared" si="51"/>
        <v>1559</v>
      </c>
      <c r="BU19" s="150">
        <v>1559</v>
      </c>
      <c r="BV19" s="150">
        <f t="shared" si="6"/>
        <v>0</v>
      </c>
      <c r="BW19" s="150">
        <f t="shared" si="52"/>
        <v>-1</v>
      </c>
      <c r="BX19" s="150"/>
      <c r="BY19" s="212">
        <f t="shared" si="53"/>
        <v>26868</v>
      </c>
      <c r="BZ19" s="150">
        <v>26874</v>
      </c>
      <c r="CA19" s="150">
        <f t="shared" si="7"/>
        <v>6</v>
      </c>
      <c r="CB19" s="150">
        <f t="shared" si="54"/>
        <v>3</v>
      </c>
      <c r="CC19" s="204"/>
      <c r="CD19" s="212">
        <f t="shared" si="55"/>
        <v>2630</v>
      </c>
      <c r="CE19" s="150">
        <v>2633</v>
      </c>
      <c r="CF19" s="150">
        <f t="shared" si="8"/>
        <v>3</v>
      </c>
      <c r="CG19" s="150">
        <f t="shared" si="56"/>
        <v>0</v>
      </c>
      <c r="CH19" s="204"/>
      <c r="CI19" s="212">
        <f t="shared" si="57"/>
        <v>73891</v>
      </c>
      <c r="CJ19" s="150">
        <v>73915</v>
      </c>
      <c r="CK19" s="150">
        <f t="shared" si="9"/>
        <v>24</v>
      </c>
      <c r="CL19" s="150">
        <f t="shared" si="58"/>
        <v>1</v>
      </c>
      <c r="CM19" s="204"/>
      <c r="CN19" s="212">
        <f t="shared" si="59"/>
        <v>23554</v>
      </c>
      <c r="CO19" s="150">
        <v>23558</v>
      </c>
      <c r="CP19" s="150">
        <f t="shared" si="10"/>
        <v>4</v>
      </c>
      <c r="CQ19" s="150">
        <f t="shared" si="60"/>
        <v>0</v>
      </c>
      <c r="CR19" s="204"/>
      <c r="CS19" s="212">
        <f t="shared" si="61"/>
        <v>12484</v>
      </c>
      <c r="CT19" s="150">
        <v>12485</v>
      </c>
      <c r="CU19" s="150">
        <f t="shared" si="11"/>
        <v>1</v>
      </c>
      <c r="CV19" s="150">
        <f t="shared" si="62"/>
        <v>1</v>
      </c>
      <c r="CW19" s="204"/>
      <c r="CX19" s="212">
        <f t="shared" si="63"/>
        <v>17677</v>
      </c>
      <c r="CY19" s="150">
        <v>17679</v>
      </c>
      <c r="CZ19" s="150">
        <f t="shared" si="12"/>
        <v>2</v>
      </c>
      <c r="DA19" s="150">
        <f t="shared" si="64"/>
        <v>-10</v>
      </c>
      <c r="DB19" s="204"/>
      <c r="DC19" s="212">
        <f t="shared" si="65"/>
        <v>19729</v>
      </c>
      <c r="DD19" s="150">
        <v>19735</v>
      </c>
      <c r="DE19" s="150">
        <f t="shared" si="13"/>
        <v>6</v>
      </c>
      <c r="DF19" s="150">
        <f t="shared" si="66"/>
        <v>4</v>
      </c>
      <c r="DG19" s="204"/>
      <c r="DH19" s="212">
        <f t="shared" si="67"/>
        <v>8654</v>
      </c>
      <c r="DI19" s="150">
        <v>8656</v>
      </c>
      <c r="DJ19" s="150">
        <f t="shared" si="14"/>
        <v>2</v>
      </c>
      <c r="DK19" s="150">
        <f t="shared" si="68"/>
        <v>0</v>
      </c>
      <c r="DL19" s="204"/>
      <c r="DM19" s="212">
        <f t="shared" si="69"/>
        <v>19586</v>
      </c>
      <c r="DN19" s="150">
        <v>19607</v>
      </c>
      <c r="DO19" s="150">
        <f t="shared" si="15"/>
        <v>21</v>
      </c>
      <c r="DP19" s="150">
        <f t="shared" si="70"/>
        <v>6</v>
      </c>
      <c r="DQ19" s="204"/>
      <c r="DR19" s="212">
        <f t="shared" si="71"/>
        <v>1998</v>
      </c>
      <c r="DS19" s="150">
        <v>2000</v>
      </c>
      <c r="DT19" s="150">
        <f t="shared" si="16"/>
        <v>2</v>
      </c>
      <c r="DU19" s="150">
        <f t="shared" si="72"/>
        <v>0</v>
      </c>
      <c r="DV19" s="204"/>
      <c r="DW19" s="212">
        <f t="shared" si="73"/>
        <v>9802</v>
      </c>
      <c r="DX19" s="150">
        <v>9803</v>
      </c>
      <c r="DY19" s="150">
        <f t="shared" si="74"/>
        <v>1</v>
      </c>
      <c r="DZ19" s="150">
        <f t="shared" si="75"/>
        <v>0</v>
      </c>
      <c r="EA19" s="204"/>
      <c r="EB19" s="212">
        <f t="shared" ref="EB19:EB36" si="85">EC18</f>
        <v>451</v>
      </c>
      <c r="EC19" s="150">
        <v>459</v>
      </c>
      <c r="ED19" s="204">
        <f t="shared" si="27"/>
        <v>8</v>
      </c>
      <c r="EE19" s="212">
        <f t="shared" si="82"/>
        <v>205</v>
      </c>
      <c r="EF19" s="150">
        <v>211</v>
      </c>
      <c r="EG19" s="204">
        <f t="shared" si="28"/>
        <v>6</v>
      </c>
      <c r="EH19" s="212">
        <f t="shared" si="83"/>
        <v>112</v>
      </c>
      <c r="EI19" s="150">
        <v>114</v>
      </c>
      <c r="EJ19" s="204">
        <f t="shared" si="29"/>
        <v>2</v>
      </c>
      <c r="EK19" s="212">
        <f t="shared" si="84"/>
        <v>146</v>
      </c>
      <c r="EL19" s="150">
        <v>150</v>
      </c>
      <c r="EM19" s="204">
        <f t="shared" si="30"/>
        <v>4</v>
      </c>
      <c r="EN19" s="212">
        <f t="shared" si="17"/>
        <v>68</v>
      </c>
      <c r="EO19" s="150">
        <f t="shared" si="18"/>
        <v>18.085106382978726</v>
      </c>
      <c r="EP19" s="204"/>
    </row>
    <row r="20" spans="1:146" ht="15" customHeight="1" x14ac:dyDescent="0.2">
      <c r="A20" s="148">
        <v>15</v>
      </c>
      <c r="B20" s="148">
        <f t="shared" si="31"/>
        <v>15509</v>
      </c>
      <c r="C20" s="149">
        <v>15536</v>
      </c>
      <c r="D20" s="142">
        <f t="shared" si="19"/>
        <v>27</v>
      </c>
      <c r="E20" s="197"/>
      <c r="F20" s="148">
        <v>15</v>
      </c>
      <c r="G20" s="148">
        <f t="shared" si="32"/>
        <v>13921</v>
      </c>
      <c r="H20" s="149">
        <v>13992</v>
      </c>
      <c r="I20" s="142">
        <f t="shared" si="20"/>
        <v>71</v>
      </c>
      <c r="J20" s="197"/>
      <c r="K20" s="148">
        <v>15</v>
      </c>
      <c r="L20" s="148">
        <f t="shared" si="33"/>
        <v>767480</v>
      </c>
      <c r="M20" s="149">
        <v>767727</v>
      </c>
      <c r="N20" s="142">
        <f t="shared" si="21"/>
        <v>247</v>
      </c>
      <c r="O20" s="144"/>
      <c r="P20" s="148">
        <v>15</v>
      </c>
      <c r="Q20" s="148">
        <f t="shared" si="34"/>
        <v>211547</v>
      </c>
      <c r="R20" s="149">
        <v>211608</v>
      </c>
      <c r="S20" s="142">
        <f t="shared" si="22"/>
        <v>61</v>
      </c>
      <c r="T20" s="143"/>
      <c r="U20" s="145">
        <v>15</v>
      </c>
      <c r="V20" s="214">
        <f t="shared" si="23"/>
        <v>406</v>
      </c>
      <c r="W20" s="146">
        <f>'Maldives at LG Daily'!I19</f>
        <v>63</v>
      </c>
      <c r="X20" s="151"/>
      <c r="Z20" s="206">
        <v>15</v>
      </c>
      <c r="AA20" s="150">
        <f t="shared" si="35"/>
        <v>38976</v>
      </c>
      <c r="AB20" s="150">
        <v>38993</v>
      </c>
      <c r="AC20" s="150">
        <f t="shared" si="24"/>
        <v>17</v>
      </c>
      <c r="AD20" s="150">
        <f t="shared" si="80"/>
        <v>0</v>
      </c>
      <c r="AE20" s="307"/>
      <c r="AF20" s="206">
        <f t="shared" si="36"/>
        <v>8460</v>
      </c>
      <c r="AG20" s="150">
        <v>8466</v>
      </c>
      <c r="AH20" s="150">
        <f t="shared" si="25"/>
        <v>6</v>
      </c>
      <c r="AI20" s="150">
        <f t="shared" si="81"/>
        <v>0</v>
      </c>
      <c r="AJ20" s="150"/>
      <c r="AK20" s="206">
        <f t="shared" si="37"/>
        <v>6409</v>
      </c>
      <c r="AL20" s="150">
        <v>6416</v>
      </c>
      <c r="AM20" s="150">
        <f t="shared" si="26"/>
        <v>7</v>
      </c>
      <c r="AN20" s="150">
        <f t="shared" si="38"/>
        <v>-4</v>
      </c>
      <c r="AO20" s="150"/>
      <c r="AP20" s="206">
        <f t="shared" si="39"/>
        <v>14967</v>
      </c>
      <c r="AQ20" s="150">
        <v>14978</v>
      </c>
      <c r="AR20" s="150">
        <f t="shared" si="0"/>
        <v>11</v>
      </c>
      <c r="AS20" s="150">
        <f t="shared" si="40"/>
        <v>0</v>
      </c>
      <c r="AT20" s="150"/>
      <c r="AU20" s="206">
        <f t="shared" si="41"/>
        <v>32555</v>
      </c>
      <c r="AV20" s="150">
        <v>32562</v>
      </c>
      <c r="AW20" s="150">
        <f t="shared" si="1"/>
        <v>7</v>
      </c>
      <c r="AX20" s="150">
        <f t="shared" si="42"/>
        <v>1</v>
      </c>
      <c r="AY20" s="150"/>
      <c r="AZ20" s="206">
        <f t="shared" si="43"/>
        <v>6677</v>
      </c>
      <c r="BA20" s="150">
        <v>6684</v>
      </c>
      <c r="BB20" s="150">
        <f t="shared" si="2"/>
        <v>7</v>
      </c>
      <c r="BC20" s="150">
        <f t="shared" si="44"/>
        <v>0</v>
      </c>
      <c r="BD20" s="150"/>
      <c r="BE20" s="206">
        <f t="shared" si="45"/>
        <v>22912</v>
      </c>
      <c r="BF20" s="150">
        <v>22921</v>
      </c>
      <c r="BG20" s="150">
        <f t="shared" si="3"/>
        <v>9</v>
      </c>
      <c r="BH20" s="150">
        <f t="shared" si="46"/>
        <v>-7</v>
      </c>
      <c r="BI20" s="150"/>
      <c r="BJ20" s="206">
        <f t="shared" si="47"/>
        <v>7028</v>
      </c>
      <c r="BK20" s="150">
        <v>7037</v>
      </c>
      <c r="BL20" s="150">
        <f t="shared" si="4"/>
        <v>9</v>
      </c>
      <c r="BM20" s="150">
        <f t="shared" si="48"/>
        <v>-1</v>
      </c>
      <c r="BN20" s="150"/>
      <c r="BO20" s="206">
        <f t="shared" si="49"/>
        <v>3503</v>
      </c>
      <c r="BP20" s="150">
        <v>3506</v>
      </c>
      <c r="BQ20" s="150">
        <f t="shared" si="5"/>
        <v>3</v>
      </c>
      <c r="BR20" s="150">
        <f t="shared" si="50"/>
        <v>2</v>
      </c>
      <c r="BS20" s="150"/>
      <c r="BT20" s="206">
        <f t="shared" si="51"/>
        <v>1559</v>
      </c>
      <c r="BU20" s="150">
        <v>1561</v>
      </c>
      <c r="BV20" s="150">
        <f t="shared" si="6"/>
        <v>2</v>
      </c>
      <c r="BW20" s="150">
        <f t="shared" si="52"/>
        <v>2</v>
      </c>
      <c r="BX20" s="150"/>
      <c r="BY20" s="212">
        <f t="shared" si="53"/>
        <v>26874</v>
      </c>
      <c r="BZ20" s="150">
        <v>26886</v>
      </c>
      <c r="CA20" s="150">
        <f t="shared" si="7"/>
        <v>12</v>
      </c>
      <c r="CB20" s="150">
        <f t="shared" si="54"/>
        <v>6</v>
      </c>
      <c r="CC20" s="204"/>
      <c r="CD20" s="212">
        <f t="shared" si="55"/>
        <v>2633</v>
      </c>
      <c r="CE20" s="150">
        <v>2641</v>
      </c>
      <c r="CF20" s="150">
        <f t="shared" si="8"/>
        <v>8</v>
      </c>
      <c r="CG20" s="150">
        <f t="shared" si="56"/>
        <v>5</v>
      </c>
      <c r="CH20" s="204"/>
      <c r="CI20" s="212">
        <f t="shared" si="57"/>
        <v>73915</v>
      </c>
      <c r="CJ20" s="150">
        <v>73937</v>
      </c>
      <c r="CK20" s="150">
        <f t="shared" si="9"/>
        <v>22</v>
      </c>
      <c r="CL20" s="150">
        <f t="shared" si="58"/>
        <v>-2</v>
      </c>
      <c r="CM20" s="204"/>
      <c r="CN20" s="212">
        <f t="shared" si="59"/>
        <v>23558</v>
      </c>
      <c r="CO20" s="150">
        <v>23564</v>
      </c>
      <c r="CP20" s="150">
        <f t="shared" si="10"/>
        <v>6</v>
      </c>
      <c r="CQ20" s="150">
        <f t="shared" si="60"/>
        <v>2</v>
      </c>
      <c r="CR20" s="204"/>
      <c r="CS20" s="212">
        <f t="shared" si="61"/>
        <v>12485</v>
      </c>
      <c r="CT20" s="150">
        <v>12486</v>
      </c>
      <c r="CU20" s="150">
        <f t="shared" si="11"/>
        <v>1</v>
      </c>
      <c r="CV20" s="150">
        <f t="shared" si="62"/>
        <v>0</v>
      </c>
      <c r="CW20" s="204"/>
      <c r="CX20" s="212">
        <f t="shared" si="63"/>
        <v>17679</v>
      </c>
      <c r="CY20" s="150">
        <v>17684</v>
      </c>
      <c r="CZ20" s="150">
        <f t="shared" si="12"/>
        <v>5</v>
      </c>
      <c r="DA20" s="150">
        <f t="shared" si="64"/>
        <v>3</v>
      </c>
      <c r="DB20" s="204"/>
      <c r="DC20" s="212">
        <f t="shared" si="65"/>
        <v>19735</v>
      </c>
      <c r="DD20" s="150">
        <v>19737</v>
      </c>
      <c r="DE20" s="150">
        <f t="shared" si="13"/>
        <v>2</v>
      </c>
      <c r="DF20" s="150">
        <f t="shared" si="66"/>
        <v>-4</v>
      </c>
      <c r="DG20" s="204"/>
      <c r="DH20" s="212">
        <f t="shared" si="67"/>
        <v>8656</v>
      </c>
      <c r="DI20" s="150">
        <v>8658</v>
      </c>
      <c r="DJ20" s="150">
        <f t="shared" si="14"/>
        <v>2</v>
      </c>
      <c r="DK20" s="150">
        <f t="shared" si="68"/>
        <v>0</v>
      </c>
      <c r="DL20" s="204"/>
      <c r="DM20" s="212">
        <f t="shared" si="69"/>
        <v>19607</v>
      </c>
      <c r="DN20" s="150">
        <v>19618</v>
      </c>
      <c r="DO20" s="150">
        <f t="shared" si="15"/>
        <v>11</v>
      </c>
      <c r="DP20" s="150">
        <f t="shared" si="70"/>
        <v>-10</v>
      </c>
      <c r="DQ20" s="204"/>
      <c r="DR20" s="212">
        <f t="shared" si="71"/>
        <v>2000</v>
      </c>
      <c r="DS20" s="150">
        <v>2001</v>
      </c>
      <c r="DT20" s="150">
        <f t="shared" si="16"/>
        <v>1</v>
      </c>
      <c r="DU20" s="150">
        <f t="shared" si="72"/>
        <v>-1</v>
      </c>
      <c r="DV20" s="204"/>
      <c r="DW20" s="212">
        <f t="shared" si="73"/>
        <v>9803</v>
      </c>
      <c r="DX20" s="150">
        <v>9804</v>
      </c>
      <c r="DY20" s="150">
        <f t="shared" si="74"/>
        <v>1</v>
      </c>
      <c r="DZ20" s="150">
        <f t="shared" si="75"/>
        <v>0</v>
      </c>
      <c r="EA20" s="204"/>
      <c r="EB20" s="212">
        <f t="shared" si="85"/>
        <v>459</v>
      </c>
      <c r="EC20" s="150">
        <v>468</v>
      </c>
      <c r="ED20" s="204">
        <f t="shared" si="27"/>
        <v>9</v>
      </c>
      <c r="EE20" s="212">
        <f t="shared" si="82"/>
        <v>211</v>
      </c>
      <c r="EF20" s="150">
        <v>218</v>
      </c>
      <c r="EG20" s="204">
        <f t="shared" si="28"/>
        <v>7</v>
      </c>
      <c r="EH20" s="212">
        <f t="shared" si="83"/>
        <v>114</v>
      </c>
      <c r="EI20" s="150">
        <v>117</v>
      </c>
      <c r="EJ20" s="204">
        <f t="shared" si="29"/>
        <v>3</v>
      </c>
      <c r="EK20" s="212">
        <f t="shared" si="84"/>
        <v>150</v>
      </c>
      <c r="EL20" s="150">
        <v>155</v>
      </c>
      <c r="EM20" s="204">
        <f t="shared" si="30"/>
        <v>5</v>
      </c>
      <c r="EN20" s="212">
        <f t="shared" si="17"/>
        <v>61</v>
      </c>
      <c r="EO20" s="150">
        <f t="shared" si="18"/>
        <v>15.024630541871922</v>
      </c>
      <c r="EP20" s="204"/>
    </row>
    <row r="21" spans="1:146" ht="15" customHeight="1" x14ac:dyDescent="0.2">
      <c r="A21" s="148">
        <v>16</v>
      </c>
      <c r="B21" s="148">
        <f t="shared" si="31"/>
        <v>15536</v>
      </c>
      <c r="C21" s="149">
        <v>15599</v>
      </c>
      <c r="D21" s="142">
        <f t="shared" si="19"/>
        <v>63</v>
      </c>
      <c r="E21" s="197"/>
      <c r="F21" s="148">
        <v>16</v>
      </c>
      <c r="G21" s="148">
        <f t="shared" si="32"/>
        <v>13992</v>
      </c>
      <c r="H21" s="149">
        <v>13992</v>
      </c>
      <c r="I21" s="142">
        <f t="shared" si="20"/>
        <v>0</v>
      </c>
      <c r="J21" s="197"/>
      <c r="K21" s="148">
        <v>16</v>
      </c>
      <c r="L21" s="148">
        <f t="shared" si="33"/>
        <v>767727</v>
      </c>
      <c r="M21" s="149">
        <v>768005</v>
      </c>
      <c r="N21" s="142">
        <f t="shared" si="21"/>
        <v>278</v>
      </c>
      <c r="O21" s="144"/>
      <c r="P21" s="148">
        <v>16</v>
      </c>
      <c r="Q21" s="148">
        <f t="shared" si="34"/>
        <v>211608</v>
      </c>
      <c r="R21" s="149">
        <v>211693</v>
      </c>
      <c r="S21" s="142">
        <f t="shared" si="22"/>
        <v>85</v>
      </c>
      <c r="T21" s="143"/>
      <c r="U21" s="145">
        <v>16</v>
      </c>
      <c r="V21" s="214">
        <f t="shared" si="23"/>
        <v>426</v>
      </c>
      <c r="W21" s="146">
        <f>'Maldives at LG Daily'!I20</f>
        <v>0</v>
      </c>
      <c r="X21" s="152"/>
      <c r="Z21" s="206">
        <v>16</v>
      </c>
      <c r="AA21" s="150">
        <f t="shared" si="35"/>
        <v>38993</v>
      </c>
      <c r="AB21" s="150">
        <v>39012</v>
      </c>
      <c r="AC21" s="150">
        <f t="shared" si="24"/>
        <v>19</v>
      </c>
      <c r="AD21" s="150">
        <f t="shared" si="80"/>
        <v>2</v>
      </c>
      <c r="AE21" s="307"/>
      <c r="AF21" s="206">
        <f t="shared" si="36"/>
        <v>8466</v>
      </c>
      <c r="AG21" s="150">
        <v>8471</v>
      </c>
      <c r="AH21" s="150">
        <f t="shared" si="25"/>
        <v>5</v>
      </c>
      <c r="AI21" s="150">
        <f t="shared" si="81"/>
        <v>-1</v>
      </c>
      <c r="AJ21" s="150"/>
      <c r="AK21" s="206">
        <f t="shared" si="37"/>
        <v>6416</v>
      </c>
      <c r="AL21" s="150">
        <v>6424</v>
      </c>
      <c r="AM21" s="150">
        <f t="shared" si="26"/>
        <v>8</v>
      </c>
      <c r="AN21" s="150">
        <f t="shared" si="38"/>
        <v>1</v>
      </c>
      <c r="AO21" s="150"/>
      <c r="AP21" s="206">
        <f t="shared" si="39"/>
        <v>14978</v>
      </c>
      <c r="AQ21" s="150">
        <v>14990</v>
      </c>
      <c r="AR21" s="150">
        <f t="shared" si="0"/>
        <v>12</v>
      </c>
      <c r="AS21" s="150">
        <f t="shared" si="40"/>
        <v>1</v>
      </c>
      <c r="AT21" s="150"/>
      <c r="AU21" s="206">
        <f t="shared" si="41"/>
        <v>32562</v>
      </c>
      <c r="AV21" s="150">
        <v>32569</v>
      </c>
      <c r="AW21" s="150">
        <f t="shared" si="1"/>
        <v>7</v>
      </c>
      <c r="AX21" s="150">
        <f t="shared" si="42"/>
        <v>0</v>
      </c>
      <c r="AY21" s="150"/>
      <c r="AZ21" s="206">
        <f t="shared" si="43"/>
        <v>6684</v>
      </c>
      <c r="BA21" s="150">
        <v>6691</v>
      </c>
      <c r="BB21" s="150">
        <f t="shared" si="2"/>
        <v>7</v>
      </c>
      <c r="BC21" s="150">
        <f t="shared" si="44"/>
        <v>0</v>
      </c>
      <c r="BD21" s="150"/>
      <c r="BE21" s="206">
        <f t="shared" si="45"/>
        <v>22921</v>
      </c>
      <c r="BF21" s="150">
        <v>22932</v>
      </c>
      <c r="BG21" s="150">
        <f t="shared" si="3"/>
        <v>11</v>
      </c>
      <c r="BH21" s="150">
        <f t="shared" si="46"/>
        <v>2</v>
      </c>
      <c r="BI21" s="150"/>
      <c r="BJ21" s="206">
        <f t="shared" si="47"/>
        <v>7037</v>
      </c>
      <c r="BK21" s="150">
        <v>7046</v>
      </c>
      <c r="BL21" s="150">
        <f t="shared" si="4"/>
        <v>9</v>
      </c>
      <c r="BM21" s="150">
        <f t="shared" si="48"/>
        <v>0</v>
      </c>
      <c r="BN21" s="150"/>
      <c r="BO21" s="206">
        <f t="shared" si="49"/>
        <v>3506</v>
      </c>
      <c r="BP21" s="150">
        <v>3508</v>
      </c>
      <c r="BQ21" s="150">
        <f t="shared" si="5"/>
        <v>2</v>
      </c>
      <c r="BR21" s="150">
        <f t="shared" si="50"/>
        <v>-1</v>
      </c>
      <c r="BS21" s="150"/>
      <c r="BT21" s="206">
        <f t="shared" si="51"/>
        <v>1561</v>
      </c>
      <c r="BU21" s="150">
        <v>1562</v>
      </c>
      <c r="BV21" s="150">
        <f t="shared" si="6"/>
        <v>1</v>
      </c>
      <c r="BW21" s="150">
        <f t="shared" si="52"/>
        <v>-1</v>
      </c>
      <c r="BX21" s="150"/>
      <c r="BY21" s="212">
        <f t="shared" si="53"/>
        <v>26886</v>
      </c>
      <c r="BZ21" s="150">
        <v>26888</v>
      </c>
      <c r="CA21" s="150">
        <f t="shared" si="7"/>
        <v>2</v>
      </c>
      <c r="CB21" s="150">
        <f t="shared" si="54"/>
        <v>-10</v>
      </c>
      <c r="CC21" s="204"/>
      <c r="CD21" s="212">
        <f t="shared" si="55"/>
        <v>2641</v>
      </c>
      <c r="CE21" s="150">
        <v>2643</v>
      </c>
      <c r="CF21" s="150">
        <f t="shared" si="8"/>
        <v>2</v>
      </c>
      <c r="CG21" s="150">
        <f t="shared" si="56"/>
        <v>-6</v>
      </c>
      <c r="CH21" s="204"/>
      <c r="CI21" s="212">
        <f t="shared" si="57"/>
        <v>73937</v>
      </c>
      <c r="CJ21" s="150">
        <v>73966</v>
      </c>
      <c r="CK21" s="150">
        <f t="shared" si="9"/>
        <v>29</v>
      </c>
      <c r="CL21" s="150">
        <f t="shared" si="58"/>
        <v>7</v>
      </c>
      <c r="CM21" s="204"/>
      <c r="CN21" s="212">
        <f t="shared" si="59"/>
        <v>23564</v>
      </c>
      <c r="CO21" s="150">
        <v>23569</v>
      </c>
      <c r="CP21" s="150">
        <f t="shared" si="10"/>
        <v>5</v>
      </c>
      <c r="CQ21" s="150">
        <f t="shared" si="60"/>
        <v>-1</v>
      </c>
      <c r="CR21" s="204"/>
      <c r="CS21" s="212">
        <f t="shared" si="61"/>
        <v>12486</v>
      </c>
      <c r="CT21" s="150">
        <v>12487</v>
      </c>
      <c r="CU21" s="150">
        <f t="shared" si="11"/>
        <v>1</v>
      </c>
      <c r="CV21" s="150">
        <f t="shared" si="62"/>
        <v>0</v>
      </c>
      <c r="CW21" s="204"/>
      <c r="CX21" s="212">
        <f t="shared" si="63"/>
        <v>17684</v>
      </c>
      <c r="CY21" s="150">
        <v>17693</v>
      </c>
      <c r="CZ21" s="150">
        <f t="shared" si="12"/>
        <v>9</v>
      </c>
      <c r="DA21" s="150">
        <f t="shared" si="64"/>
        <v>4</v>
      </c>
      <c r="DB21" s="204"/>
      <c r="DC21" s="212">
        <f t="shared" si="65"/>
        <v>19737</v>
      </c>
      <c r="DD21" s="150">
        <v>19741</v>
      </c>
      <c r="DE21" s="150">
        <f t="shared" si="13"/>
        <v>4</v>
      </c>
      <c r="DF21" s="150">
        <f t="shared" si="66"/>
        <v>2</v>
      </c>
      <c r="DG21" s="204"/>
      <c r="DH21" s="212">
        <f t="shared" si="67"/>
        <v>8658</v>
      </c>
      <c r="DI21" s="150">
        <v>8659</v>
      </c>
      <c r="DJ21" s="150">
        <f t="shared" si="14"/>
        <v>1</v>
      </c>
      <c r="DK21" s="150">
        <f t="shared" si="68"/>
        <v>-1</v>
      </c>
      <c r="DL21" s="204"/>
      <c r="DM21" s="212">
        <f t="shared" si="69"/>
        <v>19618</v>
      </c>
      <c r="DN21" s="150">
        <v>19640</v>
      </c>
      <c r="DO21" s="150">
        <f t="shared" si="15"/>
        <v>22</v>
      </c>
      <c r="DP21" s="150">
        <f t="shared" si="70"/>
        <v>11</v>
      </c>
      <c r="DQ21" s="204"/>
      <c r="DR21" s="212">
        <f t="shared" si="71"/>
        <v>2001</v>
      </c>
      <c r="DS21" s="150">
        <v>2002</v>
      </c>
      <c r="DT21" s="150">
        <f t="shared" si="16"/>
        <v>1</v>
      </c>
      <c r="DU21" s="150">
        <f t="shared" si="72"/>
        <v>0</v>
      </c>
      <c r="DV21" s="204"/>
      <c r="DW21" s="212">
        <f t="shared" si="73"/>
        <v>9804</v>
      </c>
      <c r="DX21" s="150">
        <v>9807</v>
      </c>
      <c r="DY21" s="150">
        <f t="shared" si="74"/>
        <v>3</v>
      </c>
      <c r="DZ21" s="150">
        <f t="shared" si="75"/>
        <v>2</v>
      </c>
      <c r="EA21" s="204"/>
      <c r="EB21" s="212">
        <f t="shared" si="85"/>
        <v>468</v>
      </c>
      <c r="EC21" s="150">
        <v>480</v>
      </c>
      <c r="ED21" s="204">
        <f t="shared" si="27"/>
        <v>12</v>
      </c>
      <c r="EE21" s="212">
        <f t="shared" si="82"/>
        <v>218</v>
      </c>
      <c r="EF21" s="150">
        <v>226</v>
      </c>
      <c r="EG21" s="204">
        <f t="shared" si="28"/>
        <v>8</v>
      </c>
      <c r="EH21" s="212">
        <f t="shared" si="83"/>
        <v>117</v>
      </c>
      <c r="EI21" s="150">
        <v>120</v>
      </c>
      <c r="EJ21" s="204">
        <f t="shared" si="29"/>
        <v>3</v>
      </c>
      <c r="EK21" s="212">
        <f t="shared" si="84"/>
        <v>155</v>
      </c>
      <c r="EL21" s="150">
        <v>160</v>
      </c>
      <c r="EM21" s="204">
        <f t="shared" si="30"/>
        <v>5</v>
      </c>
      <c r="EN21" s="212">
        <f t="shared" si="17"/>
        <v>62</v>
      </c>
      <c r="EO21" s="150">
        <f t="shared" si="18"/>
        <v>14.553990610328638</v>
      </c>
      <c r="EP21" s="204"/>
    </row>
    <row r="22" spans="1:146" ht="15" customHeight="1" x14ac:dyDescent="0.2">
      <c r="A22" s="148">
        <v>17</v>
      </c>
      <c r="B22" s="148">
        <f t="shared" si="31"/>
        <v>15599</v>
      </c>
      <c r="C22" s="149">
        <v>15612</v>
      </c>
      <c r="D22" s="142">
        <f t="shared" si="19"/>
        <v>13</v>
      </c>
      <c r="E22" s="197"/>
      <c r="F22" s="148">
        <v>17</v>
      </c>
      <c r="G22" s="148">
        <f t="shared" si="32"/>
        <v>13992</v>
      </c>
      <c r="H22" s="149">
        <v>14093</v>
      </c>
      <c r="I22" s="142">
        <f t="shared" si="20"/>
        <v>101</v>
      </c>
      <c r="J22" s="197"/>
      <c r="K22" s="148">
        <v>17</v>
      </c>
      <c r="L22" s="148">
        <f t="shared" si="33"/>
        <v>768005</v>
      </c>
      <c r="M22" s="149">
        <v>768229</v>
      </c>
      <c r="N22" s="142">
        <f t="shared" si="21"/>
        <v>224</v>
      </c>
      <c r="O22" s="144"/>
      <c r="P22" s="148">
        <v>17</v>
      </c>
      <c r="Q22" s="148">
        <f t="shared" si="34"/>
        <v>211693</v>
      </c>
      <c r="R22" s="149">
        <v>211776</v>
      </c>
      <c r="S22" s="142">
        <f t="shared" si="22"/>
        <v>83</v>
      </c>
      <c r="T22" s="143"/>
      <c r="U22" s="148">
        <v>17</v>
      </c>
      <c r="V22" s="214">
        <f t="shared" si="23"/>
        <v>421</v>
      </c>
      <c r="W22" s="146">
        <f>'Maldives at LG Daily'!I21</f>
        <v>4203</v>
      </c>
      <c r="X22" s="152"/>
      <c r="Z22" s="206">
        <v>17</v>
      </c>
      <c r="AA22" s="150">
        <f t="shared" si="35"/>
        <v>39012</v>
      </c>
      <c r="AB22" s="150">
        <v>39024</v>
      </c>
      <c r="AC22" s="150">
        <f t="shared" si="24"/>
        <v>12</v>
      </c>
      <c r="AD22" s="150">
        <f t="shared" si="80"/>
        <v>-7</v>
      </c>
      <c r="AE22" s="307"/>
      <c r="AF22" s="206">
        <f t="shared" si="36"/>
        <v>8471</v>
      </c>
      <c r="AG22" s="150">
        <v>8476</v>
      </c>
      <c r="AH22" s="150">
        <f t="shared" si="25"/>
        <v>5</v>
      </c>
      <c r="AI22" s="150">
        <f t="shared" si="81"/>
        <v>0</v>
      </c>
      <c r="AJ22" s="150"/>
      <c r="AK22" s="206">
        <f t="shared" si="37"/>
        <v>6424</v>
      </c>
      <c r="AL22" s="150">
        <v>6431</v>
      </c>
      <c r="AM22" s="150">
        <f t="shared" si="26"/>
        <v>7</v>
      </c>
      <c r="AN22" s="150">
        <f t="shared" si="38"/>
        <v>-1</v>
      </c>
      <c r="AO22" s="150"/>
      <c r="AP22" s="206">
        <f t="shared" si="39"/>
        <v>14990</v>
      </c>
      <c r="AQ22" s="150">
        <v>15002</v>
      </c>
      <c r="AR22" s="150">
        <f t="shared" si="0"/>
        <v>12</v>
      </c>
      <c r="AS22" s="150">
        <f t="shared" si="40"/>
        <v>0</v>
      </c>
      <c r="AT22" s="150"/>
      <c r="AU22" s="206">
        <f t="shared" si="41"/>
        <v>32569</v>
      </c>
      <c r="AV22" s="150">
        <v>32575</v>
      </c>
      <c r="AW22" s="150">
        <f t="shared" si="1"/>
        <v>6</v>
      </c>
      <c r="AX22" s="150">
        <f t="shared" si="42"/>
        <v>-1</v>
      </c>
      <c r="AY22" s="150"/>
      <c r="AZ22" s="206">
        <f t="shared" si="43"/>
        <v>6691</v>
      </c>
      <c r="BA22" s="150">
        <v>6703</v>
      </c>
      <c r="BB22" s="150">
        <f t="shared" si="2"/>
        <v>12</v>
      </c>
      <c r="BC22" s="150">
        <f t="shared" si="44"/>
        <v>5</v>
      </c>
      <c r="BD22" s="150"/>
      <c r="BE22" s="206">
        <f t="shared" si="45"/>
        <v>22932</v>
      </c>
      <c r="BF22" s="150">
        <v>22942</v>
      </c>
      <c r="BG22" s="150">
        <f t="shared" si="3"/>
        <v>10</v>
      </c>
      <c r="BH22" s="150">
        <f t="shared" si="46"/>
        <v>-1</v>
      </c>
      <c r="BI22" s="150"/>
      <c r="BJ22" s="206">
        <f t="shared" si="47"/>
        <v>7046</v>
      </c>
      <c r="BK22" s="150">
        <v>7054</v>
      </c>
      <c r="BL22" s="150">
        <f t="shared" si="4"/>
        <v>8</v>
      </c>
      <c r="BM22" s="150">
        <f t="shared" si="48"/>
        <v>-1</v>
      </c>
      <c r="BN22" s="150"/>
      <c r="BO22" s="206">
        <f t="shared" si="49"/>
        <v>3508</v>
      </c>
      <c r="BP22" s="150">
        <v>3510</v>
      </c>
      <c r="BQ22" s="150">
        <f t="shared" si="5"/>
        <v>2</v>
      </c>
      <c r="BR22" s="150">
        <f t="shared" si="50"/>
        <v>0</v>
      </c>
      <c r="BS22" s="150"/>
      <c r="BT22" s="206">
        <f t="shared" si="51"/>
        <v>1562</v>
      </c>
      <c r="BU22" s="150">
        <v>1562</v>
      </c>
      <c r="BV22" s="150">
        <f t="shared" si="6"/>
        <v>0</v>
      </c>
      <c r="BW22" s="150">
        <f t="shared" si="52"/>
        <v>-1</v>
      </c>
      <c r="BX22" s="150"/>
      <c r="BY22" s="212">
        <f t="shared" si="53"/>
        <v>26888</v>
      </c>
      <c r="BZ22" s="150">
        <v>26888</v>
      </c>
      <c r="CA22" s="150">
        <f t="shared" si="7"/>
        <v>0</v>
      </c>
      <c r="CB22" s="150">
        <f t="shared" si="54"/>
        <v>-2</v>
      </c>
      <c r="CC22" s="204"/>
      <c r="CD22" s="212">
        <f t="shared" si="55"/>
        <v>2643</v>
      </c>
      <c r="CE22" s="150">
        <v>2644</v>
      </c>
      <c r="CF22" s="150">
        <f t="shared" si="8"/>
        <v>1</v>
      </c>
      <c r="CG22" s="150">
        <f t="shared" si="56"/>
        <v>-1</v>
      </c>
      <c r="CH22" s="204"/>
      <c r="CI22" s="212">
        <f t="shared" si="57"/>
        <v>73966</v>
      </c>
      <c r="CJ22" s="150">
        <v>73992</v>
      </c>
      <c r="CK22" s="150">
        <f t="shared" si="9"/>
        <v>26</v>
      </c>
      <c r="CL22" s="150">
        <f t="shared" si="58"/>
        <v>-3</v>
      </c>
      <c r="CM22" s="204"/>
      <c r="CN22" s="212">
        <f t="shared" si="59"/>
        <v>23569</v>
      </c>
      <c r="CO22" s="150">
        <v>23574</v>
      </c>
      <c r="CP22" s="150">
        <f t="shared" si="10"/>
        <v>5</v>
      </c>
      <c r="CQ22" s="150">
        <f t="shared" si="60"/>
        <v>0</v>
      </c>
      <c r="CR22" s="204"/>
      <c r="CS22" s="212">
        <f t="shared" si="61"/>
        <v>12487</v>
      </c>
      <c r="CT22" s="150">
        <v>12487</v>
      </c>
      <c r="CU22" s="150">
        <f t="shared" si="11"/>
        <v>0</v>
      </c>
      <c r="CV22" s="150">
        <f t="shared" si="62"/>
        <v>-1</v>
      </c>
      <c r="CW22" s="204"/>
      <c r="CX22" s="212">
        <f t="shared" si="63"/>
        <v>17693</v>
      </c>
      <c r="CY22" s="150">
        <v>17700</v>
      </c>
      <c r="CZ22" s="150">
        <f t="shared" si="12"/>
        <v>7</v>
      </c>
      <c r="DA22" s="150">
        <f t="shared" si="64"/>
        <v>-2</v>
      </c>
      <c r="DB22" s="204"/>
      <c r="DC22" s="212">
        <f t="shared" si="65"/>
        <v>19741</v>
      </c>
      <c r="DD22" s="150">
        <v>19744</v>
      </c>
      <c r="DE22" s="150">
        <f t="shared" si="13"/>
        <v>3</v>
      </c>
      <c r="DF22" s="150">
        <f t="shared" si="66"/>
        <v>-1</v>
      </c>
      <c r="DG22" s="204"/>
      <c r="DH22" s="212">
        <f t="shared" si="67"/>
        <v>8659</v>
      </c>
      <c r="DI22" s="150">
        <v>8662</v>
      </c>
      <c r="DJ22" s="150">
        <f t="shared" si="14"/>
        <v>3</v>
      </c>
      <c r="DK22" s="150">
        <f t="shared" si="68"/>
        <v>2</v>
      </c>
      <c r="DL22" s="204"/>
      <c r="DM22" s="212">
        <f t="shared" si="69"/>
        <v>19640</v>
      </c>
      <c r="DN22" s="150">
        <v>19660</v>
      </c>
      <c r="DO22" s="150">
        <f t="shared" si="15"/>
        <v>20</v>
      </c>
      <c r="DP22" s="150">
        <f t="shared" si="70"/>
        <v>-2</v>
      </c>
      <c r="DQ22" s="204"/>
      <c r="DR22" s="212">
        <f t="shared" si="71"/>
        <v>2002</v>
      </c>
      <c r="DS22" s="150">
        <v>2003</v>
      </c>
      <c r="DT22" s="150">
        <f t="shared" si="16"/>
        <v>1</v>
      </c>
      <c r="DU22" s="150">
        <f t="shared" si="72"/>
        <v>0</v>
      </c>
      <c r="DV22" s="204"/>
      <c r="DW22" s="212">
        <f t="shared" si="73"/>
        <v>9807</v>
      </c>
      <c r="DX22" s="150">
        <v>9809</v>
      </c>
      <c r="DY22" s="150">
        <f t="shared" si="74"/>
        <v>2</v>
      </c>
      <c r="DZ22" s="150">
        <f t="shared" si="75"/>
        <v>-1</v>
      </c>
      <c r="EA22" s="204"/>
      <c r="EB22" s="212">
        <f t="shared" si="85"/>
        <v>480</v>
      </c>
      <c r="EC22" s="150">
        <v>488</v>
      </c>
      <c r="ED22" s="204">
        <f t="shared" si="27"/>
        <v>8</v>
      </c>
      <c r="EE22" s="212">
        <f t="shared" si="82"/>
        <v>226</v>
      </c>
      <c r="EF22" s="150">
        <v>232</v>
      </c>
      <c r="EG22" s="204">
        <f t="shared" si="28"/>
        <v>6</v>
      </c>
      <c r="EH22" s="212">
        <f t="shared" si="83"/>
        <v>120</v>
      </c>
      <c r="EI22" s="150">
        <v>122</v>
      </c>
      <c r="EJ22" s="204">
        <f t="shared" si="29"/>
        <v>2</v>
      </c>
      <c r="EK22" s="212">
        <f t="shared" si="84"/>
        <v>160</v>
      </c>
      <c r="EL22" s="150">
        <v>164</v>
      </c>
      <c r="EM22" s="204">
        <f t="shared" si="30"/>
        <v>4</v>
      </c>
      <c r="EN22" s="212">
        <f t="shared" si="17"/>
        <v>62</v>
      </c>
      <c r="EO22" s="150">
        <f t="shared" si="18"/>
        <v>14.726840855106888</v>
      </c>
      <c r="EP22" s="204"/>
    </row>
    <row r="23" spans="1:146" ht="15" customHeight="1" x14ac:dyDescent="0.2">
      <c r="A23" s="148">
        <v>18</v>
      </c>
      <c r="B23" s="148">
        <f t="shared" si="31"/>
        <v>15612</v>
      </c>
      <c r="C23" s="149">
        <v>15689</v>
      </c>
      <c r="D23" s="142">
        <f t="shared" si="19"/>
        <v>77</v>
      </c>
      <c r="E23" s="197"/>
      <c r="F23" s="148">
        <v>18</v>
      </c>
      <c r="G23" s="148">
        <f t="shared" si="32"/>
        <v>14093</v>
      </c>
      <c r="H23" s="149">
        <v>14093</v>
      </c>
      <c r="I23" s="142">
        <f t="shared" si="20"/>
        <v>0</v>
      </c>
      <c r="J23" s="197"/>
      <c r="K23" s="148">
        <v>18</v>
      </c>
      <c r="L23" s="148">
        <f t="shared" si="33"/>
        <v>768229</v>
      </c>
      <c r="M23" s="149">
        <v>768455</v>
      </c>
      <c r="N23" s="142">
        <f t="shared" si="21"/>
        <v>226</v>
      </c>
      <c r="O23" s="144"/>
      <c r="P23" s="148">
        <v>18</v>
      </c>
      <c r="Q23" s="148">
        <f t="shared" si="34"/>
        <v>211776</v>
      </c>
      <c r="R23" s="149">
        <v>211776</v>
      </c>
      <c r="S23" s="142">
        <f t="shared" si="22"/>
        <v>0</v>
      </c>
      <c r="T23" s="143"/>
      <c r="U23" s="145">
        <v>18</v>
      </c>
      <c r="V23" s="214">
        <f t="shared" si="23"/>
        <v>303</v>
      </c>
      <c r="W23" s="146">
        <f>'Maldives at LG Daily'!I22</f>
        <v>0</v>
      </c>
      <c r="X23" s="152"/>
      <c r="Z23" s="206">
        <v>18</v>
      </c>
      <c r="AA23" s="150">
        <f t="shared" si="35"/>
        <v>39024</v>
      </c>
      <c r="AB23" s="150">
        <v>39043</v>
      </c>
      <c r="AC23" s="150">
        <f t="shared" si="24"/>
        <v>19</v>
      </c>
      <c r="AD23" s="150">
        <f t="shared" si="80"/>
        <v>7</v>
      </c>
      <c r="AE23" s="307"/>
      <c r="AF23" s="206">
        <f t="shared" si="36"/>
        <v>8476</v>
      </c>
      <c r="AG23" s="150">
        <v>8481</v>
      </c>
      <c r="AH23" s="150">
        <f t="shared" si="25"/>
        <v>5</v>
      </c>
      <c r="AI23" s="150">
        <f t="shared" si="81"/>
        <v>0</v>
      </c>
      <c r="AJ23" s="150"/>
      <c r="AK23" s="206">
        <f t="shared" si="37"/>
        <v>6431</v>
      </c>
      <c r="AL23" s="150">
        <v>6437</v>
      </c>
      <c r="AM23" s="150">
        <f t="shared" si="26"/>
        <v>6</v>
      </c>
      <c r="AN23" s="150">
        <f t="shared" si="38"/>
        <v>-1</v>
      </c>
      <c r="AO23" s="150"/>
      <c r="AP23" s="206">
        <f t="shared" si="39"/>
        <v>15002</v>
      </c>
      <c r="AQ23" s="150">
        <v>15012</v>
      </c>
      <c r="AR23" s="150">
        <f t="shared" si="0"/>
        <v>10</v>
      </c>
      <c r="AS23" s="150">
        <f t="shared" si="40"/>
        <v>-2</v>
      </c>
      <c r="AT23" s="150"/>
      <c r="AU23" s="206">
        <f t="shared" si="41"/>
        <v>32575</v>
      </c>
      <c r="AV23" s="150">
        <v>32582</v>
      </c>
      <c r="AW23" s="150">
        <f t="shared" si="1"/>
        <v>7</v>
      </c>
      <c r="AX23" s="150">
        <f t="shared" si="42"/>
        <v>1</v>
      </c>
      <c r="AY23" s="150"/>
      <c r="AZ23" s="206">
        <f t="shared" si="43"/>
        <v>6703</v>
      </c>
      <c r="BA23" s="150">
        <v>6709</v>
      </c>
      <c r="BB23" s="150">
        <f t="shared" si="2"/>
        <v>6</v>
      </c>
      <c r="BC23" s="150">
        <f t="shared" si="44"/>
        <v>-6</v>
      </c>
      <c r="BD23" s="150"/>
      <c r="BE23" s="206">
        <f t="shared" si="45"/>
        <v>22942</v>
      </c>
      <c r="BF23" s="150">
        <v>22951</v>
      </c>
      <c r="BG23" s="150">
        <f t="shared" si="3"/>
        <v>9</v>
      </c>
      <c r="BH23" s="150">
        <f t="shared" si="46"/>
        <v>-1</v>
      </c>
      <c r="BI23" s="150"/>
      <c r="BJ23" s="206">
        <f t="shared" si="47"/>
        <v>7054</v>
      </c>
      <c r="BK23" s="150">
        <v>7063</v>
      </c>
      <c r="BL23" s="150">
        <f t="shared" si="4"/>
        <v>9</v>
      </c>
      <c r="BM23" s="150">
        <f t="shared" si="48"/>
        <v>1</v>
      </c>
      <c r="BN23" s="150"/>
      <c r="BO23" s="206">
        <f t="shared" si="49"/>
        <v>3510</v>
      </c>
      <c r="BP23" s="150">
        <v>3512</v>
      </c>
      <c r="BQ23" s="150">
        <f t="shared" si="5"/>
        <v>2</v>
      </c>
      <c r="BR23" s="150">
        <f t="shared" si="50"/>
        <v>0</v>
      </c>
      <c r="BS23" s="150"/>
      <c r="BT23" s="206">
        <f t="shared" si="51"/>
        <v>1562</v>
      </c>
      <c r="BU23" s="150">
        <v>1563</v>
      </c>
      <c r="BV23" s="150">
        <f t="shared" si="6"/>
        <v>1</v>
      </c>
      <c r="BW23" s="150">
        <f t="shared" si="52"/>
        <v>1</v>
      </c>
      <c r="BX23" s="150"/>
      <c r="BY23" s="212">
        <f t="shared" si="53"/>
        <v>26888</v>
      </c>
      <c r="BZ23" s="150">
        <v>26890</v>
      </c>
      <c r="CA23" s="150">
        <f t="shared" si="7"/>
        <v>2</v>
      </c>
      <c r="CB23" s="150">
        <f t="shared" si="54"/>
        <v>2</v>
      </c>
      <c r="CC23" s="204"/>
      <c r="CD23" s="212">
        <f t="shared" si="55"/>
        <v>2644</v>
      </c>
      <c r="CE23" s="150">
        <v>2645</v>
      </c>
      <c r="CF23" s="150">
        <f t="shared" si="8"/>
        <v>1</v>
      </c>
      <c r="CG23" s="150">
        <f t="shared" si="56"/>
        <v>0</v>
      </c>
      <c r="CH23" s="204"/>
      <c r="CI23" s="212">
        <f t="shared" si="57"/>
        <v>73992</v>
      </c>
      <c r="CJ23" s="150">
        <v>74016</v>
      </c>
      <c r="CK23" s="150">
        <f t="shared" si="9"/>
        <v>24</v>
      </c>
      <c r="CL23" s="150">
        <f t="shared" si="58"/>
        <v>-2</v>
      </c>
      <c r="CM23" s="204"/>
      <c r="CN23" s="212">
        <f t="shared" si="59"/>
        <v>23574</v>
      </c>
      <c r="CO23" s="150">
        <v>23579</v>
      </c>
      <c r="CP23" s="150">
        <f t="shared" si="10"/>
        <v>5</v>
      </c>
      <c r="CQ23" s="150">
        <f t="shared" si="60"/>
        <v>0</v>
      </c>
      <c r="CR23" s="204"/>
      <c r="CS23" s="212">
        <f t="shared" si="61"/>
        <v>12487</v>
      </c>
      <c r="CT23" s="150">
        <v>12488</v>
      </c>
      <c r="CU23" s="150">
        <f t="shared" si="11"/>
        <v>1</v>
      </c>
      <c r="CV23" s="150">
        <f t="shared" si="62"/>
        <v>1</v>
      </c>
      <c r="CW23" s="204"/>
      <c r="CX23" s="212">
        <f t="shared" si="63"/>
        <v>17700</v>
      </c>
      <c r="CY23" s="150">
        <v>17701</v>
      </c>
      <c r="CZ23" s="150">
        <f t="shared" si="12"/>
        <v>1</v>
      </c>
      <c r="DA23" s="150">
        <f t="shared" si="64"/>
        <v>-6</v>
      </c>
      <c r="DB23" s="204"/>
      <c r="DC23" s="212">
        <f t="shared" si="65"/>
        <v>19744</v>
      </c>
      <c r="DD23" s="150">
        <v>19746</v>
      </c>
      <c r="DE23" s="150">
        <f t="shared" si="13"/>
        <v>2</v>
      </c>
      <c r="DF23" s="150">
        <f t="shared" si="66"/>
        <v>-1</v>
      </c>
      <c r="DG23" s="204"/>
      <c r="DH23" s="212">
        <f t="shared" si="67"/>
        <v>8662</v>
      </c>
      <c r="DI23" s="150">
        <v>8666</v>
      </c>
      <c r="DJ23" s="150">
        <f t="shared" si="14"/>
        <v>4</v>
      </c>
      <c r="DK23" s="150">
        <f t="shared" si="68"/>
        <v>1</v>
      </c>
      <c r="DL23" s="204"/>
      <c r="DM23" s="212">
        <f t="shared" si="69"/>
        <v>19660</v>
      </c>
      <c r="DN23" s="150">
        <f>19660+20</f>
        <v>19680</v>
      </c>
      <c r="DO23" s="150">
        <f t="shared" si="15"/>
        <v>20</v>
      </c>
      <c r="DP23" s="150">
        <f t="shared" si="70"/>
        <v>0</v>
      </c>
      <c r="DQ23" s="204"/>
      <c r="DR23" s="212">
        <f t="shared" si="71"/>
        <v>2003</v>
      </c>
      <c r="DS23" s="150">
        <v>2003</v>
      </c>
      <c r="DT23" s="150">
        <f t="shared" si="16"/>
        <v>0</v>
      </c>
      <c r="DU23" s="150">
        <f t="shared" si="72"/>
        <v>-1</v>
      </c>
      <c r="DV23" s="204"/>
      <c r="DW23" s="212">
        <f t="shared" si="73"/>
        <v>9809</v>
      </c>
      <c r="DX23" s="150">
        <v>9810</v>
      </c>
      <c r="DY23" s="150">
        <f t="shared" si="74"/>
        <v>1</v>
      </c>
      <c r="DZ23" s="150">
        <f t="shared" si="75"/>
        <v>-1</v>
      </c>
      <c r="EA23" s="204"/>
      <c r="EB23" s="212">
        <f t="shared" si="85"/>
        <v>488</v>
      </c>
      <c r="EC23" s="150">
        <v>496</v>
      </c>
      <c r="ED23" s="204">
        <f t="shared" si="27"/>
        <v>8</v>
      </c>
      <c r="EE23" s="212">
        <f t="shared" si="82"/>
        <v>232</v>
      </c>
      <c r="EF23" s="150">
        <v>238</v>
      </c>
      <c r="EG23" s="204">
        <f t="shared" si="28"/>
        <v>6</v>
      </c>
      <c r="EH23" s="212">
        <f t="shared" si="83"/>
        <v>122</v>
      </c>
      <c r="EI23" s="150">
        <v>126</v>
      </c>
      <c r="EJ23" s="204">
        <f t="shared" si="29"/>
        <v>4</v>
      </c>
      <c r="EK23" s="212">
        <f t="shared" si="84"/>
        <v>164</v>
      </c>
      <c r="EL23" s="150">
        <v>167</v>
      </c>
      <c r="EM23" s="204">
        <f t="shared" si="30"/>
        <v>3</v>
      </c>
      <c r="EN23" s="212">
        <f t="shared" si="17"/>
        <v>55</v>
      </c>
      <c r="EO23" s="150">
        <f t="shared" si="18"/>
        <v>18.151815181518153</v>
      </c>
      <c r="EP23" s="204"/>
    </row>
    <row r="24" spans="1:146" ht="15" customHeight="1" x14ac:dyDescent="0.2">
      <c r="A24" s="148">
        <v>19</v>
      </c>
      <c r="B24" s="148">
        <f t="shared" si="31"/>
        <v>15689</v>
      </c>
      <c r="C24" s="149">
        <v>15737</v>
      </c>
      <c r="D24" s="142">
        <f t="shared" si="19"/>
        <v>48</v>
      </c>
      <c r="E24" s="197"/>
      <c r="F24" s="148">
        <v>19</v>
      </c>
      <c r="G24" s="148">
        <f t="shared" si="32"/>
        <v>14093</v>
      </c>
      <c r="H24" s="149">
        <v>14094</v>
      </c>
      <c r="I24" s="142">
        <f t="shared" si="20"/>
        <v>1</v>
      </c>
      <c r="J24" s="197"/>
      <c r="K24" s="148">
        <v>19</v>
      </c>
      <c r="L24" s="148">
        <f t="shared" si="33"/>
        <v>768455</v>
      </c>
      <c r="M24" s="149">
        <v>768694</v>
      </c>
      <c r="N24" s="142">
        <f t="shared" si="21"/>
        <v>239</v>
      </c>
      <c r="O24" s="144"/>
      <c r="P24" s="148">
        <v>19</v>
      </c>
      <c r="Q24" s="148">
        <f t="shared" si="34"/>
        <v>211776</v>
      </c>
      <c r="R24" s="149">
        <v>211886</v>
      </c>
      <c r="S24" s="142">
        <f t="shared" si="22"/>
        <v>110</v>
      </c>
      <c r="T24" s="143"/>
      <c r="U24" s="145">
        <v>19</v>
      </c>
      <c r="V24" s="214">
        <f t="shared" si="23"/>
        <v>398</v>
      </c>
      <c r="W24" s="146">
        <f>'Maldives at LG Daily'!I23</f>
        <v>5793</v>
      </c>
      <c r="X24" s="152"/>
      <c r="Z24" s="206">
        <v>19</v>
      </c>
      <c r="AA24" s="150">
        <f t="shared" si="35"/>
        <v>39043</v>
      </c>
      <c r="AB24" s="150">
        <v>39061</v>
      </c>
      <c r="AC24" s="150">
        <f t="shared" si="24"/>
        <v>18</v>
      </c>
      <c r="AD24" s="150">
        <f t="shared" si="80"/>
        <v>-1</v>
      </c>
      <c r="AE24" s="307"/>
      <c r="AF24" s="206">
        <f t="shared" si="36"/>
        <v>8481</v>
      </c>
      <c r="AG24" s="150">
        <v>8486</v>
      </c>
      <c r="AH24" s="150">
        <f t="shared" si="25"/>
        <v>5</v>
      </c>
      <c r="AI24" s="150">
        <f t="shared" si="81"/>
        <v>0</v>
      </c>
      <c r="AJ24" s="150"/>
      <c r="AK24" s="206">
        <f t="shared" si="37"/>
        <v>6437</v>
      </c>
      <c r="AL24" s="150">
        <v>6444</v>
      </c>
      <c r="AM24" s="150">
        <f t="shared" si="26"/>
        <v>7</v>
      </c>
      <c r="AN24" s="150">
        <f t="shared" si="38"/>
        <v>1</v>
      </c>
      <c r="AO24" s="150"/>
      <c r="AP24" s="206">
        <f t="shared" si="39"/>
        <v>15012</v>
      </c>
      <c r="AQ24" s="150">
        <v>15023</v>
      </c>
      <c r="AR24" s="150">
        <f t="shared" si="0"/>
        <v>11</v>
      </c>
      <c r="AS24" s="150">
        <f t="shared" si="40"/>
        <v>1</v>
      </c>
      <c r="AT24" s="150"/>
      <c r="AU24" s="206">
        <f t="shared" si="41"/>
        <v>32582</v>
      </c>
      <c r="AV24" s="150">
        <v>32588</v>
      </c>
      <c r="AW24" s="150">
        <f t="shared" si="1"/>
        <v>6</v>
      </c>
      <c r="AX24" s="150">
        <f t="shared" si="42"/>
        <v>-1</v>
      </c>
      <c r="AY24" s="150"/>
      <c r="AZ24" s="206">
        <f t="shared" si="43"/>
        <v>6709</v>
      </c>
      <c r="BA24" s="150">
        <v>6715</v>
      </c>
      <c r="BB24" s="150">
        <f t="shared" si="2"/>
        <v>6</v>
      </c>
      <c r="BC24" s="150">
        <f t="shared" si="44"/>
        <v>0</v>
      </c>
      <c r="BD24" s="150"/>
      <c r="BE24" s="206">
        <f t="shared" si="45"/>
        <v>22951</v>
      </c>
      <c r="BF24" s="150">
        <v>22959</v>
      </c>
      <c r="BG24" s="150">
        <f t="shared" si="3"/>
        <v>8</v>
      </c>
      <c r="BH24" s="150">
        <f t="shared" si="46"/>
        <v>-1</v>
      </c>
      <c r="BI24" s="150"/>
      <c r="BJ24" s="206">
        <f t="shared" si="47"/>
        <v>7063</v>
      </c>
      <c r="BK24" s="150">
        <v>7069</v>
      </c>
      <c r="BL24" s="150">
        <f t="shared" si="4"/>
        <v>6</v>
      </c>
      <c r="BM24" s="150">
        <f t="shared" si="48"/>
        <v>-3</v>
      </c>
      <c r="BN24" s="150"/>
      <c r="BO24" s="206">
        <f t="shared" si="49"/>
        <v>3512</v>
      </c>
      <c r="BP24" s="150">
        <v>3514</v>
      </c>
      <c r="BQ24" s="150">
        <f t="shared" si="5"/>
        <v>2</v>
      </c>
      <c r="BR24" s="150">
        <f t="shared" si="50"/>
        <v>0</v>
      </c>
      <c r="BS24" s="150"/>
      <c r="BT24" s="206">
        <f t="shared" si="51"/>
        <v>1563</v>
      </c>
      <c r="BU24" s="150">
        <v>1563</v>
      </c>
      <c r="BV24" s="150">
        <f t="shared" si="6"/>
        <v>0</v>
      </c>
      <c r="BW24" s="150">
        <f t="shared" si="52"/>
        <v>-1</v>
      </c>
      <c r="BX24" s="150"/>
      <c r="BY24" s="212">
        <f t="shared" si="53"/>
        <v>26890</v>
      </c>
      <c r="BZ24" s="150">
        <v>26892</v>
      </c>
      <c r="CA24" s="150">
        <f t="shared" si="7"/>
        <v>2</v>
      </c>
      <c r="CB24" s="150">
        <f t="shared" si="54"/>
        <v>0</v>
      </c>
      <c r="CC24" s="204"/>
      <c r="CD24" s="212">
        <f t="shared" si="55"/>
        <v>2645</v>
      </c>
      <c r="CE24" s="150">
        <v>2649</v>
      </c>
      <c r="CF24" s="150">
        <f t="shared" si="8"/>
        <v>4</v>
      </c>
      <c r="CG24" s="150">
        <f t="shared" si="56"/>
        <v>3</v>
      </c>
      <c r="CH24" s="204"/>
      <c r="CI24" s="212">
        <f t="shared" si="57"/>
        <v>74016</v>
      </c>
      <c r="CJ24" s="150">
        <v>74038</v>
      </c>
      <c r="CK24" s="150">
        <f t="shared" si="9"/>
        <v>22</v>
      </c>
      <c r="CL24" s="150">
        <f t="shared" si="58"/>
        <v>-2</v>
      </c>
      <c r="CM24" s="204"/>
      <c r="CN24" s="212">
        <f t="shared" si="59"/>
        <v>23579</v>
      </c>
      <c r="CO24" s="150">
        <v>23584</v>
      </c>
      <c r="CP24" s="150">
        <f t="shared" si="10"/>
        <v>5</v>
      </c>
      <c r="CQ24" s="150">
        <f t="shared" si="60"/>
        <v>0</v>
      </c>
      <c r="CR24" s="204"/>
      <c r="CS24" s="212">
        <f t="shared" si="61"/>
        <v>12488</v>
      </c>
      <c r="CT24" s="150">
        <v>12489</v>
      </c>
      <c r="CU24" s="150">
        <f t="shared" si="11"/>
        <v>1</v>
      </c>
      <c r="CV24" s="150">
        <f t="shared" si="62"/>
        <v>0</v>
      </c>
      <c r="CW24" s="204"/>
      <c r="CX24" s="212">
        <f t="shared" si="63"/>
        <v>17701</v>
      </c>
      <c r="CY24" s="150">
        <v>17706</v>
      </c>
      <c r="CZ24" s="150">
        <f t="shared" si="12"/>
        <v>5</v>
      </c>
      <c r="DA24" s="150">
        <f t="shared" si="64"/>
        <v>4</v>
      </c>
      <c r="DB24" s="204"/>
      <c r="DC24" s="212">
        <f t="shared" si="65"/>
        <v>19746</v>
      </c>
      <c r="DD24" s="150">
        <v>19749</v>
      </c>
      <c r="DE24" s="150">
        <f t="shared" si="13"/>
        <v>3</v>
      </c>
      <c r="DF24" s="150">
        <f t="shared" si="66"/>
        <v>1</v>
      </c>
      <c r="DG24" s="204"/>
      <c r="DH24" s="212">
        <f t="shared" si="67"/>
        <v>8666</v>
      </c>
      <c r="DI24" s="150">
        <v>8671</v>
      </c>
      <c r="DJ24" s="150">
        <f t="shared" si="14"/>
        <v>5</v>
      </c>
      <c r="DK24" s="150">
        <f t="shared" si="68"/>
        <v>1</v>
      </c>
      <c r="DL24" s="204"/>
      <c r="DM24" s="212">
        <f t="shared" si="69"/>
        <v>19680</v>
      </c>
      <c r="DN24" s="150">
        <f>19680+22</f>
        <v>19702</v>
      </c>
      <c r="DO24" s="150">
        <f t="shared" si="15"/>
        <v>22</v>
      </c>
      <c r="DP24" s="150">
        <f t="shared" si="70"/>
        <v>2</v>
      </c>
      <c r="DQ24" s="204"/>
      <c r="DR24" s="212">
        <f t="shared" si="71"/>
        <v>2003</v>
      </c>
      <c r="DS24" s="150">
        <v>2005</v>
      </c>
      <c r="DT24" s="150">
        <f t="shared" si="16"/>
        <v>2</v>
      </c>
      <c r="DU24" s="150">
        <f t="shared" si="72"/>
        <v>2</v>
      </c>
      <c r="DV24" s="204"/>
      <c r="DW24" s="212">
        <f t="shared" si="73"/>
        <v>9810</v>
      </c>
      <c r="DX24" s="150">
        <v>9812</v>
      </c>
      <c r="DY24" s="150">
        <f t="shared" si="74"/>
        <v>2</v>
      </c>
      <c r="DZ24" s="150">
        <f t="shared" si="75"/>
        <v>1</v>
      </c>
      <c r="EA24" s="204"/>
      <c r="EB24" s="212">
        <f t="shared" si="85"/>
        <v>496</v>
      </c>
      <c r="EC24" s="150">
        <v>504</v>
      </c>
      <c r="ED24" s="204">
        <f t="shared" si="27"/>
        <v>8</v>
      </c>
      <c r="EE24" s="212">
        <f t="shared" si="82"/>
        <v>238</v>
      </c>
      <c r="EF24" s="150">
        <v>244</v>
      </c>
      <c r="EG24" s="204">
        <f t="shared" si="28"/>
        <v>6</v>
      </c>
      <c r="EH24" s="212">
        <f t="shared" si="83"/>
        <v>126</v>
      </c>
      <c r="EI24" s="150">
        <v>130</v>
      </c>
      <c r="EJ24" s="204">
        <f t="shared" si="29"/>
        <v>4</v>
      </c>
      <c r="EK24" s="212">
        <f t="shared" si="84"/>
        <v>167</v>
      </c>
      <c r="EL24" s="150">
        <v>171</v>
      </c>
      <c r="EM24" s="204">
        <f t="shared" si="30"/>
        <v>4</v>
      </c>
      <c r="EN24" s="212">
        <f t="shared" si="17"/>
        <v>51</v>
      </c>
      <c r="EO24" s="150">
        <f t="shared" si="18"/>
        <v>12.814070351758794</v>
      </c>
      <c r="EP24" s="204"/>
    </row>
    <row r="25" spans="1:146" ht="15" customHeight="1" x14ac:dyDescent="0.2">
      <c r="A25" s="148">
        <v>20</v>
      </c>
      <c r="B25" s="148">
        <f t="shared" si="31"/>
        <v>15737</v>
      </c>
      <c r="C25" s="149">
        <v>15797</v>
      </c>
      <c r="D25" s="142">
        <f t="shared" si="19"/>
        <v>60</v>
      </c>
      <c r="E25" s="197"/>
      <c r="F25" s="148">
        <v>20</v>
      </c>
      <c r="G25" s="148">
        <f t="shared" si="32"/>
        <v>14094</v>
      </c>
      <c r="H25" s="149">
        <v>14094</v>
      </c>
      <c r="I25" s="142">
        <f t="shared" si="20"/>
        <v>0</v>
      </c>
      <c r="J25" s="197"/>
      <c r="K25" s="148">
        <v>20</v>
      </c>
      <c r="L25" s="148">
        <f t="shared" si="33"/>
        <v>768694</v>
      </c>
      <c r="M25" s="149">
        <v>768966</v>
      </c>
      <c r="N25" s="142">
        <f t="shared" si="21"/>
        <v>272</v>
      </c>
      <c r="O25" s="144"/>
      <c r="P25" s="148">
        <v>20</v>
      </c>
      <c r="Q25" s="148">
        <f t="shared" si="34"/>
        <v>211886</v>
      </c>
      <c r="R25" s="149">
        <v>211958</v>
      </c>
      <c r="S25" s="142">
        <f t="shared" si="22"/>
        <v>72</v>
      </c>
      <c r="T25" s="143"/>
      <c r="U25" s="148">
        <v>20</v>
      </c>
      <c r="V25" s="214">
        <f t="shared" si="23"/>
        <v>404</v>
      </c>
      <c r="W25" s="146">
        <f>'Maldives at LG Daily'!I24</f>
        <v>4959</v>
      </c>
      <c r="X25" s="152"/>
      <c r="Z25" s="206">
        <v>20</v>
      </c>
      <c r="AA25" s="150">
        <f t="shared" si="35"/>
        <v>39061</v>
      </c>
      <c r="AB25" s="150">
        <v>39081</v>
      </c>
      <c r="AC25" s="150">
        <f t="shared" si="24"/>
        <v>20</v>
      </c>
      <c r="AD25" s="150">
        <f t="shared" si="80"/>
        <v>2</v>
      </c>
      <c r="AE25" s="307"/>
      <c r="AF25" s="206">
        <f t="shared" si="36"/>
        <v>8486</v>
      </c>
      <c r="AG25" s="150">
        <v>8491</v>
      </c>
      <c r="AH25" s="150">
        <f t="shared" si="25"/>
        <v>5</v>
      </c>
      <c r="AI25" s="150">
        <f t="shared" si="81"/>
        <v>0</v>
      </c>
      <c r="AJ25" s="150"/>
      <c r="AK25" s="206">
        <f t="shared" si="37"/>
        <v>6444</v>
      </c>
      <c r="AL25" s="150">
        <v>6450</v>
      </c>
      <c r="AM25" s="150">
        <f t="shared" si="26"/>
        <v>6</v>
      </c>
      <c r="AN25" s="150">
        <f t="shared" si="38"/>
        <v>-1</v>
      </c>
      <c r="AO25" s="150"/>
      <c r="AP25" s="206">
        <f t="shared" si="39"/>
        <v>15023</v>
      </c>
      <c r="AQ25" s="150">
        <v>15034</v>
      </c>
      <c r="AR25" s="150">
        <f t="shared" si="0"/>
        <v>11</v>
      </c>
      <c r="AS25" s="150">
        <f t="shared" si="40"/>
        <v>0</v>
      </c>
      <c r="AT25" s="150"/>
      <c r="AU25" s="206">
        <f t="shared" si="41"/>
        <v>32588</v>
      </c>
      <c r="AV25" s="150">
        <v>32595</v>
      </c>
      <c r="AW25" s="150">
        <f t="shared" si="1"/>
        <v>7</v>
      </c>
      <c r="AX25" s="150">
        <f t="shared" si="42"/>
        <v>1</v>
      </c>
      <c r="AY25" s="150"/>
      <c r="AZ25" s="206">
        <f t="shared" si="43"/>
        <v>6715</v>
      </c>
      <c r="BA25" s="150">
        <v>6722</v>
      </c>
      <c r="BB25" s="150">
        <f t="shared" si="2"/>
        <v>7</v>
      </c>
      <c r="BC25" s="150">
        <f t="shared" si="44"/>
        <v>1</v>
      </c>
      <c r="BD25" s="150"/>
      <c r="BE25" s="206">
        <f t="shared" si="45"/>
        <v>22959</v>
      </c>
      <c r="BF25" s="150">
        <v>22967</v>
      </c>
      <c r="BG25" s="150">
        <f t="shared" si="3"/>
        <v>8</v>
      </c>
      <c r="BH25" s="150">
        <f t="shared" si="46"/>
        <v>0</v>
      </c>
      <c r="BI25" s="150"/>
      <c r="BJ25" s="206">
        <f t="shared" si="47"/>
        <v>7069</v>
      </c>
      <c r="BK25" s="150">
        <v>7077</v>
      </c>
      <c r="BL25" s="150">
        <f t="shared" si="4"/>
        <v>8</v>
      </c>
      <c r="BM25" s="150">
        <f t="shared" si="48"/>
        <v>2</v>
      </c>
      <c r="BN25" s="150"/>
      <c r="BO25" s="206">
        <f t="shared" si="49"/>
        <v>3514</v>
      </c>
      <c r="BP25" s="150">
        <v>3516</v>
      </c>
      <c r="BQ25" s="150">
        <f t="shared" si="5"/>
        <v>2</v>
      </c>
      <c r="BR25" s="150">
        <f t="shared" si="50"/>
        <v>0</v>
      </c>
      <c r="BS25" s="150"/>
      <c r="BT25" s="206">
        <f t="shared" si="51"/>
        <v>1563</v>
      </c>
      <c r="BU25" s="150">
        <v>1564</v>
      </c>
      <c r="BV25" s="150">
        <f t="shared" si="6"/>
        <v>1</v>
      </c>
      <c r="BW25" s="150">
        <f t="shared" si="52"/>
        <v>1</v>
      </c>
      <c r="BX25" s="150"/>
      <c r="BY25" s="212">
        <f t="shared" si="53"/>
        <v>26892</v>
      </c>
      <c r="BZ25" s="150">
        <v>26903</v>
      </c>
      <c r="CA25" s="150">
        <f t="shared" si="7"/>
        <v>11</v>
      </c>
      <c r="CB25" s="150">
        <f t="shared" si="54"/>
        <v>9</v>
      </c>
      <c r="CC25" s="204"/>
      <c r="CD25" s="212">
        <f t="shared" si="55"/>
        <v>2649</v>
      </c>
      <c r="CE25" s="150">
        <v>2653</v>
      </c>
      <c r="CF25" s="150">
        <f t="shared" si="8"/>
        <v>4</v>
      </c>
      <c r="CG25" s="150">
        <f t="shared" si="56"/>
        <v>0</v>
      </c>
      <c r="CH25" s="204"/>
      <c r="CI25" s="212">
        <f t="shared" si="57"/>
        <v>74038</v>
      </c>
      <c r="CJ25" s="150">
        <v>74062</v>
      </c>
      <c r="CK25" s="150">
        <f t="shared" si="9"/>
        <v>24</v>
      </c>
      <c r="CL25" s="150">
        <f t="shared" si="58"/>
        <v>2</v>
      </c>
      <c r="CM25" s="204"/>
      <c r="CN25" s="212">
        <f t="shared" si="59"/>
        <v>23584</v>
      </c>
      <c r="CO25" s="150">
        <v>23589</v>
      </c>
      <c r="CP25" s="150">
        <f t="shared" si="10"/>
        <v>5</v>
      </c>
      <c r="CQ25" s="150">
        <f t="shared" si="60"/>
        <v>0</v>
      </c>
      <c r="CR25" s="204"/>
      <c r="CS25" s="212">
        <f t="shared" si="61"/>
        <v>12489</v>
      </c>
      <c r="CT25" s="150">
        <v>12490</v>
      </c>
      <c r="CU25" s="150">
        <f t="shared" si="11"/>
        <v>1</v>
      </c>
      <c r="CV25" s="150">
        <f t="shared" si="62"/>
        <v>0</v>
      </c>
      <c r="CW25" s="204"/>
      <c r="CX25" s="212">
        <f t="shared" si="63"/>
        <v>17706</v>
      </c>
      <c r="CY25" s="150">
        <v>17712</v>
      </c>
      <c r="CZ25" s="150">
        <f t="shared" si="12"/>
        <v>6</v>
      </c>
      <c r="DA25" s="150">
        <f t="shared" si="64"/>
        <v>1</v>
      </c>
      <c r="DB25" s="204"/>
      <c r="DC25" s="212">
        <f t="shared" si="65"/>
        <v>19749</v>
      </c>
      <c r="DD25" s="150">
        <v>19752</v>
      </c>
      <c r="DE25" s="150">
        <f t="shared" si="13"/>
        <v>3</v>
      </c>
      <c r="DF25" s="150">
        <f t="shared" si="66"/>
        <v>0</v>
      </c>
      <c r="DG25" s="204"/>
      <c r="DH25" s="212">
        <f t="shared" si="67"/>
        <v>8671</v>
      </c>
      <c r="DI25" s="150">
        <v>8674</v>
      </c>
      <c r="DJ25" s="150">
        <f t="shared" si="14"/>
        <v>3</v>
      </c>
      <c r="DK25" s="150">
        <f t="shared" si="68"/>
        <v>-2</v>
      </c>
      <c r="DL25" s="204"/>
      <c r="DM25" s="212">
        <f t="shared" si="69"/>
        <v>19702</v>
      </c>
      <c r="DN25" s="150">
        <f>19702+15</f>
        <v>19717</v>
      </c>
      <c r="DO25" s="150">
        <f t="shared" si="15"/>
        <v>15</v>
      </c>
      <c r="DP25" s="150">
        <f t="shared" si="70"/>
        <v>-7</v>
      </c>
      <c r="DQ25" s="204"/>
      <c r="DR25" s="212">
        <f t="shared" si="71"/>
        <v>2005</v>
      </c>
      <c r="DS25" s="150">
        <v>2006</v>
      </c>
      <c r="DT25" s="150">
        <f t="shared" si="16"/>
        <v>1</v>
      </c>
      <c r="DU25" s="150">
        <f t="shared" si="72"/>
        <v>-1</v>
      </c>
      <c r="DV25" s="204"/>
      <c r="DW25" s="212">
        <f t="shared" si="73"/>
        <v>9812</v>
      </c>
      <c r="DX25" s="150">
        <v>9813</v>
      </c>
      <c r="DY25" s="150">
        <f t="shared" si="74"/>
        <v>1</v>
      </c>
      <c r="DZ25" s="150">
        <f t="shared" si="75"/>
        <v>-1</v>
      </c>
      <c r="EA25" s="204"/>
      <c r="EB25" s="212">
        <f t="shared" si="85"/>
        <v>504</v>
      </c>
      <c r="EC25" s="150">
        <v>513</v>
      </c>
      <c r="ED25" s="204">
        <f t="shared" si="27"/>
        <v>9</v>
      </c>
      <c r="EE25" s="212">
        <f t="shared" si="82"/>
        <v>244</v>
      </c>
      <c r="EF25" s="150">
        <v>251</v>
      </c>
      <c r="EG25" s="204">
        <f t="shared" si="28"/>
        <v>7</v>
      </c>
      <c r="EH25" s="212">
        <f t="shared" si="83"/>
        <v>130</v>
      </c>
      <c r="EI25" s="150">
        <v>134</v>
      </c>
      <c r="EJ25" s="204">
        <f t="shared" si="29"/>
        <v>4</v>
      </c>
      <c r="EK25" s="212">
        <f t="shared" si="84"/>
        <v>171</v>
      </c>
      <c r="EL25" s="150">
        <v>175</v>
      </c>
      <c r="EM25" s="204">
        <f t="shared" si="30"/>
        <v>4</v>
      </c>
      <c r="EN25" s="212">
        <f t="shared" si="17"/>
        <v>55</v>
      </c>
      <c r="EO25" s="150">
        <f t="shared" si="18"/>
        <v>13.613861386138614</v>
      </c>
      <c r="EP25" s="204"/>
    </row>
    <row r="26" spans="1:146" ht="15" customHeight="1" x14ac:dyDescent="0.2">
      <c r="A26" s="148">
        <v>21</v>
      </c>
      <c r="B26" s="148">
        <f t="shared" si="31"/>
        <v>15797</v>
      </c>
      <c r="C26" s="149">
        <v>15832</v>
      </c>
      <c r="D26" s="142">
        <f t="shared" si="19"/>
        <v>35</v>
      </c>
      <c r="E26" s="197"/>
      <c r="F26" s="148">
        <v>21</v>
      </c>
      <c r="G26" s="148">
        <f t="shared" si="32"/>
        <v>14094</v>
      </c>
      <c r="H26" s="149">
        <v>14168</v>
      </c>
      <c r="I26" s="142">
        <f t="shared" si="20"/>
        <v>74</v>
      </c>
      <c r="J26" s="197"/>
      <c r="K26" s="148">
        <v>21</v>
      </c>
      <c r="L26" s="148">
        <f t="shared" si="33"/>
        <v>768966</v>
      </c>
      <c r="M26" s="149">
        <v>769218</v>
      </c>
      <c r="N26" s="142">
        <f t="shared" si="21"/>
        <v>252</v>
      </c>
      <c r="O26" s="144"/>
      <c r="P26" s="148">
        <v>21</v>
      </c>
      <c r="Q26" s="148">
        <f t="shared" si="34"/>
        <v>211958</v>
      </c>
      <c r="R26" s="149">
        <v>212021</v>
      </c>
      <c r="S26" s="142">
        <f t="shared" si="22"/>
        <v>63</v>
      </c>
      <c r="T26" s="143"/>
      <c r="U26" s="145">
        <v>21</v>
      </c>
      <c r="V26" s="214">
        <f t="shared" si="23"/>
        <v>424</v>
      </c>
      <c r="W26" s="146">
        <f>'Maldives at LG Daily'!I25</f>
        <v>3510</v>
      </c>
      <c r="X26" s="152"/>
      <c r="Z26" s="206">
        <v>21</v>
      </c>
      <c r="AA26" s="150">
        <f t="shared" si="35"/>
        <v>39081</v>
      </c>
      <c r="AB26" s="150">
        <v>39102</v>
      </c>
      <c r="AC26" s="150">
        <f t="shared" si="24"/>
        <v>21</v>
      </c>
      <c r="AD26" s="150">
        <f t="shared" si="80"/>
        <v>1</v>
      </c>
      <c r="AE26" s="307"/>
      <c r="AF26" s="206">
        <f t="shared" si="36"/>
        <v>8491</v>
      </c>
      <c r="AG26" s="150">
        <v>8497</v>
      </c>
      <c r="AH26" s="150">
        <f t="shared" si="25"/>
        <v>6</v>
      </c>
      <c r="AI26" s="150">
        <f t="shared" si="81"/>
        <v>1</v>
      </c>
      <c r="AJ26" s="150"/>
      <c r="AK26" s="206">
        <f t="shared" si="37"/>
        <v>6450</v>
      </c>
      <c r="AL26" s="150">
        <v>6457</v>
      </c>
      <c r="AM26" s="150">
        <f t="shared" si="26"/>
        <v>7</v>
      </c>
      <c r="AN26" s="150">
        <f t="shared" si="38"/>
        <v>1</v>
      </c>
      <c r="AO26" s="150"/>
      <c r="AP26" s="206">
        <f t="shared" si="39"/>
        <v>15034</v>
      </c>
      <c r="AQ26" s="150">
        <v>15045</v>
      </c>
      <c r="AR26" s="150">
        <f t="shared" si="0"/>
        <v>11</v>
      </c>
      <c r="AS26" s="150">
        <f t="shared" si="40"/>
        <v>0</v>
      </c>
      <c r="AT26" s="150"/>
      <c r="AU26" s="206">
        <f t="shared" si="41"/>
        <v>32595</v>
      </c>
      <c r="AV26" s="150">
        <v>32602</v>
      </c>
      <c r="AW26" s="150">
        <f t="shared" si="1"/>
        <v>7</v>
      </c>
      <c r="AX26" s="150">
        <f t="shared" si="42"/>
        <v>0</v>
      </c>
      <c r="AY26" s="150"/>
      <c r="AZ26" s="206">
        <f t="shared" si="43"/>
        <v>6722</v>
      </c>
      <c r="BA26" s="150">
        <v>6729</v>
      </c>
      <c r="BB26" s="150">
        <f t="shared" si="2"/>
        <v>7</v>
      </c>
      <c r="BC26" s="150">
        <f t="shared" si="44"/>
        <v>0</v>
      </c>
      <c r="BD26" s="150"/>
      <c r="BE26" s="206">
        <f t="shared" si="45"/>
        <v>22967</v>
      </c>
      <c r="BF26" s="150">
        <v>22978</v>
      </c>
      <c r="BG26" s="150">
        <f t="shared" si="3"/>
        <v>11</v>
      </c>
      <c r="BH26" s="150">
        <f t="shared" si="46"/>
        <v>3</v>
      </c>
      <c r="BI26" s="150"/>
      <c r="BJ26" s="206">
        <f t="shared" si="47"/>
        <v>7077</v>
      </c>
      <c r="BK26" s="150">
        <v>7087</v>
      </c>
      <c r="BL26" s="150">
        <f t="shared" si="4"/>
        <v>10</v>
      </c>
      <c r="BM26" s="150">
        <f t="shared" si="48"/>
        <v>2</v>
      </c>
      <c r="BN26" s="150"/>
      <c r="BO26" s="206">
        <f t="shared" si="49"/>
        <v>3516</v>
      </c>
      <c r="BP26" s="150">
        <v>3519</v>
      </c>
      <c r="BQ26" s="150">
        <f t="shared" si="5"/>
        <v>3</v>
      </c>
      <c r="BR26" s="150">
        <f t="shared" si="50"/>
        <v>1</v>
      </c>
      <c r="BS26" s="150"/>
      <c r="BT26" s="206">
        <f t="shared" si="51"/>
        <v>1564</v>
      </c>
      <c r="BU26" s="150">
        <v>1565</v>
      </c>
      <c r="BV26" s="150">
        <f t="shared" si="6"/>
        <v>1</v>
      </c>
      <c r="BW26" s="150">
        <f t="shared" si="52"/>
        <v>0</v>
      </c>
      <c r="BX26" s="150"/>
      <c r="BY26" s="212">
        <f t="shared" si="53"/>
        <v>26903</v>
      </c>
      <c r="BZ26" s="150">
        <v>26907</v>
      </c>
      <c r="CA26" s="150">
        <f t="shared" si="7"/>
        <v>4</v>
      </c>
      <c r="CB26" s="150">
        <f t="shared" si="54"/>
        <v>-7</v>
      </c>
      <c r="CC26" s="204"/>
      <c r="CD26" s="212">
        <f t="shared" si="55"/>
        <v>2653</v>
      </c>
      <c r="CE26" s="150">
        <v>2655</v>
      </c>
      <c r="CF26" s="150">
        <f t="shared" si="8"/>
        <v>2</v>
      </c>
      <c r="CG26" s="150">
        <f t="shared" si="56"/>
        <v>-2</v>
      </c>
      <c r="CH26" s="204"/>
      <c r="CI26" s="212">
        <f t="shared" si="57"/>
        <v>74062</v>
      </c>
      <c r="CJ26" s="150">
        <v>74089</v>
      </c>
      <c r="CK26" s="150">
        <f t="shared" si="9"/>
        <v>27</v>
      </c>
      <c r="CL26" s="150">
        <f t="shared" si="58"/>
        <v>3</v>
      </c>
      <c r="CM26" s="204"/>
      <c r="CN26" s="212">
        <f t="shared" si="59"/>
        <v>23589</v>
      </c>
      <c r="CO26" s="150">
        <v>23594</v>
      </c>
      <c r="CP26" s="150">
        <f t="shared" si="10"/>
        <v>5</v>
      </c>
      <c r="CQ26" s="150">
        <f t="shared" si="60"/>
        <v>0</v>
      </c>
      <c r="CR26" s="204"/>
      <c r="CS26" s="212">
        <f t="shared" si="61"/>
        <v>12490</v>
      </c>
      <c r="CT26" s="150">
        <v>12491</v>
      </c>
      <c r="CU26" s="150">
        <f t="shared" si="11"/>
        <v>1</v>
      </c>
      <c r="CV26" s="150">
        <f t="shared" si="62"/>
        <v>0</v>
      </c>
      <c r="CW26" s="204"/>
      <c r="CX26" s="212">
        <f t="shared" si="63"/>
        <v>17712</v>
      </c>
      <c r="CY26" s="150">
        <v>17723</v>
      </c>
      <c r="CZ26" s="150">
        <f t="shared" si="12"/>
        <v>11</v>
      </c>
      <c r="DA26" s="150">
        <f t="shared" si="64"/>
        <v>5</v>
      </c>
      <c r="DB26" s="204"/>
      <c r="DC26" s="212">
        <f t="shared" si="65"/>
        <v>19752</v>
      </c>
      <c r="DD26" s="150">
        <v>19757</v>
      </c>
      <c r="DE26" s="150">
        <f t="shared" si="13"/>
        <v>5</v>
      </c>
      <c r="DF26" s="150">
        <f t="shared" si="66"/>
        <v>2</v>
      </c>
      <c r="DG26" s="204"/>
      <c r="DH26" s="212">
        <f t="shared" si="67"/>
        <v>8674</v>
      </c>
      <c r="DI26" s="150">
        <v>8677</v>
      </c>
      <c r="DJ26" s="150">
        <f t="shared" si="14"/>
        <v>3</v>
      </c>
      <c r="DK26" s="150">
        <f t="shared" si="68"/>
        <v>0</v>
      </c>
      <c r="DL26" s="204"/>
      <c r="DM26" s="212">
        <f t="shared" si="69"/>
        <v>19717</v>
      </c>
      <c r="DN26" s="150">
        <f>19727+19</f>
        <v>19746</v>
      </c>
      <c r="DO26" s="150">
        <f t="shared" si="15"/>
        <v>29</v>
      </c>
      <c r="DP26" s="150">
        <f t="shared" si="70"/>
        <v>14</v>
      </c>
      <c r="DQ26" s="204"/>
      <c r="DR26" s="212">
        <f t="shared" si="71"/>
        <v>2006</v>
      </c>
      <c r="DS26" s="150">
        <v>2008</v>
      </c>
      <c r="DT26" s="150">
        <f t="shared" si="16"/>
        <v>2</v>
      </c>
      <c r="DU26" s="150">
        <f t="shared" si="72"/>
        <v>1</v>
      </c>
      <c r="DV26" s="204"/>
      <c r="DW26" s="212">
        <f t="shared" si="73"/>
        <v>9813</v>
      </c>
      <c r="DX26" s="150">
        <v>9813</v>
      </c>
      <c r="DY26" s="150">
        <f t="shared" si="74"/>
        <v>0</v>
      </c>
      <c r="DZ26" s="150">
        <f t="shared" si="75"/>
        <v>-1</v>
      </c>
      <c r="EA26" s="204"/>
      <c r="EB26" s="212">
        <f t="shared" si="85"/>
        <v>513</v>
      </c>
      <c r="EC26" s="150">
        <v>523</v>
      </c>
      <c r="ED26" s="204">
        <f t="shared" si="27"/>
        <v>10</v>
      </c>
      <c r="EE26" s="212">
        <f t="shared" si="82"/>
        <v>251</v>
      </c>
      <c r="EF26" s="150">
        <v>258</v>
      </c>
      <c r="EG26" s="204">
        <f t="shared" si="28"/>
        <v>7</v>
      </c>
      <c r="EH26" s="212">
        <f t="shared" si="83"/>
        <v>134</v>
      </c>
      <c r="EI26" s="150">
        <v>138</v>
      </c>
      <c r="EJ26" s="204">
        <f t="shared" si="29"/>
        <v>4</v>
      </c>
      <c r="EK26" s="212">
        <f t="shared" si="84"/>
        <v>175</v>
      </c>
      <c r="EL26" s="150">
        <v>180</v>
      </c>
      <c r="EM26" s="204">
        <f t="shared" si="30"/>
        <v>5</v>
      </c>
      <c r="EN26" s="212">
        <f t="shared" si="17"/>
        <v>63</v>
      </c>
      <c r="EO26" s="150">
        <f t="shared" si="18"/>
        <v>14.858490566037736</v>
      </c>
      <c r="EP26" s="204"/>
    </row>
    <row r="27" spans="1:146" ht="15" customHeight="1" x14ac:dyDescent="0.2">
      <c r="A27" s="148">
        <v>22</v>
      </c>
      <c r="B27" s="148">
        <f t="shared" si="31"/>
        <v>15832</v>
      </c>
      <c r="C27" s="149">
        <v>15920</v>
      </c>
      <c r="D27" s="142">
        <f t="shared" si="19"/>
        <v>88</v>
      </c>
      <c r="E27" s="197"/>
      <c r="F27" s="148">
        <v>22</v>
      </c>
      <c r="G27" s="148">
        <f t="shared" si="32"/>
        <v>14168</v>
      </c>
      <c r="H27" s="149">
        <v>14168</v>
      </c>
      <c r="I27" s="142">
        <f t="shared" si="20"/>
        <v>0</v>
      </c>
      <c r="J27" s="197"/>
      <c r="K27" s="148">
        <v>22</v>
      </c>
      <c r="L27" s="148">
        <f t="shared" si="33"/>
        <v>769218</v>
      </c>
      <c r="M27" s="149">
        <v>769474</v>
      </c>
      <c r="N27" s="142">
        <f t="shared" si="21"/>
        <v>256</v>
      </c>
      <c r="O27" s="144"/>
      <c r="P27" s="148">
        <v>22</v>
      </c>
      <c r="Q27" s="148">
        <f t="shared" si="34"/>
        <v>212021</v>
      </c>
      <c r="R27" s="149">
        <v>212097</v>
      </c>
      <c r="S27" s="142">
        <f t="shared" si="22"/>
        <v>76</v>
      </c>
      <c r="T27" s="143"/>
      <c r="U27" s="145">
        <v>22</v>
      </c>
      <c r="V27" s="214">
        <f t="shared" si="23"/>
        <v>420</v>
      </c>
      <c r="W27" s="146">
        <f>'Maldives at LG Daily'!I26</f>
        <v>1223</v>
      </c>
      <c r="X27" s="152"/>
      <c r="Z27" s="206">
        <v>22</v>
      </c>
      <c r="AA27" s="150">
        <f t="shared" si="35"/>
        <v>39102</v>
      </c>
      <c r="AB27" s="150">
        <v>39123</v>
      </c>
      <c r="AC27" s="150">
        <f t="shared" si="24"/>
        <v>21</v>
      </c>
      <c r="AD27" s="150">
        <f t="shared" si="80"/>
        <v>0</v>
      </c>
      <c r="AE27" s="307"/>
      <c r="AF27" s="206">
        <f t="shared" si="36"/>
        <v>8497</v>
      </c>
      <c r="AG27" s="150">
        <v>8501</v>
      </c>
      <c r="AH27" s="150">
        <f t="shared" si="25"/>
        <v>4</v>
      </c>
      <c r="AI27" s="150">
        <f t="shared" si="81"/>
        <v>-2</v>
      </c>
      <c r="AJ27" s="150"/>
      <c r="AK27" s="206">
        <f t="shared" si="37"/>
        <v>6457</v>
      </c>
      <c r="AL27" s="150">
        <v>6467</v>
      </c>
      <c r="AM27" s="150">
        <f t="shared" si="26"/>
        <v>10</v>
      </c>
      <c r="AN27" s="150">
        <f t="shared" si="38"/>
        <v>3</v>
      </c>
      <c r="AO27" s="150"/>
      <c r="AP27" s="206">
        <f t="shared" si="39"/>
        <v>15045</v>
      </c>
      <c r="AQ27" s="150">
        <v>15056</v>
      </c>
      <c r="AR27" s="150">
        <f t="shared" si="0"/>
        <v>11</v>
      </c>
      <c r="AS27" s="150">
        <f t="shared" si="40"/>
        <v>0</v>
      </c>
      <c r="AT27" s="150"/>
      <c r="AU27" s="206">
        <f t="shared" si="41"/>
        <v>32602</v>
      </c>
      <c r="AV27" s="150">
        <v>32608</v>
      </c>
      <c r="AW27" s="150">
        <f t="shared" si="1"/>
        <v>6</v>
      </c>
      <c r="AX27" s="150">
        <f t="shared" si="42"/>
        <v>-1</v>
      </c>
      <c r="AY27" s="150"/>
      <c r="AZ27" s="206">
        <f t="shared" si="43"/>
        <v>6729</v>
      </c>
      <c r="BA27" s="150">
        <v>6739</v>
      </c>
      <c r="BB27" s="150">
        <f t="shared" si="2"/>
        <v>10</v>
      </c>
      <c r="BC27" s="150">
        <f t="shared" si="44"/>
        <v>3</v>
      </c>
      <c r="BD27" s="150"/>
      <c r="BE27" s="206">
        <f t="shared" si="45"/>
        <v>22978</v>
      </c>
      <c r="BF27" s="150">
        <v>22988</v>
      </c>
      <c r="BG27" s="150">
        <f t="shared" si="3"/>
        <v>10</v>
      </c>
      <c r="BH27" s="150">
        <f t="shared" si="46"/>
        <v>-1</v>
      </c>
      <c r="BI27" s="150"/>
      <c r="BJ27" s="206">
        <f t="shared" si="47"/>
        <v>7087</v>
      </c>
      <c r="BK27" s="150">
        <v>7096</v>
      </c>
      <c r="BL27" s="150">
        <f t="shared" si="4"/>
        <v>9</v>
      </c>
      <c r="BM27" s="150">
        <f t="shared" si="48"/>
        <v>-1</v>
      </c>
      <c r="BN27" s="150"/>
      <c r="BO27" s="206">
        <f t="shared" si="49"/>
        <v>3519</v>
      </c>
      <c r="BP27" s="150">
        <v>3521</v>
      </c>
      <c r="BQ27" s="150">
        <f t="shared" si="5"/>
        <v>2</v>
      </c>
      <c r="BR27" s="150">
        <f t="shared" si="50"/>
        <v>-1</v>
      </c>
      <c r="BS27" s="150"/>
      <c r="BT27" s="206">
        <f t="shared" si="51"/>
        <v>1565</v>
      </c>
      <c r="BU27" s="150">
        <v>1565</v>
      </c>
      <c r="BV27" s="150">
        <f t="shared" si="6"/>
        <v>0</v>
      </c>
      <c r="BW27" s="150">
        <f t="shared" si="52"/>
        <v>-1</v>
      </c>
      <c r="BX27" s="150"/>
      <c r="BY27" s="212">
        <f t="shared" si="53"/>
        <v>26907</v>
      </c>
      <c r="BZ27" s="150">
        <v>26911</v>
      </c>
      <c r="CA27" s="150">
        <f t="shared" si="7"/>
        <v>4</v>
      </c>
      <c r="CB27" s="150">
        <f t="shared" si="54"/>
        <v>0</v>
      </c>
      <c r="CC27" s="204"/>
      <c r="CD27" s="212">
        <f t="shared" si="55"/>
        <v>2655</v>
      </c>
      <c r="CE27" s="150">
        <v>2661</v>
      </c>
      <c r="CF27" s="150">
        <f t="shared" si="8"/>
        <v>6</v>
      </c>
      <c r="CG27" s="150">
        <f t="shared" si="56"/>
        <v>4</v>
      </c>
      <c r="CH27" s="204"/>
      <c r="CI27" s="212">
        <f t="shared" si="57"/>
        <v>74089</v>
      </c>
      <c r="CJ27" s="150">
        <v>74116</v>
      </c>
      <c r="CK27" s="150">
        <f t="shared" si="9"/>
        <v>27</v>
      </c>
      <c r="CL27" s="150">
        <f t="shared" si="58"/>
        <v>0</v>
      </c>
      <c r="CM27" s="204"/>
      <c r="CN27" s="212">
        <f t="shared" si="59"/>
        <v>23594</v>
      </c>
      <c r="CO27" s="150">
        <v>23598</v>
      </c>
      <c r="CP27" s="150">
        <f t="shared" si="10"/>
        <v>4</v>
      </c>
      <c r="CQ27" s="150">
        <f t="shared" si="60"/>
        <v>-1</v>
      </c>
      <c r="CR27" s="204"/>
      <c r="CS27" s="212">
        <f t="shared" si="61"/>
        <v>12491</v>
      </c>
      <c r="CT27" s="150">
        <v>12491</v>
      </c>
      <c r="CU27" s="150">
        <f t="shared" si="11"/>
        <v>0</v>
      </c>
      <c r="CV27" s="150">
        <f t="shared" si="62"/>
        <v>-1</v>
      </c>
      <c r="CW27" s="204"/>
      <c r="CX27" s="212">
        <f t="shared" si="63"/>
        <v>17723</v>
      </c>
      <c r="CY27" s="150">
        <v>17730</v>
      </c>
      <c r="CZ27" s="150">
        <f t="shared" si="12"/>
        <v>7</v>
      </c>
      <c r="DA27" s="150">
        <f t="shared" si="64"/>
        <v>-4</v>
      </c>
      <c r="DB27" s="204"/>
      <c r="DC27" s="212">
        <f t="shared" si="65"/>
        <v>19757</v>
      </c>
      <c r="DD27" s="150">
        <v>19760</v>
      </c>
      <c r="DE27" s="150">
        <f t="shared" si="13"/>
        <v>3</v>
      </c>
      <c r="DF27" s="150">
        <f t="shared" si="66"/>
        <v>-2</v>
      </c>
      <c r="DG27" s="204"/>
      <c r="DH27" s="212">
        <f t="shared" si="67"/>
        <v>8677</v>
      </c>
      <c r="DI27" s="150">
        <v>8679</v>
      </c>
      <c r="DJ27" s="150">
        <f t="shared" si="14"/>
        <v>2</v>
      </c>
      <c r="DK27" s="150">
        <f t="shared" si="68"/>
        <v>-1</v>
      </c>
      <c r="DL27" s="204"/>
      <c r="DM27" s="212">
        <f t="shared" si="69"/>
        <v>19746</v>
      </c>
      <c r="DN27" s="150">
        <f>19748+19</f>
        <v>19767</v>
      </c>
      <c r="DO27" s="150">
        <f t="shared" si="15"/>
        <v>21</v>
      </c>
      <c r="DP27" s="150">
        <f t="shared" si="70"/>
        <v>-8</v>
      </c>
      <c r="DQ27" s="204"/>
      <c r="DR27" s="212">
        <f t="shared" si="71"/>
        <v>2008</v>
      </c>
      <c r="DS27" s="150">
        <v>2010</v>
      </c>
      <c r="DT27" s="150">
        <f t="shared" si="16"/>
        <v>2</v>
      </c>
      <c r="DU27" s="150">
        <f t="shared" si="72"/>
        <v>0</v>
      </c>
      <c r="DV27" s="204"/>
      <c r="DW27" s="212">
        <f t="shared" si="73"/>
        <v>9813</v>
      </c>
      <c r="DX27" s="150">
        <v>9814</v>
      </c>
      <c r="DY27" s="150">
        <f t="shared" si="74"/>
        <v>1</v>
      </c>
      <c r="DZ27" s="150">
        <f t="shared" si="75"/>
        <v>1</v>
      </c>
      <c r="EA27" s="204"/>
      <c r="EB27" s="212">
        <f t="shared" si="85"/>
        <v>523</v>
      </c>
      <c r="EC27" s="150">
        <v>531</v>
      </c>
      <c r="ED27" s="204">
        <f t="shared" si="27"/>
        <v>8</v>
      </c>
      <c r="EE27" s="212">
        <f t="shared" si="82"/>
        <v>258</v>
      </c>
      <c r="EF27" s="150">
        <v>266</v>
      </c>
      <c r="EG27" s="204">
        <f t="shared" si="28"/>
        <v>8</v>
      </c>
      <c r="EH27" s="212">
        <f t="shared" si="83"/>
        <v>138</v>
      </c>
      <c r="EI27" s="150">
        <v>142</v>
      </c>
      <c r="EJ27" s="204">
        <f t="shared" si="29"/>
        <v>4</v>
      </c>
      <c r="EK27" s="212">
        <f t="shared" si="84"/>
        <v>180</v>
      </c>
      <c r="EL27" s="150">
        <v>184</v>
      </c>
      <c r="EM27" s="204">
        <f t="shared" si="30"/>
        <v>4</v>
      </c>
      <c r="EN27" s="212">
        <f t="shared" si="17"/>
        <v>62</v>
      </c>
      <c r="EO27" s="150">
        <f t="shared" si="18"/>
        <v>14.761904761904763</v>
      </c>
      <c r="EP27" s="204"/>
    </row>
    <row r="28" spans="1:146" ht="15" customHeight="1" x14ac:dyDescent="0.2">
      <c r="A28" s="148">
        <v>23</v>
      </c>
      <c r="B28" s="148">
        <f t="shared" si="31"/>
        <v>15920</v>
      </c>
      <c r="C28" s="149">
        <v>15932</v>
      </c>
      <c r="D28" s="142">
        <f t="shared" si="19"/>
        <v>12</v>
      </c>
      <c r="E28" s="197"/>
      <c r="F28" s="148">
        <v>23</v>
      </c>
      <c r="G28" s="148">
        <f t="shared" si="32"/>
        <v>14168</v>
      </c>
      <c r="H28" s="149">
        <v>14216</v>
      </c>
      <c r="I28" s="142">
        <f t="shared" si="20"/>
        <v>48</v>
      </c>
      <c r="J28" s="197"/>
      <c r="K28" s="148">
        <v>23</v>
      </c>
      <c r="L28" s="148">
        <f t="shared" si="33"/>
        <v>769474</v>
      </c>
      <c r="M28" s="149">
        <v>769692</v>
      </c>
      <c r="N28" s="142">
        <f t="shared" si="21"/>
        <v>218</v>
      </c>
      <c r="O28" s="144"/>
      <c r="P28" s="148">
        <v>23</v>
      </c>
      <c r="Q28" s="148">
        <f t="shared" si="34"/>
        <v>212097</v>
      </c>
      <c r="R28" s="149">
        <v>212151</v>
      </c>
      <c r="S28" s="142">
        <f t="shared" si="22"/>
        <v>54</v>
      </c>
      <c r="T28" s="143"/>
      <c r="U28" s="148">
        <v>23</v>
      </c>
      <c r="V28" s="214">
        <f t="shared" si="23"/>
        <v>332</v>
      </c>
      <c r="W28" s="146">
        <f>'Maldives at LG Daily'!I27</f>
        <v>5746</v>
      </c>
      <c r="X28" s="152"/>
      <c r="Z28" s="206">
        <v>23</v>
      </c>
      <c r="AA28" s="150">
        <f t="shared" si="35"/>
        <v>39123</v>
      </c>
      <c r="AB28" s="150">
        <v>39146</v>
      </c>
      <c r="AC28" s="150">
        <f t="shared" si="24"/>
        <v>23</v>
      </c>
      <c r="AD28" s="150">
        <f t="shared" si="80"/>
        <v>2</v>
      </c>
      <c r="AE28" s="307"/>
      <c r="AF28" s="206">
        <f t="shared" si="36"/>
        <v>8501</v>
      </c>
      <c r="AG28" s="150">
        <v>8506</v>
      </c>
      <c r="AH28" s="150">
        <f t="shared" si="25"/>
        <v>5</v>
      </c>
      <c r="AI28" s="150">
        <f t="shared" si="81"/>
        <v>1</v>
      </c>
      <c r="AJ28" s="150"/>
      <c r="AK28" s="206">
        <f t="shared" si="37"/>
        <v>6467</v>
      </c>
      <c r="AL28" s="150">
        <v>6474</v>
      </c>
      <c r="AM28" s="150">
        <f t="shared" si="26"/>
        <v>7</v>
      </c>
      <c r="AN28" s="150">
        <f t="shared" si="38"/>
        <v>-3</v>
      </c>
      <c r="AO28" s="150"/>
      <c r="AP28" s="206">
        <f t="shared" si="39"/>
        <v>15056</v>
      </c>
      <c r="AQ28" s="150">
        <v>15067</v>
      </c>
      <c r="AR28" s="150">
        <f t="shared" si="0"/>
        <v>11</v>
      </c>
      <c r="AS28" s="150">
        <f t="shared" si="40"/>
        <v>0</v>
      </c>
      <c r="AT28" s="150"/>
      <c r="AU28" s="206">
        <f t="shared" si="41"/>
        <v>32608</v>
      </c>
      <c r="AV28" s="150">
        <v>32616</v>
      </c>
      <c r="AW28" s="150">
        <f t="shared" si="1"/>
        <v>8</v>
      </c>
      <c r="AX28" s="150">
        <f t="shared" si="42"/>
        <v>2</v>
      </c>
      <c r="AY28" s="150"/>
      <c r="AZ28" s="206">
        <f t="shared" si="43"/>
        <v>6739</v>
      </c>
      <c r="BA28" s="150">
        <v>6744</v>
      </c>
      <c r="BB28" s="150">
        <f t="shared" si="2"/>
        <v>5</v>
      </c>
      <c r="BC28" s="150">
        <f t="shared" si="44"/>
        <v>-5</v>
      </c>
      <c r="BD28" s="150"/>
      <c r="BE28" s="206">
        <f t="shared" si="45"/>
        <v>22988</v>
      </c>
      <c r="BF28" s="150">
        <v>22997</v>
      </c>
      <c r="BG28" s="150">
        <f t="shared" si="3"/>
        <v>9</v>
      </c>
      <c r="BH28" s="150">
        <f t="shared" si="46"/>
        <v>-1</v>
      </c>
      <c r="BI28" s="150"/>
      <c r="BJ28" s="206">
        <f t="shared" si="47"/>
        <v>7096</v>
      </c>
      <c r="BK28" s="150">
        <v>7105</v>
      </c>
      <c r="BL28" s="150">
        <f t="shared" si="4"/>
        <v>9</v>
      </c>
      <c r="BM28" s="150">
        <f t="shared" si="48"/>
        <v>0</v>
      </c>
      <c r="BN28" s="150"/>
      <c r="BO28" s="206">
        <f t="shared" si="49"/>
        <v>3521</v>
      </c>
      <c r="BP28" s="150">
        <v>3523</v>
      </c>
      <c r="BQ28" s="150">
        <f t="shared" si="5"/>
        <v>2</v>
      </c>
      <c r="BR28" s="150">
        <f t="shared" si="50"/>
        <v>0</v>
      </c>
      <c r="BS28" s="150"/>
      <c r="BT28" s="206">
        <f t="shared" si="51"/>
        <v>1565</v>
      </c>
      <c r="BU28" s="150">
        <v>1566</v>
      </c>
      <c r="BV28" s="150">
        <f t="shared" si="6"/>
        <v>1</v>
      </c>
      <c r="BW28" s="150">
        <f t="shared" si="52"/>
        <v>1</v>
      </c>
      <c r="BX28" s="150"/>
      <c r="BY28" s="212">
        <f t="shared" si="53"/>
        <v>26911</v>
      </c>
      <c r="BZ28" s="150">
        <v>26913</v>
      </c>
      <c r="CA28" s="150">
        <f t="shared" si="7"/>
        <v>2</v>
      </c>
      <c r="CB28" s="150">
        <f t="shared" si="54"/>
        <v>-2</v>
      </c>
      <c r="CC28" s="204"/>
      <c r="CD28" s="212">
        <f t="shared" si="55"/>
        <v>2661</v>
      </c>
      <c r="CE28" s="150">
        <v>2663</v>
      </c>
      <c r="CF28" s="150">
        <f t="shared" si="8"/>
        <v>2</v>
      </c>
      <c r="CG28" s="150">
        <f t="shared" si="56"/>
        <v>-4</v>
      </c>
      <c r="CH28" s="204"/>
      <c r="CI28" s="212">
        <f t="shared" si="57"/>
        <v>74116</v>
      </c>
      <c r="CJ28" s="150">
        <v>74146</v>
      </c>
      <c r="CK28" s="150">
        <f t="shared" si="9"/>
        <v>30</v>
      </c>
      <c r="CL28" s="150">
        <f t="shared" si="58"/>
        <v>3</v>
      </c>
      <c r="CM28" s="204"/>
      <c r="CN28" s="212">
        <f t="shared" si="59"/>
        <v>23598</v>
      </c>
      <c r="CO28" s="150">
        <v>23603</v>
      </c>
      <c r="CP28" s="150">
        <f t="shared" si="10"/>
        <v>5</v>
      </c>
      <c r="CQ28" s="150">
        <f t="shared" si="60"/>
        <v>1</v>
      </c>
      <c r="CR28" s="204"/>
      <c r="CS28" s="212">
        <f t="shared" si="61"/>
        <v>12491</v>
      </c>
      <c r="CT28" s="150">
        <v>12492</v>
      </c>
      <c r="CU28" s="150">
        <f t="shared" si="11"/>
        <v>1</v>
      </c>
      <c r="CV28" s="150">
        <f t="shared" si="62"/>
        <v>1</v>
      </c>
      <c r="CW28" s="204"/>
      <c r="CX28" s="212">
        <f t="shared" si="63"/>
        <v>17730</v>
      </c>
      <c r="CY28" s="150">
        <v>17731</v>
      </c>
      <c r="CZ28" s="150">
        <f t="shared" si="12"/>
        <v>1</v>
      </c>
      <c r="DA28" s="150">
        <f t="shared" si="64"/>
        <v>-6</v>
      </c>
      <c r="DB28" s="204"/>
      <c r="DC28" s="212">
        <f t="shared" si="65"/>
        <v>19760</v>
      </c>
      <c r="DD28" s="150">
        <v>19763</v>
      </c>
      <c r="DE28" s="150">
        <f t="shared" si="13"/>
        <v>3</v>
      </c>
      <c r="DF28" s="150">
        <f t="shared" si="66"/>
        <v>0</v>
      </c>
      <c r="DG28" s="204"/>
      <c r="DH28" s="212">
        <f t="shared" si="67"/>
        <v>8679</v>
      </c>
      <c r="DI28" s="150">
        <v>8680</v>
      </c>
      <c r="DJ28" s="150">
        <f t="shared" si="14"/>
        <v>1</v>
      </c>
      <c r="DK28" s="150">
        <f t="shared" si="68"/>
        <v>-1</v>
      </c>
      <c r="DL28" s="204"/>
      <c r="DM28" s="212">
        <f t="shared" si="69"/>
        <v>19767</v>
      </c>
      <c r="DN28" s="150">
        <v>19767</v>
      </c>
      <c r="DO28" s="150">
        <f t="shared" si="15"/>
        <v>0</v>
      </c>
      <c r="DP28" s="150">
        <f t="shared" si="70"/>
        <v>-21</v>
      </c>
      <c r="DQ28" s="204"/>
      <c r="DR28" s="212">
        <f t="shared" si="71"/>
        <v>2010</v>
      </c>
      <c r="DS28" s="150">
        <v>2011</v>
      </c>
      <c r="DT28" s="150">
        <f t="shared" si="16"/>
        <v>1</v>
      </c>
      <c r="DU28" s="150">
        <f t="shared" si="72"/>
        <v>-1</v>
      </c>
      <c r="DV28" s="204"/>
      <c r="DW28" s="212">
        <f t="shared" si="73"/>
        <v>9814</v>
      </c>
      <c r="DX28" s="150">
        <v>9814</v>
      </c>
      <c r="DY28" s="150">
        <f t="shared" si="74"/>
        <v>0</v>
      </c>
      <c r="DZ28" s="150">
        <f t="shared" si="75"/>
        <v>-1</v>
      </c>
      <c r="EA28" s="204"/>
      <c r="EB28" s="212">
        <f t="shared" si="85"/>
        <v>531</v>
      </c>
      <c r="EC28" s="150">
        <v>542</v>
      </c>
      <c r="ED28" s="204">
        <f t="shared" si="27"/>
        <v>11</v>
      </c>
      <c r="EE28" s="212">
        <f t="shared" si="82"/>
        <v>266</v>
      </c>
      <c r="EF28" s="150">
        <v>273</v>
      </c>
      <c r="EG28" s="204">
        <f t="shared" si="28"/>
        <v>7</v>
      </c>
      <c r="EH28" s="212">
        <f t="shared" si="83"/>
        <v>142</v>
      </c>
      <c r="EI28" s="150">
        <v>146</v>
      </c>
      <c r="EJ28" s="204">
        <f t="shared" si="29"/>
        <v>4</v>
      </c>
      <c r="EK28" s="212">
        <f t="shared" si="84"/>
        <v>184</v>
      </c>
      <c r="EL28" s="150">
        <v>190</v>
      </c>
      <c r="EM28" s="204">
        <f t="shared" si="30"/>
        <v>6</v>
      </c>
      <c r="EN28" s="212">
        <f t="shared" si="17"/>
        <v>57</v>
      </c>
      <c r="EO28" s="150">
        <f t="shared" si="18"/>
        <v>17.168674698795179</v>
      </c>
      <c r="EP28" s="204"/>
    </row>
    <row r="29" spans="1:146" ht="15" customHeight="1" x14ac:dyDescent="0.2">
      <c r="A29" s="148">
        <v>24</v>
      </c>
      <c r="B29" s="148">
        <f t="shared" si="31"/>
        <v>15932</v>
      </c>
      <c r="C29" s="149">
        <v>15932</v>
      </c>
      <c r="D29" s="142">
        <f t="shared" si="19"/>
        <v>0</v>
      </c>
      <c r="E29" s="197"/>
      <c r="F29" s="148">
        <v>24</v>
      </c>
      <c r="G29" s="148">
        <f t="shared" si="32"/>
        <v>14216</v>
      </c>
      <c r="H29" s="149">
        <v>14335</v>
      </c>
      <c r="I29" s="142">
        <f t="shared" si="20"/>
        <v>119</v>
      </c>
      <c r="J29" s="197"/>
      <c r="K29" s="148">
        <v>24</v>
      </c>
      <c r="L29" s="148">
        <f t="shared" si="33"/>
        <v>769692</v>
      </c>
      <c r="M29" s="149">
        <v>769936</v>
      </c>
      <c r="N29" s="142">
        <f t="shared" si="21"/>
        <v>244</v>
      </c>
      <c r="O29" s="144"/>
      <c r="P29" s="148">
        <v>24</v>
      </c>
      <c r="Q29" s="148">
        <f t="shared" si="34"/>
        <v>212151</v>
      </c>
      <c r="R29" s="149">
        <v>212217</v>
      </c>
      <c r="S29" s="142">
        <f t="shared" si="22"/>
        <v>66</v>
      </c>
      <c r="T29" s="143"/>
      <c r="U29" s="145">
        <v>24</v>
      </c>
      <c r="V29" s="214">
        <f t="shared" si="23"/>
        <v>429</v>
      </c>
      <c r="W29" s="146">
        <f>'Maldives at LG Daily'!I28</f>
        <v>2409</v>
      </c>
      <c r="X29" s="152"/>
      <c r="Z29" s="206">
        <v>24</v>
      </c>
      <c r="AA29" s="150">
        <f t="shared" si="35"/>
        <v>39146</v>
      </c>
      <c r="AB29" s="150">
        <v>39171</v>
      </c>
      <c r="AC29" s="150">
        <f t="shared" si="24"/>
        <v>25</v>
      </c>
      <c r="AD29" s="150">
        <f t="shared" si="80"/>
        <v>2</v>
      </c>
      <c r="AE29" s="307"/>
      <c r="AF29" s="206">
        <f t="shared" si="36"/>
        <v>8506</v>
      </c>
      <c r="AG29" s="150">
        <v>8511</v>
      </c>
      <c r="AH29" s="150">
        <f t="shared" si="25"/>
        <v>5</v>
      </c>
      <c r="AI29" s="150">
        <f t="shared" si="81"/>
        <v>0</v>
      </c>
      <c r="AJ29" s="150"/>
      <c r="AK29" s="206">
        <f t="shared" si="37"/>
        <v>6474</v>
      </c>
      <c r="AL29" s="150">
        <v>6480</v>
      </c>
      <c r="AM29" s="150">
        <f t="shared" si="26"/>
        <v>6</v>
      </c>
      <c r="AN29" s="150">
        <f t="shared" si="38"/>
        <v>-1</v>
      </c>
      <c r="AO29" s="150"/>
      <c r="AP29" s="206">
        <f t="shared" si="39"/>
        <v>15067</v>
      </c>
      <c r="AQ29" s="150">
        <v>15078</v>
      </c>
      <c r="AR29" s="150">
        <f t="shared" si="0"/>
        <v>11</v>
      </c>
      <c r="AS29" s="150">
        <f t="shared" si="40"/>
        <v>0</v>
      </c>
      <c r="AT29" s="150"/>
      <c r="AU29" s="206">
        <f t="shared" si="41"/>
        <v>32616</v>
      </c>
      <c r="AV29" s="150">
        <v>32622</v>
      </c>
      <c r="AW29" s="150">
        <f t="shared" si="1"/>
        <v>6</v>
      </c>
      <c r="AX29" s="150">
        <f t="shared" si="42"/>
        <v>-2</v>
      </c>
      <c r="AY29" s="150"/>
      <c r="AZ29" s="206">
        <f t="shared" si="43"/>
        <v>6744</v>
      </c>
      <c r="BA29" s="150">
        <v>6752</v>
      </c>
      <c r="BB29" s="150">
        <f t="shared" si="2"/>
        <v>8</v>
      </c>
      <c r="BC29" s="150">
        <f t="shared" si="44"/>
        <v>3</v>
      </c>
      <c r="BD29" s="150"/>
      <c r="BE29" s="206">
        <f t="shared" si="45"/>
        <v>22997</v>
      </c>
      <c r="BF29" s="150">
        <v>23008</v>
      </c>
      <c r="BG29" s="150">
        <f t="shared" si="3"/>
        <v>11</v>
      </c>
      <c r="BH29" s="150">
        <f t="shared" si="46"/>
        <v>2</v>
      </c>
      <c r="BI29" s="150"/>
      <c r="BJ29" s="206">
        <f t="shared" si="47"/>
        <v>7105</v>
      </c>
      <c r="BK29" s="150">
        <v>7115</v>
      </c>
      <c r="BL29" s="150">
        <f t="shared" si="4"/>
        <v>10</v>
      </c>
      <c r="BM29" s="150">
        <f t="shared" si="48"/>
        <v>1</v>
      </c>
      <c r="BN29" s="150"/>
      <c r="BO29" s="206">
        <f t="shared" si="49"/>
        <v>3523</v>
      </c>
      <c r="BP29" s="150">
        <v>3526</v>
      </c>
      <c r="BQ29" s="150">
        <f t="shared" si="5"/>
        <v>3</v>
      </c>
      <c r="BR29" s="150">
        <f t="shared" si="50"/>
        <v>1</v>
      </c>
      <c r="BS29" s="150"/>
      <c r="BT29" s="206">
        <f t="shared" si="51"/>
        <v>1566</v>
      </c>
      <c r="BU29" s="150">
        <v>1567</v>
      </c>
      <c r="BV29" s="150">
        <f t="shared" si="6"/>
        <v>1</v>
      </c>
      <c r="BW29" s="150">
        <f t="shared" si="52"/>
        <v>0</v>
      </c>
      <c r="BX29" s="150"/>
      <c r="BY29" s="212">
        <f t="shared" si="53"/>
        <v>26913</v>
      </c>
      <c r="BZ29" s="150">
        <v>26923</v>
      </c>
      <c r="CA29" s="150">
        <f t="shared" si="7"/>
        <v>10</v>
      </c>
      <c r="CB29" s="150">
        <f t="shared" si="54"/>
        <v>8</v>
      </c>
      <c r="CC29" s="204"/>
      <c r="CD29" s="212">
        <f t="shared" si="55"/>
        <v>2663</v>
      </c>
      <c r="CE29" s="150">
        <v>2664</v>
      </c>
      <c r="CF29" s="150">
        <f t="shared" si="8"/>
        <v>1</v>
      </c>
      <c r="CG29" s="150">
        <f t="shared" si="56"/>
        <v>-1</v>
      </c>
      <c r="CH29" s="204"/>
      <c r="CI29" s="212">
        <f t="shared" si="57"/>
        <v>74146</v>
      </c>
      <c r="CJ29" s="150">
        <v>74174</v>
      </c>
      <c r="CK29" s="150">
        <f t="shared" si="9"/>
        <v>28</v>
      </c>
      <c r="CL29" s="150">
        <f t="shared" si="58"/>
        <v>-2</v>
      </c>
      <c r="CM29" s="204"/>
      <c r="CN29" s="212">
        <f t="shared" si="59"/>
        <v>23603</v>
      </c>
      <c r="CO29" s="150">
        <v>23608</v>
      </c>
      <c r="CP29" s="150">
        <f t="shared" si="10"/>
        <v>5</v>
      </c>
      <c r="CQ29" s="150">
        <f t="shared" si="60"/>
        <v>0</v>
      </c>
      <c r="CR29" s="204"/>
      <c r="CS29" s="212">
        <f t="shared" si="61"/>
        <v>12492</v>
      </c>
      <c r="CT29" s="150">
        <v>12493</v>
      </c>
      <c r="CU29" s="150">
        <f t="shared" si="11"/>
        <v>1</v>
      </c>
      <c r="CV29" s="150">
        <f t="shared" si="62"/>
        <v>0</v>
      </c>
      <c r="CW29" s="204"/>
      <c r="CX29" s="212">
        <f t="shared" si="63"/>
        <v>17731</v>
      </c>
      <c r="CY29" s="150">
        <v>17731</v>
      </c>
      <c r="CZ29" s="150">
        <f t="shared" si="12"/>
        <v>0</v>
      </c>
      <c r="DA29" s="150">
        <f t="shared" si="64"/>
        <v>-1</v>
      </c>
      <c r="DB29" s="204"/>
      <c r="DC29" s="212">
        <f t="shared" si="65"/>
        <v>19763</v>
      </c>
      <c r="DD29" s="150">
        <v>19769</v>
      </c>
      <c r="DE29" s="150">
        <f t="shared" si="13"/>
        <v>6</v>
      </c>
      <c r="DF29" s="150">
        <f t="shared" si="66"/>
        <v>3</v>
      </c>
      <c r="DG29" s="204"/>
      <c r="DH29" s="212">
        <f t="shared" si="67"/>
        <v>8680</v>
      </c>
      <c r="DI29" s="150">
        <v>8685</v>
      </c>
      <c r="DJ29" s="150">
        <f t="shared" si="14"/>
        <v>5</v>
      </c>
      <c r="DK29" s="150">
        <f t="shared" si="68"/>
        <v>4</v>
      </c>
      <c r="DL29" s="204"/>
      <c r="DM29" s="212">
        <f t="shared" si="69"/>
        <v>19767</v>
      </c>
      <c r="DN29" s="150">
        <v>19768</v>
      </c>
      <c r="DO29" s="150">
        <f t="shared" si="15"/>
        <v>1</v>
      </c>
      <c r="DP29" s="150">
        <f t="shared" si="70"/>
        <v>1</v>
      </c>
      <c r="DQ29" s="204"/>
      <c r="DR29" s="212">
        <f t="shared" si="71"/>
        <v>2011</v>
      </c>
      <c r="DS29" s="150">
        <v>2018</v>
      </c>
      <c r="DT29" s="150">
        <f t="shared" si="16"/>
        <v>7</v>
      </c>
      <c r="DU29" s="150">
        <f t="shared" si="72"/>
        <v>6</v>
      </c>
      <c r="DV29" s="204"/>
      <c r="DW29" s="212">
        <f t="shared" si="73"/>
        <v>9814</v>
      </c>
      <c r="DX29" s="150">
        <v>9815</v>
      </c>
      <c r="DY29" s="150">
        <f t="shared" si="74"/>
        <v>1</v>
      </c>
      <c r="DZ29" s="150">
        <f t="shared" si="75"/>
        <v>1</v>
      </c>
      <c r="EA29" s="204"/>
      <c r="EB29" s="212">
        <f t="shared" si="85"/>
        <v>542</v>
      </c>
      <c r="EC29" s="150">
        <v>551</v>
      </c>
      <c r="ED29" s="204">
        <f t="shared" si="27"/>
        <v>9</v>
      </c>
      <c r="EE29" s="212">
        <f t="shared" si="82"/>
        <v>273</v>
      </c>
      <c r="EF29" s="150">
        <v>280</v>
      </c>
      <c r="EG29" s="204">
        <f t="shared" si="28"/>
        <v>7</v>
      </c>
      <c r="EH29" s="212">
        <f t="shared" si="83"/>
        <v>146</v>
      </c>
      <c r="EI29" s="150">
        <v>150</v>
      </c>
      <c r="EJ29" s="204">
        <f t="shared" si="29"/>
        <v>4</v>
      </c>
      <c r="EK29" s="212">
        <f t="shared" si="84"/>
        <v>190</v>
      </c>
      <c r="EL29" s="150">
        <v>194</v>
      </c>
      <c r="EM29" s="204">
        <f t="shared" si="30"/>
        <v>4</v>
      </c>
      <c r="EN29" s="212">
        <f t="shared" si="17"/>
        <v>61</v>
      </c>
      <c r="EO29" s="150">
        <f t="shared" si="18"/>
        <v>14.219114219114218</v>
      </c>
      <c r="EP29" s="204"/>
    </row>
    <row r="30" spans="1:146" ht="15" customHeight="1" x14ac:dyDescent="0.2">
      <c r="A30" s="148">
        <v>25</v>
      </c>
      <c r="B30" s="148">
        <f t="shared" si="31"/>
        <v>15932</v>
      </c>
      <c r="C30" s="153">
        <v>15932</v>
      </c>
      <c r="D30" s="142">
        <f t="shared" si="19"/>
        <v>0</v>
      </c>
      <c r="E30" s="197"/>
      <c r="F30" s="148">
        <v>25</v>
      </c>
      <c r="G30" s="148">
        <f t="shared" si="32"/>
        <v>14335</v>
      </c>
      <c r="H30" s="153">
        <v>14422</v>
      </c>
      <c r="I30" s="142">
        <f t="shared" si="20"/>
        <v>87</v>
      </c>
      <c r="J30" s="197"/>
      <c r="K30" s="148">
        <v>25</v>
      </c>
      <c r="L30" s="148">
        <f t="shared" si="33"/>
        <v>769936</v>
      </c>
      <c r="M30" s="153">
        <v>770190</v>
      </c>
      <c r="N30" s="142">
        <f t="shared" si="21"/>
        <v>254</v>
      </c>
      <c r="O30" s="144"/>
      <c r="P30" s="148">
        <v>25</v>
      </c>
      <c r="Q30" s="148">
        <f t="shared" si="34"/>
        <v>212217</v>
      </c>
      <c r="R30" s="153">
        <v>212299</v>
      </c>
      <c r="S30" s="142">
        <f t="shared" si="22"/>
        <v>82</v>
      </c>
      <c r="T30" s="143"/>
      <c r="U30" s="145">
        <v>25</v>
      </c>
      <c r="V30" s="214">
        <f t="shared" si="23"/>
        <v>423</v>
      </c>
      <c r="W30" s="146">
        <f>'Maldives at LG Daily'!I29</f>
        <v>0</v>
      </c>
      <c r="X30" s="152"/>
      <c r="Z30" s="206">
        <v>25</v>
      </c>
      <c r="AA30" s="150">
        <f t="shared" si="35"/>
        <v>39171</v>
      </c>
      <c r="AB30" s="150">
        <v>39192</v>
      </c>
      <c r="AC30" s="150">
        <f t="shared" si="24"/>
        <v>21</v>
      </c>
      <c r="AD30" s="150">
        <f t="shared" si="80"/>
        <v>-4</v>
      </c>
      <c r="AE30" s="307"/>
      <c r="AF30" s="206">
        <f t="shared" si="36"/>
        <v>8511</v>
      </c>
      <c r="AG30" s="150">
        <v>8516</v>
      </c>
      <c r="AH30" s="150">
        <f t="shared" si="25"/>
        <v>5</v>
      </c>
      <c r="AI30" s="150">
        <f t="shared" si="81"/>
        <v>0</v>
      </c>
      <c r="AJ30" s="150"/>
      <c r="AK30" s="206">
        <f t="shared" si="37"/>
        <v>6480</v>
      </c>
      <c r="AL30" s="150">
        <v>6489</v>
      </c>
      <c r="AM30" s="150">
        <f t="shared" si="26"/>
        <v>9</v>
      </c>
      <c r="AN30" s="150">
        <f t="shared" si="38"/>
        <v>3</v>
      </c>
      <c r="AO30" s="150"/>
      <c r="AP30" s="206">
        <f t="shared" si="39"/>
        <v>15078</v>
      </c>
      <c r="AQ30" s="150">
        <v>15089</v>
      </c>
      <c r="AR30" s="150">
        <f t="shared" si="0"/>
        <v>11</v>
      </c>
      <c r="AS30" s="150">
        <f t="shared" si="40"/>
        <v>0</v>
      </c>
      <c r="AT30" s="150"/>
      <c r="AU30" s="206">
        <f t="shared" si="41"/>
        <v>32622</v>
      </c>
      <c r="AV30" s="150">
        <v>32630</v>
      </c>
      <c r="AW30" s="150">
        <f t="shared" si="1"/>
        <v>8</v>
      </c>
      <c r="AX30" s="150">
        <f t="shared" si="42"/>
        <v>2</v>
      </c>
      <c r="AY30" s="150"/>
      <c r="AZ30" s="206">
        <f t="shared" si="43"/>
        <v>6752</v>
      </c>
      <c r="BA30" s="150">
        <v>6759</v>
      </c>
      <c r="BB30" s="150">
        <f t="shared" si="2"/>
        <v>7</v>
      </c>
      <c r="BC30" s="150">
        <f t="shared" si="44"/>
        <v>-1</v>
      </c>
      <c r="BD30" s="150"/>
      <c r="BE30" s="206">
        <f t="shared" si="45"/>
        <v>23008</v>
      </c>
      <c r="BF30" s="150">
        <v>23018</v>
      </c>
      <c r="BG30" s="150">
        <f t="shared" si="3"/>
        <v>10</v>
      </c>
      <c r="BH30" s="150">
        <f t="shared" si="46"/>
        <v>-1</v>
      </c>
      <c r="BI30" s="150"/>
      <c r="BJ30" s="206">
        <f t="shared" si="47"/>
        <v>7115</v>
      </c>
      <c r="BK30" s="150">
        <v>7123</v>
      </c>
      <c r="BL30" s="150">
        <f t="shared" si="4"/>
        <v>8</v>
      </c>
      <c r="BM30" s="150">
        <f t="shared" si="48"/>
        <v>-2</v>
      </c>
      <c r="BN30" s="150"/>
      <c r="BO30" s="206">
        <f t="shared" si="49"/>
        <v>3526</v>
      </c>
      <c r="BP30" s="150">
        <v>3528</v>
      </c>
      <c r="BQ30" s="150">
        <f t="shared" si="5"/>
        <v>2</v>
      </c>
      <c r="BR30" s="150">
        <f t="shared" si="50"/>
        <v>-1</v>
      </c>
      <c r="BS30" s="150"/>
      <c r="BT30" s="206">
        <f t="shared" si="51"/>
        <v>1567</v>
      </c>
      <c r="BU30" s="150">
        <v>1568</v>
      </c>
      <c r="BV30" s="150">
        <f t="shared" si="6"/>
        <v>1</v>
      </c>
      <c r="BW30" s="150">
        <f t="shared" si="52"/>
        <v>0</v>
      </c>
      <c r="BX30" s="150"/>
      <c r="BY30" s="212">
        <f t="shared" si="53"/>
        <v>26923</v>
      </c>
      <c r="BZ30" s="150">
        <v>26928</v>
      </c>
      <c r="CA30" s="150">
        <f t="shared" si="7"/>
        <v>5</v>
      </c>
      <c r="CB30" s="150">
        <f t="shared" si="54"/>
        <v>-5</v>
      </c>
      <c r="CC30" s="204"/>
      <c r="CD30" s="212">
        <f t="shared" si="55"/>
        <v>2664</v>
      </c>
      <c r="CE30" s="150">
        <v>2666</v>
      </c>
      <c r="CF30" s="150">
        <f t="shared" si="8"/>
        <v>2</v>
      </c>
      <c r="CG30" s="150">
        <f t="shared" si="56"/>
        <v>1</v>
      </c>
      <c r="CH30" s="204"/>
      <c r="CI30" s="212">
        <f t="shared" si="57"/>
        <v>74174</v>
      </c>
      <c r="CJ30" s="150">
        <v>74200</v>
      </c>
      <c r="CK30" s="150">
        <f t="shared" si="9"/>
        <v>26</v>
      </c>
      <c r="CL30" s="150">
        <f t="shared" si="58"/>
        <v>-2</v>
      </c>
      <c r="CM30" s="204"/>
      <c r="CN30" s="212">
        <f t="shared" si="59"/>
        <v>23608</v>
      </c>
      <c r="CO30" s="150">
        <v>23612</v>
      </c>
      <c r="CP30" s="150">
        <f t="shared" si="10"/>
        <v>4</v>
      </c>
      <c r="CQ30" s="150">
        <f t="shared" si="60"/>
        <v>-1</v>
      </c>
      <c r="CR30" s="204"/>
      <c r="CS30" s="212">
        <f t="shared" si="61"/>
        <v>12493</v>
      </c>
      <c r="CT30" s="150">
        <v>12493</v>
      </c>
      <c r="CU30" s="150">
        <f t="shared" si="11"/>
        <v>0</v>
      </c>
      <c r="CV30" s="150">
        <f t="shared" si="62"/>
        <v>-1</v>
      </c>
      <c r="CW30" s="204"/>
      <c r="CX30" s="212">
        <f t="shared" si="63"/>
        <v>17731</v>
      </c>
      <c r="CY30" s="150">
        <v>17732</v>
      </c>
      <c r="CZ30" s="150">
        <f t="shared" si="12"/>
        <v>1</v>
      </c>
      <c r="DA30" s="150">
        <f t="shared" si="64"/>
        <v>1</v>
      </c>
      <c r="DB30" s="204"/>
      <c r="DC30" s="212">
        <f t="shared" si="65"/>
        <v>19769</v>
      </c>
      <c r="DD30" s="150">
        <v>19772</v>
      </c>
      <c r="DE30" s="150">
        <f t="shared" si="13"/>
        <v>3</v>
      </c>
      <c r="DF30" s="150">
        <f t="shared" si="66"/>
        <v>-3</v>
      </c>
      <c r="DG30" s="204"/>
      <c r="DH30" s="212">
        <f t="shared" si="67"/>
        <v>8685</v>
      </c>
      <c r="DI30" s="150">
        <v>8687</v>
      </c>
      <c r="DJ30" s="150">
        <f t="shared" si="14"/>
        <v>2</v>
      </c>
      <c r="DK30" s="150">
        <f t="shared" si="68"/>
        <v>-3</v>
      </c>
      <c r="DL30" s="204"/>
      <c r="DM30" s="212">
        <f t="shared" si="69"/>
        <v>19768</v>
      </c>
      <c r="DN30" s="150">
        <v>19796</v>
      </c>
      <c r="DO30" s="150">
        <f>DN30-DM30</f>
        <v>28</v>
      </c>
      <c r="DP30" s="150">
        <f t="shared" si="70"/>
        <v>27</v>
      </c>
      <c r="DQ30" s="204"/>
      <c r="DR30" s="212">
        <f t="shared" si="71"/>
        <v>2018</v>
      </c>
      <c r="DS30" s="150">
        <v>2020</v>
      </c>
      <c r="DT30" s="150">
        <f t="shared" si="16"/>
        <v>2</v>
      </c>
      <c r="DU30" s="150">
        <f t="shared" si="72"/>
        <v>-5</v>
      </c>
      <c r="DV30" s="204"/>
      <c r="DW30" s="212">
        <f t="shared" si="73"/>
        <v>9815</v>
      </c>
      <c r="DX30" s="150">
        <v>9816</v>
      </c>
      <c r="DY30" s="150">
        <f t="shared" si="74"/>
        <v>1</v>
      </c>
      <c r="DZ30" s="150">
        <f t="shared" si="75"/>
        <v>0</v>
      </c>
      <c r="EA30" s="204"/>
      <c r="EB30" s="212">
        <f t="shared" si="85"/>
        <v>551</v>
      </c>
      <c r="EC30" s="150">
        <v>559</v>
      </c>
      <c r="ED30" s="204">
        <f t="shared" si="27"/>
        <v>8</v>
      </c>
      <c r="EE30" s="212">
        <f t="shared" si="82"/>
        <v>280</v>
      </c>
      <c r="EF30" s="150">
        <v>287</v>
      </c>
      <c r="EG30" s="204">
        <f t="shared" si="28"/>
        <v>7</v>
      </c>
      <c r="EH30" s="212">
        <f t="shared" si="83"/>
        <v>150</v>
      </c>
      <c r="EI30" s="150">
        <v>155</v>
      </c>
      <c r="EJ30" s="204">
        <f t="shared" si="29"/>
        <v>5</v>
      </c>
      <c r="EK30" s="212">
        <f t="shared" si="84"/>
        <v>194</v>
      </c>
      <c r="EL30" s="150">
        <v>199</v>
      </c>
      <c r="EM30" s="204">
        <f t="shared" si="30"/>
        <v>5</v>
      </c>
      <c r="EN30" s="212">
        <f t="shared" si="17"/>
        <v>61</v>
      </c>
      <c r="EO30" s="150">
        <f t="shared" si="18"/>
        <v>14.420803782505912</v>
      </c>
      <c r="EP30" s="204"/>
    </row>
    <row r="31" spans="1:146" ht="15" customHeight="1" x14ac:dyDescent="0.2">
      <c r="A31" s="148">
        <v>26</v>
      </c>
      <c r="B31" s="148">
        <f t="shared" si="31"/>
        <v>15932</v>
      </c>
      <c r="C31" s="149">
        <v>15932</v>
      </c>
      <c r="D31" s="142">
        <f t="shared" si="19"/>
        <v>0</v>
      </c>
      <c r="E31" s="197"/>
      <c r="F31" s="148">
        <v>26</v>
      </c>
      <c r="G31" s="148">
        <f t="shared" si="32"/>
        <v>14422</v>
      </c>
      <c r="H31" s="149">
        <v>14505</v>
      </c>
      <c r="I31" s="142">
        <f t="shared" si="20"/>
        <v>83</v>
      </c>
      <c r="J31" s="197"/>
      <c r="K31" s="148">
        <v>26</v>
      </c>
      <c r="L31" s="148">
        <f t="shared" si="33"/>
        <v>770190</v>
      </c>
      <c r="M31" s="149">
        <v>770468</v>
      </c>
      <c r="N31" s="142">
        <f t="shared" si="21"/>
        <v>278</v>
      </c>
      <c r="O31" s="144"/>
      <c r="P31" s="148">
        <v>26</v>
      </c>
      <c r="Q31" s="148">
        <f t="shared" si="34"/>
        <v>212299</v>
      </c>
      <c r="R31" s="149">
        <v>212374</v>
      </c>
      <c r="S31" s="142">
        <f t="shared" si="22"/>
        <v>75</v>
      </c>
      <c r="T31" s="143"/>
      <c r="U31" s="148">
        <v>26</v>
      </c>
      <c r="V31" s="215">
        <f t="shared" si="23"/>
        <v>436</v>
      </c>
      <c r="W31" s="146">
        <f>'Maldives at LG Daily'!I30</f>
        <v>5863</v>
      </c>
      <c r="X31" s="152"/>
      <c r="Z31" s="206">
        <v>26</v>
      </c>
      <c r="AA31" s="150">
        <f t="shared" si="35"/>
        <v>39192</v>
      </c>
      <c r="AB31" s="150">
        <v>39216</v>
      </c>
      <c r="AC31" s="150">
        <f t="shared" si="24"/>
        <v>24</v>
      </c>
      <c r="AD31" s="150">
        <f t="shared" si="80"/>
        <v>3</v>
      </c>
      <c r="AE31" s="307"/>
      <c r="AF31" s="206">
        <f t="shared" si="36"/>
        <v>8516</v>
      </c>
      <c r="AG31" s="150">
        <v>8521</v>
      </c>
      <c r="AH31" s="150">
        <f t="shared" si="25"/>
        <v>5</v>
      </c>
      <c r="AI31" s="150">
        <f t="shared" si="81"/>
        <v>0</v>
      </c>
      <c r="AJ31" s="150"/>
      <c r="AK31" s="206">
        <f t="shared" si="37"/>
        <v>6489</v>
      </c>
      <c r="AL31" s="150">
        <v>6497</v>
      </c>
      <c r="AM31" s="150">
        <f t="shared" si="26"/>
        <v>8</v>
      </c>
      <c r="AN31" s="150">
        <f t="shared" si="38"/>
        <v>-1</v>
      </c>
      <c r="AO31" s="150"/>
      <c r="AP31" s="206">
        <f t="shared" si="39"/>
        <v>15089</v>
      </c>
      <c r="AQ31" s="150">
        <v>15099</v>
      </c>
      <c r="AR31" s="150">
        <f t="shared" si="0"/>
        <v>10</v>
      </c>
      <c r="AS31" s="150">
        <f t="shared" si="40"/>
        <v>-1</v>
      </c>
      <c r="AT31" s="150"/>
      <c r="AU31" s="206">
        <f t="shared" si="41"/>
        <v>32630</v>
      </c>
      <c r="AV31" s="150">
        <v>32637</v>
      </c>
      <c r="AW31" s="150">
        <f t="shared" si="1"/>
        <v>7</v>
      </c>
      <c r="AX31" s="150">
        <f t="shared" si="42"/>
        <v>-1</v>
      </c>
      <c r="AY31" s="150"/>
      <c r="AZ31" s="206">
        <f t="shared" si="43"/>
        <v>6759</v>
      </c>
      <c r="BA31" s="150">
        <v>6766</v>
      </c>
      <c r="BB31" s="150">
        <f t="shared" si="2"/>
        <v>7</v>
      </c>
      <c r="BC31" s="150">
        <f t="shared" si="44"/>
        <v>0</v>
      </c>
      <c r="BD31" s="150"/>
      <c r="BE31" s="206">
        <f t="shared" si="45"/>
        <v>23018</v>
      </c>
      <c r="BF31" s="150">
        <v>23028</v>
      </c>
      <c r="BG31" s="150">
        <f t="shared" si="3"/>
        <v>10</v>
      </c>
      <c r="BH31" s="150">
        <f t="shared" si="46"/>
        <v>0</v>
      </c>
      <c r="BI31" s="150"/>
      <c r="BJ31" s="206">
        <f t="shared" si="47"/>
        <v>7123</v>
      </c>
      <c r="BK31" s="150">
        <v>7131</v>
      </c>
      <c r="BL31" s="150">
        <f t="shared" si="4"/>
        <v>8</v>
      </c>
      <c r="BM31" s="150">
        <f t="shared" si="48"/>
        <v>0</v>
      </c>
      <c r="BN31" s="150"/>
      <c r="BO31" s="206">
        <f t="shared" si="49"/>
        <v>3528</v>
      </c>
      <c r="BP31" s="150">
        <v>3530</v>
      </c>
      <c r="BQ31" s="150">
        <f t="shared" si="5"/>
        <v>2</v>
      </c>
      <c r="BR31" s="150">
        <f t="shared" si="50"/>
        <v>0</v>
      </c>
      <c r="BS31" s="150"/>
      <c r="BT31" s="206">
        <f t="shared" si="51"/>
        <v>1568</v>
      </c>
      <c r="BU31" s="150">
        <v>1569</v>
      </c>
      <c r="BV31" s="150">
        <f t="shared" si="6"/>
        <v>1</v>
      </c>
      <c r="BW31" s="150">
        <f t="shared" si="52"/>
        <v>0</v>
      </c>
      <c r="BX31" s="150"/>
      <c r="BY31" s="212">
        <f t="shared" si="53"/>
        <v>26928</v>
      </c>
      <c r="BZ31" s="150">
        <v>26934</v>
      </c>
      <c r="CA31" s="150">
        <f t="shared" si="7"/>
        <v>6</v>
      </c>
      <c r="CB31" s="150">
        <f t="shared" si="54"/>
        <v>1</v>
      </c>
      <c r="CC31" s="204"/>
      <c r="CD31" s="212">
        <f t="shared" si="55"/>
        <v>2666</v>
      </c>
      <c r="CE31" s="150">
        <v>2672</v>
      </c>
      <c r="CF31" s="150">
        <f t="shared" si="8"/>
        <v>6</v>
      </c>
      <c r="CG31" s="150">
        <f t="shared" si="56"/>
        <v>4</v>
      </c>
      <c r="CH31" s="204"/>
      <c r="CI31" s="212">
        <f t="shared" si="57"/>
        <v>74200</v>
      </c>
      <c r="CJ31" s="150">
        <v>74229</v>
      </c>
      <c r="CK31" s="150">
        <f t="shared" si="9"/>
        <v>29</v>
      </c>
      <c r="CL31" s="150">
        <f t="shared" si="58"/>
        <v>3</v>
      </c>
      <c r="CM31" s="204"/>
      <c r="CN31" s="212">
        <f t="shared" si="59"/>
        <v>23612</v>
      </c>
      <c r="CO31" s="150">
        <v>23617</v>
      </c>
      <c r="CP31" s="150">
        <f t="shared" si="10"/>
        <v>5</v>
      </c>
      <c r="CQ31" s="150">
        <f t="shared" si="60"/>
        <v>1</v>
      </c>
      <c r="CR31" s="204"/>
      <c r="CS31" s="212">
        <f t="shared" si="61"/>
        <v>12493</v>
      </c>
      <c r="CT31" s="150">
        <v>12494</v>
      </c>
      <c r="CU31" s="150">
        <f t="shared" si="11"/>
        <v>1</v>
      </c>
      <c r="CV31" s="150">
        <f t="shared" si="62"/>
        <v>1</v>
      </c>
      <c r="CW31" s="204"/>
      <c r="CX31" s="212">
        <f t="shared" si="63"/>
        <v>17732</v>
      </c>
      <c r="CY31" s="150">
        <v>17732</v>
      </c>
      <c r="CZ31" s="150">
        <f t="shared" si="12"/>
        <v>0</v>
      </c>
      <c r="DA31" s="150">
        <f t="shared" si="64"/>
        <v>-1</v>
      </c>
      <c r="DB31" s="204"/>
      <c r="DC31" s="212">
        <f t="shared" si="65"/>
        <v>19772</v>
      </c>
      <c r="DD31" s="150">
        <v>19776</v>
      </c>
      <c r="DE31" s="150">
        <f t="shared" si="13"/>
        <v>4</v>
      </c>
      <c r="DF31" s="150">
        <f t="shared" si="66"/>
        <v>1</v>
      </c>
      <c r="DG31" s="204"/>
      <c r="DH31" s="212">
        <f t="shared" si="67"/>
        <v>8687</v>
      </c>
      <c r="DI31" s="150">
        <v>8689</v>
      </c>
      <c r="DJ31" s="150">
        <f t="shared" si="14"/>
        <v>2</v>
      </c>
      <c r="DK31" s="150">
        <f t="shared" si="68"/>
        <v>0</v>
      </c>
      <c r="DL31" s="204"/>
      <c r="DM31" s="212">
        <f t="shared" si="69"/>
        <v>19796</v>
      </c>
      <c r="DN31" s="150">
        <v>19815</v>
      </c>
      <c r="DO31" s="150">
        <f>DN31-DM31</f>
        <v>19</v>
      </c>
      <c r="DP31" s="150">
        <f t="shared" si="70"/>
        <v>-9</v>
      </c>
      <c r="DQ31" s="204"/>
      <c r="DR31" s="212">
        <f t="shared" si="71"/>
        <v>2020</v>
      </c>
      <c r="DS31" s="150">
        <v>2022</v>
      </c>
      <c r="DT31" s="150">
        <f t="shared" si="16"/>
        <v>2</v>
      </c>
      <c r="DU31" s="150">
        <f t="shared" si="72"/>
        <v>0</v>
      </c>
      <c r="DV31" s="204"/>
      <c r="DW31" s="212">
        <f t="shared" si="73"/>
        <v>9816</v>
      </c>
      <c r="DX31" s="150">
        <v>9817</v>
      </c>
      <c r="DY31" s="150">
        <f t="shared" si="74"/>
        <v>1</v>
      </c>
      <c r="DZ31" s="150">
        <f t="shared" si="75"/>
        <v>0</v>
      </c>
      <c r="EA31" s="204"/>
      <c r="EB31" s="212">
        <f t="shared" si="85"/>
        <v>559</v>
      </c>
      <c r="EC31" s="150">
        <v>569</v>
      </c>
      <c r="ED31" s="204">
        <f t="shared" si="27"/>
        <v>10</v>
      </c>
      <c r="EE31" s="212">
        <f t="shared" si="82"/>
        <v>287</v>
      </c>
      <c r="EF31" s="150">
        <v>295</v>
      </c>
      <c r="EG31" s="204">
        <f t="shared" si="28"/>
        <v>8</v>
      </c>
      <c r="EH31" s="212">
        <f t="shared" si="83"/>
        <v>155</v>
      </c>
      <c r="EI31" s="150">
        <v>160</v>
      </c>
      <c r="EJ31" s="204">
        <f t="shared" si="29"/>
        <v>5</v>
      </c>
      <c r="EK31" s="212">
        <f t="shared" si="84"/>
        <v>199</v>
      </c>
      <c r="EL31" s="150">
        <v>203</v>
      </c>
      <c r="EM31" s="204">
        <f t="shared" si="30"/>
        <v>4</v>
      </c>
      <c r="EN31" s="212">
        <f t="shared" si="17"/>
        <v>58</v>
      </c>
      <c r="EO31" s="150">
        <f t="shared" si="18"/>
        <v>13.302752293577983</v>
      </c>
      <c r="EP31" s="204"/>
    </row>
    <row r="32" spans="1:146" ht="15" customHeight="1" x14ac:dyDescent="0.2">
      <c r="A32" s="148">
        <v>27</v>
      </c>
      <c r="B32" s="148">
        <f t="shared" si="31"/>
        <v>15932</v>
      </c>
      <c r="C32" s="149">
        <v>15932</v>
      </c>
      <c r="D32" s="142">
        <f t="shared" si="19"/>
        <v>0</v>
      </c>
      <c r="E32" s="197"/>
      <c r="F32" s="148">
        <v>27</v>
      </c>
      <c r="G32" s="148">
        <f t="shared" si="32"/>
        <v>14505</v>
      </c>
      <c r="H32" s="149">
        <v>14607</v>
      </c>
      <c r="I32" s="142">
        <f t="shared" si="20"/>
        <v>102</v>
      </c>
      <c r="J32" s="197"/>
      <c r="K32" s="148">
        <v>27</v>
      </c>
      <c r="L32" s="148">
        <f t="shared" si="33"/>
        <v>770468</v>
      </c>
      <c r="M32" s="149">
        <v>770704</v>
      </c>
      <c r="N32" s="142">
        <f t="shared" si="21"/>
        <v>236</v>
      </c>
      <c r="O32" s="144"/>
      <c r="P32" s="148">
        <v>27</v>
      </c>
      <c r="Q32" s="148">
        <f t="shared" si="34"/>
        <v>212374</v>
      </c>
      <c r="R32" s="149">
        <v>212448</v>
      </c>
      <c r="S32" s="142">
        <f t="shared" si="22"/>
        <v>74</v>
      </c>
      <c r="T32" s="143"/>
      <c r="U32" s="145">
        <v>27</v>
      </c>
      <c r="V32" s="214">
        <f t="shared" si="23"/>
        <v>412</v>
      </c>
      <c r="W32" s="146">
        <f>'Maldives at LG Daily'!I31</f>
        <v>1006</v>
      </c>
      <c r="X32" s="152"/>
      <c r="Z32" s="206">
        <v>27</v>
      </c>
      <c r="AA32" s="150">
        <f t="shared" si="35"/>
        <v>39216</v>
      </c>
      <c r="AB32" s="150">
        <v>39237</v>
      </c>
      <c r="AC32" s="150">
        <f t="shared" si="24"/>
        <v>21</v>
      </c>
      <c r="AD32" s="150">
        <f t="shared" si="80"/>
        <v>-3</v>
      </c>
      <c r="AE32" s="307"/>
      <c r="AF32" s="206">
        <f t="shared" si="36"/>
        <v>8521</v>
      </c>
      <c r="AG32" s="150">
        <v>8527</v>
      </c>
      <c r="AH32" s="150">
        <f t="shared" si="25"/>
        <v>6</v>
      </c>
      <c r="AI32" s="150">
        <f t="shared" si="81"/>
        <v>1</v>
      </c>
      <c r="AJ32" s="150"/>
      <c r="AK32" s="206">
        <f t="shared" si="37"/>
        <v>6497</v>
      </c>
      <c r="AL32" s="150">
        <v>6506</v>
      </c>
      <c r="AM32" s="150">
        <f t="shared" si="26"/>
        <v>9</v>
      </c>
      <c r="AN32" s="150">
        <f t="shared" si="38"/>
        <v>1</v>
      </c>
      <c r="AO32" s="150"/>
      <c r="AP32" s="206">
        <f t="shared" si="39"/>
        <v>15099</v>
      </c>
      <c r="AQ32" s="150">
        <v>15109</v>
      </c>
      <c r="AR32" s="150">
        <f t="shared" si="0"/>
        <v>10</v>
      </c>
      <c r="AS32" s="150">
        <f t="shared" si="40"/>
        <v>0</v>
      </c>
      <c r="AT32" s="150"/>
      <c r="AU32" s="206">
        <f t="shared" si="41"/>
        <v>32637</v>
      </c>
      <c r="AV32" s="150">
        <v>32645</v>
      </c>
      <c r="AW32" s="150">
        <f t="shared" si="1"/>
        <v>8</v>
      </c>
      <c r="AX32" s="150">
        <f t="shared" si="42"/>
        <v>1</v>
      </c>
      <c r="AY32" s="150"/>
      <c r="AZ32" s="206">
        <f t="shared" si="43"/>
        <v>6766</v>
      </c>
      <c r="BA32" s="150">
        <v>6772</v>
      </c>
      <c r="BB32" s="150">
        <f t="shared" si="2"/>
        <v>6</v>
      </c>
      <c r="BC32" s="150">
        <f t="shared" si="44"/>
        <v>-1</v>
      </c>
      <c r="BD32" s="150"/>
      <c r="BE32" s="206">
        <f t="shared" si="45"/>
        <v>23028</v>
      </c>
      <c r="BF32" s="150">
        <v>23038</v>
      </c>
      <c r="BG32" s="150">
        <f t="shared" si="3"/>
        <v>10</v>
      </c>
      <c r="BH32" s="150">
        <f t="shared" si="46"/>
        <v>0</v>
      </c>
      <c r="BI32" s="150"/>
      <c r="BJ32" s="206">
        <f t="shared" si="47"/>
        <v>7131</v>
      </c>
      <c r="BK32" s="150">
        <v>7138</v>
      </c>
      <c r="BL32" s="150">
        <f t="shared" si="4"/>
        <v>7</v>
      </c>
      <c r="BM32" s="150">
        <f t="shared" si="48"/>
        <v>-1</v>
      </c>
      <c r="BN32" s="150"/>
      <c r="BO32" s="206">
        <f t="shared" si="49"/>
        <v>3530</v>
      </c>
      <c r="BP32" s="150">
        <v>3532</v>
      </c>
      <c r="BQ32" s="150">
        <f t="shared" si="5"/>
        <v>2</v>
      </c>
      <c r="BR32" s="150">
        <f t="shared" si="50"/>
        <v>0</v>
      </c>
      <c r="BS32" s="150"/>
      <c r="BT32" s="206">
        <f t="shared" si="51"/>
        <v>1569</v>
      </c>
      <c r="BU32" s="150">
        <v>1571</v>
      </c>
      <c r="BV32" s="150">
        <f t="shared" si="6"/>
        <v>2</v>
      </c>
      <c r="BW32" s="150">
        <f t="shared" si="52"/>
        <v>1</v>
      </c>
      <c r="BX32" s="150"/>
      <c r="BY32" s="212">
        <f t="shared" si="53"/>
        <v>26934</v>
      </c>
      <c r="BZ32" s="150">
        <v>26938</v>
      </c>
      <c r="CA32" s="150">
        <f t="shared" si="7"/>
        <v>4</v>
      </c>
      <c r="CB32" s="150">
        <f t="shared" si="54"/>
        <v>-2</v>
      </c>
      <c r="CC32" s="204"/>
      <c r="CD32" s="212">
        <f t="shared" si="55"/>
        <v>2672</v>
      </c>
      <c r="CE32" s="150">
        <v>2672</v>
      </c>
      <c r="CF32" s="150">
        <f t="shared" si="8"/>
        <v>0</v>
      </c>
      <c r="CG32" s="150">
        <f t="shared" si="56"/>
        <v>-6</v>
      </c>
      <c r="CH32" s="204"/>
      <c r="CI32" s="212">
        <f t="shared" si="57"/>
        <v>74229</v>
      </c>
      <c r="CJ32" s="150">
        <v>74255</v>
      </c>
      <c r="CK32" s="150">
        <f t="shared" si="9"/>
        <v>26</v>
      </c>
      <c r="CL32" s="150">
        <f t="shared" si="58"/>
        <v>-3</v>
      </c>
      <c r="CM32" s="204"/>
      <c r="CN32" s="212">
        <f t="shared" si="59"/>
        <v>23617</v>
      </c>
      <c r="CO32" s="150">
        <v>23622</v>
      </c>
      <c r="CP32" s="150">
        <f t="shared" si="10"/>
        <v>5</v>
      </c>
      <c r="CQ32" s="150">
        <f t="shared" si="60"/>
        <v>0</v>
      </c>
      <c r="CR32" s="204"/>
      <c r="CS32" s="212">
        <f t="shared" si="61"/>
        <v>12494</v>
      </c>
      <c r="CT32" s="150">
        <v>12495</v>
      </c>
      <c r="CU32" s="150">
        <f t="shared" si="11"/>
        <v>1</v>
      </c>
      <c r="CV32" s="150">
        <f t="shared" si="62"/>
        <v>0</v>
      </c>
      <c r="CW32" s="204"/>
      <c r="CX32" s="212">
        <f t="shared" si="63"/>
        <v>17732</v>
      </c>
      <c r="CY32" s="150">
        <v>17733</v>
      </c>
      <c r="CZ32" s="150">
        <f t="shared" si="12"/>
        <v>1</v>
      </c>
      <c r="DA32" s="150">
        <f t="shared" si="64"/>
        <v>1</v>
      </c>
      <c r="DB32" s="204"/>
      <c r="DC32" s="212">
        <f t="shared" si="65"/>
        <v>19776</v>
      </c>
      <c r="DD32" s="150">
        <v>19781</v>
      </c>
      <c r="DE32" s="150">
        <f t="shared" si="13"/>
        <v>5</v>
      </c>
      <c r="DF32" s="150">
        <f t="shared" si="66"/>
        <v>1</v>
      </c>
      <c r="DG32" s="204"/>
      <c r="DH32" s="212">
        <f t="shared" si="67"/>
        <v>8689</v>
      </c>
      <c r="DI32" s="150">
        <v>8692</v>
      </c>
      <c r="DJ32" s="150">
        <f t="shared" si="14"/>
        <v>3</v>
      </c>
      <c r="DK32" s="150">
        <f t="shared" si="68"/>
        <v>1</v>
      </c>
      <c r="DL32" s="204"/>
      <c r="DM32" s="212">
        <f t="shared" si="69"/>
        <v>19815</v>
      </c>
      <c r="DN32" s="150">
        <v>19835</v>
      </c>
      <c r="DO32" s="150">
        <f t="shared" si="15"/>
        <v>20</v>
      </c>
      <c r="DP32" s="150">
        <f t="shared" si="70"/>
        <v>1</v>
      </c>
      <c r="DQ32" s="204"/>
      <c r="DR32" s="212">
        <f t="shared" si="71"/>
        <v>2022</v>
      </c>
      <c r="DS32" s="150">
        <v>2023</v>
      </c>
      <c r="DT32" s="150">
        <f t="shared" si="16"/>
        <v>1</v>
      </c>
      <c r="DU32" s="150">
        <f t="shared" si="72"/>
        <v>-1</v>
      </c>
      <c r="DV32" s="204"/>
      <c r="DW32" s="212">
        <f t="shared" si="73"/>
        <v>9817</v>
      </c>
      <c r="DX32" s="150">
        <v>9824</v>
      </c>
      <c r="DY32" s="150">
        <f t="shared" si="74"/>
        <v>7</v>
      </c>
      <c r="DZ32" s="150">
        <f t="shared" si="75"/>
        <v>6</v>
      </c>
      <c r="EA32" s="204"/>
      <c r="EB32" s="212">
        <f t="shared" si="85"/>
        <v>569</v>
      </c>
      <c r="EC32" s="150">
        <v>578</v>
      </c>
      <c r="ED32" s="204">
        <f t="shared" si="27"/>
        <v>9</v>
      </c>
      <c r="EE32" s="212">
        <f t="shared" si="82"/>
        <v>295</v>
      </c>
      <c r="EF32" s="150">
        <v>301</v>
      </c>
      <c r="EG32" s="204">
        <f t="shared" si="28"/>
        <v>6</v>
      </c>
      <c r="EH32" s="212">
        <f t="shared" si="83"/>
        <v>160</v>
      </c>
      <c r="EI32" s="150">
        <v>166</v>
      </c>
      <c r="EJ32" s="204">
        <f t="shared" si="29"/>
        <v>6</v>
      </c>
      <c r="EK32" s="212">
        <f t="shared" si="84"/>
        <v>203</v>
      </c>
      <c r="EL32" s="150">
        <v>208</v>
      </c>
      <c r="EM32" s="204">
        <f t="shared" si="30"/>
        <v>5</v>
      </c>
      <c r="EN32" s="212">
        <f t="shared" si="17"/>
        <v>60</v>
      </c>
      <c r="EO32" s="150">
        <f t="shared" si="18"/>
        <v>14.563106796116504</v>
      </c>
      <c r="EP32" s="204"/>
    </row>
    <row r="33" spans="1:146" ht="15" customHeight="1" x14ac:dyDescent="0.2">
      <c r="A33" s="148">
        <v>28</v>
      </c>
      <c r="B33" s="148">
        <f t="shared" si="31"/>
        <v>15932</v>
      </c>
      <c r="C33" s="149">
        <v>15932</v>
      </c>
      <c r="D33" s="142">
        <f t="shared" si="19"/>
        <v>0</v>
      </c>
      <c r="E33" s="197"/>
      <c r="F33" s="148">
        <v>28</v>
      </c>
      <c r="G33" s="148">
        <f t="shared" si="32"/>
        <v>14607</v>
      </c>
      <c r="H33" s="149">
        <v>14709</v>
      </c>
      <c r="I33" s="142">
        <f t="shared" si="20"/>
        <v>102</v>
      </c>
      <c r="J33" s="197"/>
      <c r="K33" s="148">
        <v>28</v>
      </c>
      <c r="L33" s="148">
        <f t="shared" si="33"/>
        <v>770704</v>
      </c>
      <c r="M33" s="149">
        <v>770945</v>
      </c>
      <c r="N33" s="142">
        <f t="shared" si="21"/>
        <v>241</v>
      </c>
      <c r="O33" s="144"/>
      <c r="P33" s="148">
        <v>28</v>
      </c>
      <c r="Q33" s="148">
        <f t="shared" si="34"/>
        <v>212448</v>
      </c>
      <c r="R33" s="149">
        <v>212525</v>
      </c>
      <c r="S33" s="142">
        <f t="shared" si="22"/>
        <v>77</v>
      </c>
      <c r="T33" s="143"/>
      <c r="U33" s="145">
        <v>28</v>
      </c>
      <c r="V33" s="214">
        <f t="shared" si="23"/>
        <v>420</v>
      </c>
      <c r="W33" s="146">
        <f>'Maldives at LG Daily'!I32</f>
        <v>5474</v>
      </c>
      <c r="X33" s="152"/>
      <c r="Z33" s="206">
        <v>28</v>
      </c>
      <c r="AA33" s="150">
        <f t="shared" si="35"/>
        <v>39237</v>
      </c>
      <c r="AB33" s="150">
        <v>39259</v>
      </c>
      <c r="AC33" s="150">
        <f t="shared" si="24"/>
        <v>22</v>
      </c>
      <c r="AD33" s="150">
        <f t="shared" si="80"/>
        <v>1</v>
      </c>
      <c r="AE33" s="307"/>
      <c r="AF33" s="206">
        <f t="shared" si="36"/>
        <v>8527</v>
      </c>
      <c r="AG33" s="150">
        <v>8532</v>
      </c>
      <c r="AH33" s="150">
        <f t="shared" si="25"/>
        <v>5</v>
      </c>
      <c r="AI33" s="150">
        <f t="shared" si="81"/>
        <v>-1</v>
      </c>
      <c r="AJ33" s="150"/>
      <c r="AK33" s="206">
        <f t="shared" si="37"/>
        <v>6506</v>
      </c>
      <c r="AL33" s="150">
        <v>6514</v>
      </c>
      <c r="AM33" s="150">
        <f t="shared" si="26"/>
        <v>8</v>
      </c>
      <c r="AN33" s="150">
        <f t="shared" si="38"/>
        <v>-1</v>
      </c>
      <c r="AO33" s="150"/>
      <c r="AP33" s="206">
        <f t="shared" si="39"/>
        <v>15109</v>
      </c>
      <c r="AQ33" s="150">
        <v>15120</v>
      </c>
      <c r="AR33" s="150">
        <f t="shared" si="0"/>
        <v>11</v>
      </c>
      <c r="AS33" s="150">
        <f t="shared" si="40"/>
        <v>1</v>
      </c>
      <c r="AT33" s="150"/>
      <c r="AU33" s="206">
        <f t="shared" si="41"/>
        <v>32645</v>
      </c>
      <c r="AV33" s="150">
        <v>32653</v>
      </c>
      <c r="AW33" s="150">
        <f t="shared" si="1"/>
        <v>8</v>
      </c>
      <c r="AX33" s="150">
        <f t="shared" si="42"/>
        <v>0</v>
      </c>
      <c r="AY33" s="150"/>
      <c r="AZ33" s="206">
        <f t="shared" si="43"/>
        <v>6772</v>
      </c>
      <c r="BA33" s="150">
        <v>6779</v>
      </c>
      <c r="BB33" s="150">
        <f t="shared" si="2"/>
        <v>7</v>
      </c>
      <c r="BC33" s="150">
        <f t="shared" si="44"/>
        <v>1</v>
      </c>
      <c r="BD33" s="150"/>
      <c r="BE33" s="206">
        <f t="shared" si="45"/>
        <v>23038</v>
      </c>
      <c r="BF33" s="150">
        <v>23047</v>
      </c>
      <c r="BG33" s="150">
        <f t="shared" si="3"/>
        <v>9</v>
      </c>
      <c r="BH33" s="150">
        <f t="shared" si="46"/>
        <v>-1</v>
      </c>
      <c r="BI33" s="150"/>
      <c r="BJ33" s="206">
        <f t="shared" si="47"/>
        <v>7138</v>
      </c>
      <c r="BK33" s="150">
        <v>7145</v>
      </c>
      <c r="BL33" s="150">
        <f t="shared" si="4"/>
        <v>7</v>
      </c>
      <c r="BM33" s="150">
        <f t="shared" si="48"/>
        <v>0</v>
      </c>
      <c r="BN33" s="150"/>
      <c r="BO33" s="206">
        <f t="shared" si="49"/>
        <v>3532</v>
      </c>
      <c r="BP33" s="150">
        <v>3534</v>
      </c>
      <c r="BQ33" s="150">
        <f t="shared" si="5"/>
        <v>2</v>
      </c>
      <c r="BR33" s="150">
        <f t="shared" si="50"/>
        <v>0</v>
      </c>
      <c r="BS33" s="150"/>
      <c r="BT33" s="206">
        <f t="shared" si="51"/>
        <v>1571</v>
      </c>
      <c r="BU33" s="150">
        <v>1572</v>
      </c>
      <c r="BV33" s="150">
        <f t="shared" si="6"/>
        <v>1</v>
      </c>
      <c r="BW33" s="150">
        <f t="shared" si="52"/>
        <v>-1</v>
      </c>
      <c r="BX33" s="150"/>
      <c r="BY33" s="212">
        <f t="shared" si="53"/>
        <v>26938</v>
      </c>
      <c r="BZ33" s="150">
        <v>26941</v>
      </c>
      <c r="CA33" s="150">
        <f t="shared" si="7"/>
        <v>3</v>
      </c>
      <c r="CB33" s="150">
        <f t="shared" si="54"/>
        <v>-1</v>
      </c>
      <c r="CC33" s="204"/>
      <c r="CD33" s="212">
        <f t="shared" si="55"/>
        <v>2672</v>
      </c>
      <c r="CE33" s="150">
        <v>2676</v>
      </c>
      <c r="CF33" s="150">
        <f t="shared" si="8"/>
        <v>4</v>
      </c>
      <c r="CG33" s="150">
        <f t="shared" si="56"/>
        <v>4</v>
      </c>
      <c r="CH33" s="204"/>
      <c r="CI33" s="212">
        <f t="shared" si="57"/>
        <v>74255</v>
      </c>
      <c r="CJ33" s="150">
        <v>74284</v>
      </c>
      <c r="CK33" s="150">
        <f t="shared" si="9"/>
        <v>29</v>
      </c>
      <c r="CL33" s="150">
        <f t="shared" si="58"/>
        <v>3</v>
      </c>
      <c r="CM33" s="204"/>
      <c r="CN33" s="212">
        <f t="shared" si="59"/>
        <v>23622</v>
      </c>
      <c r="CO33" s="150">
        <v>23627</v>
      </c>
      <c r="CP33" s="150">
        <f t="shared" si="10"/>
        <v>5</v>
      </c>
      <c r="CQ33" s="150">
        <f t="shared" si="60"/>
        <v>0</v>
      </c>
      <c r="CR33" s="204"/>
      <c r="CS33" s="212">
        <f t="shared" si="61"/>
        <v>12495</v>
      </c>
      <c r="CT33" s="150">
        <v>12497</v>
      </c>
      <c r="CU33" s="150">
        <f t="shared" si="11"/>
        <v>2</v>
      </c>
      <c r="CV33" s="150">
        <f t="shared" si="62"/>
        <v>1</v>
      </c>
      <c r="CW33" s="204"/>
      <c r="CX33" s="212">
        <f t="shared" si="63"/>
        <v>17733</v>
      </c>
      <c r="CY33" s="150">
        <v>17737</v>
      </c>
      <c r="CZ33" s="150">
        <f t="shared" si="12"/>
        <v>4</v>
      </c>
      <c r="DA33" s="150">
        <f t="shared" si="64"/>
        <v>3</v>
      </c>
      <c r="DB33" s="204"/>
      <c r="DC33" s="212">
        <f t="shared" si="65"/>
        <v>19781</v>
      </c>
      <c r="DD33" s="150">
        <v>19787</v>
      </c>
      <c r="DE33" s="150">
        <f t="shared" si="13"/>
        <v>6</v>
      </c>
      <c r="DF33" s="150">
        <f t="shared" si="66"/>
        <v>1</v>
      </c>
      <c r="DG33" s="204"/>
      <c r="DH33" s="212">
        <f t="shared" si="67"/>
        <v>8692</v>
      </c>
      <c r="DI33" s="150">
        <v>8694</v>
      </c>
      <c r="DJ33" s="150">
        <f t="shared" si="14"/>
        <v>2</v>
      </c>
      <c r="DK33" s="150">
        <f t="shared" si="68"/>
        <v>-1</v>
      </c>
      <c r="DL33" s="204"/>
      <c r="DM33" s="212">
        <f t="shared" si="69"/>
        <v>19835</v>
      </c>
      <c r="DN33" s="150">
        <v>19854</v>
      </c>
      <c r="DO33" s="150">
        <f t="shared" si="15"/>
        <v>19</v>
      </c>
      <c r="DP33" s="150">
        <f t="shared" si="70"/>
        <v>-1</v>
      </c>
      <c r="DQ33" s="204"/>
      <c r="DR33" s="212">
        <f t="shared" si="71"/>
        <v>2023</v>
      </c>
      <c r="DS33" s="150">
        <v>2025</v>
      </c>
      <c r="DT33" s="150">
        <f t="shared" si="16"/>
        <v>2</v>
      </c>
      <c r="DU33" s="150">
        <f t="shared" si="72"/>
        <v>1</v>
      </c>
      <c r="DV33" s="204"/>
      <c r="DW33" s="212">
        <f t="shared" si="73"/>
        <v>9824</v>
      </c>
      <c r="DX33" s="150">
        <v>9832</v>
      </c>
      <c r="DY33" s="150">
        <f t="shared" si="74"/>
        <v>8</v>
      </c>
      <c r="DZ33" s="150">
        <f t="shared" si="75"/>
        <v>1</v>
      </c>
      <c r="EA33" s="204"/>
      <c r="EB33" s="212">
        <f t="shared" si="85"/>
        <v>578</v>
      </c>
      <c r="EC33" s="150">
        <v>587</v>
      </c>
      <c r="ED33" s="204">
        <f t="shared" si="27"/>
        <v>9</v>
      </c>
      <c r="EE33" s="212">
        <f t="shared" si="82"/>
        <v>301</v>
      </c>
      <c r="EF33" s="150">
        <v>309</v>
      </c>
      <c r="EG33" s="204">
        <f t="shared" si="28"/>
        <v>8</v>
      </c>
      <c r="EH33" s="212">
        <f t="shared" si="83"/>
        <v>166</v>
      </c>
      <c r="EI33" s="150">
        <v>171</v>
      </c>
      <c r="EJ33" s="204">
        <f t="shared" si="29"/>
        <v>5</v>
      </c>
      <c r="EK33" s="212">
        <f t="shared" si="84"/>
        <v>208</v>
      </c>
      <c r="EL33" s="150">
        <v>213</v>
      </c>
      <c r="EM33" s="204">
        <f t="shared" si="30"/>
        <v>5</v>
      </c>
      <c r="EN33" s="212">
        <f t="shared" si="17"/>
        <v>58</v>
      </c>
      <c r="EO33" s="150">
        <f t="shared" si="18"/>
        <v>13.80952380952381</v>
      </c>
      <c r="EP33" s="204"/>
    </row>
    <row r="34" spans="1:146" x14ac:dyDescent="0.2">
      <c r="A34" s="148">
        <v>29</v>
      </c>
      <c r="B34" s="148">
        <f t="shared" si="31"/>
        <v>15932</v>
      </c>
      <c r="C34" s="149">
        <v>15932</v>
      </c>
      <c r="D34" s="142">
        <f t="shared" si="19"/>
        <v>0</v>
      </c>
      <c r="E34" s="144"/>
      <c r="F34" s="148">
        <v>29</v>
      </c>
      <c r="G34" s="148">
        <f t="shared" si="32"/>
        <v>14709</v>
      </c>
      <c r="H34" s="149">
        <v>14813</v>
      </c>
      <c r="I34" s="142">
        <f t="shared" si="20"/>
        <v>104</v>
      </c>
      <c r="J34" s="144"/>
      <c r="K34" s="148">
        <v>29</v>
      </c>
      <c r="L34" s="148">
        <f t="shared" si="33"/>
        <v>770945</v>
      </c>
      <c r="M34" s="149">
        <v>771208</v>
      </c>
      <c r="N34" s="142">
        <f t="shared" si="21"/>
        <v>263</v>
      </c>
      <c r="O34" s="144"/>
      <c r="P34" s="148">
        <v>29</v>
      </c>
      <c r="Q34" s="148">
        <f t="shared" si="34"/>
        <v>212525</v>
      </c>
      <c r="R34" s="149">
        <v>212618</v>
      </c>
      <c r="S34" s="142">
        <f t="shared" si="22"/>
        <v>93</v>
      </c>
      <c r="T34" s="143"/>
      <c r="U34" s="148">
        <v>29</v>
      </c>
      <c r="V34" s="214">
        <f t="shared" si="23"/>
        <v>460</v>
      </c>
      <c r="W34" s="146">
        <f>'Maldives at LG Daily'!I33</f>
        <v>1831</v>
      </c>
      <c r="X34" s="152"/>
      <c r="Z34" s="206">
        <v>29</v>
      </c>
      <c r="AA34" s="150">
        <f t="shared" si="35"/>
        <v>39259</v>
      </c>
      <c r="AB34" s="150">
        <v>39289</v>
      </c>
      <c r="AC34" s="150">
        <f t="shared" si="24"/>
        <v>30</v>
      </c>
      <c r="AD34" s="150">
        <f t="shared" si="80"/>
        <v>8</v>
      </c>
      <c r="AE34" s="307"/>
      <c r="AF34" s="206">
        <f t="shared" si="36"/>
        <v>8532</v>
      </c>
      <c r="AG34" s="150">
        <v>8537</v>
      </c>
      <c r="AH34" s="150">
        <f t="shared" si="25"/>
        <v>5</v>
      </c>
      <c r="AI34" s="150">
        <f t="shared" si="81"/>
        <v>0</v>
      </c>
      <c r="AJ34" s="150"/>
      <c r="AK34" s="206">
        <f t="shared" si="37"/>
        <v>6514</v>
      </c>
      <c r="AL34" s="150">
        <v>6524</v>
      </c>
      <c r="AM34" s="150">
        <f t="shared" si="26"/>
        <v>10</v>
      </c>
      <c r="AN34" s="150">
        <f t="shared" si="38"/>
        <v>2</v>
      </c>
      <c r="AO34" s="150"/>
      <c r="AP34" s="206">
        <f t="shared" si="39"/>
        <v>15120</v>
      </c>
      <c r="AQ34" s="150">
        <v>15131</v>
      </c>
      <c r="AR34" s="150">
        <f t="shared" si="0"/>
        <v>11</v>
      </c>
      <c r="AS34" s="150">
        <f t="shared" si="40"/>
        <v>0</v>
      </c>
      <c r="AT34" s="150"/>
      <c r="AU34" s="206">
        <f t="shared" si="41"/>
        <v>32653</v>
      </c>
      <c r="AV34" s="150">
        <v>32661</v>
      </c>
      <c r="AW34" s="150">
        <f t="shared" si="1"/>
        <v>8</v>
      </c>
      <c r="AX34" s="150">
        <f t="shared" si="42"/>
        <v>0</v>
      </c>
      <c r="AY34" s="150"/>
      <c r="AZ34" s="206">
        <f t="shared" si="43"/>
        <v>6779</v>
      </c>
      <c r="BA34" s="150">
        <v>6786</v>
      </c>
      <c r="BB34" s="150">
        <f t="shared" si="2"/>
        <v>7</v>
      </c>
      <c r="BC34" s="150">
        <f t="shared" si="44"/>
        <v>0</v>
      </c>
      <c r="BD34" s="150"/>
      <c r="BE34" s="206">
        <f t="shared" si="45"/>
        <v>23047</v>
      </c>
      <c r="BF34" s="150">
        <v>23056</v>
      </c>
      <c r="BG34" s="150">
        <f t="shared" si="3"/>
        <v>9</v>
      </c>
      <c r="BH34" s="150">
        <f t="shared" si="46"/>
        <v>0</v>
      </c>
      <c r="BI34" s="150"/>
      <c r="BJ34" s="206">
        <f t="shared" si="47"/>
        <v>7145</v>
      </c>
      <c r="BK34" s="150">
        <v>7152</v>
      </c>
      <c r="BL34" s="150">
        <f t="shared" si="4"/>
        <v>7</v>
      </c>
      <c r="BM34" s="150">
        <f t="shared" si="48"/>
        <v>0</v>
      </c>
      <c r="BN34" s="150"/>
      <c r="BO34" s="206">
        <f t="shared" si="49"/>
        <v>3534</v>
      </c>
      <c r="BP34" s="150">
        <v>3536</v>
      </c>
      <c r="BQ34" s="150">
        <f t="shared" si="5"/>
        <v>2</v>
      </c>
      <c r="BR34" s="150">
        <f t="shared" si="50"/>
        <v>0</v>
      </c>
      <c r="BS34" s="150"/>
      <c r="BT34" s="206">
        <f t="shared" si="51"/>
        <v>1572</v>
      </c>
      <c r="BU34" s="150">
        <v>1575</v>
      </c>
      <c r="BV34" s="150">
        <f t="shared" si="6"/>
        <v>3</v>
      </c>
      <c r="BW34" s="150">
        <f t="shared" si="52"/>
        <v>2</v>
      </c>
      <c r="BX34" s="150"/>
      <c r="BY34" s="212">
        <f t="shared" si="53"/>
        <v>26941</v>
      </c>
      <c r="BZ34" s="150">
        <v>26949</v>
      </c>
      <c r="CA34" s="150">
        <f t="shared" si="7"/>
        <v>8</v>
      </c>
      <c r="CB34" s="150">
        <f t="shared" si="54"/>
        <v>5</v>
      </c>
      <c r="CC34" s="204"/>
      <c r="CD34" s="212">
        <f t="shared" si="55"/>
        <v>2676</v>
      </c>
      <c r="CE34" s="150">
        <v>2681</v>
      </c>
      <c r="CF34" s="150">
        <f t="shared" si="8"/>
        <v>5</v>
      </c>
      <c r="CG34" s="150">
        <f t="shared" si="56"/>
        <v>1</v>
      </c>
      <c r="CH34" s="204"/>
      <c r="CI34" s="212">
        <f t="shared" si="57"/>
        <v>74284</v>
      </c>
      <c r="CJ34" s="150">
        <v>74311</v>
      </c>
      <c r="CK34" s="150">
        <f t="shared" si="9"/>
        <v>27</v>
      </c>
      <c r="CL34" s="150">
        <f t="shared" si="58"/>
        <v>-2</v>
      </c>
      <c r="CM34" s="204"/>
      <c r="CN34" s="212">
        <f t="shared" si="59"/>
        <v>23627</v>
      </c>
      <c r="CO34" s="150">
        <v>23631</v>
      </c>
      <c r="CP34" s="150">
        <f t="shared" si="10"/>
        <v>4</v>
      </c>
      <c r="CQ34" s="150">
        <f t="shared" si="60"/>
        <v>-1</v>
      </c>
      <c r="CR34" s="204"/>
      <c r="CS34" s="212">
        <f t="shared" si="61"/>
        <v>12497</v>
      </c>
      <c r="CT34" s="150">
        <v>12497</v>
      </c>
      <c r="CU34" s="150">
        <f t="shared" si="11"/>
        <v>0</v>
      </c>
      <c r="CV34" s="150">
        <f t="shared" si="62"/>
        <v>-2</v>
      </c>
      <c r="CW34" s="204"/>
      <c r="CX34" s="212">
        <f t="shared" si="63"/>
        <v>17737</v>
      </c>
      <c r="CY34" s="150">
        <v>17754</v>
      </c>
      <c r="CZ34" s="150">
        <f t="shared" si="12"/>
        <v>17</v>
      </c>
      <c r="DA34" s="150">
        <f t="shared" si="64"/>
        <v>13</v>
      </c>
      <c r="DB34" s="204"/>
      <c r="DC34" s="212">
        <f t="shared" si="65"/>
        <v>19787</v>
      </c>
      <c r="DD34" s="150">
        <v>19790</v>
      </c>
      <c r="DE34" s="150">
        <f t="shared" si="13"/>
        <v>3</v>
      </c>
      <c r="DF34" s="150">
        <f t="shared" si="66"/>
        <v>-3</v>
      </c>
      <c r="DG34" s="204"/>
      <c r="DH34" s="212">
        <f t="shared" si="67"/>
        <v>8694</v>
      </c>
      <c r="DI34" s="150">
        <v>8698</v>
      </c>
      <c r="DJ34" s="150">
        <f t="shared" si="14"/>
        <v>4</v>
      </c>
      <c r="DK34" s="150">
        <f t="shared" si="68"/>
        <v>2</v>
      </c>
      <c r="DL34" s="204"/>
      <c r="DM34" s="212">
        <f t="shared" si="69"/>
        <v>19854</v>
      </c>
      <c r="DN34" s="150">
        <v>19880</v>
      </c>
      <c r="DO34" s="150">
        <f t="shared" si="15"/>
        <v>26</v>
      </c>
      <c r="DP34" s="150">
        <f t="shared" si="70"/>
        <v>7</v>
      </c>
      <c r="DQ34" s="204"/>
      <c r="DR34" s="212">
        <f t="shared" si="71"/>
        <v>2025</v>
      </c>
      <c r="DS34" s="150">
        <v>2027</v>
      </c>
      <c r="DT34" s="150">
        <f t="shared" si="16"/>
        <v>2</v>
      </c>
      <c r="DU34" s="150">
        <f t="shared" si="72"/>
        <v>0</v>
      </c>
      <c r="DV34" s="204"/>
      <c r="DW34" s="212">
        <f t="shared" si="73"/>
        <v>9832</v>
      </c>
      <c r="DX34" s="150">
        <v>9834</v>
      </c>
      <c r="DY34" s="150">
        <f t="shared" si="74"/>
        <v>2</v>
      </c>
      <c r="DZ34" s="150">
        <f t="shared" si="75"/>
        <v>-6</v>
      </c>
      <c r="EA34" s="204"/>
      <c r="EB34" s="212">
        <f t="shared" si="85"/>
        <v>587</v>
      </c>
      <c r="EC34" s="150">
        <v>596</v>
      </c>
      <c r="ED34" s="204">
        <f t="shared" si="27"/>
        <v>9</v>
      </c>
      <c r="EE34" s="212">
        <f t="shared" si="82"/>
        <v>309</v>
      </c>
      <c r="EF34" s="150">
        <v>316</v>
      </c>
      <c r="EG34" s="204">
        <f t="shared" si="28"/>
        <v>7</v>
      </c>
      <c r="EH34" s="212">
        <f t="shared" si="83"/>
        <v>171</v>
      </c>
      <c r="EI34" s="150">
        <v>176</v>
      </c>
      <c r="EJ34" s="204">
        <f t="shared" si="29"/>
        <v>5</v>
      </c>
      <c r="EK34" s="212">
        <f t="shared" si="84"/>
        <v>213</v>
      </c>
      <c r="EL34" s="150">
        <v>218</v>
      </c>
      <c r="EM34" s="204">
        <f t="shared" si="30"/>
        <v>5</v>
      </c>
      <c r="EN34" s="212">
        <f t="shared" si="17"/>
        <v>62</v>
      </c>
      <c r="EO34" s="150">
        <f t="shared" si="18"/>
        <v>13.478260869565217</v>
      </c>
      <c r="EP34" s="204"/>
    </row>
    <row r="35" spans="1:146" x14ac:dyDescent="0.2">
      <c r="A35" s="148">
        <v>30</v>
      </c>
      <c r="B35" s="148">
        <f t="shared" si="31"/>
        <v>15932</v>
      </c>
      <c r="C35" s="149">
        <v>15932</v>
      </c>
      <c r="D35" s="142">
        <f t="shared" si="19"/>
        <v>0</v>
      </c>
      <c r="E35" s="144"/>
      <c r="F35" s="148">
        <v>30</v>
      </c>
      <c r="G35" s="148">
        <f t="shared" si="32"/>
        <v>14813</v>
      </c>
      <c r="H35" s="149">
        <v>14909</v>
      </c>
      <c r="I35" s="142">
        <f t="shared" si="20"/>
        <v>96</v>
      </c>
      <c r="J35" s="144"/>
      <c r="K35" s="148">
        <v>30</v>
      </c>
      <c r="L35" s="148">
        <f t="shared" si="33"/>
        <v>771208</v>
      </c>
      <c r="M35" s="149">
        <v>771467</v>
      </c>
      <c r="N35" s="142">
        <f t="shared" si="21"/>
        <v>259</v>
      </c>
      <c r="O35" s="144"/>
      <c r="P35" s="148">
        <v>30</v>
      </c>
      <c r="Q35" s="148">
        <f t="shared" si="34"/>
        <v>212618</v>
      </c>
      <c r="R35" s="149">
        <v>212687</v>
      </c>
      <c r="S35" s="142">
        <f t="shared" si="22"/>
        <v>69</v>
      </c>
      <c r="T35" s="143"/>
      <c r="U35" s="145">
        <v>30</v>
      </c>
      <c r="V35" s="214">
        <f t="shared" si="23"/>
        <v>424</v>
      </c>
      <c r="W35" s="146">
        <f>'Maldives at LG Daily'!I34</f>
        <v>0</v>
      </c>
      <c r="X35" s="152"/>
      <c r="Z35" s="206">
        <v>30</v>
      </c>
      <c r="AA35" s="150">
        <f t="shared" si="35"/>
        <v>39289</v>
      </c>
      <c r="AB35" s="150">
        <v>39308</v>
      </c>
      <c r="AC35" s="150">
        <f t="shared" si="24"/>
        <v>19</v>
      </c>
      <c r="AD35" s="150">
        <f t="shared" si="80"/>
        <v>-11</v>
      </c>
      <c r="AE35" s="307"/>
      <c r="AF35" s="206">
        <f t="shared" si="36"/>
        <v>8537</v>
      </c>
      <c r="AG35" s="150">
        <v>8542</v>
      </c>
      <c r="AH35" s="150">
        <f t="shared" si="25"/>
        <v>5</v>
      </c>
      <c r="AI35" s="150">
        <f t="shared" si="81"/>
        <v>0</v>
      </c>
      <c r="AJ35" s="150"/>
      <c r="AK35" s="206">
        <f t="shared" si="37"/>
        <v>6524</v>
      </c>
      <c r="AL35" s="150">
        <v>6530</v>
      </c>
      <c r="AM35" s="150">
        <f t="shared" si="26"/>
        <v>6</v>
      </c>
      <c r="AN35" s="150">
        <f t="shared" si="38"/>
        <v>-4</v>
      </c>
      <c r="AO35" s="150"/>
      <c r="AP35" s="206">
        <f t="shared" si="39"/>
        <v>15131</v>
      </c>
      <c r="AQ35" s="150">
        <v>15141</v>
      </c>
      <c r="AR35" s="150">
        <f t="shared" si="0"/>
        <v>10</v>
      </c>
      <c r="AS35" s="150">
        <f t="shared" si="40"/>
        <v>-1</v>
      </c>
      <c r="AT35" s="150"/>
      <c r="AU35" s="206">
        <f t="shared" si="41"/>
        <v>32661</v>
      </c>
      <c r="AV35" s="150">
        <v>32668</v>
      </c>
      <c r="AW35" s="150">
        <f t="shared" si="1"/>
        <v>7</v>
      </c>
      <c r="AX35" s="150">
        <f t="shared" si="42"/>
        <v>-1</v>
      </c>
      <c r="AY35" s="150"/>
      <c r="AZ35" s="206">
        <f t="shared" si="43"/>
        <v>6786</v>
      </c>
      <c r="BA35" s="150">
        <v>6792</v>
      </c>
      <c r="BB35" s="150">
        <f t="shared" si="2"/>
        <v>6</v>
      </c>
      <c r="BC35" s="150">
        <f t="shared" si="44"/>
        <v>-1</v>
      </c>
      <c r="BD35" s="150"/>
      <c r="BE35" s="206">
        <f t="shared" si="45"/>
        <v>23056</v>
      </c>
      <c r="BF35" s="150">
        <v>23067</v>
      </c>
      <c r="BG35" s="150">
        <f t="shared" si="3"/>
        <v>11</v>
      </c>
      <c r="BH35" s="150">
        <f t="shared" si="46"/>
        <v>2</v>
      </c>
      <c r="BI35" s="150"/>
      <c r="BJ35" s="206">
        <f t="shared" si="47"/>
        <v>7152</v>
      </c>
      <c r="BK35" s="150">
        <v>7159</v>
      </c>
      <c r="BL35" s="150">
        <f t="shared" si="4"/>
        <v>7</v>
      </c>
      <c r="BM35" s="150">
        <f t="shared" si="48"/>
        <v>0</v>
      </c>
      <c r="BN35" s="150"/>
      <c r="BO35" s="206">
        <f t="shared" si="49"/>
        <v>3536</v>
      </c>
      <c r="BP35" s="150">
        <v>3538</v>
      </c>
      <c r="BQ35" s="150">
        <f t="shared" si="5"/>
        <v>2</v>
      </c>
      <c r="BR35" s="150">
        <f t="shared" si="50"/>
        <v>0</v>
      </c>
      <c r="BS35" s="150"/>
      <c r="BT35" s="206">
        <f t="shared" si="51"/>
        <v>1575</v>
      </c>
      <c r="BU35" s="150">
        <v>1576</v>
      </c>
      <c r="BV35" s="150">
        <f t="shared" si="6"/>
        <v>1</v>
      </c>
      <c r="BW35" s="150">
        <f t="shared" si="52"/>
        <v>-2</v>
      </c>
      <c r="BX35" s="150"/>
      <c r="BY35" s="212">
        <f t="shared" si="53"/>
        <v>26949</v>
      </c>
      <c r="BZ35" s="150">
        <v>26955</v>
      </c>
      <c r="CA35" s="150">
        <f t="shared" si="7"/>
        <v>6</v>
      </c>
      <c r="CB35" s="150">
        <f t="shared" si="54"/>
        <v>-2</v>
      </c>
      <c r="CC35" s="204"/>
      <c r="CD35" s="212">
        <f t="shared" si="55"/>
        <v>2681</v>
      </c>
      <c r="CE35" s="150">
        <v>2684</v>
      </c>
      <c r="CF35" s="150">
        <f t="shared" si="8"/>
        <v>3</v>
      </c>
      <c r="CG35" s="150">
        <f t="shared" si="56"/>
        <v>-2</v>
      </c>
      <c r="CH35" s="204"/>
      <c r="CI35" s="212">
        <f t="shared" si="57"/>
        <v>74311</v>
      </c>
      <c r="CJ35" s="150">
        <v>74340</v>
      </c>
      <c r="CK35" s="150">
        <f t="shared" si="9"/>
        <v>29</v>
      </c>
      <c r="CL35" s="150">
        <f t="shared" si="58"/>
        <v>2</v>
      </c>
      <c r="CM35" s="204"/>
      <c r="CN35" s="212">
        <f t="shared" si="59"/>
        <v>23631</v>
      </c>
      <c r="CO35" s="150">
        <v>23636</v>
      </c>
      <c r="CP35" s="150">
        <f t="shared" si="10"/>
        <v>5</v>
      </c>
      <c r="CQ35" s="150">
        <f t="shared" si="60"/>
        <v>1</v>
      </c>
      <c r="CR35" s="204"/>
      <c r="CS35" s="212">
        <f t="shared" si="61"/>
        <v>12497</v>
      </c>
      <c r="CT35" s="150">
        <v>12498</v>
      </c>
      <c r="CU35" s="150">
        <f t="shared" si="11"/>
        <v>1</v>
      </c>
      <c r="CV35" s="150">
        <f t="shared" si="62"/>
        <v>1</v>
      </c>
      <c r="CW35" s="204"/>
      <c r="CX35" s="212">
        <f t="shared" si="63"/>
        <v>17754</v>
      </c>
      <c r="CY35" s="150">
        <v>17767</v>
      </c>
      <c r="CZ35" s="150">
        <f t="shared" si="12"/>
        <v>13</v>
      </c>
      <c r="DA35" s="150">
        <f t="shared" si="64"/>
        <v>-4</v>
      </c>
      <c r="DB35" s="204"/>
      <c r="DC35" s="212">
        <f t="shared" si="65"/>
        <v>19790</v>
      </c>
      <c r="DD35" s="150">
        <v>19793</v>
      </c>
      <c r="DE35" s="150">
        <f t="shared" si="13"/>
        <v>3</v>
      </c>
      <c r="DF35" s="150">
        <f t="shared" si="66"/>
        <v>0</v>
      </c>
      <c r="DG35" s="204"/>
      <c r="DH35" s="212">
        <f t="shared" si="67"/>
        <v>8698</v>
      </c>
      <c r="DI35" s="150">
        <v>8698</v>
      </c>
      <c r="DJ35" s="150">
        <f t="shared" si="14"/>
        <v>0</v>
      </c>
      <c r="DK35" s="150">
        <f t="shared" si="68"/>
        <v>-4</v>
      </c>
      <c r="DL35" s="204"/>
      <c r="DM35" s="212">
        <f t="shared" si="69"/>
        <v>19880</v>
      </c>
      <c r="DN35" s="150">
        <v>19897</v>
      </c>
      <c r="DO35" s="150">
        <f t="shared" si="15"/>
        <v>17</v>
      </c>
      <c r="DP35" s="150">
        <f t="shared" si="70"/>
        <v>-9</v>
      </c>
      <c r="DQ35" s="204"/>
      <c r="DR35" s="212">
        <f t="shared" si="71"/>
        <v>2027</v>
      </c>
      <c r="DS35" s="150">
        <v>2028</v>
      </c>
      <c r="DT35" s="150">
        <f t="shared" si="16"/>
        <v>1</v>
      </c>
      <c r="DU35" s="150">
        <f t="shared" si="72"/>
        <v>-1</v>
      </c>
      <c r="DV35" s="204"/>
      <c r="DW35" s="212">
        <f t="shared" si="73"/>
        <v>9834</v>
      </c>
      <c r="DX35" s="150">
        <v>9835</v>
      </c>
      <c r="DY35" s="150">
        <f t="shared" si="74"/>
        <v>1</v>
      </c>
      <c r="DZ35" s="150">
        <f t="shared" si="75"/>
        <v>-1</v>
      </c>
      <c r="EA35" s="204"/>
      <c r="EB35" s="212">
        <f t="shared" si="85"/>
        <v>596</v>
      </c>
      <c r="EC35" s="150">
        <v>608</v>
      </c>
      <c r="ED35" s="204">
        <f t="shared" si="27"/>
        <v>12</v>
      </c>
      <c r="EE35" s="212">
        <f t="shared" si="82"/>
        <v>316</v>
      </c>
      <c r="EF35" s="150">
        <v>324</v>
      </c>
      <c r="EG35" s="204">
        <f t="shared" si="28"/>
        <v>8</v>
      </c>
      <c r="EH35" s="212">
        <f t="shared" si="83"/>
        <v>176</v>
      </c>
      <c r="EI35" s="150">
        <v>181</v>
      </c>
      <c r="EJ35" s="204">
        <f t="shared" si="29"/>
        <v>5</v>
      </c>
      <c r="EK35" s="212">
        <f t="shared" si="84"/>
        <v>218</v>
      </c>
      <c r="EL35" s="150">
        <v>224</v>
      </c>
      <c r="EM35" s="204">
        <f t="shared" si="30"/>
        <v>6</v>
      </c>
      <c r="EN35" s="212">
        <f t="shared" si="17"/>
        <v>55</v>
      </c>
      <c r="EO35" s="150">
        <f t="shared" si="18"/>
        <v>12.971698113207546</v>
      </c>
      <c r="EP35" s="204"/>
    </row>
    <row r="36" spans="1:146" ht="13.5" thickBot="1" x14ac:dyDescent="0.25">
      <c r="A36" s="148">
        <v>31</v>
      </c>
      <c r="B36" s="148">
        <f t="shared" si="31"/>
        <v>15932</v>
      </c>
      <c r="C36" s="149">
        <v>15932</v>
      </c>
      <c r="D36" s="142">
        <f t="shared" si="19"/>
        <v>0</v>
      </c>
      <c r="E36" s="144"/>
      <c r="F36" s="148">
        <v>31</v>
      </c>
      <c r="G36" s="148">
        <f t="shared" si="32"/>
        <v>14909</v>
      </c>
      <c r="H36" s="149">
        <v>15003</v>
      </c>
      <c r="I36" s="142">
        <f t="shared" si="20"/>
        <v>94</v>
      </c>
      <c r="J36" s="144"/>
      <c r="K36" s="148">
        <v>31</v>
      </c>
      <c r="L36" s="148">
        <f t="shared" si="33"/>
        <v>771467</v>
      </c>
      <c r="M36" s="149">
        <v>771737</v>
      </c>
      <c r="N36" s="142">
        <f t="shared" si="21"/>
        <v>270</v>
      </c>
      <c r="O36" s="144"/>
      <c r="P36" s="148">
        <v>31</v>
      </c>
      <c r="Q36" s="148">
        <f t="shared" si="34"/>
        <v>212687</v>
      </c>
      <c r="R36" s="149">
        <v>212765</v>
      </c>
      <c r="S36" s="142">
        <f t="shared" si="22"/>
        <v>78</v>
      </c>
      <c r="T36" s="154"/>
      <c r="U36" s="145">
        <v>31</v>
      </c>
      <c r="V36" s="214">
        <f t="shared" si="23"/>
        <v>442</v>
      </c>
      <c r="W36" s="146">
        <f>'Maldives at LG Daily'!I35</f>
        <v>4461</v>
      </c>
      <c r="X36" s="152"/>
      <c r="Z36" s="207">
        <v>31</v>
      </c>
      <c r="AA36" s="211">
        <f t="shared" si="35"/>
        <v>39308</v>
      </c>
      <c r="AB36" s="211">
        <v>39329</v>
      </c>
      <c r="AC36" s="211">
        <f t="shared" si="24"/>
        <v>21</v>
      </c>
      <c r="AD36" s="150">
        <f t="shared" si="80"/>
        <v>2</v>
      </c>
      <c r="AE36" s="308"/>
      <c r="AF36" s="207">
        <f t="shared" si="36"/>
        <v>8542</v>
      </c>
      <c r="AG36" s="211">
        <v>8547</v>
      </c>
      <c r="AH36" s="211">
        <f t="shared" si="25"/>
        <v>5</v>
      </c>
      <c r="AI36" s="150">
        <f t="shared" si="81"/>
        <v>0</v>
      </c>
      <c r="AJ36" s="211"/>
      <c r="AK36" s="207">
        <f t="shared" si="37"/>
        <v>6530</v>
      </c>
      <c r="AL36" s="211">
        <v>6539</v>
      </c>
      <c r="AM36" s="211">
        <f t="shared" si="26"/>
        <v>9</v>
      </c>
      <c r="AN36" s="150">
        <f t="shared" si="38"/>
        <v>3</v>
      </c>
      <c r="AO36" s="211"/>
      <c r="AP36" s="207">
        <f t="shared" si="39"/>
        <v>15141</v>
      </c>
      <c r="AQ36" s="211">
        <v>15152</v>
      </c>
      <c r="AR36" s="211">
        <f t="shared" si="0"/>
        <v>11</v>
      </c>
      <c r="AS36" s="150">
        <f t="shared" si="40"/>
        <v>1</v>
      </c>
      <c r="AT36" s="211"/>
      <c r="AU36" s="207">
        <f t="shared" si="41"/>
        <v>32668</v>
      </c>
      <c r="AV36" s="211">
        <v>32675</v>
      </c>
      <c r="AW36" s="211">
        <f t="shared" si="1"/>
        <v>7</v>
      </c>
      <c r="AX36" s="150">
        <f t="shared" si="42"/>
        <v>0</v>
      </c>
      <c r="AY36" s="211"/>
      <c r="AZ36" s="207">
        <f t="shared" si="43"/>
        <v>6792</v>
      </c>
      <c r="BA36" s="211">
        <v>6799</v>
      </c>
      <c r="BB36" s="211">
        <f t="shared" si="2"/>
        <v>7</v>
      </c>
      <c r="BC36" s="150">
        <f t="shared" si="44"/>
        <v>1</v>
      </c>
      <c r="BD36" s="211"/>
      <c r="BE36" s="207">
        <f t="shared" si="45"/>
        <v>23067</v>
      </c>
      <c r="BF36" s="211">
        <v>23076</v>
      </c>
      <c r="BG36" s="211">
        <f t="shared" si="3"/>
        <v>9</v>
      </c>
      <c r="BH36" s="150">
        <f t="shared" si="46"/>
        <v>-2</v>
      </c>
      <c r="BI36" s="211"/>
      <c r="BJ36" s="207">
        <f t="shared" si="47"/>
        <v>7159</v>
      </c>
      <c r="BK36" s="211">
        <v>7166</v>
      </c>
      <c r="BL36" s="211">
        <f t="shared" si="4"/>
        <v>7</v>
      </c>
      <c r="BM36" s="150">
        <f t="shared" si="48"/>
        <v>0</v>
      </c>
      <c r="BN36" s="211"/>
      <c r="BO36" s="207">
        <f t="shared" si="49"/>
        <v>3538</v>
      </c>
      <c r="BP36" s="211">
        <v>3541</v>
      </c>
      <c r="BQ36" s="211">
        <f t="shared" si="5"/>
        <v>3</v>
      </c>
      <c r="BR36" s="150">
        <f t="shared" si="50"/>
        <v>1</v>
      </c>
      <c r="BS36" s="211"/>
      <c r="BT36" s="207">
        <f t="shared" si="51"/>
        <v>1576</v>
      </c>
      <c r="BU36" s="211">
        <v>1578</v>
      </c>
      <c r="BV36" s="211">
        <f t="shared" si="6"/>
        <v>2</v>
      </c>
      <c r="BW36" s="150">
        <f t="shared" si="52"/>
        <v>1</v>
      </c>
      <c r="BX36" s="211"/>
      <c r="BY36" s="311">
        <f t="shared" si="53"/>
        <v>26955</v>
      </c>
      <c r="BZ36" s="211">
        <v>26961</v>
      </c>
      <c r="CA36" s="211">
        <f t="shared" si="7"/>
        <v>6</v>
      </c>
      <c r="CB36" s="150">
        <f t="shared" si="54"/>
        <v>0</v>
      </c>
      <c r="CC36" s="205"/>
      <c r="CD36" s="311">
        <f t="shared" si="55"/>
        <v>2684</v>
      </c>
      <c r="CE36" s="211">
        <v>2685</v>
      </c>
      <c r="CF36" s="211">
        <f t="shared" si="8"/>
        <v>1</v>
      </c>
      <c r="CG36" s="150">
        <f t="shared" si="56"/>
        <v>-2</v>
      </c>
      <c r="CH36" s="205"/>
      <c r="CI36" s="311">
        <f t="shared" si="57"/>
        <v>74340</v>
      </c>
      <c r="CJ36" s="211">
        <v>74369</v>
      </c>
      <c r="CK36" s="211">
        <f t="shared" si="9"/>
        <v>29</v>
      </c>
      <c r="CL36" s="150">
        <f t="shared" si="58"/>
        <v>0</v>
      </c>
      <c r="CM36" s="205"/>
      <c r="CN36" s="311">
        <f t="shared" si="59"/>
        <v>23636</v>
      </c>
      <c r="CO36" s="211">
        <v>23641</v>
      </c>
      <c r="CP36" s="211">
        <f t="shared" si="10"/>
        <v>5</v>
      </c>
      <c r="CQ36" s="150">
        <f t="shared" si="60"/>
        <v>0</v>
      </c>
      <c r="CR36" s="205"/>
      <c r="CS36" s="311">
        <f t="shared" si="61"/>
        <v>12498</v>
      </c>
      <c r="CT36" s="211">
        <v>12501</v>
      </c>
      <c r="CU36" s="211">
        <f t="shared" si="11"/>
        <v>3</v>
      </c>
      <c r="CV36" s="150">
        <f t="shared" si="62"/>
        <v>2</v>
      </c>
      <c r="CW36" s="205"/>
      <c r="CX36" s="311">
        <f t="shared" si="63"/>
        <v>17767</v>
      </c>
      <c r="CY36" s="211">
        <v>17778</v>
      </c>
      <c r="CZ36" s="211">
        <f t="shared" si="12"/>
        <v>11</v>
      </c>
      <c r="DA36" s="150">
        <f t="shared" si="64"/>
        <v>-2</v>
      </c>
      <c r="DB36" s="205"/>
      <c r="DC36" s="311">
        <f t="shared" si="65"/>
        <v>19793</v>
      </c>
      <c r="DD36" s="211">
        <v>19796</v>
      </c>
      <c r="DE36" s="211">
        <f t="shared" si="13"/>
        <v>3</v>
      </c>
      <c r="DF36" s="150">
        <f t="shared" si="66"/>
        <v>0</v>
      </c>
      <c r="DG36" s="205"/>
      <c r="DH36" s="311">
        <f t="shared" si="67"/>
        <v>8698</v>
      </c>
      <c r="DI36" s="211">
        <v>8702</v>
      </c>
      <c r="DJ36" s="211">
        <f t="shared" si="14"/>
        <v>4</v>
      </c>
      <c r="DK36" s="150">
        <f t="shared" si="68"/>
        <v>4</v>
      </c>
      <c r="DL36" s="205"/>
      <c r="DM36" s="311">
        <f t="shared" si="69"/>
        <v>19897</v>
      </c>
      <c r="DN36" s="211">
        <v>19916</v>
      </c>
      <c r="DO36" s="211">
        <f t="shared" si="15"/>
        <v>19</v>
      </c>
      <c r="DP36" s="150">
        <f t="shared" si="70"/>
        <v>2</v>
      </c>
      <c r="DQ36" s="205"/>
      <c r="DR36" s="311">
        <f t="shared" si="71"/>
        <v>2028</v>
      </c>
      <c r="DS36" s="211">
        <v>2029</v>
      </c>
      <c r="DT36" s="211">
        <f t="shared" si="16"/>
        <v>1</v>
      </c>
      <c r="DU36" s="150">
        <f t="shared" si="72"/>
        <v>0</v>
      </c>
      <c r="DV36" s="205"/>
      <c r="DW36" s="311">
        <f t="shared" si="73"/>
        <v>9835</v>
      </c>
      <c r="DX36" s="211">
        <v>9837</v>
      </c>
      <c r="DY36" s="211">
        <f t="shared" si="74"/>
        <v>2</v>
      </c>
      <c r="DZ36" s="150">
        <f t="shared" si="75"/>
        <v>1</v>
      </c>
      <c r="EA36" s="205"/>
      <c r="EB36" s="212">
        <f t="shared" si="85"/>
        <v>608</v>
      </c>
      <c r="EC36" s="211">
        <v>618</v>
      </c>
      <c r="ED36" s="204">
        <f t="shared" si="27"/>
        <v>10</v>
      </c>
      <c r="EE36" s="212">
        <f t="shared" si="82"/>
        <v>324</v>
      </c>
      <c r="EF36" s="211">
        <v>331</v>
      </c>
      <c r="EG36" s="204">
        <f t="shared" si="28"/>
        <v>7</v>
      </c>
      <c r="EH36" s="212">
        <f t="shared" si="83"/>
        <v>181</v>
      </c>
      <c r="EI36" s="211">
        <v>186</v>
      </c>
      <c r="EJ36" s="204">
        <f t="shared" si="29"/>
        <v>5</v>
      </c>
      <c r="EK36" s="212">
        <f t="shared" si="84"/>
        <v>224</v>
      </c>
      <c r="EL36" s="211">
        <v>228</v>
      </c>
      <c r="EM36" s="204">
        <f t="shared" si="30"/>
        <v>4</v>
      </c>
      <c r="EN36" s="212">
        <f t="shared" si="17"/>
        <v>60</v>
      </c>
      <c r="EO36" s="150">
        <f t="shared" si="18"/>
        <v>13.574660633484163</v>
      </c>
      <c r="EP36" s="204"/>
    </row>
    <row r="37" spans="1:146" ht="13.5" thickBot="1" x14ac:dyDescent="0.25">
      <c r="A37" s="155" t="s">
        <v>7</v>
      </c>
      <c r="D37" s="156">
        <f>SUM(D6:D36)</f>
        <v>536</v>
      </c>
      <c r="E37" s="157"/>
      <c r="F37" s="155" t="s">
        <v>7</v>
      </c>
      <c r="I37" s="156">
        <f>SUM(I6:I36)</f>
        <v>1827</v>
      </c>
      <c r="J37" s="157"/>
      <c r="K37" s="155" t="s">
        <v>7</v>
      </c>
      <c r="N37" s="156">
        <f>SUM(N6:N36)</f>
        <v>7524</v>
      </c>
      <c r="O37" s="157"/>
      <c r="P37" s="155" t="s">
        <v>7</v>
      </c>
      <c r="S37" s="156">
        <f>SUM(S6:S36)</f>
        <v>2028</v>
      </c>
      <c r="T37" s="157"/>
      <c r="W37" s="198">
        <f>SUM(W6:W36)</f>
        <v>91008</v>
      </c>
    </row>
    <row r="38" spans="1:146" ht="13.5" thickTop="1" x14ac:dyDescent="0.2">
      <c r="W38" s="132">
        <f>W37/31</f>
        <v>2935.7419354838707</v>
      </c>
    </row>
  </sheetData>
  <mergeCells count="34">
    <mergeCell ref="CN4:CR4"/>
    <mergeCell ref="BE4:BI4"/>
    <mergeCell ref="BJ4:BN4"/>
    <mergeCell ref="BO4:BS4"/>
    <mergeCell ref="BT4:BX4"/>
    <mergeCell ref="BY4:CC4"/>
    <mergeCell ref="EN4:EP4"/>
    <mergeCell ref="EE4:EG4"/>
    <mergeCell ref="EH4:EJ4"/>
    <mergeCell ref="DR4:DV4"/>
    <mergeCell ref="EK4:EM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">
    <cfRule type="cellIs" dxfId="26" priority="36" operator="greaterThan">
      <formula>2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P6:EP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28" zoomScale="90" zoomScaleNormal="90" workbookViewId="0">
      <selection activeCell="E37" sqref="E37"/>
    </sheetView>
  </sheetViews>
  <sheetFormatPr defaultColWidth="9.140625" defaultRowHeight="12.75" x14ac:dyDescent="0.2"/>
  <cols>
    <col min="1" max="1" width="7" style="174" customWidth="1"/>
    <col min="2" max="2" width="17.7109375" style="155" customWidth="1"/>
    <col min="3" max="3" width="15.7109375" style="155" customWidth="1"/>
    <col min="4" max="6" width="16.140625" style="155" customWidth="1"/>
    <col min="7" max="7" width="14.5703125" style="155" customWidth="1"/>
    <col min="8" max="8" width="13" style="132" customWidth="1"/>
    <col min="9" max="16384" width="9.140625" style="132"/>
  </cols>
  <sheetData>
    <row r="1" spans="1:20" s="133" customFormat="1" x14ac:dyDescent="0.2">
      <c r="A1" s="393"/>
      <c r="B1" s="393"/>
      <c r="C1" s="159"/>
      <c r="D1" s="159"/>
      <c r="E1" s="159"/>
      <c r="F1" s="159"/>
      <c r="G1" s="159"/>
    </row>
    <row r="2" spans="1:20" ht="24.75" customHeight="1" x14ac:dyDescent="0.2">
      <c r="A2" s="394" t="s">
        <v>36</v>
      </c>
      <c r="B2" s="394"/>
      <c r="C2" s="394"/>
      <c r="D2" s="394"/>
      <c r="E2" s="394"/>
      <c r="F2" s="394"/>
      <c r="G2" s="394"/>
      <c r="H2" s="394"/>
    </row>
    <row r="3" spans="1:20" ht="26.25" customHeight="1" x14ac:dyDescent="0.2">
      <c r="A3" s="160" t="s">
        <v>118</v>
      </c>
      <c r="B3" s="161">
        <v>44471</v>
      </c>
      <c r="C3" s="162"/>
      <c r="D3" s="160"/>
      <c r="E3" s="160"/>
      <c r="F3" s="160"/>
      <c r="G3" s="163"/>
      <c r="H3" s="164"/>
    </row>
    <row r="4" spans="1:20" ht="42" customHeight="1" x14ac:dyDescent="0.2">
      <c r="A4" s="165" t="s">
        <v>5</v>
      </c>
      <c r="B4" s="166" t="s">
        <v>119</v>
      </c>
      <c r="C4" s="166" t="s">
        <v>120</v>
      </c>
      <c r="D4" s="166" t="s">
        <v>121</v>
      </c>
      <c r="E4" s="166" t="s">
        <v>122</v>
      </c>
      <c r="F4" s="166" t="s">
        <v>7</v>
      </c>
      <c r="G4" s="166" t="s">
        <v>37</v>
      </c>
      <c r="H4" s="166" t="s">
        <v>123</v>
      </c>
    </row>
    <row r="5" spans="1:20" ht="24" customHeight="1" x14ac:dyDescent="0.2">
      <c r="A5" s="395" t="s">
        <v>193</v>
      </c>
      <c r="B5" s="396"/>
      <c r="C5" s="396"/>
      <c r="D5" s="396"/>
      <c r="E5" s="396"/>
      <c r="F5" s="397"/>
      <c r="G5" s="167"/>
      <c r="H5" s="167"/>
    </row>
    <row r="6" spans="1:20" ht="21.75" customHeight="1" x14ac:dyDescent="0.2">
      <c r="A6" s="168">
        <v>1</v>
      </c>
      <c r="B6" s="148">
        <v>1</v>
      </c>
      <c r="C6" s="148">
        <v>0</v>
      </c>
      <c r="D6" s="148">
        <v>1</v>
      </c>
      <c r="E6" s="106">
        <v>2</v>
      </c>
      <c r="F6" s="169">
        <f>SUM(B6:E6)</f>
        <v>4</v>
      </c>
      <c r="G6" s="170">
        <f>F6*45</f>
        <v>180</v>
      </c>
      <c r="H6" s="171">
        <f>WATER!W6</f>
        <v>0</v>
      </c>
    </row>
    <row r="7" spans="1:20" ht="21.75" customHeight="1" x14ac:dyDescent="0.2">
      <c r="A7" s="168">
        <v>2</v>
      </c>
      <c r="B7" s="148">
        <v>2</v>
      </c>
      <c r="C7" s="148">
        <v>0</v>
      </c>
      <c r="D7" s="148">
        <v>1</v>
      </c>
      <c r="E7" s="106">
        <v>2</v>
      </c>
      <c r="F7" s="169">
        <f t="shared" ref="F7:F36" si="0">SUM(B7:E7)</f>
        <v>5</v>
      </c>
      <c r="G7" s="170">
        <f t="shared" ref="G7:G36" si="1">F7*45</f>
        <v>225</v>
      </c>
      <c r="H7" s="171">
        <f>WATER!W7</f>
        <v>5275</v>
      </c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</row>
    <row r="8" spans="1:20" ht="21.75" customHeight="1" x14ac:dyDescent="0.2">
      <c r="A8" s="168">
        <v>3</v>
      </c>
      <c r="B8" s="148">
        <v>1</v>
      </c>
      <c r="C8" s="148">
        <v>1</v>
      </c>
      <c r="D8" s="148">
        <v>1</v>
      </c>
      <c r="E8" s="106">
        <v>2</v>
      </c>
      <c r="F8" s="169">
        <f t="shared" si="0"/>
        <v>5</v>
      </c>
      <c r="G8" s="170">
        <f t="shared" si="1"/>
        <v>225</v>
      </c>
      <c r="H8" s="171">
        <f>WATER!W8</f>
        <v>3209</v>
      </c>
    </row>
    <row r="9" spans="1:20" ht="21.75" customHeight="1" x14ac:dyDescent="0.2">
      <c r="A9" s="168">
        <v>4</v>
      </c>
      <c r="B9" s="148">
        <v>2</v>
      </c>
      <c r="C9" s="148">
        <v>0</v>
      </c>
      <c r="D9" s="148">
        <v>1</v>
      </c>
      <c r="E9" s="106">
        <v>2</v>
      </c>
      <c r="F9" s="169">
        <f t="shared" si="0"/>
        <v>5</v>
      </c>
      <c r="G9" s="170">
        <f t="shared" si="1"/>
        <v>225</v>
      </c>
      <c r="H9" s="171">
        <f>WATER!W9</f>
        <v>7157</v>
      </c>
    </row>
    <row r="10" spans="1:20" ht="21.75" customHeight="1" x14ac:dyDescent="0.2">
      <c r="A10" s="168">
        <v>5</v>
      </c>
      <c r="B10" s="148">
        <v>1</v>
      </c>
      <c r="C10" s="148">
        <v>1</v>
      </c>
      <c r="D10" s="148">
        <v>1</v>
      </c>
      <c r="E10" s="106">
        <v>2</v>
      </c>
      <c r="F10" s="169">
        <f t="shared" si="0"/>
        <v>5</v>
      </c>
      <c r="G10" s="170">
        <f t="shared" si="1"/>
        <v>225</v>
      </c>
      <c r="H10" s="171">
        <f>WATER!W10</f>
        <v>2548</v>
      </c>
    </row>
    <row r="11" spans="1:20" ht="21.75" customHeight="1" x14ac:dyDescent="0.2">
      <c r="A11" s="168">
        <v>6</v>
      </c>
      <c r="B11" s="148">
        <v>2</v>
      </c>
      <c r="C11" s="148">
        <v>0</v>
      </c>
      <c r="D11" s="148">
        <v>1</v>
      </c>
      <c r="E11" s="106">
        <v>2</v>
      </c>
      <c r="F11" s="169">
        <f t="shared" si="0"/>
        <v>5</v>
      </c>
      <c r="G11" s="170">
        <f t="shared" si="1"/>
        <v>225</v>
      </c>
      <c r="H11" s="171">
        <f>WATER!W11</f>
        <v>6770</v>
      </c>
    </row>
    <row r="12" spans="1:20" ht="21.75" customHeight="1" x14ac:dyDescent="0.2">
      <c r="A12" s="168">
        <v>7</v>
      </c>
      <c r="B12" s="148">
        <v>2</v>
      </c>
      <c r="C12" s="148">
        <v>1</v>
      </c>
      <c r="D12" s="148">
        <v>1</v>
      </c>
      <c r="E12" s="106">
        <v>2</v>
      </c>
      <c r="F12" s="169">
        <f t="shared" si="0"/>
        <v>6</v>
      </c>
      <c r="G12" s="170">
        <f t="shared" si="1"/>
        <v>270</v>
      </c>
      <c r="H12" s="171">
        <f>WATER!W12</f>
        <v>2259</v>
      </c>
    </row>
    <row r="13" spans="1:20" ht="21.75" customHeight="1" x14ac:dyDescent="0.2">
      <c r="A13" s="168">
        <v>8</v>
      </c>
      <c r="B13" s="148">
        <v>2</v>
      </c>
      <c r="C13" s="148">
        <v>0</v>
      </c>
      <c r="D13" s="148">
        <v>1</v>
      </c>
      <c r="E13" s="106">
        <v>2</v>
      </c>
      <c r="F13" s="169">
        <f t="shared" si="0"/>
        <v>5</v>
      </c>
      <c r="G13" s="170">
        <f t="shared" si="1"/>
        <v>225</v>
      </c>
      <c r="H13" s="171">
        <f>WATER!W13</f>
        <v>1552</v>
      </c>
    </row>
    <row r="14" spans="1:20" ht="21.75" customHeight="1" x14ac:dyDescent="0.2">
      <c r="A14" s="168">
        <v>9</v>
      </c>
      <c r="B14" s="148">
        <v>2</v>
      </c>
      <c r="C14" s="148">
        <v>1</v>
      </c>
      <c r="D14" s="148">
        <v>2</v>
      </c>
      <c r="E14" s="106">
        <v>2</v>
      </c>
      <c r="F14" s="169">
        <f t="shared" si="0"/>
        <v>7</v>
      </c>
      <c r="G14" s="170">
        <f t="shared" si="1"/>
        <v>315</v>
      </c>
      <c r="H14" s="171">
        <f>WATER!W14</f>
        <v>3348</v>
      </c>
    </row>
    <row r="15" spans="1:20" ht="21.75" customHeight="1" x14ac:dyDescent="0.2">
      <c r="A15" s="168">
        <v>10</v>
      </c>
      <c r="B15" s="148">
        <v>2</v>
      </c>
      <c r="C15" s="148">
        <v>1</v>
      </c>
      <c r="D15" s="148">
        <v>1</v>
      </c>
      <c r="E15" s="106">
        <v>2</v>
      </c>
      <c r="F15" s="169">
        <f t="shared" si="0"/>
        <v>6</v>
      </c>
      <c r="G15" s="170">
        <f t="shared" si="1"/>
        <v>270</v>
      </c>
      <c r="H15" s="171">
        <f>WATER!W15</f>
        <v>5298</v>
      </c>
    </row>
    <row r="16" spans="1:20" ht="21.75" customHeight="1" x14ac:dyDescent="0.2">
      <c r="A16" s="168">
        <v>11</v>
      </c>
      <c r="B16" s="148">
        <v>2</v>
      </c>
      <c r="C16" s="148">
        <v>0</v>
      </c>
      <c r="D16" s="148">
        <v>1</v>
      </c>
      <c r="E16" s="106">
        <v>1</v>
      </c>
      <c r="F16" s="169">
        <f t="shared" si="0"/>
        <v>4</v>
      </c>
      <c r="G16" s="170">
        <f t="shared" si="1"/>
        <v>180</v>
      </c>
      <c r="H16" s="171">
        <f>WATER!W16</f>
        <v>422</v>
      </c>
    </row>
    <row r="17" spans="1:8" ht="21.75" customHeight="1" x14ac:dyDescent="0.2">
      <c r="A17" s="168">
        <v>12</v>
      </c>
      <c r="B17" s="148">
        <v>1</v>
      </c>
      <c r="C17" s="148">
        <v>0</v>
      </c>
      <c r="D17" s="148">
        <v>1</v>
      </c>
      <c r="E17" s="106">
        <v>2</v>
      </c>
      <c r="F17" s="169">
        <f t="shared" si="0"/>
        <v>4</v>
      </c>
      <c r="G17" s="170">
        <f t="shared" si="1"/>
        <v>180</v>
      </c>
      <c r="H17" s="171">
        <f>WATER!W17</f>
        <v>0</v>
      </c>
    </row>
    <row r="18" spans="1:8" ht="21.75" customHeight="1" x14ac:dyDescent="0.2">
      <c r="A18" s="168">
        <v>13</v>
      </c>
      <c r="B18" s="148">
        <v>2</v>
      </c>
      <c r="C18" s="148">
        <v>1</v>
      </c>
      <c r="D18" s="148">
        <v>1</v>
      </c>
      <c r="E18" s="106">
        <v>2</v>
      </c>
      <c r="F18" s="169">
        <f t="shared" si="0"/>
        <v>6</v>
      </c>
      <c r="G18" s="170">
        <f t="shared" si="1"/>
        <v>270</v>
      </c>
      <c r="H18" s="171">
        <f>WATER!W18</f>
        <v>4600</v>
      </c>
    </row>
    <row r="19" spans="1:8" ht="21.75" customHeight="1" x14ac:dyDescent="0.2">
      <c r="A19" s="168">
        <v>14</v>
      </c>
      <c r="B19" s="148">
        <v>2</v>
      </c>
      <c r="C19" s="148">
        <v>0</v>
      </c>
      <c r="D19" s="148">
        <v>1</v>
      </c>
      <c r="E19" s="106">
        <v>2</v>
      </c>
      <c r="F19" s="169">
        <f t="shared" si="0"/>
        <v>5</v>
      </c>
      <c r="G19" s="170">
        <f t="shared" si="1"/>
        <v>225</v>
      </c>
      <c r="H19" s="171">
        <f>WATER!W19</f>
        <v>2029</v>
      </c>
    </row>
    <row r="20" spans="1:8" ht="21.75" customHeight="1" x14ac:dyDescent="0.2">
      <c r="A20" s="168">
        <v>15</v>
      </c>
      <c r="B20" s="148">
        <v>2</v>
      </c>
      <c r="C20" s="148">
        <v>0</v>
      </c>
      <c r="D20" s="148">
        <v>1</v>
      </c>
      <c r="E20" s="106">
        <v>2</v>
      </c>
      <c r="F20" s="169">
        <f t="shared" si="0"/>
        <v>5</v>
      </c>
      <c r="G20" s="170">
        <f t="shared" si="1"/>
        <v>225</v>
      </c>
      <c r="H20" s="171">
        <f>WATER!W20</f>
        <v>63</v>
      </c>
    </row>
    <row r="21" spans="1:8" ht="21.75" customHeight="1" x14ac:dyDescent="0.2">
      <c r="A21" s="168">
        <v>16</v>
      </c>
      <c r="B21" s="148">
        <v>2</v>
      </c>
      <c r="C21" s="148">
        <v>2</v>
      </c>
      <c r="D21" s="148">
        <v>1</v>
      </c>
      <c r="E21" s="106">
        <v>2</v>
      </c>
      <c r="F21" s="169">
        <f t="shared" si="0"/>
        <v>7</v>
      </c>
      <c r="G21" s="170">
        <f t="shared" si="1"/>
        <v>315</v>
      </c>
      <c r="H21" s="171">
        <f>WATER!W21</f>
        <v>0</v>
      </c>
    </row>
    <row r="22" spans="1:8" ht="21.75" customHeight="1" x14ac:dyDescent="0.2">
      <c r="A22" s="168">
        <v>17</v>
      </c>
      <c r="B22" s="148">
        <v>2</v>
      </c>
      <c r="C22" s="148">
        <v>0</v>
      </c>
      <c r="D22" s="148">
        <v>1</v>
      </c>
      <c r="E22" s="106">
        <v>2</v>
      </c>
      <c r="F22" s="169">
        <f t="shared" si="0"/>
        <v>5</v>
      </c>
      <c r="G22" s="170">
        <f t="shared" si="1"/>
        <v>225</v>
      </c>
      <c r="H22" s="171">
        <f>WATER!W22</f>
        <v>4203</v>
      </c>
    </row>
    <row r="23" spans="1:8" ht="21.75" customHeight="1" x14ac:dyDescent="0.2">
      <c r="A23" s="168">
        <v>18</v>
      </c>
      <c r="B23" s="148">
        <v>2</v>
      </c>
      <c r="C23" s="148">
        <v>0</v>
      </c>
      <c r="D23" s="148">
        <v>1</v>
      </c>
      <c r="E23" s="106">
        <v>1</v>
      </c>
      <c r="F23" s="169">
        <f t="shared" si="0"/>
        <v>4</v>
      </c>
      <c r="G23" s="170">
        <f t="shared" si="1"/>
        <v>180</v>
      </c>
      <c r="H23" s="171">
        <f>WATER!W23</f>
        <v>0</v>
      </c>
    </row>
    <row r="24" spans="1:8" ht="21.75" customHeight="1" x14ac:dyDescent="0.2">
      <c r="A24" s="168">
        <v>19</v>
      </c>
      <c r="B24" s="148">
        <v>1</v>
      </c>
      <c r="C24" s="148">
        <v>0</v>
      </c>
      <c r="D24" s="148">
        <v>1</v>
      </c>
      <c r="E24" s="106">
        <v>2</v>
      </c>
      <c r="F24" s="169">
        <f t="shared" si="0"/>
        <v>4</v>
      </c>
      <c r="G24" s="170">
        <f t="shared" si="1"/>
        <v>180</v>
      </c>
      <c r="H24" s="171">
        <f>WATER!W24</f>
        <v>5793</v>
      </c>
    </row>
    <row r="25" spans="1:8" ht="21.75" customHeight="1" x14ac:dyDescent="0.2">
      <c r="A25" s="168">
        <v>20</v>
      </c>
      <c r="B25" s="148">
        <v>2</v>
      </c>
      <c r="C25" s="148">
        <v>0</v>
      </c>
      <c r="D25" s="148">
        <v>1</v>
      </c>
      <c r="E25" s="106">
        <v>2</v>
      </c>
      <c r="F25" s="169">
        <f t="shared" si="0"/>
        <v>5</v>
      </c>
      <c r="G25" s="170">
        <f t="shared" si="1"/>
        <v>225</v>
      </c>
      <c r="H25" s="171">
        <f>WATER!W25</f>
        <v>4959</v>
      </c>
    </row>
    <row r="26" spans="1:8" ht="21.75" customHeight="1" x14ac:dyDescent="0.2">
      <c r="A26" s="168">
        <v>21</v>
      </c>
      <c r="B26" s="148">
        <v>2</v>
      </c>
      <c r="C26" s="148">
        <v>1</v>
      </c>
      <c r="D26" s="148">
        <v>1</v>
      </c>
      <c r="E26" s="106">
        <v>2</v>
      </c>
      <c r="F26" s="169">
        <f t="shared" si="0"/>
        <v>6</v>
      </c>
      <c r="G26" s="170">
        <f t="shared" si="1"/>
        <v>270</v>
      </c>
      <c r="H26" s="171">
        <f>WATER!W26</f>
        <v>3510</v>
      </c>
    </row>
    <row r="27" spans="1:8" ht="21.75" customHeight="1" x14ac:dyDescent="0.2">
      <c r="A27" s="168">
        <v>22</v>
      </c>
      <c r="B27" s="148">
        <v>2</v>
      </c>
      <c r="C27" s="148">
        <v>0</v>
      </c>
      <c r="D27" s="148">
        <v>1</v>
      </c>
      <c r="E27" s="106">
        <v>2</v>
      </c>
      <c r="F27" s="169">
        <f t="shared" si="0"/>
        <v>5</v>
      </c>
      <c r="G27" s="170">
        <f t="shared" si="1"/>
        <v>225</v>
      </c>
      <c r="H27" s="171">
        <f>WATER!W27</f>
        <v>1223</v>
      </c>
    </row>
    <row r="28" spans="1:8" ht="21.75" customHeight="1" x14ac:dyDescent="0.2">
      <c r="A28" s="168">
        <v>23</v>
      </c>
      <c r="B28" s="148">
        <v>2</v>
      </c>
      <c r="C28" s="148">
        <v>1</v>
      </c>
      <c r="D28" s="148">
        <v>1</v>
      </c>
      <c r="E28" s="106">
        <v>2</v>
      </c>
      <c r="F28" s="169">
        <f t="shared" si="0"/>
        <v>6</v>
      </c>
      <c r="G28" s="170">
        <f t="shared" si="1"/>
        <v>270</v>
      </c>
      <c r="H28" s="171">
        <f>WATER!W28</f>
        <v>5746</v>
      </c>
    </row>
    <row r="29" spans="1:8" ht="21.75" customHeight="1" x14ac:dyDescent="0.2">
      <c r="A29" s="168">
        <v>24</v>
      </c>
      <c r="B29" s="148">
        <v>2</v>
      </c>
      <c r="C29" s="148">
        <v>0</v>
      </c>
      <c r="D29" s="148">
        <v>1</v>
      </c>
      <c r="E29" s="106">
        <v>2</v>
      </c>
      <c r="F29" s="169">
        <f t="shared" si="0"/>
        <v>5</v>
      </c>
      <c r="G29" s="170">
        <f t="shared" si="1"/>
        <v>225</v>
      </c>
      <c r="H29" s="171">
        <f>WATER!W29</f>
        <v>2409</v>
      </c>
    </row>
    <row r="30" spans="1:8" ht="21.75" customHeight="1" x14ac:dyDescent="0.2">
      <c r="A30" s="168">
        <v>25</v>
      </c>
      <c r="B30" s="148">
        <v>2</v>
      </c>
      <c r="C30" s="148">
        <v>0</v>
      </c>
      <c r="D30" s="148">
        <v>1</v>
      </c>
      <c r="E30" s="106">
        <v>2</v>
      </c>
      <c r="F30" s="169">
        <f t="shared" si="0"/>
        <v>5</v>
      </c>
      <c r="G30" s="170">
        <f t="shared" si="1"/>
        <v>225</v>
      </c>
      <c r="H30" s="171">
        <f>WATER!W30</f>
        <v>0</v>
      </c>
    </row>
    <row r="31" spans="1:8" ht="21.75" customHeight="1" x14ac:dyDescent="0.2">
      <c r="A31" s="168">
        <v>26</v>
      </c>
      <c r="B31" s="148">
        <v>2</v>
      </c>
      <c r="C31" s="148">
        <v>0</v>
      </c>
      <c r="D31" s="148">
        <v>1</v>
      </c>
      <c r="E31" s="106">
        <v>2</v>
      </c>
      <c r="F31" s="169">
        <f t="shared" si="0"/>
        <v>5</v>
      </c>
      <c r="G31" s="170">
        <f t="shared" si="1"/>
        <v>225</v>
      </c>
      <c r="H31" s="171">
        <f>WATER!W31</f>
        <v>5863</v>
      </c>
    </row>
    <row r="32" spans="1:8" ht="21.75" customHeight="1" x14ac:dyDescent="0.2">
      <c r="A32" s="168">
        <v>27</v>
      </c>
      <c r="B32" s="148">
        <v>2</v>
      </c>
      <c r="C32" s="148">
        <v>1</v>
      </c>
      <c r="D32" s="148">
        <v>1</v>
      </c>
      <c r="E32" s="106">
        <v>2</v>
      </c>
      <c r="F32" s="169">
        <f t="shared" si="0"/>
        <v>6</v>
      </c>
      <c r="G32" s="170">
        <f t="shared" si="1"/>
        <v>270</v>
      </c>
      <c r="H32" s="171">
        <f>WATER!W32</f>
        <v>1006</v>
      </c>
    </row>
    <row r="33" spans="1:8" ht="21.75" customHeight="1" x14ac:dyDescent="0.2">
      <c r="A33" s="168">
        <v>28</v>
      </c>
      <c r="B33" s="148">
        <v>2</v>
      </c>
      <c r="C33" s="148">
        <v>1</v>
      </c>
      <c r="D33" s="148">
        <v>1</v>
      </c>
      <c r="E33" s="106">
        <v>2</v>
      </c>
      <c r="F33" s="169">
        <f t="shared" si="0"/>
        <v>6</v>
      </c>
      <c r="G33" s="170">
        <f t="shared" si="1"/>
        <v>270</v>
      </c>
      <c r="H33" s="171">
        <f>WATER!W33</f>
        <v>5474</v>
      </c>
    </row>
    <row r="34" spans="1:8" ht="21.75" customHeight="1" x14ac:dyDescent="0.2">
      <c r="A34" s="168">
        <v>29</v>
      </c>
      <c r="B34" s="148">
        <v>2</v>
      </c>
      <c r="C34" s="148">
        <v>1</v>
      </c>
      <c r="D34" s="148">
        <v>2</v>
      </c>
      <c r="E34" s="106">
        <v>2</v>
      </c>
      <c r="F34" s="169">
        <f t="shared" si="0"/>
        <v>7</v>
      </c>
      <c r="G34" s="170">
        <f t="shared" si="1"/>
        <v>315</v>
      </c>
      <c r="H34" s="171">
        <f>WATER!W34</f>
        <v>1831</v>
      </c>
    </row>
    <row r="35" spans="1:8" ht="21.75" customHeight="1" x14ac:dyDescent="0.2">
      <c r="A35" s="168">
        <v>30</v>
      </c>
      <c r="B35" s="148">
        <v>2</v>
      </c>
      <c r="C35" s="148">
        <v>0</v>
      </c>
      <c r="D35" s="148">
        <v>1</v>
      </c>
      <c r="E35" s="106">
        <v>2</v>
      </c>
      <c r="F35" s="169">
        <f t="shared" si="0"/>
        <v>5</v>
      </c>
      <c r="G35" s="170">
        <f t="shared" si="1"/>
        <v>225</v>
      </c>
      <c r="H35" s="171">
        <f>WATER!W35</f>
        <v>0</v>
      </c>
    </row>
    <row r="36" spans="1:8" ht="21.75" customHeight="1" x14ac:dyDescent="0.2">
      <c r="A36" s="168">
        <v>31</v>
      </c>
      <c r="B36" s="148">
        <v>2</v>
      </c>
      <c r="C36" s="148">
        <v>1</v>
      </c>
      <c r="D36" s="148">
        <v>1</v>
      </c>
      <c r="E36" s="106">
        <v>2</v>
      </c>
      <c r="F36" s="169">
        <f t="shared" si="0"/>
        <v>6</v>
      </c>
      <c r="G36" s="170">
        <f t="shared" si="1"/>
        <v>270</v>
      </c>
      <c r="H36" s="171">
        <f>WATER!W36</f>
        <v>4461</v>
      </c>
    </row>
    <row r="37" spans="1:8" ht="21" customHeight="1" x14ac:dyDescent="0.2">
      <c r="A37" s="170" t="s">
        <v>7</v>
      </c>
      <c r="B37" s="170"/>
      <c r="C37" s="170"/>
      <c r="D37" s="172"/>
      <c r="E37" s="172">
        <f>SUM(E6:E36)</f>
        <v>60</v>
      </c>
      <c r="F37" s="173">
        <f>SUM(F6:F36)</f>
        <v>164</v>
      </c>
      <c r="G37" s="170">
        <f>SUM(G6:G36)</f>
        <v>7380</v>
      </c>
      <c r="H37" s="171">
        <f>SUM(H6:H36)/30</f>
        <v>3033.6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399">
        <v>44256</v>
      </c>
      <c r="C1" s="399"/>
      <c r="D1" s="399"/>
      <c r="E1" s="399"/>
      <c r="F1" s="399"/>
      <c r="G1" s="399"/>
      <c r="H1" s="399"/>
    </row>
    <row r="2" spans="2:8" ht="15.75" customHeight="1" x14ac:dyDescent="0.2">
      <c r="B2" s="399"/>
      <c r="C2" s="399"/>
      <c r="D2" s="399"/>
      <c r="E2" s="399"/>
      <c r="F2" s="399"/>
      <c r="G2" s="399"/>
      <c r="H2" s="399"/>
    </row>
    <row r="3" spans="2:8" ht="28.5" customHeight="1" x14ac:dyDescent="0.2">
      <c r="B3" s="400" t="s">
        <v>77</v>
      </c>
      <c r="C3" s="400"/>
      <c r="D3" s="400"/>
      <c r="E3" s="400"/>
      <c r="F3" s="400"/>
      <c r="G3" s="400"/>
      <c r="H3" s="400"/>
    </row>
    <row r="4" spans="2:8" x14ac:dyDescent="0.2">
      <c r="B4" s="103" t="s">
        <v>42</v>
      </c>
      <c r="C4" s="103" t="s">
        <v>72</v>
      </c>
      <c r="D4" s="103" t="s">
        <v>73</v>
      </c>
      <c r="E4" s="103" t="s">
        <v>74</v>
      </c>
      <c r="F4" s="103" t="s">
        <v>75</v>
      </c>
      <c r="G4" s="103" t="s">
        <v>76</v>
      </c>
      <c r="H4" s="103" t="s">
        <v>7</v>
      </c>
    </row>
    <row r="5" spans="2:8" x14ac:dyDescent="0.2">
      <c r="B5" s="101">
        <v>1</v>
      </c>
      <c r="C5" s="102">
        <f>'GENSET #1'!D10</f>
        <v>11980</v>
      </c>
      <c r="D5" s="102">
        <f>'GENSET #2'!D10</f>
        <v>0</v>
      </c>
      <c r="E5" s="102">
        <f>'GENSET #3'!D10</f>
        <v>0</v>
      </c>
      <c r="F5" s="102">
        <f>'GENSET #4'!D10</f>
        <v>1797</v>
      </c>
      <c r="G5" s="102">
        <f>'GENSET #5'!D10</f>
        <v>9674</v>
      </c>
      <c r="H5" s="105">
        <f>SUM(C5:G5)</f>
        <v>23451</v>
      </c>
    </row>
    <row r="6" spans="2:8" x14ac:dyDescent="0.2">
      <c r="B6" s="96">
        <v>2</v>
      </c>
      <c r="C6" s="18">
        <f>'GENSET #1'!D11</f>
        <v>399</v>
      </c>
      <c r="D6" s="18">
        <f>'GENSET #2'!D11</f>
        <v>5232</v>
      </c>
      <c r="E6" s="18">
        <f>'GENSET #3'!D11</f>
        <v>5275</v>
      </c>
      <c r="F6" s="18">
        <f>'GENSET #4'!D11</f>
        <v>2735</v>
      </c>
      <c r="G6" s="18">
        <f>'GENSET #5'!D11</f>
        <v>7985</v>
      </c>
      <c r="H6" s="105">
        <f>SUM(C6:G6)</f>
        <v>21626</v>
      </c>
    </row>
    <row r="7" spans="2:8" x14ac:dyDescent="0.2">
      <c r="B7" s="101">
        <v>3</v>
      </c>
      <c r="C7" s="102">
        <f>'GENSET #1'!D12</f>
        <v>4555</v>
      </c>
      <c r="D7" s="102">
        <f>'GENSET #2'!D12</f>
        <v>5467</v>
      </c>
      <c r="E7" s="102">
        <f>'GENSET #3'!D12</f>
        <v>3209</v>
      </c>
      <c r="F7" s="102">
        <f>'GENSET #4'!D12</f>
        <v>2624</v>
      </c>
      <c r="G7" s="102">
        <f>'GENSET #5'!D12</f>
        <v>8069</v>
      </c>
      <c r="H7" s="105">
        <f t="shared" ref="H7:H35" si="0">SUM(C7:G7)</f>
        <v>23924</v>
      </c>
    </row>
    <row r="8" spans="2:8" x14ac:dyDescent="0.2">
      <c r="B8" s="96">
        <v>4</v>
      </c>
      <c r="C8" s="18">
        <f>'GENSET #1'!D13</f>
        <v>7287</v>
      </c>
      <c r="D8" s="18">
        <f>'GENSET #2'!D13</f>
        <v>5758</v>
      </c>
      <c r="E8" s="18">
        <f>'GENSET #3'!D13</f>
        <v>7157</v>
      </c>
      <c r="F8" s="18">
        <f>'GENSET #4'!D13</f>
        <v>1595</v>
      </c>
      <c r="G8" s="18">
        <f>'GENSET #5'!D13</f>
        <v>1497</v>
      </c>
      <c r="H8" s="105">
        <f t="shared" si="0"/>
        <v>23294</v>
      </c>
    </row>
    <row r="9" spans="2:8" x14ac:dyDescent="0.2">
      <c r="B9" s="101">
        <v>5</v>
      </c>
      <c r="C9" s="102">
        <f>'GENSET #1'!D14</f>
        <v>4695</v>
      </c>
      <c r="D9" s="102">
        <f>'GENSET #2'!D14</f>
        <v>10548</v>
      </c>
      <c r="E9" s="102">
        <f>'GENSET #3'!D14</f>
        <v>2548</v>
      </c>
      <c r="F9" s="102">
        <f>'GENSET #4'!D14</f>
        <v>27</v>
      </c>
      <c r="G9" s="102">
        <f>'GENSET #5'!D14</f>
        <v>4675</v>
      </c>
      <c r="H9" s="105">
        <f t="shared" si="0"/>
        <v>22493</v>
      </c>
    </row>
    <row r="10" spans="2:8" x14ac:dyDescent="0.2">
      <c r="B10" s="96">
        <v>6</v>
      </c>
      <c r="C10" s="18">
        <f>'GENSET #1'!D15</f>
        <v>5576</v>
      </c>
      <c r="D10" s="18">
        <f>'GENSET #2'!D15</f>
        <v>9782</v>
      </c>
      <c r="E10" s="18">
        <f>'GENSET #3'!D15</f>
        <v>6770</v>
      </c>
      <c r="F10" s="18">
        <f>'GENSET #4'!D15</f>
        <v>1524</v>
      </c>
      <c r="G10" s="18">
        <f>'GENSET #5'!D15</f>
        <v>0</v>
      </c>
      <c r="H10" s="105">
        <f t="shared" si="0"/>
        <v>23652</v>
      </c>
    </row>
    <row r="11" spans="2:8" x14ac:dyDescent="0.2">
      <c r="B11" s="101">
        <v>7</v>
      </c>
      <c r="C11" s="102">
        <f>'GENSET #1'!D16</f>
        <v>4603</v>
      </c>
      <c r="D11" s="102">
        <f>'GENSET #2'!D16</f>
        <v>7514</v>
      </c>
      <c r="E11" s="102">
        <f>'GENSET #3'!D16</f>
        <v>2259</v>
      </c>
      <c r="F11" s="102">
        <f>'GENSET #4'!D16</f>
        <v>2657</v>
      </c>
      <c r="G11" s="102">
        <f>'GENSET #5'!D16</f>
        <v>6969</v>
      </c>
      <c r="H11" s="105">
        <f t="shared" si="0"/>
        <v>24002</v>
      </c>
    </row>
    <row r="12" spans="2:8" x14ac:dyDescent="0.2">
      <c r="B12" s="96">
        <v>8</v>
      </c>
      <c r="C12" s="18">
        <f>'GENSET #1'!D17</f>
        <v>6403</v>
      </c>
      <c r="D12" s="18">
        <f>'GENSET #2'!D17</f>
        <v>8568</v>
      </c>
      <c r="E12" s="18">
        <f>'GENSET #3'!D17</f>
        <v>1552</v>
      </c>
      <c r="F12" s="18">
        <f>'GENSET #4'!D17</f>
        <v>1657</v>
      </c>
      <c r="G12" s="18">
        <f>'GENSET #5'!D17</f>
        <v>6348</v>
      </c>
      <c r="H12" s="105">
        <f t="shared" si="0"/>
        <v>24528</v>
      </c>
    </row>
    <row r="13" spans="2:8" x14ac:dyDescent="0.2">
      <c r="B13" s="101">
        <v>9</v>
      </c>
      <c r="C13" s="102">
        <f>'GENSET #1'!D18</f>
        <v>6008</v>
      </c>
      <c r="D13" s="102">
        <f>'GENSET #2'!D18</f>
        <v>8114</v>
      </c>
      <c r="E13" s="102">
        <f>'GENSET #3'!D18</f>
        <v>3348</v>
      </c>
      <c r="F13" s="102">
        <f>'GENSET #4'!D18</f>
        <v>2157</v>
      </c>
      <c r="G13" s="102">
        <f>'GENSET #5'!D18</f>
        <v>5773</v>
      </c>
      <c r="H13" s="105">
        <f t="shared" si="0"/>
        <v>25400</v>
      </c>
    </row>
    <row r="14" spans="2:8" x14ac:dyDescent="0.2">
      <c r="B14" s="96">
        <v>10</v>
      </c>
      <c r="C14" s="18">
        <f>'GENSET #1'!D19</f>
        <v>2427</v>
      </c>
      <c r="D14" s="18">
        <f>'GENSET #2'!D19</f>
        <v>9992</v>
      </c>
      <c r="E14" s="18">
        <f>'GENSET #3'!D19</f>
        <v>5298</v>
      </c>
      <c r="F14" s="18">
        <f>'GENSET #4'!D19</f>
        <v>1966</v>
      </c>
      <c r="G14" s="18">
        <f>'GENSET #5'!D19</f>
        <v>5701</v>
      </c>
      <c r="H14" s="105">
        <f t="shared" si="0"/>
        <v>25384</v>
      </c>
    </row>
    <row r="15" spans="2:8" x14ac:dyDescent="0.2">
      <c r="B15" s="101">
        <v>11</v>
      </c>
      <c r="C15" s="102">
        <f>'GENSET #1'!D20</f>
        <v>8397</v>
      </c>
      <c r="D15" s="102">
        <f>'GENSET #2'!D20</f>
        <v>5674</v>
      </c>
      <c r="E15" s="102">
        <f>'GENSET #3'!D20</f>
        <v>422</v>
      </c>
      <c r="F15" s="102">
        <f>'GENSET #4'!D20</f>
        <v>3230</v>
      </c>
      <c r="G15" s="102">
        <f>'GENSET #5'!D20</f>
        <v>8392</v>
      </c>
      <c r="H15" s="105">
        <f t="shared" si="0"/>
        <v>26115</v>
      </c>
    </row>
    <row r="16" spans="2:8" x14ac:dyDescent="0.2">
      <c r="B16" s="96">
        <v>12</v>
      </c>
      <c r="C16" s="18">
        <f>'GENSET #1'!D21</f>
        <v>8365</v>
      </c>
      <c r="D16" s="18">
        <f>'GENSET #2'!D21</f>
        <v>6028</v>
      </c>
      <c r="E16" s="18">
        <f>'GENSET #3'!D21</f>
        <v>0</v>
      </c>
      <c r="F16" s="18">
        <f>'GENSET #4'!D21</f>
        <v>2611</v>
      </c>
      <c r="G16" s="18">
        <f>'GENSET #5'!D21</f>
        <v>8364</v>
      </c>
      <c r="H16" s="105">
        <f t="shared" si="0"/>
        <v>25368</v>
      </c>
    </row>
    <row r="17" spans="2:8" x14ac:dyDescent="0.2">
      <c r="B17" s="101">
        <v>13</v>
      </c>
      <c r="C17" s="102">
        <f>'GENSET #1'!D22</f>
        <v>5400</v>
      </c>
      <c r="D17" s="102">
        <f>'GENSET #2'!D22</f>
        <v>9672</v>
      </c>
      <c r="E17" s="102">
        <f>'GENSET #3'!D22</f>
        <v>4600</v>
      </c>
      <c r="F17" s="102">
        <f>'GENSET #4'!D22</f>
        <v>3947</v>
      </c>
      <c r="G17" s="102">
        <f>'GENSET #5'!D22</f>
        <v>2814</v>
      </c>
      <c r="H17" s="105">
        <f t="shared" si="0"/>
        <v>26433</v>
      </c>
    </row>
    <row r="18" spans="2:8" x14ac:dyDescent="0.2">
      <c r="B18" s="96">
        <v>14</v>
      </c>
      <c r="C18" s="18">
        <f>'GENSET #1'!D23</f>
        <v>8395</v>
      </c>
      <c r="D18" s="18">
        <f>'GENSET #2'!D23</f>
        <v>5710</v>
      </c>
      <c r="E18" s="18">
        <f>'GENSET #3'!D23</f>
        <v>2029</v>
      </c>
      <c r="F18" s="18">
        <f>'GENSET #4'!D23</f>
        <v>2173</v>
      </c>
      <c r="G18" s="18">
        <f>'GENSET #5'!D23</f>
        <v>8309</v>
      </c>
      <c r="H18" s="105">
        <f t="shared" si="0"/>
        <v>26616</v>
      </c>
    </row>
    <row r="19" spans="2:8" x14ac:dyDescent="0.2">
      <c r="B19" s="101">
        <v>15</v>
      </c>
      <c r="C19" s="102">
        <f>'GENSET #1'!D24</f>
        <v>8480</v>
      </c>
      <c r="D19" s="102">
        <f>'GENSET #2'!D24</f>
        <v>6038</v>
      </c>
      <c r="E19" s="102">
        <f>'GENSET #3'!D24</f>
        <v>63</v>
      </c>
      <c r="F19" s="102">
        <f>'GENSET #4'!D24</f>
        <v>4332</v>
      </c>
      <c r="G19" s="102">
        <f>'GENSET #5'!D24</f>
        <v>8469</v>
      </c>
      <c r="H19" s="105">
        <f t="shared" si="0"/>
        <v>27382</v>
      </c>
    </row>
    <row r="20" spans="2:8" x14ac:dyDescent="0.2">
      <c r="B20" s="96">
        <v>16</v>
      </c>
      <c r="C20" s="18">
        <f>'GENSET #1'!D25</f>
        <v>8328</v>
      </c>
      <c r="D20" s="18">
        <f>'GENSET #2'!D25</f>
        <v>5912</v>
      </c>
      <c r="E20" s="18">
        <f>'GENSET #3'!D25</f>
        <v>0</v>
      </c>
      <c r="F20" s="18">
        <f>'GENSET #4'!D25</f>
        <v>4800</v>
      </c>
      <c r="G20" s="18">
        <f>'GENSET #5'!D25</f>
        <v>8312</v>
      </c>
      <c r="H20" s="105">
        <f t="shared" si="0"/>
        <v>27352</v>
      </c>
    </row>
    <row r="21" spans="2:8" x14ac:dyDescent="0.2">
      <c r="B21" s="101">
        <v>17</v>
      </c>
      <c r="C21" s="102">
        <f>'GENSET #1'!D26</f>
        <v>7977</v>
      </c>
      <c r="D21" s="102">
        <f>'GENSET #2'!D26</f>
        <v>5665</v>
      </c>
      <c r="E21" s="102">
        <f>'GENSET #3'!D26</f>
        <v>4203</v>
      </c>
      <c r="F21" s="102">
        <f>'GENSET #4'!D26</f>
        <v>2395</v>
      </c>
      <c r="G21" s="102">
        <f>'GENSET #5'!D26</f>
        <v>3397</v>
      </c>
      <c r="H21" s="105">
        <f t="shared" si="0"/>
        <v>23637</v>
      </c>
    </row>
    <row r="22" spans="2:8" x14ac:dyDescent="0.2">
      <c r="B22" s="96">
        <v>18</v>
      </c>
      <c r="C22" s="18">
        <f>'GENSET #1'!D27</f>
        <v>7858</v>
      </c>
      <c r="D22" s="18">
        <f>'GENSET #2'!D27</f>
        <v>5992</v>
      </c>
      <c r="E22" s="18">
        <f>'GENSET #3'!D27</f>
        <v>0</v>
      </c>
      <c r="F22" s="18">
        <f>'GENSET #4'!D27</f>
        <v>743</v>
      </c>
      <c r="G22" s="18">
        <f>'GENSET #5'!D27</f>
        <v>7838</v>
      </c>
      <c r="H22" s="105">
        <f t="shared" si="0"/>
        <v>22431</v>
      </c>
    </row>
    <row r="23" spans="2:8" x14ac:dyDescent="0.2">
      <c r="B23" s="101">
        <v>19</v>
      </c>
      <c r="C23" s="102">
        <f>'GENSET #1'!D28</f>
        <v>92</v>
      </c>
      <c r="D23" s="102">
        <f>'GENSET #2'!D28</f>
        <v>14027</v>
      </c>
      <c r="E23" s="102">
        <f>'GENSET #3'!D28</f>
        <v>5793</v>
      </c>
      <c r="F23" s="102">
        <f>'GENSET #4'!D28</f>
        <v>739</v>
      </c>
      <c r="G23" s="102">
        <f>'GENSET #5'!D28</f>
        <v>3330</v>
      </c>
      <c r="H23" s="105">
        <f t="shared" si="0"/>
        <v>23981</v>
      </c>
    </row>
    <row r="24" spans="2:8" x14ac:dyDescent="0.2">
      <c r="B24" s="96">
        <v>20</v>
      </c>
      <c r="C24" s="18">
        <f>'GENSET #1'!D29</f>
        <v>9754</v>
      </c>
      <c r="D24" s="18">
        <f>'GENSET #2'!D29</f>
        <v>3128</v>
      </c>
      <c r="E24" s="18">
        <f>'GENSET #3'!D29</f>
        <v>4959</v>
      </c>
      <c r="F24" s="18">
        <f>'GENSET #4'!D29</f>
        <v>1189</v>
      </c>
      <c r="G24" s="18">
        <f>'GENSET #5'!D29</f>
        <v>6122</v>
      </c>
      <c r="H24" s="105">
        <f t="shared" si="0"/>
        <v>25152</v>
      </c>
    </row>
    <row r="25" spans="2:8" x14ac:dyDescent="0.2">
      <c r="B25" s="101">
        <v>21</v>
      </c>
      <c r="C25" s="102">
        <f>'GENSET #1'!D30</f>
        <v>4165</v>
      </c>
      <c r="D25" s="102">
        <f>'GENSET #2'!D30</f>
        <v>13503</v>
      </c>
      <c r="E25" s="102">
        <f>'GENSET #3'!D30</f>
        <v>3510</v>
      </c>
      <c r="F25" s="102">
        <f>'GENSET #4'!D30</f>
        <v>1710</v>
      </c>
      <c r="G25" s="102">
        <f>'GENSET #5'!D30</f>
        <v>3293</v>
      </c>
      <c r="H25" s="105">
        <f t="shared" si="0"/>
        <v>26181</v>
      </c>
    </row>
    <row r="26" spans="2:8" x14ac:dyDescent="0.2">
      <c r="B26" s="96">
        <v>22</v>
      </c>
      <c r="C26" s="18">
        <f>'GENSET #1'!D31</f>
        <v>1299</v>
      </c>
      <c r="D26" s="18">
        <f>'GENSET #2'!D31</f>
        <v>14689</v>
      </c>
      <c r="E26" s="18">
        <f>'GENSET #3'!D31</f>
        <v>1223</v>
      </c>
      <c r="F26" s="18">
        <f>'GENSET #4'!D31</f>
        <v>1052</v>
      </c>
      <c r="G26" s="18">
        <f>'GENSET #5'!D31</f>
        <v>7071</v>
      </c>
      <c r="H26" s="105">
        <f t="shared" si="0"/>
        <v>25334</v>
      </c>
    </row>
    <row r="27" spans="2:8" x14ac:dyDescent="0.2">
      <c r="B27" s="101">
        <v>23</v>
      </c>
      <c r="C27" s="102">
        <f>'GENSET #1'!D32</f>
        <v>6411</v>
      </c>
      <c r="D27" s="102">
        <f>'GENSET #2'!D32</f>
        <v>8042</v>
      </c>
      <c r="E27" s="102">
        <f>'GENSET #3'!D32</f>
        <v>5746</v>
      </c>
      <c r="F27" s="102">
        <f>'GENSET #4'!D32</f>
        <v>951</v>
      </c>
      <c r="G27" s="102">
        <f>'GENSET #5'!D32</f>
        <v>4913</v>
      </c>
      <c r="H27" s="105">
        <f t="shared" si="0"/>
        <v>26063</v>
      </c>
    </row>
    <row r="28" spans="2:8" x14ac:dyDescent="0.2">
      <c r="B28" s="96">
        <v>24</v>
      </c>
      <c r="C28" s="18">
        <f>'GENSET #1'!D33</f>
        <v>4989</v>
      </c>
      <c r="D28" s="18">
        <f>'GENSET #2'!D33</f>
        <v>10318</v>
      </c>
      <c r="E28" s="18">
        <f>'GENSET #3'!D33</f>
        <v>2409</v>
      </c>
      <c r="F28" s="18">
        <f>'GENSET #4'!D33</f>
        <v>3427</v>
      </c>
      <c r="G28" s="18">
        <f>'GENSET #5'!D33</f>
        <v>5173</v>
      </c>
      <c r="H28" s="105">
        <f t="shared" si="0"/>
        <v>26316</v>
      </c>
    </row>
    <row r="29" spans="2:8" x14ac:dyDescent="0.2">
      <c r="B29" s="101">
        <v>25</v>
      </c>
      <c r="C29" s="102">
        <f>'GENSET #1'!D34</f>
        <v>8315</v>
      </c>
      <c r="D29" s="102">
        <f>'GENSET #2'!D34</f>
        <v>5379</v>
      </c>
      <c r="E29" s="102">
        <f>'GENSET #3'!D34</f>
        <v>0</v>
      </c>
      <c r="F29" s="102">
        <f>'GENSET #4'!D34</f>
        <v>4569</v>
      </c>
      <c r="G29" s="102">
        <f>'GENSET #5'!D34</f>
        <v>8329</v>
      </c>
      <c r="H29" s="105">
        <f t="shared" si="0"/>
        <v>26592</v>
      </c>
    </row>
    <row r="30" spans="2:8" x14ac:dyDescent="0.2">
      <c r="B30" s="96">
        <v>26</v>
      </c>
      <c r="C30" s="18">
        <f>'GENSET #1'!D35</f>
        <v>141</v>
      </c>
      <c r="D30" s="18">
        <f>'GENSET #2'!D35</f>
        <v>12905</v>
      </c>
      <c r="E30" s="18">
        <f>'GENSET #3'!D35</f>
        <v>5863</v>
      </c>
      <c r="F30" s="18">
        <f>'GENSET #4'!D35</f>
        <v>3398</v>
      </c>
      <c r="G30" s="18">
        <f>'GENSET #5'!D35</f>
        <v>3658</v>
      </c>
      <c r="H30" s="105">
        <f t="shared" si="0"/>
        <v>25965</v>
      </c>
    </row>
    <row r="31" spans="2:8" x14ac:dyDescent="0.2">
      <c r="B31" s="101">
        <v>27</v>
      </c>
      <c r="C31" s="102">
        <f>'GENSET #1'!D36</f>
        <v>6349</v>
      </c>
      <c r="D31" s="102">
        <f>'GENSET #2'!D36</f>
        <v>7111</v>
      </c>
      <c r="E31" s="102">
        <f>'GENSET #3'!D36</f>
        <v>1006</v>
      </c>
      <c r="F31" s="102">
        <f>'GENSET #4'!D36</f>
        <v>3983</v>
      </c>
      <c r="G31" s="102">
        <f>'GENSET #5'!D36</f>
        <v>7422</v>
      </c>
      <c r="H31" s="105">
        <f t="shared" si="0"/>
        <v>25871</v>
      </c>
    </row>
    <row r="32" spans="2:8" x14ac:dyDescent="0.2">
      <c r="B32" s="96">
        <v>28</v>
      </c>
      <c r="C32" s="18">
        <f>'GENSET #1'!D37</f>
        <v>5232</v>
      </c>
      <c r="D32" s="18">
        <f>'GENSET #2'!D37</f>
        <v>10328</v>
      </c>
      <c r="E32" s="18">
        <f>'GENSET #3'!D37</f>
        <v>5474</v>
      </c>
      <c r="F32" s="18">
        <f>'GENSET #4'!D37</f>
        <v>2157</v>
      </c>
      <c r="G32" s="18">
        <f>'GENSET #5'!D37</f>
        <v>3262</v>
      </c>
      <c r="H32" s="105">
        <f t="shared" si="0"/>
        <v>26453</v>
      </c>
    </row>
    <row r="33" spans="1:8" x14ac:dyDescent="0.2">
      <c r="B33" s="101">
        <v>29</v>
      </c>
      <c r="C33" s="102">
        <f>'GENSET #1'!D38</f>
        <v>9310</v>
      </c>
      <c r="D33" s="102">
        <f>'GENSET #2'!D38</f>
        <v>4324</v>
      </c>
      <c r="E33" s="102">
        <f>'GENSET #3'!D38</f>
        <v>1831</v>
      </c>
      <c r="F33" s="102">
        <f>'GENSET #4'!D38</f>
        <v>4310</v>
      </c>
      <c r="G33" s="102">
        <f>'GENSET #5'!D38</f>
        <v>7261</v>
      </c>
      <c r="H33" s="105">
        <f t="shared" si="0"/>
        <v>27036</v>
      </c>
    </row>
    <row r="34" spans="1:8" x14ac:dyDescent="0.2">
      <c r="B34" s="96">
        <v>30</v>
      </c>
      <c r="C34" s="18">
        <f>'GENSET #1'!D39</f>
        <v>6978</v>
      </c>
      <c r="D34" s="18">
        <f>'GENSET #2'!D39</f>
        <v>8451</v>
      </c>
      <c r="E34" s="18">
        <f>'GENSET #3'!D39</f>
        <v>0</v>
      </c>
      <c r="F34" s="18">
        <f>'GENSET #4'!D39</f>
        <v>4396</v>
      </c>
      <c r="G34" s="18">
        <f>'GENSET #5'!D39</f>
        <v>6927</v>
      </c>
      <c r="H34" s="105">
        <f t="shared" si="0"/>
        <v>26752</v>
      </c>
    </row>
    <row r="35" spans="1:8" x14ac:dyDescent="0.2">
      <c r="B35" s="101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05" t="e">
        <f t="shared" si="0"/>
        <v>#REF!</v>
      </c>
    </row>
    <row r="36" spans="1:8" x14ac:dyDescent="0.2">
      <c r="A36" s="398" t="s">
        <v>78</v>
      </c>
      <c r="B36" s="398"/>
      <c r="C36" s="104" t="e">
        <f>SUM(C5:C35)</f>
        <v>#REF!</v>
      </c>
      <c r="D36" s="104" t="e">
        <f>SUM(D5:D35)</f>
        <v>#REF!</v>
      </c>
      <c r="E36" s="104" t="e">
        <f>SUM(E5:E35)</f>
        <v>#REF!</v>
      </c>
      <c r="F36" s="104" t="e">
        <f>SUM(F5:F35)</f>
        <v>#REF!</v>
      </c>
      <c r="G36" s="104" t="e">
        <f>SUM(G5:G35)</f>
        <v>#REF!</v>
      </c>
      <c r="H36" s="104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8">
        <v>44256</v>
      </c>
      <c r="C4" s="368"/>
      <c r="D4" s="10"/>
      <c r="E4" s="10"/>
      <c r="F4" s="97"/>
    </row>
    <row r="5" spans="1:10" ht="14.25" customHeight="1" x14ac:dyDescent="0.2">
      <c r="A5" s="6"/>
      <c r="B5" s="11"/>
      <c r="C5" s="11"/>
      <c r="D5" s="12"/>
      <c r="E5" s="10"/>
      <c r="F5" s="97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23451</v>
      </c>
      <c r="C9" s="7">
        <f>'Diesel consumption'!D5</f>
        <v>6480</v>
      </c>
      <c r="D9" s="2">
        <f>'SOLAR METER READING'!D9</f>
        <v>1933</v>
      </c>
      <c r="E9" s="7">
        <f>'Gas-2'!G6</f>
        <v>180</v>
      </c>
      <c r="F9" s="98">
        <f>WATER!V6</f>
        <v>340</v>
      </c>
      <c r="G9" s="100">
        <f>WATER!W6</f>
        <v>0</v>
      </c>
      <c r="H9" s="15">
        <f>B9/C9</f>
        <v>3.6189814814814816</v>
      </c>
      <c r="I9" s="15">
        <f>SUM(B9,D9)</f>
        <v>25384</v>
      </c>
      <c r="J9" s="3"/>
    </row>
    <row r="10" spans="1:10" x14ac:dyDescent="0.2">
      <c r="A10" s="6">
        <v>2</v>
      </c>
      <c r="B10" s="7">
        <f>SUM('GENSET #1:GENSET #5'!D11)</f>
        <v>21626</v>
      </c>
      <c r="C10" s="7">
        <f>'Diesel consumption'!D6</f>
        <v>5670</v>
      </c>
      <c r="D10" s="2">
        <f>'SOLAR METER READING'!D10</f>
        <v>3108</v>
      </c>
      <c r="E10" s="7">
        <f>'Gas-2'!G7</f>
        <v>225</v>
      </c>
      <c r="F10" s="98">
        <f>WATER!V7</f>
        <v>349</v>
      </c>
      <c r="G10" s="100">
        <f>WATER!W7</f>
        <v>5275</v>
      </c>
      <c r="H10" s="15">
        <f t="shared" ref="H10:H38" si="0">B10/C10</f>
        <v>3.8141093474426806</v>
      </c>
      <c r="I10" s="15">
        <f t="shared" ref="I10:I40" si="1">SUM(B10,D10)</f>
        <v>24734</v>
      </c>
    </row>
    <row r="11" spans="1:10" x14ac:dyDescent="0.2">
      <c r="A11" s="6">
        <v>3</v>
      </c>
      <c r="B11" s="7">
        <f>SUM('GENSET #1:GENSET #5'!D12)</f>
        <v>23924</v>
      </c>
      <c r="C11" s="7">
        <f>'Diesel consumption'!D7</f>
        <v>6470</v>
      </c>
      <c r="D11" s="2">
        <f>'SOLAR METER READING'!D11</f>
        <v>3264</v>
      </c>
      <c r="E11" s="7">
        <f>'Gas-2'!G8</f>
        <v>225</v>
      </c>
      <c r="F11" s="98">
        <f>WATER!V8</f>
        <v>346</v>
      </c>
      <c r="G11" s="100">
        <f>WATER!W8</f>
        <v>3209</v>
      </c>
      <c r="H11" s="15">
        <f t="shared" si="0"/>
        <v>3.6976816074188563</v>
      </c>
      <c r="I11" s="15">
        <f t="shared" si="1"/>
        <v>27188</v>
      </c>
    </row>
    <row r="12" spans="1:10" x14ac:dyDescent="0.2">
      <c r="A12" s="6">
        <v>4</v>
      </c>
      <c r="B12" s="7">
        <f>SUM('GENSET #1:GENSET #5'!D13)</f>
        <v>23294</v>
      </c>
      <c r="C12" s="7">
        <f>'Diesel consumption'!D8</f>
        <v>6620</v>
      </c>
      <c r="D12" s="2">
        <f>'SOLAR METER READING'!D12</f>
        <v>2470</v>
      </c>
      <c r="E12" s="7">
        <f>'Gas-2'!G9</f>
        <v>225</v>
      </c>
      <c r="F12" s="98">
        <f>WATER!V9</f>
        <v>340</v>
      </c>
      <c r="G12" s="100">
        <f>WATER!W9</f>
        <v>7157</v>
      </c>
      <c r="H12" s="15">
        <f t="shared" si="0"/>
        <v>3.5187311178247733</v>
      </c>
      <c r="I12" s="15">
        <f t="shared" si="1"/>
        <v>25764</v>
      </c>
    </row>
    <row r="13" spans="1:10" x14ac:dyDescent="0.2">
      <c r="A13" s="6">
        <v>5</v>
      </c>
      <c r="B13" s="7">
        <f>SUM('GENSET #1:GENSET #5'!D14)</f>
        <v>22493</v>
      </c>
      <c r="C13" s="7">
        <f>'Diesel consumption'!D9</f>
        <v>6340</v>
      </c>
      <c r="D13" s="2">
        <f>'SOLAR METER READING'!D13</f>
        <v>2124</v>
      </c>
      <c r="E13" s="7">
        <f>'Gas-2'!G10</f>
        <v>225</v>
      </c>
      <c r="F13" s="98">
        <f>WATER!V10</f>
        <v>275</v>
      </c>
      <c r="G13" s="100">
        <f>WATER!W10</f>
        <v>2548</v>
      </c>
      <c r="H13" s="15">
        <f t="shared" si="0"/>
        <v>3.5477917981072555</v>
      </c>
      <c r="I13" s="15">
        <f t="shared" si="1"/>
        <v>24617</v>
      </c>
    </row>
    <row r="14" spans="1:10" x14ac:dyDescent="0.2">
      <c r="A14" s="6">
        <v>6</v>
      </c>
      <c r="B14" s="7">
        <f>SUM('GENSET #1:GENSET #5'!D15)</f>
        <v>23652</v>
      </c>
      <c r="C14" s="7">
        <f>'Diesel consumption'!D10</f>
        <v>6530</v>
      </c>
      <c r="D14" s="2">
        <f>'SOLAR METER READING'!D14</f>
        <v>2705</v>
      </c>
      <c r="E14" s="7">
        <f>'Gas-2'!G11</f>
        <v>225</v>
      </c>
      <c r="F14" s="98">
        <f>WATER!V11</f>
        <v>364</v>
      </c>
      <c r="G14" s="100">
        <f>WATER!W11</f>
        <v>6770</v>
      </c>
      <c r="H14" s="15">
        <f t="shared" si="0"/>
        <v>3.622052067381317</v>
      </c>
      <c r="I14" s="15">
        <f t="shared" si="1"/>
        <v>26357</v>
      </c>
    </row>
    <row r="15" spans="1:10" x14ac:dyDescent="0.2">
      <c r="A15" s="6">
        <v>7</v>
      </c>
      <c r="B15" s="7">
        <f>SUM('GENSET #1:GENSET #5'!D16)</f>
        <v>24002</v>
      </c>
      <c r="C15" s="7">
        <f>'Diesel consumption'!D11</f>
        <v>6620</v>
      </c>
      <c r="D15" s="2">
        <f>'SOLAR METER READING'!D15</f>
        <v>2968</v>
      </c>
      <c r="E15" s="7">
        <f>'Gas-2'!G12</f>
        <v>270</v>
      </c>
      <c r="F15" s="98">
        <f>WATER!V12</f>
        <v>323</v>
      </c>
      <c r="G15" s="100">
        <f>WATER!W12</f>
        <v>2259</v>
      </c>
      <c r="H15" s="15">
        <f t="shared" si="0"/>
        <v>3.625679758308157</v>
      </c>
      <c r="I15" s="15">
        <f t="shared" si="1"/>
        <v>26970</v>
      </c>
    </row>
    <row r="16" spans="1:10" x14ac:dyDescent="0.2">
      <c r="A16" s="6">
        <v>8</v>
      </c>
      <c r="B16" s="7">
        <f>SUM('GENSET #1:GENSET #5'!D17)</f>
        <v>24528</v>
      </c>
      <c r="C16" s="7">
        <f>'Diesel consumption'!D12</f>
        <v>6900</v>
      </c>
      <c r="D16" s="2">
        <f>'SOLAR METER READING'!D16</f>
        <v>3156</v>
      </c>
      <c r="E16" s="7">
        <f>'Gas-2'!G13</f>
        <v>225</v>
      </c>
      <c r="F16" s="98">
        <f>WATER!V13</f>
        <v>337</v>
      </c>
      <c r="G16" s="100">
        <f>WATER!W13</f>
        <v>1552</v>
      </c>
      <c r="H16" s="15">
        <f t="shared" si="0"/>
        <v>3.554782608695652</v>
      </c>
      <c r="I16" s="15">
        <f t="shared" si="1"/>
        <v>27684</v>
      </c>
    </row>
    <row r="17" spans="1:9" x14ac:dyDescent="0.2">
      <c r="A17" s="6">
        <v>9</v>
      </c>
      <c r="B17" s="7">
        <f>SUM('GENSET #1:GENSET #5'!D18)</f>
        <v>25400</v>
      </c>
      <c r="C17" s="7">
        <f>'Diesel consumption'!D13</f>
        <v>7130</v>
      </c>
      <c r="D17" s="2">
        <f>'SOLAR METER READING'!D17</f>
        <v>2859</v>
      </c>
      <c r="E17" s="7">
        <f>'Gas-2'!G14</f>
        <v>315</v>
      </c>
      <c r="F17" s="98">
        <f>WATER!V14</f>
        <v>347</v>
      </c>
      <c r="G17" s="100">
        <f>WATER!W14</f>
        <v>3348</v>
      </c>
      <c r="H17" s="15">
        <f t="shared" si="0"/>
        <v>3.5624123422159886</v>
      </c>
      <c r="I17" s="15">
        <f t="shared" si="1"/>
        <v>28259</v>
      </c>
    </row>
    <row r="18" spans="1:9" x14ac:dyDescent="0.2">
      <c r="A18" s="6">
        <v>10</v>
      </c>
      <c r="B18" s="7">
        <f>SUM('GENSET #1:GENSET #5'!D19)</f>
        <v>25384</v>
      </c>
      <c r="C18" s="7">
        <f>'Diesel consumption'!D14</f>
        <v>6650</v>
      </c>
      <c r="D18" s="2">
        <f>'SOLAR METER READING'!D18</f>
        <v>2885</v>
      </c>
      <c r="E18" s="7">
        <f>'Gas-2'!G15</f>
        <v>270</v>
      </c>
      <c r="F18" s="98">
        <f>WATER!V15</f>
        <v>374</v>
      </c>
      <c r="G18" s="100">
        <f>WATER!W15</f>
        <v>5298</v>
      </c>
      <c r="H18" s="15">
        <f t="shared" si="0"/>
        <v>3.8171428571428572</v>
      </c>
      <c r="I18" s="15">
        <f t="shared" si="1"/>
        <v>28269</v>
      </c>
    </row>
    <row r="19" spans="1:9" x14ac:dyDescent="0.2">
      <c r="A19" s="6">
        <v>11</v>
      </c>
      <c r="B19" s="7">
        <f>SUM('GENSET #1:GENSET #5'!D20)</f>
        <v>26115</v>
      </c>
      <c r="C19" s="7">
        <f>'Diesel consumption'!D15</f>
        <v>7320</v>
      </c>
      <c r="D19" s="2">
        <f>'SOLAR METER READING'!D19</f>
        <v>2890</v>
      </c>
      <c r="E19" s="7">
        <f>'Gas-2'!G16</f>
        <v>180</v>
      </c>
      <c r="F19" s="98">
        <f>WATER!V16</f>
        <v>372</v>
      </c>
      <c r="G19" s="100">
        <f>WATER!W16</f>
        <v>422</v>
      </c>
      <c r="H19" s="15">
        <f t="shared" si="0"/>
        <v>3.567622950819672</v>
      </c>
      <c r="I19" s="15">
        <f t="shared" si="1"/>
        <v>29005</v>
      </c>
    </row>
    <row r="20" spans="1:9" x14ac:dyDescent="0.2">
      <c r="A20" s="6">
        <v>12</v>
      </c>
      <c r="B20" s="7">
        <f>SUM('GENSET #1:GENSET #5'!D21)</f>
        <v>25368</v>
      </c>
      <c r="C20" s="7">
        <f>'Diesel consumption'!D16</f>
        <v>7060</v>
      </c>
      <c r="D20" s="2">
        <f>'SOLAR METER READING'!D20</f>
        <v>3200</v>
      </c>
      <c r="E20" s="7">
        <f>'Gas-2'!G17</f>
        <v>180</v>
      </c>
      <c r="F20" s="98">
        <f>WATER!V17</f>
        <v>416</v>
      </c>
      <c r="G20" s="100">
        <f>WATER!W17</f>
        <v>0</v>
      </c>
      <c r="H20" s="15">
        <f t="shared" si="0"/>
        <v>3.593201133144476</v>
      </c>
      <c r="I20" s="15">
        <f t="shared" si="1"/>
        <v>28568</v>
      </c>
    </row>
    <row r="21" spans="1:9" x14ac:dyDescent="0.2">
      <c r="A21" s="6">
        <v>13</v>
      </c>
      <c r="B21" s="7">
        <f>SUM('GENSET #1:GENSET #5'!D22)</f>
        <v>26433</v>
      </c>
      <c r="C21" s="7">
        <f>'Diesel consumption'!D17</f>
        <v>7470</v>
      </c>
      <c r="D21" s="2">
        <f>'SOLAR METER READING'!D21</f>
        <v>3184</v>
      </c>
      <c r="E21" s="7">
        <f>'Gas-2'!G18</f>
        <v>270</v>
      </c>
      <c r="F21" s="98">
        <f>WATER!V18</f>
        <v>376</v>
      </c>
      <c r="G21" s="100">
        <f>WATER!W18</f>
        <v>4600</v>
      </c>
      <c r="H21" s="15">
        <f t="shared" si="0"/>
        <v>3.5385542168674697</v>
      </c>
      <c r="I21" s="15">
        <f t="shared" si="1"/>
        <v>29617</v>
      </c>
    </row>
    <row r="22" spans="1:9" x14ac:dyDescent="0.2">
      <c r="A22" s="6">
        <v>14</v>
      </c>
      <c r="B22" s="7">
        <f>SUM('GENSET #1:GENSET #5'!D23)</f>
        <v>26616</v>
      </c>
      <c r="C22" s="7">
        <f>'Diesel consumption'!D18</f>
        <v>7370</v>
      </c>
      <c r="D22" s="2">
        <f>'SOLAR METER READING'!D22</f>
        <v>3087</v>
      </c>
      <c r="E22" s="7">
        <f>'Gas-2'!G19</f>
        <v>225</v>
      </c>
      <c r="F22" s="98">
        <f>WATER!V19</f>
        <v>376</v>
      </c>
      <c r="G22" s="100">
        <f>WATER!W19</f>
        <v>2029</v>
      </c>
      <c r="H22" s="15">
        <f t="shared" si="0"/>
        <v>3.6113975576662143</v>
      </c>
      <c r="I22" s="15">
        <f t="shared" si="1"/>
        <v>29703</v>
      </c>
    </row>
    <row r="23" spans="1:9" x14ac:dyDescent="0.2">
      <c r="A23" s="6">
        <v>15</v>
      </c>
      <c r="B23" s="7">
        <f>SUM('GENSET #1:GENSET #5'!D24)</f>
        <v>27382</v>
      </c>
      <c r="C23" s="7">
        <f>'Diesel consumption'!D19</f>
        <v>7530</v>
      </c>
      <c r="D23" s="2">
        <f>'SOLAR METER READING'!D23</f>
        <v>3173</v>
      </c>
      <c r="E23" s="7">
        <f>'Gas-2'!G20</f>
        <v>225</v>
      </c>
      <c r="F23" s="98">
        <f>WATER!V20</f>
        <v>406</v>
      </c>
      <c r="G23" s="100">
        <f>WATER!W20</f>
        <v>63</v>
      </c>
      <c r="H23" s="15">
        <f t="shared" si="0"/>
        <v>3.6363877822045154</v>
      </c>
      <c r="I23" s="15">
        <f t="shared" si="1"/>
        <v>30555</v>
      </c>
    </row>
    <row r="24" spans="1:9" x14ac:dyDescent="0.2">
      <c r="A24" s="6">
        <v>16</v>
      </c>
      <c r="B24" s="7">
        <f>SUM('GENSET #1:GENSET #5'!D25)</f>
        <v>27352</v>
      </c>
      <c r="C24" s="7">
        <f>'Diesel consumption'!D20</f>
        <v>7600</v>
      </c>
      <c r="D24" s="2">
        <f>'SOLAR METER READING'!D24</f>
        <v>2887</v>
      </c>
      <c r="E24" s="7">
        <f>'Gas-2'!G21</f>
        <v>315</v>
      </c>
      <c r="F24" s="98">
        <f>WATER!V21</f>
        <v>426</v>
      </c>
      <c r="G24" s="100">
        <f>WATER!W21</f>
        <v>0</v>
      </c>
      <c r="H24" s="15">
        <f t="shared" si="0"/>
        <v>3.5989473684210527</v>
      </c>
      <c r="I24" s="15">
        <f t="shared" si="1"/>
        <v>30239</v>
      </c>
    </row>
    <row r="25" spans="1:9" x14ac:dyDescent="0.2">
      <c r="A25" s="6">
        <v>17</v>
      </c>
      <c r="B25" s="7">
        <f>SUM('GENSET #1:GENSET #5'!D26)</f>
        <v>23637</v>
      </c>
      <c r="C25" s="7">
        <f>'Diesel consumption'!D21</f>
        <v>6720</v>
      </c>
      <c r="D25" s="2">
        <f>'SOLAR METER READING'!D25</f>
        <v>1560</v>
      </c>
      <c r="E25" s="7">
        <f>'Gas-2'!G22</f>
        <v>225</v>
      </c>
      <c r="F25" s="98">
        <f>WATER!V22</f>
        <v>421</v>
      </c>
      <c r="G25" s="100">
        <f>WATER!W22</f>
        <v>4203</v>
      </c>
      <c r="H25" s="15">
        <f t="shared" si="0"/>
        <v>3.5174107142857145</v>
      </c>
      <c r="I25" s="15">
        <f t="shared" si="1"/>
        <v>25197</v>
      </c>
    </row>
    <row r="26" spans="1:9" x14ac:dyDescent="0.2">
      <c r="A26" s="6">
        <v>18</v>
      </c>
      <c r="B26" s="7">
        <f>SUM('GENSET #1:GENSET #5'!D27)</f>
        <v>22431</v>
      </c>
      <c r="C26" s="7">
        <f>'Diesel consumption'!D22</f>
        <v>6240</v>
      </c>
      <c r="D26" s="2">
        <f>'SOLAR METER READING'!D26</f>
        <v>1851</v>
      </c>
      <c r="E26" s="7">
        <f>'Gas-2'!G23</f>
        <v>180</v>
      </c>
      <c r="F26" s="98">
        <f>WATER!V23</f>
        <v>303</v>
      </c>
      <c r="G26" s="100">
        <f>WATER!W23</f>
        <v>0</v>
      </c>
      <c r="H26" s="15">
        <f t="shared" si="0"/>
        <v>3.5947115384615387</v>
      </c>
      <c r="I26" s="15">
        <f t="shared" si="1"/>
        <v>24282</v>
      </c>
    </row>
    <row r="27" spans="1:9" x14ac:dyDescent="0.2">
      <c r="A27" s="6">
        <v>19</v>
      </c>
      <c r="B27" s="7">
        <f>SUM('GENSET #1:GENSET #5'!D28)</f>
        <v>23981</v>
      </c>
      <c r="C27" s="7">
        <f>'Diesel consumption'!D23</f>
        <v>6720</v>
      </c>
      <c r="D27" s="2">
        <f>'SOLAR METER READING'!D27</f>
        <v>3225</v>
      </c>
      <c r="E27" s="7">
        <f>'Gas-2'!G24</f>
        <v>180</v>
      </c>
      <c r="F27" s="98">
        <f>WATER!V24</f>
        <v>398</v>
      </c>
      <c r="G27" s="100">
        <f>WATER!W24</f>
        <v>5793</v>
      </c>
      <c r="H27" s="15">
        <f t="shared" si="0"/>
        <v>3.5686011904761905</v>
      </c>
      <c r="I27" s="15">
        <f t="shared" si="1"/>
        <v>27206</v>
      </c>
    </row>
    <row r="28" spans="1:9" x14ac:dyDescent="0.2">
      <c r="A28" s="6">
        <v>20</v>
      </c>
      <c r="B28" s="7">
        <f>SUM('GENSET #1:GENSET #5'!D29)</f>
        <v>25152</v>
      </c>
      <c r="C28" s="7">
        <f>'Diesel consumption'!D24</f>
        <v>7100</v>
      </c>
      <c r="D28" s="2">
        <f>'SOLAR METER READING'!D28</f>
        <v>3282</v>
      </c>
      <c r="E28" s="7">
        <f>'Gas-2'!G25</f>
        <v>225</v>
      </c>
      <c r="F28" s="98">
        <f>WATER!V25</f>
        <v>404</v>
      </c>
      <c r="G28" s="100">
        <f>WATER!W25</f>
        <v>4959</v>
      </c>
      <c r="H28" s="15">
        <f t="shared" si="0"/>
        <v>3.5425352112676056</v>
      </c>
      <c r="I28" s="15">
        <f t="shared" si="1"/>
        <v>28434</v>
      </c>
    </row>
    <row r="29" spans="1:9" x14ac:dyDescent="0.2">
      <c r="A29" s="6">
        <v>21</v>
      </c>
      <c r="B29" s="7">
        <f>SUM('GENSET #1:GENSET #5'!D30)</f>
        <v>26181</v>
      </c>
      <c r="C29" s="7">
        <f>'Diesel consumption'!D25</f>
        <v>7260</v>
      </c>
      <c r="D29" s="2">
        <f>'SOLAR METER READING'!D29</f>
        <v>3098</v>
      </c>
      <c r="E29" s="7">
        <f>'Gas-2'!G26</f>
        <v>270</v>
      </c>
      <c r="F29" s="98">
        <f>WATER!V26</f>
        <v>424</v>
      </c>
      <c r="G29" s="100">
        <f>WATER!W26</f>
        <v>3510</v>
      </c>
      <c r="H29" s="15">
        <f t="shared" si="0"/>
        <v>3.6061983471074379</v>
      </c>
      <c r="I29" s="15">
        <f t="shared" si="1"/>
        <v>29279</v>
      </c>
    </row>
    <row r="30" spans="1:9" x14ac:dyDescent="0.2">
      <c r="A30" s="6">
        <v>22</v>
      </c>
      <c r="B30" s="7">
        <f>SUM('GENSET #1:GENSET #5'!D31)</f>
        <v>25334</v>
      </c>
      <c r="C30" s="7">
        <f>'Diesel consumption'!D26</f>
        <v>6980</v>
      </c>
      <c r="D30" s="2">
        <f>'SOLAR METER READING'!D30</f>
        <v>2395</v>
      </c>
      <c r="E30" s="7">
        <f>'Gas-2'!G27</f>
        <v>225</v>
      </c>
      <c r="F30" s="98">
        <f>WATER!V27</f>
        <v>420</v>
      </c>
      <c r="G30" s="100">
        <f>WATER!W27</f>
        <v>1223</v>
      </c>
      <c r="H30" s="15">
        <f t="shared" si="0"/>
        <v>3.6295128939828079</v>
      </c>
      <c r="I30" s="15">
        <f t="shared" si="1"/>
        <v>27729</v>
      </c>
    </row>
    <row r="31" spans="1:9" x14ac:dyDescent="0.2">
      <c r="A31" s="6">
        <v>23</v>
      </c>
      <c r="B31" s="7">
        <f>SUM('GENSET #1:GENSET #5'!D32)</f>
        <v>26063</v>
      </c>
      <c r="C31" s="7">
        <f>'Diesel consumption'!D27</f>
        <v>7260</v>
      </c>
      <c r="D31" s="2">
        <f>'SOLAR METER READING'!D31</f>
        <v>2839</v>
      </c>
      <c r="E31" s="7">
        <f>'Gas-2'!G28</f>
        <v>270</v>
      </c>
      <c r="F31" s="98">
        <f>WATER!V28</f>
        <v>332</v>
      </c>
      <c r="G31" s="100">
        <f>WATER!W28</f>
        <v>5746</v>
      </c>
      <c r="H31" s="15">
        <f t="shared" si="0"/>
        <v>3.5899449035812672</v>
      </c>
      <c r="I31" s="15">
        <f t="shared" si="1"/>
        <v>28902</v>
      </c>
    </row>
    <row r="32" spans="1:9" x14ac:dyDescent="0.2">
      <c r="A32" s="6">
        <v>24</v>
      </c>
      <c r="B32" s="7">
        <f>SUM('GENSET #1:GENSET #5'!D33)</f>
        <v>26316</v>
      </c>
      <c r="C32" s="7">
        <f>'Diesel consumption'!D28</f>
        <v>7330</v>
      </c>
      <c r="D32" s="2">
        <f>'SOLAR METER READING'!D32</f>
        <v>3040</v>
      </c>
      <c r="E32" s="7">
        <f>'Gas-2'!G29</f>
        <v>225</v>
      </c>
      <c r="F32" s="98">
        <f>WATER!V29</f>
        <v>429</v>
      </c>
      <c r="G32" s="100">
        <f>WATER!W29</f>
        <v>2409</v>
      </c>
      <c r="H32" s="15">
        <f t="shared" si="0"/>
        <v>3.5901773533424284</v>
      </c>
      <c r="I32" s="15">
        <f t="shared" si="1"/>
        <v>29356</v>
      </c>
    </row>
    <row r="33" spans="1:9" x14ac:dyDescent="0.2">
      <c r="A33" s="6">
        <v>25</v>
      </c>
      <c r="B33" s="7">
        <f>SUM('GENSET #1:GENSET #5'!D34)</f>
        <v>26592</v>
      </c>
      <c r="C33" s="7">
        <f>'Diesel consumption'!D29</f>
        <v>7420</v>
      </c>
      <c r="D33" s="2">
        <f>'SOLAR METER READING'!D33</f>
        <v>2052</v>
      </c>
      <c r="E33" s="7">
        <f>'Gas-2'!G30</f>
        <v>225</v>
      </c>
      <c r="F33" s="98">
        <f>WATER!V30</f>
        <v>423</v>
      </c>
      <c r="G33" s="100">
        <f>WATER!W30</f>
        <v>0</v>
      </c>
      <c r="H33" s="15">
        <f t="shared" si="0"/>
        <v>3.5838274932614556</v>
      </c>
      <c r="I33" s="15">
        <f t="shared" si="1"/>
        <v>28644</v>
      </c>
    </row>
    <row r="34" spans="1:9" x14ac:dyDescent="0.2">
      <c r="A34" s="6">
        <v>26</v>
      </c>
      <c r="B34" s="7">
        <f>SUM('GENSET #1:GENSET #5'!D35)</f>
        <v>25965</v>
      </c>
      <c r="C34" s="7">
        <f>'Diesel consumption'!D30</f>
        <v>6940</v>
      </c>
      <c r="D34" s="2">
        <f>'SOLAR METER READING'!D34</f>
        <v>2807</v>
      </c>
      <c r="E34" s="7">
        <f>'Gas-2'!G31</f>
        <v>225</v>
      </c>
      <c r="F34" s="98">
        <f>WATER!V31</f>
        <v>436</v>
      </c>
      <c r="G34" s="100">
        <f>WATER!W31</f>
        <v>5863</v>
      </c>
      <c r="H34" s="15">
        <f t="shared" si="0"/>
        <v>3.7413544668587897</v>
      </c>
      <c r="I34" s="15">
        <f t="shared" si="1"/>
        <v>28772</v>
      </c>
    </row>
    <row r="35" spans="1:9" x14ac:dyDescent="0.2">
      <c r="A35" s="6">
        <v>27</v>
      </c>
      <c r="B35" s="7">
        <f>SUM('GENSET #1:GENSET #5'!D36)</f>
        <v>25871</v>
      </c>
      <c r="C35" s="7">
        <f>'Diesel consumption'!D31</f>
        <v>7250</v>
      </c>
      <c r="D35" s="2">
        <f>'SOLAR METER READING'!D35</f>
        <v>2813</v>
      </c>
      <c r="E35" s="7">
        <f>'Gas-2'!G32</f>
        <v>270</v>
      </c>
      <c r="F35" s="98">
        <f>WATER!V32</f>
        <v>412</v>
      </c>
      <c r="G35" s="100">
        <f>WATER!W32</f>
        <v>1006</v>
      </c>
      <c r="H35" s="15">
        <f t="shared" si="0"/>
        <v>3.5684137931034483</v>
      </c>
      <c r="I35" s="15">
        <f t="shared" si="1"/>
        <v>28684</v>
      </c>
    </row>
    <row r="36" spans="1:9" x14ac:dyDescent="0.2">
      <c r="A36" s="6">
        <v>28</v>
      </c>
      <c r="B36" s="7">
        <f>SUM('GENSET #1:GENSET #5'!D37)</f>
        <v>26453</v>
      </c>
      <c r="C36" s="7">
        <f>'Diesel consumption'!D32</f>
        <v>7380</v>
      </c>
      <c r="D36" s="2">
        <f>'SOLAR METER READING'!D36</f>
        <v>3050</v>
      </c>
      <c r="E36" s="7">
        <f>'Gas-2'!G33</f>
        <v>270</v>
      </c>
      <c r="F36" s="98">
        <f>WATER!V33</f>
        <v>420</v>
      </c>
      <c r="G36" s="100">
        <f>WATER!W33</f>
        <v>5474</v>
      </c>
      <c r="H36" s="15">
        <f t="shared" si="0"/>
        <v>3.5844173441734419</v>
      </c>
      <c r="I36" s="15">
        <f t="shared" si="1"/>
        <v>29503</v>
      </c>
    </row>
    <row r="37" spans="1:9" x14ac:dyDescent="0.2">
      <c r="A37" s="6">
        <v>29</v>
      </c>
      <c r="B37" s="7">
        <f>SUM('GENSET #1:GENSET #5'!D38)</f>
        <v>27036</v>
      </c>
      <c r="C37" s="7">
        <f>'Diesel consumption'!D33</f>
        <v>7510</v>
      </c>
      <c r="D37" s="2">
        <f>'SOLAR METER READING'!D37</f>
        <v>3030</v>
      </c>
      <c r="E37" s="7">
        <f>'Gas-2'!G34</f>
        <v>315</v>
      </c>
      <c r="F37" s="98">
        <f>WATER!V34</f>
        <v>460</v>
      </c>
      <c r="G37" s="100">
        <f>WATER!W34</f>
        <v>1831</v>
      </c>
      <c r="H37" s="15">
        <f t="shared" si="0"/>
        <v>3.6</v>
      </c>
      <c r="I37" s="15">
        <f t="shared" si="1"/>
        <v>30066</v>
      </c>
    </row>
    <row r="38" spans="1:9" x14ac:dyDescent="0.2">
      <c r="A38" s="6">
        <v>30</v>
      </c>
      <c r="B38" s="7">
        <f>SUM('GENSET #1:GENSET #5'!D39)</f>
        <v>26752</v>
      </c>
      <c r="C38" s="7">
        <f>'Diesel consumption'!D34</f>
        <v>7430</v>
      </c>
      <c r="D38" s="2">
        <f>'SOLAR METER READING'!D38</f>
        <v>3045</v>
      </c>
      <c r="E38" s="7">
        <f>'Gas-2'!G35</f>
        <v>225</v>
      </c>
      <c r="F38" s="98">
        <f>WATER!V35</f>
        <v>424</v>
      </c>
      <c r="G38" s="100">
        <f>WATER!W35</f>
        <v>0</v>
      </c>
      <c r="H38" s="15">
        <f t="shared" si="0"/>
        <v>3.6005383580080754</v>
      </c>
      <c r="I38" s="15">
        <f t="shared" si="1"/>
        <v>29797</v>
      </c>
    </row>
    <row r="39" spans="1:9" x14ac:dyDescent="0.2">
      <c r="A39" s="16">
        <v>31</v>
      </c>
      <c r="B39" s="7">
        <f>SUM('GENSET #1:GENSET #5'!D40)</f>
        <v>27036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270</v>
      </c>
      <c r="F39" s="98">
        <f>WATER!V36</f>
        <v>442</v>
      </c>
      <c r="G39" s="100">
        <f>WATER!W36</f>
        <v>4461</v>
      </c>
      <c r="H39" s="15"/>
      <c r="I39" s="15"/>
    </row>
    <row r="40" spans="1:9" ht="13.5" thickBot="1" x14ac:dyDescent="0.25">
      <c r="A40" s="1" t="s">
        <v>7</v>
      </c>
      <c r="B40" s="17">
        <f>SUM(B9:B39)</f>
        <v>781820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7380</v>
      </c>
      <c r="F40" s="99">
        <f>SUM(F9:F39)</f>
        <v>11915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TOTAL</vt:lpstr>
      <vt:lpstr>Submetering </vt:lpstr>
      <vt:lpstr>Maldives at LG Daily</vt:lpstr>
      <vt:lpstr>Finance Only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2021-10-03T03:13:37Z</cp:lastPrinted>
  <dcterms:created xsi:type="dcterms:W3CDTF">2018-12-01T06:13:40Z</dcterms:created>
  <dcterms:modified xsi:type="dcterms:W3CDTF">2022-12-14T12:04:39Z</dcterms:modified>
</cp:coreProperties>
</file>